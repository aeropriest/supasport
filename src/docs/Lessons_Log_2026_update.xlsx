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65985\Desktop\"/>
    </mc:Choice>
  </mc:AlternateContent>
  <xr:revisionPtr revIDLastSave="0" documentId="13_ncr:1_{3CC68268-3302-4B57-BA47-A1BF6A34AE6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Clients List" sheetId="1" r:id="rId1"/>
    <sheet name="Lessons Log" sheetId="2" r:id="rId2"/>
    <sheet name="Revenue" sheetId="3" state="hidden" r:id="rId3"/>
    <sheet name="ValidationLists" sheetId="4" state="hidden" r:id="rId4"/>
  </sheets>
  <externalReferences>
    <externalReference r:id="rId5"/>
    <externalReference r:id="rId6"/>
  </externalReferences>
  <definedNames>
    <definedName name="_xlnm._FilterDatabase" localSheetId="0" hidden="1">'Clients List'!$A$1:$F$1</definedName>
    <definedName name="_xlnm._FilterDatabase" localSheetId="1" hidden="1">'Lessons Log'!$A$1:$E$1</definedName>
    <definedName name="ClientNameList">OFFSET('Clients List'!$A$2,0,0,COUNTA('Clients List'!$A:$A)-1,1)</definedName>
    <definedName name="LessonTypeList">ValidationLists!$A$1:$A$14</definedName>
    <definedName name="Package_Semi_Lesson__125">'Clients List'!$B$6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3" l="1"/>
  <c r="I6000" i="2"/>
  <c r="D6000" i="2"/>
  <c r="H6000" i="2" s="1"/>
  <c r="I5999" i="2"/>
  <c r="D5999" i="2"/>
  <c r="G5999" i="2" s="1"/>
  <c r="I5998" i="2"/>
  <c r="D5998" i="2"/>
  <c r="I5997" i="2"/>
  <c r="D5997" i="2"/>
  <c r="H5997" i="2" s="1"/>
  <c r="I5996" i="2"/>
  <c r="D5996" i="2"/>
  <c r="F5996" i="2" s="1"/>
  <c r="I5995" i="2"/>
  <c r="D5995" i="2"/>
  <c r="F5995" i="2" s="1"/>
  <c r="I5994" i="2"/>
  <c r="D5994" i="2"/>
  <c r="I5993" i="2"/>
  <c r="D5993" i="2"/>
  <c r="H5993" i="2" s="1"/>
  <c r="I5992" i="2"/>
  <c r="D5992" i="2"/>
  <c r="H5992" i="2" s="1"/>
  <c r="I5991" i="2"/>
  <c r="D5991" i="2"/>
  <c r="F5991" i="2" s="1"/>
  <c r="I5990" i="2"/>
  <c r="D5990" i="2"/>
  <c r="G5990" i="2" s="1"/>
  <c r="I5989" i="2"/>
  <c r="D5989" i="2"/>
  <c r="H5989" i="2" s="1"/>
  <c r="I5988" i="2"/>
  <c r="D5988" i="2"/>
  <c r="H5988" i="2" s="1"/>
  <c r="I5987" i="2"/>
  <c r="D5987" i="2"/>
  <c r="F5987" i="2" s="1"/>
  <c r="I5986" i="2"/>
  <c r="D5986" i="2"/>
  <c r="G5986" i="2" s="1"/>
  <c r="I5985" i="2"/>
  <c r="D5985" i="2"/>
  <c r="H5985" i="2" s="1"/>
  <c r="I5984" i="2"/>
  <c r="D5984" i="2"/>
  <c r="H5984" i="2" s="1"/>
  <c r="I5983" i="2"/>
  <c r="D5983" i="2"/>
  <c r="I5982" i="2"/>
  <c r="D5982" i="2"/>
  <c r="G5982" i="2" s="1"/>
  <c r="I5981" i="2"/>
  <c r="D5981" i="2"/>
  <c r="I5980" i="2"/>
  <c r="D5980" i="2"/>
  <c r="H5980" i="2" s="1"/>
  <c r="I5979" i="2"/>
  <c r="D5979" i="2"/>
  <c r="G5979" i="2" s="1"/>
  <c r="I5978" i="2"/>
  <c r="D5978" i="2"/>
  <c r="G5978" i="2" s="1"/>
  <c r="I5977" i="2"/>
  <c r="D5977" i="2"/>
  <c r="F5977" i="2" s="1"/>
  <c r="I5976" i="2"/>
  <c r="D5976" i="2"/>
  <c r="F5976" i="2" s="1"/>
  <c r="I5975" i="2"/>
  <c r="D5975" i="2"/>
  <c r="F5975" i="2" s="1"/>
  <c r="I5974" i="2"/>
  <c r="D5974" i="2"/>
  <c r="G5974" i="2" s="1"/>
  <c r="I5973" i="2"/>
  <c r="D5973" i="2"/>
  <c r="H5973" i="2" s="1"/>
  <c r="I5972" i="2"/>
  <c r="D5972" i="2"/>
  <c r="H5972" i="2" s="1"/>
  <c r="I5971" i="2"/>
  <c r="D5971" i="2"/>
  <c r="F5971" i="2" s="1"/>
  <c r="I5970" i="2"/>
  <c r="D5970" i="2"/>
  <c r="G5970" i="2" s="1"/>
  <c r="I5969" i="2"/>
  <c r="D5969" i="2"/>
  <c r="H5969" i="2" s="1"/>
  <c r="I5968" i="2"/>
  <c r="D5968" i="2"/>
  <c r="H5968" i="2" s="1"/>
  <c r="I5967" i="2"/>
  <c r="D5967" i="2"/>
  <c r="F5967" i="2" s="1"/>
  <c r="I5966" i="2"/>
  <c r="D5966" i="2"/>
  <c r="I5965" i="2"/>
  <c r="D5965" i="2"/>
  <c r="H5965" i="2" s="1"/>
  <c r="I5964" i="2"/>
  <c r="D5964" i="2"/>
  <c r="H5964" i="2" s="1"/>
  <c r="I5963" i="2"/>
  <c r="D5963" i="2"/>
  <c r="F5963" i="2" s="1"/>
  <c r="I5962" i="2"/>
  <c r="D5962" i="2"/>
  <c r="I5961" i="2"/>
  <c r="D5961" i="2"/>
  <c r="H5961" i="2" s="1"/>
  <c r="I5960" i="2"/>
  <c r="D5960" i="2"/>
  <c r="H5960" i="2" s="1"/>
  <c r="I5959" i="2"/>
  <c r="D5959" i="2"/>
  <c r="F5959" i="2" s="1"/>
  <c r="I5958" i="2"/>
  <c r="D5958" i="2"/>
  <c r="G5958" i="2" s="1"/>
  <c r="I5957" i="2"/>
  <c r="D5957" i="2"/>
  <c r="H5957" i="2" s="1"/>
  <c r="I5956" i="2"/>
  <c r="D5956" i="2"/>
  <c r="H5956" i="2" s="1"/>
  <c r="I5955" i="2"/>
  <c r="D5955" i="2"/>
  <c r="F5955" i="2" s="1"/>
  <c r="I5954" i="2"/>
  <c r="D5954" i="2"/>
  <c r="G5954" i="2" s="1"/>
  <c r="I5953" i="2"/>
  <c r="D5953" i="2"/>
  <c r="H5953" i="2" s="1"/>
  <c r="I5952" i="2"/>
  <c r="D5952" i="2"/>
  <c r="H5952" i="2" s="1"/>
  <c r="I5951" i="2"/>
  <c r="D5951" i="2"/>
  <c r="I5950" i="2"/>
  <c r="D5950" i="2"/>
  <c r="G5950" i="2" s="1"/>
  <c r="I5949" i="2"/>
  <c r="D5949" i="2"/>
  <c r="I5948" i="2"/>
  <c r="D5948" i="2"/>
  <c r="H5948" i="2" s="1"/>
  <c r="I5947" i="2"/>
  <c r="D5947" i="2"/>
  <c r="G5947" i="2" s="1"/>
  <c r="I5946" i="2"/>
  <c r="D5946" i="2"/>
  <c r="G5946" i="2" s="1"/>
  <c r="I5945" i="2"/>
  <c r="D5945" i="2"/>
  <c r="I5944" i="2"/>
  <c r="D5944" i="2"/>
  <c r="H5944" i="2" s="1"/>
  <c r="I5943" i="2"/>
  <c r="D5943" i="2"/>
  <c r="F5943" i="2" s="1"/>
  <c r="I5942" i="2"/>
  <c r="D5942" i="2"/>
  <c r="G5942" i="2" s="1"/>
  <c r="I5941" i="2"/>
  <c r="D5941" i="2"/>
  <c r="H5941" i="2" s="1"/>
  <c r="I5940" i="2"/>
  <c r="D5940" i="2"/>
  <c r="H5940" i="2" s="1"/>
  <c r="I5939" i="2"/>
  <c r="D5939" i="2"/>
  <c r="I5938" i="2"/>
  <c r="D5938" i="2"/>
  <c r="I5937" i="2"/>
  <c r="D5937" i="2"/>
  <c r="H5937" i="2" s="1"/>
  <c r="I5936" i="2"/>
  <c r="D5936" i="2"/>
  <c r="H5936" i="2" s="1"/>
  <c r="I5935" i="2"/>
  <c r="D5935" i="2"/>
  <c r="G5935" i="2" s="1"/>
  <c r="I5934" i="2"/>
  <c r="D5934" i="2"/>
  <c r="I5933" i="2"/>
  <c r="D5933" i="2"/>
  <c r="H5933" i="2" s="1"/>
  <c r="I5932" i="2"/>
  <c r="D5932" i="2"/>
  <c r="I5931" i="2"/>
  <c r="D5931" i="2"/>
  <c r="I5930" i="2"/>
  <c r="D5930" i="2"/>
  <c r="I5929" i="2"/>
  <c r="D5929" i="2"/>
  <c r="F5929" i="2" s="1"/>
  <c r="I5928" i="2"/>
  <c r="D5928" i="2"/>
  <c r="I5927" i="2"/>
  <c r="D5927" i="2"/>
  <c r="I5926" i="2"/>
  <c r="D5926" i="2"/>
  <c r="I5925" i="2"/>
  <c r="D5925" i="2"/>
  <c r="I5924" i="2"/>
  <c r="D5924" i="2"/>
  <c r="F5924" i="2" s="1"/>
  <c r="I5923" i="2"/>
  <c r="D5923" i="2"/>
  <c r="F5923" i="2" s="1"/>
  <c r="I5922" i="2"/>
  <c r="D5922" i="2"/>
  <c r="H5922" i="2" s="1"/>
  <c r="I5921" i="2"/>
  <c r="D5921" i="2"/>
  <c r="I5920" i="2"/>
  <c r="D5920" i="2"/>
  <c r="I5919" i="2"/>
  <c r="D5919" i="2"/>
  <c r="H5919" i="2" s="1"/>
  <c r="I5918" i="2"/>
  <c r="D5918" i="2"/>
  <c r="I5917" i="2"/>
  <c r="D5917" i="2"/>
  <c r="G5917" i="2" s="1"/>
  <c r="I5916" i="2"/>
  <c r="D5916" i="2"/>
  <c r="I5915" i="2"/>
  <c r="D5915" i="2"/>
  <c r="F5915" i="2" s="1"/>
  <c r="I5914" i="2"/>
  <c r="D5914" i="2"/>
  <c r="H5914" i="2" s="1"/>
  <c r="I5913" i="2"/>
  <c r="D5913" i="2"/>
  <c r="I5912" i="2"/>
  <c r="D5912" i="2"/>
  <c r="H5912" i="2" s="1"/>
  <c r="I5911" i="2"/>
  <c r="D5911" i="2"/>
  <c r="F5911" i="2" s="1"/>
  <c r="I5910" i="2"/>
  <c r="D5910" i="2"/>
  <c r="G5910" i="2" s="1"/>
  <c r="I5909" i="2"/>
  <c r="D5909" i="2"/>
  <c r="G5909" i="2" s="1"/>
  <c r="I5908" i="2"/>
  <c r="D5908" i="2"/>
  <c r="H5908" i="2" s="1"/>
  <c r="I5907" i="2"/>
  <c r="D5907" i="2"/>
  <c r="F5907" i="2" s="1"/>
  <c r="I5906" i="2"/>
  <c r="D5906" i="2"/>
  <c r="I5905" i="2"/>
  <c r="D5905" i="2"/>
  <c r="H5905" i="2" s="1"/>
  <c r="I5904" i="2"/>
  <c r="D5904" i="2"/>
  <c r="G5904" i="2" s="1"/>
  <c r="I5903" i="2"/>
  <c r="D5903" i="2"/>
  <c r="H5903" i="2" s="1"/>
  <c r="I5902" i="2"/>
  <c r="D5902" i="2"/>
  <c r="I5901" i="2"/>
  <c r="D5901" i="2"/>
  <c r="H5901" i="2" s="1"/>
  <c r="I5900" i="2"/>
  <c r="D5900" i="2"/>
  <c r="H5900" i="2" s="1"/>
  <c r="I5899" i="2"/>
  <c r="D5899" i="2"/>
  <c r="I5898" i="2"/>
  <c r="D5898" i="2"/>
  <c r="I5897" i="2"/>
  <c r="D5897" i="2"/>
  <c r="I5896" i="2"/>
  <c r="D5896" i="2"/>
  <c r="G5896" i="2" s="1"/>
  <c r="I5895" i="2"/>
  <c r="D5895" i="2"/>
  <c r="I5894" i="2"/>
  <c r="D5894" i="2"/>
  <c r="G5894" i="2" s="1"/>
  <c r="I5893" i="2"/>
  <c r="D5893" i="2"/>
  <c r="I5892" i="2"/>
  <c r="D5892" i="2"/>
  <c r="F5892" i="2" s="1"/>
  <c r="I5891" i="2"/>
  <c r="D5891" i="2"/>
  <c r="F5891" i="2" s="1"/>
  <c r="I5890" i="2"/>
  <c r="D5890" i="2"/>
  <c r="G5890" i="2" s="1"/>
  <c r="I5889" i="2"/>
  <c r="D5889" i="2"/>
  <c r="I5888" i="2"/>
  <c r="D5888" i="2"/>
  <c r="H5888" i="2" s="1"/>
  <c r="I5887" i="2"/>
  <c r="D5887" i="2"/>
  <c r="I5886" i="2"/>
  <c r="D5886" i="2"/>
  <c r="G5886" i="2" s="1"/>
  <c r="I5885" i="2"/>
  <c r="D5885" i="2"/>
  <c r="F5885" i="2" s="1"/>
  <c r="I5884" i="2"/>
  <c r="D5884" i="2"/>
  <c r="I5883" i="2"/>
  <c r="D5883" i="2"/>
  <c r="I5882" i="2"/>
  <c r="D5882" i="2"/>
  <c r="F5882" i="2" s="1"/>
  <c r="I5881" i="2"/>
  <c r="D5881" i="2"/>
  <c r="G5881" i="2" s="1"/>
  <c r="I5880" i="2"/>
  <c r="D5880" i="2"/>
  <c r="I5879" i="2"/>
  <c r="D5879" i="2"/>
  <c r="I5878" i="2"/>
  <c r="D5878" i="2"/>
  <c r="I5877" i="2"/>
  <c r="D5877" i="2"/>
  <c r="I5876" i="2"/>
  <c r="D5876" i="2"/>
  <c r="H5876" i="2" s="1"/>
  <c r="I5875" i="2"/>
  <c r="D5875" i="2"/>
  <c r="F5875" i="2" s="1"/>
  <c r="I5874" i="2"/>
  <c r="D5874" i="2"/>
  <c r="H5874" i="2" s="1"/>
  <c r="I5873" i="2"/>
  <c r="D5873" i="2"/>
  <c r="I5872" i="2"/>
  <c r="D5872" i="2"/>
  <c r="H5872" i="2" s="1"/>
  <c r="I5871" i="2"/>
  <c r="D5871" i="2"/>
  <c r="I5870" i="2"/>
  <c r="D5870" i="2"/>
  <c r="G5870" i="2" s="1"/>
  <c r="I5869" i="2"/>
  <c r="D5869" i="2"/>
  <c r="F5869" i="2" s="1"/>
  <c r="I5868" i="2"/>
  <c r="D5868" i="2"/>
  <c r="H5868" i="2" s="1"/>
  <c r="I5867" i="2"/>
  <c r="D5867" i="2"/>
  <c r="I5866" i="2"/>
  <c r="D5866" i="2"/>
  <c r="F5866" i="2" s="1"/>
  <c r="I5865" i="2"/>
  <c r="D5865" i="2"/>
  <c r="H5865" i="2" s="1"/>
  <c r="I5864" i="2"/>
  <c r="D5864" i="2"/>
  <c r="G5864" i="2" s="1"/>
  <c r="I5863" i="2"/>
  <c r="D5863" i="2"/>
  <c r="H5863" i="2" s="1"/>
  <c r="I5862" i="2"/>
  <c r="D5862" i="2"/>
  <c r="I5861" i="2"/>
  <c r="D5861" i="2"/>
  <c r="I5860" i="2"/>
  <c r="D5860" i="2"/>
  <c r="H5860" i="2" s="1"/>
  <c r="I5859" i="2"/>
  <c r="D5859" i="2"/>
  <c r="H5859" i="2" s="1"/>
  <c r="I5858" i="2"/>
  <c r="D5858" i="2"/>
  <c r="H5858" i="2" s="1"/>
  <c r="I5857" i="2"/>
  <c r="D5857" i="2"/>
  <c r="F5857" i="2" s="1"/>
  <c r="I5856" i="2"/>
  <c r="D5856" i="2"/>
  <c r="F5856" i="2" s="1"/>
  <c r="I5855" i="2"/>
  <c r="D5855" i="2"/>
  <c r="H5855" i="2" s="1"/>
  <c r="I5854" i="2"/>
  <c r="D5854" i="2"/>
  <c r="G5854" i="2" s="1"/>
  <c r="I5853" i="2"/>
  <c r="D5853" i="2"/>
  <c r="I5852" i="2"/>
  <c r="D5852" i="2"/>
  <c r="G5852" i="2" s="1"/>
  <c r="I5851" i="2"/>
  <c r="D5851" i="2"/>
  <c r="I5850" i="2"/>
  <c r="D5850" i="2"/>
  <c r="H5850" i="2" s="1"/>
  <c r="I5849" i="2"/>
  <c r="D5849" i="2"/>
  <c r="G5849" i="2" s="1"/>
  <c r="I5848" i="2"/>
  <c r="D5848" i="2"/>
  <c r="H5848" i="2" s="1"/>
  <c r="I5847" i="2"/>
  <c r="D5847" i="2"/>
  <c r="I5846" i="2"/>
  <c r="D5846" i="2"/>
  <c r="G5846" i="2" s="1"/>
  <c r="I5845" i="2"/>
  <c r="D5845" i="2"/>
  <c r="G5845" i="2" s="1"/>
  <c r="I5844" i="2"/>
  <c r="D5844" i="2"/>
  <c r="I5843" i="2"/>
  <c r="D5843" i="2"/>
  <c r="I5842" i="2"/>
  <c r="D5842" i="2"/>
  <c r="H5842" i="2" s="1"/>
  <c r="I5841" i="2"/>
  <c r="D5841" i="2"/>
  <c r="H5841" i="2" s="1"/>
  <c r="I5840" i="2"/>
  <c r="D5840" i="2"/>
  <c r="F5840" i="2" s="1"/>
  <c r="I5839" i="2"/>
  <c r="D5839" i="2"/>
  <c r="I5838" i="2"/>
  <c r="D5838" i="2"/>
  <c r="I5837" i="2"/>
  <c r="D5837" i="2"/>
  <c r="G5837" i="2" s="1"/>
  <c r="I5836" i="2"/>
  <c r="D5836" i="2"/>
  <c r="I5835" i="2"/>
  <c r="D5835" i="2"/>
  <c r="F5835" i="2" s="1"/>
  <c r="I5834" i="2"/>
  <c r="D5834" i="2"/>
  <c r="G5834" i="2" s="1"/>
  <c r="I5833" i="2"/>
  <c r="D5833" i="2"/>
  <c r="I5832" i="2"/>
  <c r="D5832" i="2"/>
  <c r="F5832" i="2" s="1"/>
  <c r="I5831" i="2"/>
  <c r="D5831" i="2"/>
  <c r="I5830" i="2"/>
  <c r="D5830" i="2"/>
  <c r="G5830" i="2" s="1"/>
  <c r="I5829" i="2"/>
  <c r="D5829" i="2"/>
  <c r="G5829" i="2" s="1"/>
  <c r="I5828" i="2"/>
  <c r="D5828" i="2"/>
  <c r="F5828" i="2" s="1"/>
  <c r="I5827" i="2"/>
  <c r="D5827" i="2"/>
  <c r="I5826" i="2"/>
  <c r="D5826" i="2"/>
  <c r="G5826" i="2" s="1"/>
  <c r="I5825" i="2"/>
  <c r="D5825" i="2"/>
  <c r="G5825" i="2" s="1"/>
  <c r="I5824" i="2"/>
  <c r="D5824" i="2"/>
  <c r="F5824" i="2" s="1"/>
  <c r="I5823" i="2"/>
  <c r="D5823" i="2"/>
  <c r="I5822" i="2"/>
  <c r="D5822" i="2"/>
  <c r="I5821" i="2"/>
  <c r="D5821" i="2"/>
  <c r="I5820" i="2"/>
  <c r="D5820" i="2"/>
  <c r="H5820" i="2" s="1"/>
  <c r="I5819" i="2"/>
  <c r="D5819" i="2"/>
  <c r="I5818" i="2"/>
  <c r="D5818" i="2"/>
  <c r="G5818" i="2" s="1"/>
  <c r="I5817" i="2"/>
  <c r="D5817" i="2"/>
  <c r="H5817" i="2" s="1"/>
  <c r="I5816" i="2"/>
  <c r="D5816" i="2"/>
  <c r="G5816" i="2" s="1"/>
  <c r="I5815" i="2"/>
  <c r="D5815" i="2"/>
  <c r="H5815" i="2" s="1"/>
  <c r="I5814" i="2"/>
  <c r="D5814" i="2"/>
  <c r="I5813" i="2"/>
  <c r="D5813" i="2"/>
  <c r="H5813" i="2" s="1"/>
  <c r="I5812" i="2"/>
  <c r="D5812" i="2"/>
  <c r="H5812" i="2" s="1"/>
  <c r="I5811" i="2"/>
  <c r="D5811" i="2"/>
  <c r="F5811" i="2" s="1"/>
  <c r="I5810" i="2"/>
  <c r="D5810" i="2"/>
  <c r="F5810" i="2" s="1"/>
  <c r="I5809" i="2"/>
  <c r="D5809" i="2"/>
  <c r="H5809" i="2" s="1"/>
  <c r="I5808" i="2"/>
  <c r="D5808" i="2"/>
  <c r="I5807" i="2"/>
  <c r="D5807" i="2"/>
  <c r="I5806" i="2"/>
  <c r="D5806" i="2"/>
  <c r="G5806" i="2" s="1"/>
  <c r="I5805" i="2"/>
  <c r="D5805" i="2"/>
  <c r="I5804" i="2"/>
  <c r="D5804" i="2"/>
  <c r="H5804" i="2" s="1"/>
  <c r="I5803" i="2"/>
  <c r="D5803" i="2"/>
  <c r="H5803" i="2" s="1"/>
  <c r="I5802" i="2"/>
  <c r="D5802" i="2"/>
  <c r="F5802" i="2" s="1"/>
  <c r="I5801" i="2"/>
  <c r="D5801" i="2"/>
  <c r="I5800" i="2"/>
  <c r="D5800" i="2"/>
  <c r="G5800" i="2" s="1"/>
  <c r="I5799" i="2"/>
  <c r="D5799" i="2"/>
  <c r="I5798" i="2"/>
  <c r="D5798" i="2"/>
  <c r="I5797" i="2"/>
  <c r="D5797" i="2"/>
  <c r="F5797" i="2" s="1"/>
  <c r="I5796" i="2"/>
  <c r="D5796" i="2"/>
  <c r="G5796" i="2" s="1"/>
  <c r="I5795" i="2"/>
  <c r="D5795" i="2"/>
  <c r="I5794" i="2"/>
  <c r="D5794" i="2"/>
  <c r="I5793" i="2"/>
  <c r="D5793" i="2"/>
  <c r="I5792" i="2"/>
  <c r="D5792" i="2"/>
  <c r="H5792" i="2" s="1"/>
  <c r="I5791" i="2"/>
  <c r="D5791" i="2"/>
  <c r="H5791" i="2" s="1"/>
  <c r="I5790" i="2"/>
  <c r="D5790" i="2"/>
  <c r="F5790" i="2" s="1"/>
  <c r="I5789" i="2"/>
  <c r="D5789" i="2"/>
  <c r="I5788" i="2"/>
  <c r="D5788" i="2"/>
  <c r="G5788" i="2" s="1"/>
  <c r="I5787" i="2"/>
  <c r="D5787" i="2"/>
  <c r="I5786" i="2"/>
  <c r="D5786" i="2"/>
  <c r="H5786" i="2" s="1"/>
  <c r="I5785" i="2"/>
  <c r="D5785" i="2"/>
  <c r="I5784" i="2"/>
  <c r="D5784" i="2"/>
  <c r="I5783" i="2"/>
  <c r="D5783" i="2"/>
  <c r="F5783" i="2" s="1"/>
  <c r="I5782" i="2"/>
  <c r="D5782" i="2"/>
  <c r="H5782" i="2" s="1"/>
  <c r="I5781" i="2"/>
  <c r="D5781" i="2"/>
  <c r="I5780" i="2"/>
  <c r="D5780" i="2"/>
  <c r="I5779" i="2"/>
  <c r="D5779" i="2"/>
  <c r="I5778" i="2"/>
  <c r="D5778" i="2"/>
  <c r="I5777" i="2"/>
  <c r="D5777" i="2"/>
  <c r="G5777" i="2" s="1"/>
  <c r="I5776" i="2"/>
  <c r="D5776" i="2"/>
  <c r="I5775" i="2"/>
  <c r="D5775" i="2"/>
  <c r="F5775" i="2" s="1"/>
  <c r="I5774" i="2"/>
  <c r="D5774" i="2"/>
  <c r="I5773" i="2"/>
  <c r="D5773" i="2"/>
  <c r="I5772" i="2"/>
  <c r="D5772" i="2"/>
  <c r="I5771" i="2"/>
  <c r="D5771" i="2"/>
  <c r="G5771" i="2" s="1"/>
  <c r="I5770" i="2"/>
  <c r="D5770" i="2"/>
  <c r="G5770" i="2" s="1"/>
  <c r="I5769" i="2"/>
  <c r="D5769" i="2"/>
  <c r="I5768" i="2"/>
  <c r="D5768" i="2"/>
  <c r="I5767" i="2"/>
  <c r="D5767" i="2"/>
  <c r="G5767" i="2" s="1"/>
  <c r="I5766" i="2"/>
  <c r="D5766" i="2"/>
  <c r="I5765" i="2"/>
  <c r="D5765" i="2"/>
  <c r="I5764" i="2"/>
  <c r="D5764" i="2"/>
  <c r="H5764" i="2" s="1"/>
  <c r="I5763" i="2"/>
  <c r="D5763" i="2"/>
  <c r="H5763" i="2" s="1"/>
  <c r="I5762" i="2"/>
  <c r="D5762" i="2"/>
  <c r="I5761" i="2"/>
  <c r="D5761" i="2"/>
  <c r="I5760" i="2"/>
  <c r="D5760" i="2"/>
  <c r="H5760" i="2" s="1"/>
  <c r="I5759" i="2"/>
  <c r="D5759" i="2"/>
  <c r="I5758" i="2"/>
  <c r="D5758" i="2"/>
  <c r="I5757" i="2"/>
  <c r="D5757" i="2"/>
  <c r="I5756" i="2"/>
  <c r="D5756" i="2"/>
  <c r="H5756" i="2" s="1"/>
  <c r="I5755" i="2"/>
  <c r="D5755" i="2"/>
  <c r="H5755" i="2" s="1"/>
  <c r="I5754" i="2"/>
  <c r="D5754" i="2"/>
  <c r="G5754" i="2" s="1"/>
  <c r="I5753" i="2"/>
  <c r="D5753" i="2"/>
  <c r="I5752" i="2"/>
  <c r="D5752" i="2"/>
  <c r="G5752" i="2" s="1"/>
  <c r="I5751" i="2"/>
  <c r="D5751" i="2"/>
  <c r="F5751" i="2" s="1"/>
  <c r="I5750" i="2"/>
  <c r="D5750" i="2"/>
  <c r="G5750" i="2" s="1"/>
  <c r="I5749" i="2"/>
  <c r="D5749" i="2"/>
  <c r="H5749" i="2" s="1"/>
  <c r="I5748" i="2"/>
  <c r="D5748" i="2"/>
  <c r="I5747" i="2"/>
  <c r="D5747" i="2"/>
  <c r="I5746" i="2"/>
  <c r="D5746" i="2"/>
  <c r="G5746" i="2" s="1"/>
  <c r="I5745" i="2"/>
  <c r="D5745" i="2"/>
  <c r="G5745" i="2" s="1"/>
  <c r="I5744" i="2"/>
  <c r="D5744" i="2"/>
  <c r="H5744" i="2" s="1"/>
  <c r="I5743" i="2"/>
  <c r="D5743" i="2"/>
  <c r="I5742" i="2"/>
  <c r="D5742" i="2"/>
  <c r="F5742" i="2" s="1"/>
  <c r="I5741" i="2"/>
  <c r="D5741" i="2"/>
  <c r="I5740" i="2"/>
  <c r="D5740" i="2"/>
  <c r="I5739" i="2"/>
  <c r="D5739" i="2"/>
  <c r="I5738" i="2"/>
  <c r="D5738" i="2"/>
  <c r="I5737" i="2"/>
  <c r="D5737" i="2"/>
  <c r="H5737" i="2" s="1"/>
  <c r="I5736" i="2"/>
  <c r="D5736" i="2"/>
  <c r="H5736" i="2" s="1"/>
  <c r="I5735" i="2"/>
  <c r="D5735" i="2"/>
  <c r="F5735" i="2" s="1"/>
  <c r="I5734" i="2"/>
  <c r="D5734" i="2"/>
  <c r="F5734" i="2" s="1"/>
  <c r="I5733" i="2"/>
  <c r="D5733" i="2"/>
  <c r="I5732" i="2"/>
  <c r="D5732" i="2"/>
  <c r="G5732" i="2" s="1"/>
  <c r="I5731" i="2"/>
  <c r="D5731" i="2"/>
  <c r="I5730" i="2"/>
  <c r="D5730" i="2"/>
  <c r="G5730" i="2" s="1"/>
  <c r="I5729" i="2"/>
  <c r="D5729" i="2"/>
  <c r="H5729" i="2" s="1"/>
  <c r="I5728" i="2"/>
  <c r="D5728" i="2"/>
  <c r="I5727" i="2"/>
  <c r="D5727" i="2"/>
  <c r="F5727" i="2" s="1"/>
  <c r="I5726" i="2"/>
  <c r="D5726" i="2"/>
  <c r="I5725" i="2"/>
  <c r="D5725" i="2"/>
  <c r="H5725" i="2" s="1"/>
  <c r="I5724" i="2"/>
  <c r="D5724" i="2"/>
  <c r="I5723" i="2"/>
  <c r="D5723" i="2"/>
  <c r="H5723" i="2" s="1"/>
  <c r="I5722" i="2"/>
  <c r="D5722" i="2"/>
  <c r="I5721" i="2"/>
  <c r="D5721" i="2"/>
  <c r="I5720" i="2"/>
  <c r="D5720" i="2"/>
  <c r="I5719" i="2"/>
  <c r="D5719" i="2"/>
  <c r="F5719" i="2" s="1"/>
  <c r="I5718" i="2"/>
  <c r="D5718" i="2"/>
  <c r="H5718" i="2" s="1"/>
  <c r="I5717" i="2"/>
  <c r="D5717" i="2"/>
  <c r="G5717" i="2" s="1"/>
  <c r="I5716" i="2"/>
  <c r="D5716" i="2"/>
  <c r="I5715" i="2"/>
  <c r="D5715" i="2"/>
  <c r="I5714" i="2"/>
  <c r="D5714" i="2"/>
  <c r="I5713" i="2"/>
  <c r="D5713" i="2"/>
  <c r="G5713" i="2" s="1"/>
  <c r="I5712" i="2"/>
  <c r="D5712" i="2"/>
  <c r="G5712" i="2" s="1"/>
  <c r="I5711" i="2"/>
  <c r="D5711" i="2"/>
  <c r="F5711" i="2" s="1"/>
  <c r="I5710" i="2"/>
  <c r="D5710" i="2"/>
  <c r="I5709" i="2"/>
  <c r="D5709" i="2"/>
  <c r="I5708" i="2"/>
  <c r="D5708" i="2"/>
  <c r="I5707" i="2"/>
  <c r="D5707" i="2"/>
  <c r="I5706" i="2"/>
  <c r="D5706" i="2"/>
  <c r="G5706" i="2" s="1"/>
  <c r="I5705" i="2"/>
  <c r="D5705" i="2"/>
  <c r="G5705" i="2" s="1"/>
  <c r="I5704" i="2"/>
  <c r="D5704" i="2"/>
  <c r="I5703" i="2"/>
  <c r="D5703" i="2"/>
  <c r="I5702" i="2"/>
  <c r="D5702" i="2"/>
  <c r="I5701" i="2"/>
  <c r="D5701" i="2"/>
  <c r="I5700" i="2"/>
  <c r="D5700" i="2"/>
  <c r="H5700" i="2" s="1"/>
  <c r="I5699" i="2"/>
  <c r="D5699" i="2"/>
  <c r="H5699" i="2" s="1"/>
  <c r="I5698" i="2"/>
  <c r="D5698" i="2"/>
  <c r="H5698" i="2" s="1"/>
  <c r="I5697" i="2"/>
  <c r="D5697" i="2"/>
  <c r="H5697" i="2" s="1"/>
  <c r="I5696" i="2"/>
  <c r="D5696" i="2"/>
  <c r="G5696" i="2" s="1"/>
  <c r="I5695" i="2"/>
  <c r="D5695" i="2"/>
  <c r="I5694" i="2"/>
  <c r="D5694" i="2"/>
  <c r="G5694" i="2" s="1"/>
  <c r="I5693" i="2"/>
  <c r="D5693" i="2"/>
  <c r="I5692" i="2"/>
  <c r="D5692" i="2"/>
  <c r="H5692" i="2" s="1"/>
  <c r="I5691" i="2"/>
  <c r="D5691" i="2"/>
  <c r="G5691" i="2" s="1"/>
  <c r="I5690" i="2"/>
  <c r="D5690" i="2"/>
  <c r="G5690" i="2" s="1"/>
  <c r="I5689" i="2"/>
  <c r="D5689" i="2"/>
  <c r="F5689" i="2" s="1"/>
  <c r="I5688" i="2"/>
  <c r="D5688" i="2"/>
  <c r="H5688" i="2" s="1"/>
  <c r="I5687" i="2"/>
  <c r="D5687" i="2"/>
  <c r="F5687" i="2" s="1"/>
  <c r="I5686" i="2"/>
  <c r="D5686" i="2"/>
  <c r="I5685" i="2"/>
  <c r="D5685" i="2"/>
  <c r="H5685" i="2" s="1"/>
  <c r="I5684" i="2"/>
  <c r="D5684" i="2"/>
  <c r="I5683" i="2"/>
  <c r="D5683" i="2"/>
  <c r="I5682" i="2"/>
  <c r="D5682" i="2"/>
  <c r="G5682" i="2" s="1"/>
  <c r="I5681" i="2"/>
  <c r="D5681" i="2"/>
  <c r="I5680" i="2"/>
  <c r="D5680" i="2"/>
  <c r="H5680" i="2" s="1"/>
  <c r="I5679" i="2"/>
  <c r="D5679" i="2"/>
  <c r="I5678" i="2"/>
  <c r="D5678" i="2"/>
  <c r="I5677" i="2"/>
  <c r="D5677" i="2"/>
  <c r="H5677" i="2" s="1"/>
  <c r="I5676" i="2"/>
  <c r="D5676" i="2"/>
  <c r="I5675" i="2"/>
  <c r="D5675" i="2"/>
  <c r="G5675" i="2" s="1"/>
  <c r="I5674" i="2"/>
  <c r="D5674" i="2"/>
  <c r="G5674" i="2" s="1"/>
  <c r="I5673" i="2"/>
  <c r="D5673" i="2"/>
  <c r="H5673" i="2" s="1"/>
  <c r="I5672" i="2"/>
  <c r="D5672" i="2"/>
  <c r="F5672" i="2" s="1"/>
  <c r="I5671" i="2"/>
  <c r="D5671" i="2"/>
  <c r="I5670" i="2"/>
  <c r="D5670" i="2"/>
  <c r="H5670" i="2" s="1"/>
  <c r="I5669" i="2"/>
  <c r="D5669" i="2"/>
  <c r="I5668" i="2"/>
  <c r="D5668" i="2"/>
  <c r="I5667" i="2"/>
  <c r="D5667" i="2"/>
  <c r="I5666" i="2"/>
  <c r="D5666" i="2"/>
  <c r="G5666" i="2" s="1"/>
  <c r="I5665" i="2"/>
  <c r="D5665" i="2"/>
  <c r="F5665" i="2" s="1"/>
  <c r="I5664" i="2"/>
  <c r="D5664" i="2"/>
  <c r="I5663" i="2"/>
  <c r="D5663" i="2"/>
  <c r="I5662" i="2"/>
  <c r="D5662" i="2"/>
  <c r="I5661" i="2"/>
  <c r="D5661" i="2"/>
  <c r="H5661" i="2" s="1"/>
  <c r="I5660" i="2"/>
  <c r="D5660" i="2"/>
  <c r="H5660" i="2" s="1"/>
  <c r="I5659" i="2"/>
  <c r="D5659" i="2"/>
  <c r="H5659" i="2" s="1"/>
  <c r="I5658" i="2"/>
  <c r="D5658" i="2"/>
  <c r="G5658" i="2" s="1"/>
  <c r="I5657" i="2"/>
  <c r="D5657" i="2"/>
  <c r="I5656" i="2"/>
  <c r="D5656" i="2"/>
  <c r="G5656" i="2" s="1"/>
  <c r="I5655" i="2"/>
  <c r="D5655" i="2"/>
  <c r="I5654" i="2"/>
  <c r="D5654" i="2"/>
  <c r="I5653" i="2"/>
  <c r="D5653" i="2"/>
  <c r="I5652" i="2"/>
  <c r="D5652" i="2"/>
  <c r="G5652" i="2" s="1"/>
  <c r="I5651" i="2"/>
  <c r="D5651" i="2"/>
  <c r="G5651" i="2" s="1"/>
  <c r="I5650" i="2"/>
  <c r="D5650" i="2"/>
  <c r="I5649" i="2"/>
  <c r="D5649" i="2"/>
  <c r="G5649" i="2" s="1"/>
  <c r="I5648" i="2"/>
  <c r="D5648" i="2"/>
  <c r="H5648" i="2" s="1"/>
  <c r="I5647" i="2"/>
  <c r="D5647" i="2"/>
  <c r="I5646" i="2"/>
  <c r="D5646" i="2"/>
  <c r="H5646" i="2" s="1"/>
  <c r="I5645" i="2"/>
  <c r="D5645" i="2"/>
  <c r="I5644" i="2"/>
  <c r="D5644" i="2"/>
  <c r="H5644" i="2" s="1"/>
  <c r="I5643" i="2"/>
  <c r="D5643" i="2"/>
  <c r="H5643" i="2" s="1"/>
  <c r="I5642" i="2"/>
  <c r="D5642" i="2"/>
  <c r="G5642" i="2" s="1"/>
  <c r="I5641" i="2"/>
  <c r="D5641" i="2"/>
  <c r="I5640" i="2"/>
  <c r="D5640" i="2"/>
  <c r="G5640" i="2" s="1"/>
  <c r="I5639" i="2"/>
  <c r="D5639" i="2"/>
  <c r="F5639" i="2" s="1"/>
  <c r="I5638" i="2"/>
  <c r="D5638" i="2"/>
  <c r="I5637" i="2"/>
  <c r="D5637" i="2"/>
  <c r="H5637" i="2" s="1"/>
  <c r="I5636" i="2"/>
  <c r="D5636" i="2"/>
  <c r="F5636" i="2" s="1"/>
  <c r="I5635" i="2"/>
  <c r="D5635" i="2"/>
  <c r="F5635" i="2" s="1"/>
  <c r="I5634" i="2"/>
  <c r="D5634" i="2"/>
  <c r="G5634" i="2" s="1"/>
  <c r="I5633" i="2"/>
  <c r="D5633" i="2"/>
  <c r="I5632" i="2"/>
  <c r="D5632" i="2"/>
  <c r="F5632" i="2" s="1"/>
  <c r="I5631" i="2"/>
  <c r="D5631" i="2"/>
  <c r="H5631" i="2" s="1"/>
  <c r="I5630" i="2"/>
  <c r="D5630" i="2"/>
  <c r="I5629" i="2"/>
  <c r="D5629" i="2"/>
  <c r="I5628" i="2"/>
  <c r="D5628" i="2"/>
  <c r="G5628" i="2" s="1"/>
  <c r="I5627" i="2"/>
  <c r="D5627" i="2"/>
  <c r="G5627" i="2" s="1"/>
  <c r="I5626" i="2"/>
  <c r="D5626" i="2"/>
  <c r="I5625" i="2"/>
  <c r="D5625" i="2"/>
  <c r="H5625" i="2" s="1"/>
  <c r="I5624" i="2"/>
  <c r="D5624" i="2"/>
  <c r="G5624" i="2" s="1"/>
  <c r="I5623" i="2"/>
  <c r="D5623" i="2"/>
  <c r="I5622" i="2"/>
  <c r="D5622" i="2"/>
  <c r="H5622" i="2" s="1"/>
  <c r="I5621" i="2"/>
  <c r="D5621" i="2"/>
  <c r="I5620" i="2"/>
  <c r="D5620" i="2"/>
  <c r="H5620" i="2" s="1"/>
  <c r="I5619" i="2"/>
  <c r="D5619" i="2"/>
  <c r="F5619" i="2" s="1"/>
  <c r="I5618" i="2"/>
  <c r="D5618" i="2"/>
  <c r="G5618" i="2" s="1"/>
  <c r="I5617" i="2"/>
  <c r="D5617" i="2"/>
  <c r="G5617" i="2" s="1"/>
  <c r="I5616" i="2"/>
  <c r="D5616" i="2"/>
  <c r="I5615" i="2"/>
  <c r="D5615" i="2"/>
  <c r="I5614" i="2"/>
  <c r="D5614" i="2"/>
  <c r="H5614" i="2" s="1"/>
  <c r="I5613" i="2"/>
  <c r="D5613" i="2"/>
  <c r="G5613" i="2" s="1"/>
  <c r="I5612" i="2"/>
  <c r="D5612" i="2"/>
  <c r="H5612" i="2" s="1"/>
  <c r="I5611" i="2"/>
  <c r="D5611" i="2"/>
  <c r="H5611" i="2" s="1"/>
  <c r="I5610" i="2"/>
  <c r="D5610" i="2"/>
  <c r="I5609" i="2"/>
  <c r="D5609" i="2"/>
  <c r="I5608" i="2"/>
  <c r="D5608" i="2"/>
  <c r="I5607" i="2"/>
  <c r="D5607" i="2"/>
  <c r="F5607" i="2" s="1"/>
  <c r="I5606" i="2"/>
  <c r="D5606" i="2"/>
  <c r="I5605" i="2"/>
  <c r="D5605" i="2"/>
  <c r="I5604" i="2"/>
  <c r="D5604" i="2"/>
  <c r="I5603" i="2"/>
  <c r="D5603" i="2"/>
  <c r="I5602" i="2"/>
  <c r="D5602" i="2"/>
  <c r="G5602" i="2" s="1"/>
  <c r="I5601" i="2"/>
  <c r="D5601" i="2"/>
  <c r="I5600" i="2"/>
  <c r="D5600" i="2"/>
  <c r="F5600" i="2" s="1"/>
  <c r="I5599" i="2"/>
  <c r="D5599" i="2"/>
  <c r="I5598" i="2"/>
  <c r="D5598" i="2"/>
  <c r="G5598" i="2" s="1"/>
  <c r="I5597" i="2"/>
  <c r="D5597" i="2"/>
  <c r="I5596" i="2"/>
  <c r="D5596" i="2"/>
  <c r="H5596" i="2" s="1"/>
  <c r="I5595" i="2"/>
  <c r="D5595" i="2"/>
  <c r="H5595" i="2" s="1"/>
  <c r="I5594" i="2"/>
  <c r="D5594" i="2"/>
  <c r="I5593" i="2"/>
  <c r="D5593" i="2"/>
  <c r="F5593" i="2" s="1"/>
  <c r="I5592" i="2"/>
  <c r="D5592" i="2"/>
  <c r="F5592" i="2" s="1"/>
  <c r="I5591" i="2"/>
  <c r="D5591" i="2"/>
  <c r="I5590" i="2"/>
  <c r="D5590" i="2"/>
  <c r="F5590" i="2" s="1"/>
  <c r="I5589" i="2"/>
  <c r="D5589" i="2"/>
  <c r="H5589" i="2" s="1"/>
  <c r="I5588" i="2"/>
  <c r="D5588" i="2"/>
  <c r="I5587" i="2"/>
  <c r="D5587" i="2"/>
  <c r="H5587" i="2" s="1"/>
  <c r="I5586" i="2"/>
  <c r="D5586" i="2"/>
  <c r="I5585" i="2"/>
  <c r="D5585" i="2"/>
  <c r="I5584" i="2"/>
  <c r="D5584" i="2"/>
  <c r="G5584" i="2" s="1"/>
  <c r="I5583" i="2"/>
  <c r="D5583" i="2"/>
  <c r="I5582" i="2"/>
  <c r="D5582" i="2"/>
  <c r="H5582" i="2" s="1"/>
  <c r="I5581" i="2"/>
  <c r="D5581" i="2"/>
  <c r="G5581" i="2" s="1"/>
  <c r="I5580" i="2"/>
  <c r="D5580" i="2"/>
  <c r="I5579" i="2"/>
  <c r="D5579" i="2"/>
  <c r="I5578" i="2"/>
  <c r="D5578" i="2"/>
  <c r="I5577" i="2"/>
  <c r="D5577" i="2"/>
  <c r="G5577" i="2" s="1"/>
  <c r="I5576" i="2"/>
  <c r="D5576" i="2"/>
  <c r="G5576" i="2" s="1"/>
  <c r="I5575" i="2"/>
  <c r="D5575" i="2"/>
  <c r="F5575" i="2" s="1"/>
  <c r="I5574" i="2"/>
  <c r="D5574" i="2"/>
  <c r="I5573" i="2"/>
  <c r="D5573" i="2"/>
  <c r="H5573" i="2" s="1"/>
  <c r="I5572" i="2"/>
  <c r="D5572" i="2"/>
  <c r="I5571" i="2"/>
  <c r="D5571" i="2"/>
  <c r="I5570" i="2"/>
  <c r="D5570" i="2"/>
  <c r="G5570" i="2" s="1"/>
  <c r="I5569" i="2"/>
  <c r="D5569" i="2"/>
  <c r="I5568" i="2"/>
  <c r="D5568" i="2"/>
  <c r="H5568" i="2" s="1"/>
  <c r="I5567" i="2"/>
  <c r="D5567" i="2"/>
  <c r="I5566" i="2"/>
  <c r="D5566" i="2"/>
  <c r="I5565" i="2"/>
  <c r="D5565" i="2"/>
  <c r="H5565" i="2" s="1"/>
  <c r="I5564" i="2"/>
  <c r="D5564" i="2"/>
  <c r="H5564" i="2" s="1"/>
  <c r="I5563" i="2"/>
  <c r="D5563" i="2"/>
  <c r="H5563" i="2" s="1"/>
  <c r="I5562" i="2"/>
  <c r="D5562" i="2"/>
  <c r="I5561" i="2"/>
  <c r="D5561" i="2"/>
  <c r="H5561" i="2" s="1"/>
  <c r="I5560" i="2"/>
  <c r="D5560" i="2"/>
  <c r="I5559" i="2"/>
  <c r="D5559" i="2"/>
  <c r="I5558" i="2"/>
  <c r="D5558" i="2"/>
  <c r="I5557" i="2"/>
  <c r="D5557" i="2"/>
  <c r="H5557" i="2" s="1"/>
  <c r="I5556" i="2"/>
  <c r="D5556" i="2"/>
  <c r="F5556" i="2" s="1"/>
  <c r="I5555" i="2"/>
  <c r="D5555" i="2"/>
  <c r="G5555" i="2" s="1"/>
  <c r="I5554" i="2"/>
  <c r="D5554" i="2"/>
  <c r="G5554" i="2" s="1"/>
  <c r="I5553" i="2"/>
  <c r="D5553" i="2"/>
  <c r="I5552" i="2"/>
  <c r="D5552" i="2"/>
  <c r="I5551" i="2"/>
  <c r="D5551" i="2"/>
  <c r="F5551" i="2" s="1"/>
  <c r="I5550" i="2"/>
  <c r="D5550" i="2"/>
  <c r="H5550" i="2" s="1"/>
  <c r="I5549" i="2"/>
  <c r="D5549" i="2"/>
  <c r="H5549" i="2" s="1"/>
  <c r="I5548" i="2"/>
  <c r="D5548" i="2"/>
  <c r="I5547" i="2"/>
  <c r="D5547" i="2"/>
  <c r="I5546" i="2"/>
  <c r="D5546" i="2"/>
  <c r="G5546" i="2" s="1"/>
  <c r="I5545" i="2"/>
  <c r="D5545" i="2"/>
  <c r="G5545" i="2" s="1"/>
  <c r="I5544" i="2"/>
  <c r="D5544" i="2"/>
  <c r="H5544" i="2" s="1"/>
  <c r="I5543" i="2"/>
  <c r="D5543" i="2"/>
  <c r="I5542" i="2"/>
  <c r="D5542" i="2"/>
  <c r="I5541" i="2"/>
  <c r="D5541" i="2"/>
  <c r="I5540" i="2"/>
  <c r="D5540" i="2"/>
  <c r="I5539" i="2"/>
  <c r="D5539" i="2"/>
  <c r="G5539" i="2" s="1"/>
  <c r="I5538" i="2"/>
  <c r="D5538" i="2"/>
  <c r="I5537" i="2"/>
  <c r="D5537" i="2"/>
  <c r="H5537" i="2" s="1"/>
  <c r="I5536" i="2"/>
  <c r="D5536" i="2"/>
  <c r="I5535" i="2"/>
  <c r="D5535" i="2"/>
  <c r="I5534" i="2"/>
  <c r="D5534" i="2"/>
  <c r="F5534" i="2" s="1"/>
  <c r="I5533" i="2"/>
  <c r="D5533" i="2"/>
  <c r="I5532" i="2"/>
  <c r="D5532" i="2"/>
  <c r="G5532" i="2" s="1"/>
  <c r="I5531" i="2"/>
  <c r="D5531" i="2"/>
  <c r="H5531" i="2" s="1"/>
  <c r="I5530" i="2"/>
  <c r="D5530" i="2"/>
  <c r="G5530" i="2" s="1"/>
  <c r="I5529" i="2"/>
  <c r="D5529" i="2"/>
  <c r="I5528" i="2"/>
  <c r="D5528" i="2"/>
  <c r="F5528" i="2" s="1"/>
  <c r="I5527" i="2"/>
  <c r="D5527" i="2"/>
  <c r="I5526" i="2"/>
  <c r="D5526" i="2"/>
  <c r="G5526" i="2" s="1"/>
  <c r="I5525" i="2"/>
  <c r="D5525" i="2"/>
  <c r="H5525" i="2" s="1"/>
  <c r="I5524" i="2"/>
  <c r="D5524" i="2"/>
  <c r="I5523" i="2"/>
  <c r="D5523" i="2"/>
  <c r="I5522" i="2"/>
  <c r="D5522" i="2"/>
  <c r="H5522" i="2" s="1"/>
  <c r="I5521" i="2"/>
  <c r="D5521" i="2"/>
  <c r="F5521" i="2" s="1"/>
  <c r="I5520" i="2"/>
  <c r="D5520" i="2"/>
  <c r="G5520" i="2" s="1"/>
  <c r="I5519" i="2"/>
  <c r="D5519" i="2"/>
  <c r="I5518" i="2"/>
  <c r="D5518" i="2"/>
  <c r="H5518" i="2" s="1"/>
  <c r="I5517" i="2"/>
  <c r="D5517" i="2"/>
  <c r="I5516" i="2"/>
  <c r="D5516" i="2"/>
  <c r="F5516" i="2" s="1"/>
  <c r="I5515" i="2"/>
  <c r="D5515" i="2"/>
  <c r="G5515" i="2" s="1"/>
  <c r="I5514" i="2"/>
  <c r="D5514" i="2"/>
  <c r="I5513" i="2"/>
  <c r="D5513" i="2"/>
  <c r="G5513" i="2" s="1"/>
  <c r="I5512" i="2"/>
  <c r="D5512" i="2"/>
  <c r="I5511" i="2"/>
  <c r="D5511" i="2"/>
  <c r="F5511" i="2" s="1"/>
  <c r="I5510" i="2"/>
  <c r="D5510" i="2"/>
  <c r="I5509" i="2"/>
  <c r="D5509" i="2"/>
  <c r="I5508" i="2"/>
  <c r="D5508" i="2"/>
  <c r="G5508" i="2" s="1"/>
  <c r="I5507" i="2"/>
  <c r="D5507" i="2"/>
  <c r="I5506" i="2"/>
  <c r="D5506" i="2"/>
  <c r="G5506" i="2" s="1"/>
  <c r="I5505" i="2"/>
  <c r="D5505" i="2"/>
  <c r="G5505" i="2" s="1"/>
  <c r="I5504" i="2"/>
  <c r="D5504" i="2"/>
  <c r="I5503" i="2"/>
  <c r="D5503" i="2"/>
  <c r="F5503" i="2" s="1"/>
  <c r="I5502" i="2"/>
  <c r="D5502" i="2"/>
  <c r="I5501" i="2"/>
  <c r="D5501" i="2"/>
  <c r="H5501" i="2" s="1"/>
  <c r="I5500" i="2"/>
  <c r="D5500" i="2"/>
  <c r="G5500" i="2" s="1"/>
  <c r="I5499" i="2"/>
  <c r="D5499" i="2"/>
  <c r="H5499" i="2" s="1"/>
  <c r="I5498" i="2"/>
  <c r="D5498" i="2"/>
  <c r="G5498" i="2" s="1"/>
  <c r="I5497" i="2"/>
  <c r="D5497" i="2"/>
  <c r="I5496" i="2"/>
  <c r="D5496" i="2"/>
  <c r="H5496" i="2" s="1"/>
  <c r="I5495" i="2"/>
  <c r="D5495" i="2"/>
  <c r="I5494" i="2"/>
  <c r="D5494" i="2"/>
  <c r="I5493" i="2"/>
  <c r="D5493" i="2"/>
  <c r="H5493" i="2" s="1"/>
  <c r="I5492" i="2"/>
  <c r="D5492" i="2"/>
  <c r="I5491" i="2"/>
  <c r="D5491" i="2"/>
  <c r="G5491" i="2" s="1"/>
  <c r="I5490" i="2"/>
  <c r="D5490" i="2"/>
  <c r="I5489" i="2"/>
  <c r="D5489" i="2"/>
  <c r="I5488" i="2"/>
  <c r="D5488" i="2"/>
  <c r="I5487" i="2"/>
  <c r="D5487" i="2"/>
  <c r="F5487" i="2" s="1"/>
  <c r="I5486" i="2"/>
  <c r="D5486" i="2"/>
  <c r="F5486" i="2" s="1"/>
  <c r="I5485" i="2"/>
  <c r="D5485" i="2"/>
  <c r="H5485" i="2" s="1"/>
  <c r="I5484" i="2"/>
  <c r="D5484" i="2"/>
  <c r="H5484" i="2" s="1"/>
  <c r="I5483" i="2"/>
  <c r="D5483" i="2"/>
  <c r="I5482" i="2"/>
  <c r="D5482" i="2"/>
  <c r="I5481" i="2"/>
  <c r="D5481" i="2"/>
  <c r="I5480" i="2"/>
  <c r="D5480" i="2"/>
  <c r="H5480" i="2" s="1"/>
  <c r="I5479" i="2"/>
  <c r="D5479" i="2"/>
  <c r="I5478" i="2"/>
  <c r="D5478" i="2"/>
  <c r="I5477" i="2"/>
  <c r="D5477" i="2"/>
  <c r="I5476" i="2"/>
  <c r="D5476" i="2"/>
  <c r="I5475" i="2"/>
  <c r="D5475" i="2"/>
  <c r="H5475" i="2" s="1"/>
  <c r="I5474" i="2"/>
  <c r="D5474" i="2"/>
  <c r="G5474" i="2" s="1"/>
  <c r="I5473" i="2"/>
  <c r="D5473" i="2"/>
  <c r="I5472" i="2"/>
  <c r="D5472" i="2"/>
  <c r="I5471" i="2"/>
  <c r="D5471" i="2"/>
  <c r="G5471" i="2" s="1"/>
  <c r="I5470" i="2"/>
  <c r="D5470" i="2"/>
  <c r="I5469" i="2"/>
  <c r="D5469" i="2"/>
  <c r="F5469" i="2" s="1"/>
  <c r="I5468" i="2"/>
  <c r="D5468" i="2"/>
  <c r="H5468" i="2" s="1"/>
  <c r="I5467" i="2"/>
  <c r="D5467" i="2"/>
  <c r="H5467" i="2" s="1"/>
  <c r="I5466" i="2"/>
  <c r="D5466" i="2"/>
  <c r="G5466" i="2" s="1"/>
  <c r="I5465" i="2"/>
  <c r="D5465" i="2"/>
  <c r="I5464" i="2"/>
  <c r="D5464" i="2"/>
  <c r="F5464" i="2" s="1"/>
  <c r="I5463" i="2"/>
  <c r="D5463" i="2"/>
  <c r="I5462" i="2"/>
  <c r="D5462" i="2"/>
  <c r="I5461" i="2"/>
  <c r="D5461" i="2"/>
  <c r="I5460" i="2"/>
  <c r="D5460" i="2"/>
  <c r="I5459" i="2"/>
  <c r="D5459" i="2"/>
  <c r="I5458" i="2"/>
  <c r="D5458" i="2"/>
  <c r="I5457" i="2"/>
  <c r="D5457" i="2"/>
  <c r="F5457" i="2" s="1"/>
  <c r="I5456" i="2"/>
  <c r="D5456" i="2"/>
  <c r="H5456" i="2" s="1"/>
  <c r="I5455" i="2"/>
  <c r="D5455" i="2"/>
  <c r="G5455" i="2" s="1"/>
  <c r="I5454" i="2"/>
  <c r="D5454" i="2"/>
  <c r="I5453" i="2"/>
  <c r="D5453" i="2"/>
  <c r="I5452" i="2"/>
  <c r="D5452" i="2"/>
  <c r="I5451" i="2"/>
  <c r="D5451" i="2"/>
  <c r="I5450" i="2"/>
  <c r="D5450" i="2"/>
  <c r="G5450" i="2" s="1"/>
  <c r="I5449" i="2"/>
  <c r="D5449" i="2"/>
  <c r="I5448" i="2"/>
  <c r="D5448" i="2"/>
  <c r="I5447" i="2"/>
  <c r="D5447" i="2"/>
  <c r="H5447" i="2" s="1"/>
  <c r="I5446" i="2"/>
  <c r="D5446" i="2"/>
  <c r="I5445" i="2"/>
  <c r="D5445" i="2"/>
  <c r="I5444" i="2"/>
  <c r="D5444" i="2"/>
  <c r="I5443" i="2"/>
  <c r="D5443" i="2"/>
  <c r="I5442" i="2"/>
  <c r="D5442" i="2"/>
  <c r="I5441" i="2"/>
  <c r="D5441" i="2"/>
  <c r="I5440" i="2"/>
  <c r="D5440" i="2"/>
  <c r="I5439" i="2"/>
  <c r="D5439" i="2"/>
  <c r="I5438" i="2"/>
  <c r="D5438" i="2"/>
  <c r="I5437" i="2"/>
  <c r="D5437" i="2"/>
  <c r="H5437" i="2" s="1"/>
  <c r="I5436" i="2"/>
  <c r="D5436" i="2"/>
  <c r="H5436" i="2" s="1"/>
  <c r="I5435" i="2"/>
  <c r="D5435" i="2"/>
  <c r="I5434" i="2"/>
  <c r="D5434" i="2"/>
  <c r="F5434" i="2" s="1"/>
  <c r="I5433" i="2"/>
  <c r="D5433" i="2"/>
  <c r="I5432" i="2"/>
  <c r="D5432" i="2"/>
  <c r="H5432" i="2" s="1"/>
  <c r="I5431" i="2"/>
  <c r="D5431" i="2"/>
  <c r="F5431" i="2" s="1"/>
  <c r="I5430" i="2"/>
  <c r="D5430" i="2"/>
  <c r="I5429" i="2"/>
  <c r="D5429" i="2"/>
  <c r="I5428" i="2"/>
  <c r="D5428" i="2"/>
  <c r="H5428" i="2" s="1"/>
  <c r="I5427" i="2"/>
  <c r="D5427" i="2"/>
  <c r="I5426" i="2"/>
  <c r="D5426" i="2"/>
  <c r="I5425" i="2"/>
  <c r="D5425" i="2"/>
  <c r="F5425" i="2" s="1"/>
  <c r="I5424" i="2"/>
  <c r="D5424" i="2"/>
  <c r="I5423" i="2"/>
  <c r="D5423" i="2"/>
  <c r="H5423" i="2" s="1"/>
  <c r="I5422" i="2"/>
  <c r="D5422" i="2"/>
  <c r="I5421" i="2"/>
  <c r="D5421" i="2"/>
  <c r="I5420" i="2"/>
  <c r="D5420" i="2"/>
  <c r="I5419" i="2"/>
  <c r="D5419" i="2"/>
  <c r="H5419" i="2" s="1"/>
  <c r="I5418" i="2"/>
  <c r="D5418" i="2"/>
  <c r="F5418" i="2" s="1"/>
  <c r="I5417" i="2"/>
  <c r="D5417" i="2"/>
  <c r="I5416" i="2"/>
  <c r="D5416" i="2"/>
  <c r="I5415" i="2"/>
  <c r="D5415" i="2"/>
  <c r="I5414" i="2"/>
  <c r="D5414" i="2"/>
  <c r="I5413" i="2"/>
  <c r="D5413" i="2"/>
  <c r="I5412" i="2"/>
  <c r="D5412" i="2"/>
  <c r="I5411" i="2"/>
  <c r="D5411" i="2"/>
  <c r="I5410" i="2"/>
  <c r="D5410" i="2"/>
  <c r="H5410" i="2" s="1"/>
  <c r="I5409" i="2"/>
  <c r="D5409" i="2"/>
  <c r="F5409" i="2" s="1"/>
  <c r="I5408" i="2"/>
  <c r="D5408" i="2"/>
  <c r="I5407" i="2"/>
  <c r="D5407" i="2"/>
  <c r="I5406" i="2"/>
  <c r="D5406" i="2"/>
  <c r="H5406" i="2" s="1"/>
  <c r="I5405" i="2"/>
  <c r="D5405" i="2"/>
  <c r="I5404" i="2"/>
  <c r="D5404" i="2"/>
  <c r="I5403" i="2"/>
  <c r="D5403" i="2"/>
  <c r="I5402" i="2"/>
  <c r="D5402" i="2"/>
  <c r="H5402" i="2" s="1"/>
  <c r="I5401" i="2"/>
  <c r="D5401" i="2"/>
  <c r="I5400" i="2"/>
  <c r="D5400" i="2"/>
  <c r="G5400" i="2" s="1"/>
  <c r="I5399" i="2"/>
  <c r="D5399" i="2"/>
  <c r="F5399" i="2" s="1"/>
  <c r="I5398" i="2"/>
  <c r="D5398" i="2"/>
  <c r="H5398" i="2" s="1"/>
  <c r="I5397" i="2"/>
  <c r="D5397" i="2"/>
  <c r="I5396" i="2"/>
  <c r="D5396" i="2"/>
  <c r="I5395" i="2"/>
  <c r="D5395" i="2"/>
  <c r="H5395" i="2" s="1"/>
  <c r="I5394" i="2"/>
  <c r="D5394" i="2"/>
  <c r="H5394" i="2" s="1"/>
  <c r="I5393" i="2"/>
  <c r="D5393" i="2"/>
  <c r="I5392" i="2"/>
  <c r="D5392" i="2"/>
  <c r="G5392" i="2" s="1"/>
  <c r="I5391" i="2"/>
  <c r="D5391" i="2"/>
  <c r="F5391" i="2" s="1"/>
  <c r="I5390" i="2"/>
  <c r="D5390" i="2"/>
  <c r="I5389" i="2"/>
  <c r="D5389" i="2"/>
  <c r="I5388" i="2"/>
  <c r="D5388" i="2"/>
  <c r="H5388" i="2" s="1"/>
  <c r="I5387" i="2"/>
  <c r="D5387" i="2"/>
  <c r="I5386" i="2"/>
  <c r="D5386" i="2"/>
  <c r="H5386" i="2" s="1"/>
  <c r="I5385" i="2"/>
  <c r="D5385" i="2"/>
  <c r="I5384" i="2"/>
  <c r="D5384" i="2"/>
  <c r="G5384" i="2" s="1"/>
  <c r="I5383" i="2"/>
  <c r="D5383" i="2"/>
  <c r="I5382" i="2"/>
  <c r="D5382" i="2"/>
  <c r="H5382" i="2" s="1"/>
  <c r="I5381" i="2"/>
  <c r="D5381" i="2"/>
  <c r="F5381" i="2" s="1"/>
  <c r="I5380" i="2"/>
  <c r="D5380" i="2"/>
  <c r="I5379" i="2"/>
  <c r="D5379" i="2"/>
  <c r="I5378" i="2"/>
  <c r="D5378" i="2"/>
  <c r="I5377" i="2"/>
  <c r="D5377" i="2"/>
  <c r="F5377" i="2" s="1"/>
  <c r="I5376" i="2"/>
  <c r="D5376" i="2"/>
  <c r="G5376" i="2" s="1"/>
  <c r="I5375" i="2"/>
  <c r="D5375" i="2"/>
  <c r="I5374" i="2"/>
  <c r="D5374" i="2"/>
  <c r="G5374" i="2" s="1"/>
  <c r="I5373" i="2"/>
  <c r="D5373" i="2"/>
  <c r="I5372" i="2"/>
  <c r="D5372" i="2"/>
  <c r="H5372" i="2" s="1"/>
  <c r="I5371" i="2"/>
  <c r="D5371" i="2"/>
  <c r="I5370" i="2"/>
  <c r="D5370" i="2"/>
  <c r="H5370" i="2" s="1"/>
  <c r="I5369" i="2"/>
  <c r="D5369" i="2"/>
  <c r="I5368" i="2"/>
  <c r="D5368" i="2"/>
  <c r="G5368" i="2" s="1"/>
  <c r="I5367" i="2"/>
  <c r="D5367" i="2"/>
  <c r="I5366" i="2"/>
  <c r="D5366" i="2"/>
  <c r="I5365" i="2"/>
  <c r="D5365" i="2"/>
  <c r="I5364" i="2"/>
  <c r="D5364" i="2"/>
  <c r="I5363" i="2"/>
  <c r="D5363" i="2"/>
  <c r="H5363" i="2" s="1"/>
  <c r="I5362" i="2"/>
  <c r="D5362" i="2"/>
  <c r="H5362" i="2" s="1"/>
  <c r="I5361" i="2"/>
  <c r="D5361" i="2"/>
  <c r="F5361" i="2" s="1"/>
  <c r="I5360" i="2"/>
  <c r="D5360" i="2"/>
  <c r="I5359" i="2"/>
  <c r="D5359" i="2"/>
  <c r="I5358" i="2"/>
  <c r="D5358" i="2"/>
  <c r="I5357" i="2"/>
  <c r="D5357" i="2"/>
  <c r="F5357" i="2" s="1"/>
  <c r="I5356" i="2"/>
  <c r="D5356" i="2"/>
  <c r="F5356" i="2" s="1"/>
  <c r="I5355" i="2"/>
  <c r="D5355" i="2"/>
  <c r="H5355" i="2" s="1"/>
  <c r="I5354" i="2"/>
  <c r="D5354" i="2"/>
  <c r="G5354" i="2" s="1"/>
  <c r="I5353" i="2"/>
  <c r="D5353" i="2"/>
  <c r="I5352" i="2"/>
  <c r="D5352" i="2"/>
  <c r="I5351" i="2"/>
  <c r="D5351" i="2"/>
  <c r="I5350" i="2"/>
  <c r="D5350" i="2"/>
  <c r="F5350" i="2" s="1"/>
  <c r="I5349" i="2"/>
  <c r="D5349" i="2"/>
  <c r="I5348" i="2"/>
  <c r="D5348" i="2"/>
  <c r="H5348" i="2" s="1"/>
  <c r="I5347" i="2"/>
  <c r="D5347" i="2"/>
  <c r="H5347" i="2" s="1"/>
  <c r="I5346" i="2"/>
  <c r="D5346" i="2"/>
  <c r="I5345" i="2"/>
  <c r="D5345" i="2"/>
  <c r="H5345" i="2" s="1"/>
  <c r="I5344" i="2"/>
  <c r="D5344" i="2"/>
  <c r="G5344" i="2" s="1"/>
  <c r="I5343" i="2"/>
  <c r="D5343" i="2"/>
  <c r="F5343" i="2" s="1"/>
  <c r="I5342" i="2"/>
  <c r="D5342" i="2"/>
  <c r="I5341" i="2"/>
  <c r="D5341" i="2"/>
  <c r="I5340" i="2"/>
  <c r="D5340" i="2"/>
  <c r="F5340" i="2" s="1"/>
  <c r="I5339" i="2"/>
  <c r="D5339" i="2"/>
  <c r="I5338" i="2"/>
  <c r="D5338" i="2"/>
  <c r="H5338" i="2" s="1"/>
  <c r="I5337" i="2"/>
  <c r="D5337" i="2"/>
  <c r="F5337" i="2" s="1"/>
  <c r="I5336" i="2"/>
  <c r="D5336" i="2"/>
  <c r="I5335" i="2"/>
  <c r="D5335" i="2"/>
  <c r="H5335" i="2" s="1"/>
  <c r="I5334" i="2"/>
  <c r="D5334" i="2"/>
  <c r="H5334" i="2" s="1"/>
  <c r="I5333" i="2"/>
  <c r="D5333" i="2"/>
  <c r="F5333" i="2" s="1"/>
  <c r="I5332" i="2"/>
  <c r="D5332" i="2"/>
  <c r="H5332" i="2" s="1"/>
  <c r="I5331" i="2"/>
  <c r="D5331" i="2"/>
  <c r="F5331" i="2" s="1"/>
  <c r="I5330" i="2"/>
  <c r="D5330" i="2"/>
  <c r="H5330" i="2" s="1"/>
  <c r="I5329" i="2"/>
  <c r="D5329" i="2"/>
  <c r="H5329" i="2" s="1"/>
  <c r="I5328" i="2"/>
  <c r="D5328" i="2"/>
  <c r="I5327" i="2"/>
  <c r="D5327" i="2"/>
  <c r="F5327" i="2" s="1"/>
  <c r="I5326" i="2"/>
  <c r="D5326" i="2"/>
  <c r="I5325" i="2"/>
  <c r="D5325" i="2"/>
  <c r="F5325" i="2" s="1"/>
  <c r="I5324" i="2"/>
  <c r="D5324" i="2"/>
  <c r="F5324" i="2" s="1"/>
  <c r="I5323" i="2"/>
  <c r="D5323" i="2"/>
  <c r="F5323" i="2" s="1"/>
  <c r="I5322" i="2"/>
  <c r="D5322" i="2"/>
  <c r="F5322" i="2" s="1"/>
  <c r="I5321" i="2"/>
  <c r="D5321" i="2"/>
  <c r="G5321" i="2" s="1"/>
  <c r="I5320" i="2"/>
  <c r="D5320" i="2"/>
  <c r="H5320" i="2" s="1"/>
  <c r="I5319" i="2"/>
  <c r="D5319" i="2"/>
  <c r="G5319" i="2" s="1"/>
  <c r="I5318" i="2"/>
  <c r="D5318" i="2"/>
  <c r="F5318" i="2" s="1"/>
  <c r="I5317" i="2"/>
  <c r="D5317" i="2"/>
  <c r="F5317" i="2" s="1"/>
  <c r="I5316" i="2"/>
  <c r="D5316" i="2"/>
  <c r="H5316" i="2" s="1"/>
  <c r="I5315" i="2"/>
  <c r="D5315" i="2"/>
  <c r="I5314" i="2"/>
  <c r="D5314" i="2"/>
  <c r="H5314" i="2" s="1"/>
  <c r="I5313" i="2"/>
  <c r="D5313" i="2"/>
  <c r="I5312" i="2"/>
  <c r="D5312" i="2"/>
  <c r="H5312" i="2" s="1"/>
  <c r="I5311" i="2"/>
  <c r="D5311" i="2"/>
  <c r="I5310" i="2"/>
  <c r="D5310" i="2"/>
  <c r="I5309" i="2"/>
  <c r="D5309" i="2"/>
  <c r="I5308" i="2"/>
  <c r="D5308" i="2"/>
  <c r="I5307" i="2"/>
  <c r="D5307" i="2"/>
  <c r="I5306" i="2"/>
  <c r="D5306" i="2"/>
  <c r="I5305" i="2"/>
  <c r="D5305" i="2"/>
  <c r="H5305" i="2" s="1"/>
  <c r="I5304" i="2"/>
  <c r="D5304" i="2"/>
  <c r="H5304" i="2" s="1"/>
  <c r="I5303" i="2"/>
  <c r="D5303" i="2"/>
  <c r="I5302" i="2"/>
  <c r="D5302" i="2"/>
  <c r="H5302" i="2" s="1"/>
  <c r="I5301" i="2"/>
  <c r="D5301" i="2"/>
  <c r="F5301" i="2" s="1"/>
  <c r="I5300" i="2"/>
  <c r="D5300" i="2"/>
  <c r="I5299" i="2"/>
  <c r="D5299" i="2"/>
  <c r="I5298" i="2"/>
  <c r="D5298" i="2"/>
  <c r="I5297" i="2"/>
  <c r="D5297" i="2"/>
  <c r="H5297" i="2" s="1"/>
  <c r="I5296" i="2"/>
  <c r="D5296" i="2"/>
  <c r="I5295" i="2"/>
  <c r="D5295" i="2"/>
  <c r="I5294" i="2"/>
  <c r="D5294" i="2"/>
  <c r="I5293" i="2"/>
  <c r="D5293" i="2"/>
  <c r="H5293" i="2" s="1"/>
  <c r="I5292" i="2"/>
  <c r="D5292" i="2"/>
  <c r="I5291" i="2"/>
  <c r="D5291" i="2"/>
  <c r="F5291" i="2" s="1"/>
  <c r="I5290" i="2"/>
  <c r="D5290" i="2"/>
  <c r="G5290" i="2" s="1"/>
  <c r="I5289" i="2"/>
  <c r="D5289" i="2"/>
  <c r="G5289" i="2" s="1"/>
  <c r="I5288" i="2"/>
  <c r="D5288" i="2"/>
  <c r="I5287" i="2"/>
  <c r="D5287" i="2"/>
  <c r="G5287" i="2" s="1"/>
  <c r="I5286" i="2"/>
  <c r="D5286" i="2"/>
  <c r="F5286" i="2" s="1"/>
  <c r="I5285" i="2"/>
  <c r="D5285" i="2"/>
  <c r="F5285" i="2" s="1"/>
  <c r="I5284" i="2"/>
  <c r="D5284" i="2"/>
  <c r="F5284" i="2" s="1"/>
  <c r="I5283" i="2"/>
  <c r="D5283" i="2"/>
  <c r="I5282" i="2"/>
  <c r="D5282" i="2"/>
  <c r="H5282" i="2" s="1"/>
  <c r="I5281" i="2"/>
  <c r="D5281" i="2"/>
  <c r="I5280" i="2"/>
  <c r="D5280" i="2"/>
  <c r="I5279" i="2"/>
  <c r="D5279" i="2"/>
  <c r="I5278" i="2"/>
  <c r="D5278" i="2"/>
  <c r="H5278" i="2" s="1"/>
  <c r="I5277" i="2"/>
  <c r="D5277" i="2"/>
  <c r="F5277" i="2" s="1"/>
  <c r="I5276" i="2"/>
  <c r="D5276" i="2"/>
  <c r="I5275" i="2"/>
  <c r="D5275" i="2"/>
  <c r="I5274" i="2"/>
  <c r="D5274" i="2"/>
  <c r="H5274" i="2" s="1"/>
  <c r="I5273" i="2"/>
  <c r="D5273" i="2"/>
  <c r="I5272" i="2"/>
  <c r="D5272" i="2"/>
  <c r="H5272" i="2" s="1"/>
  <c r="I5271" i="2"/>
  <c r="D5271" i="2"/>
  <c r="I5270" i="2"/>
  <c r="D5270" i="2"/>
  <c r="H5270" i="2" s="1"/>
  <c r="I5269" i="2"/>
  <c r="D5269" i="2"/>
  <c r="I5268" i="2"/>
  <c r="D5268" i="2"/>
  <c r="I5267" i="2"/>
  <c r="D5267" i="2"/>
  <c r="I5266" i="2"/>
  <c r="D5266" i="2"/>
  <c r="H5266" i="2" s="1"/>
  <c r="I5265" i="2"/>
  <c r="D5265" i="2"/>
  <c r="F5265" i="2" s="1"/>
  <c r="I5264" i="2"/>
  <c r="D5264" i="2"/>
  <c r="I5263" i="2"/>
  <c r="D5263" i="2"/>
  <c r="H5263" i="2" s="1"/>
  <c r="I5262" i="2"/>
  <c r="D5262" i="2"/>
  <c r="F5262" i="2" s="1"/>
  <c r="I5261" i="2"/>
  <c r="D5261" i="2"/>
  <c r="I5260" i="2"/>
  <c r="D5260" i="2"/>
  <c r="H5260" i="2" s="1"/>
  <c r="I5259" i="2"/>
  <c r="D5259" i="2"/>
  <c r="F5259" i="2" s="1"/>
  <c r="I5258" i="2"/>
  <c r="D5258" i="2"/>
  <c r="I5257" i="2"/>
  <c r="D5257" i="2"/>
  <c r="I5256" i="2"/>
  <c r="D5256" i="2"/>
  <c r="H5256" i="2" s="1"/>
  <c r="I5255" i="2"/>
  <c r="D5255" i="2"/>
  <c r="G5255" i="2" s="1"/>
  <c r="I5254" i="2"/>
  <c r="D5254" i="2"/>
  <c r="I5253" i="2"/>
  <c r="D5253" i="2"/>
  <c r="F5253" i="2" s="1"/>
  <c r="I5252" i="2"/>
  <c r="D5252" i="2"/>
  <c r="I5251" i="2"/>
  <c r="D5251" i="2"/>
  <c r="I5250" i="2"/>
  <c r="D5250" i="2"/>
  <c r="H5250" i="2" s="1"/>
  <c r="I5249" i="2"/>
  <c r="D5249" i="2"/>
  <c r="F5249" i="2" s="1"/>
  <c r="I5248" i="2"/>
  <c r="D5248" i="2"/>
  <c r="H5248" i="2" s="1"/>
  <c r="I5247" i="2"/>
  <c r="D5247" i="2"/>
  <c r="F5247" i="2" s="1"/>
  <c r="I5246" i="2"/>
  <c r="D5246" i="2"/>
  <c r="H5246" i="2" s="1"/>
  <c r="I5245" i="2"/>
  <c r="D5245" i="2"/>
  <c r="I5244" i="2"/>
  <c r="D5244" i="2"/>
  <c r="H5244" i="2" s="1"/>
  <c r="I5243" i="2"/>
  <c r="D5243" i="2"/>
  <c r="F5243" i="2" s="1"/>
  <c r="I5242" i="2"/>
  <c r="D5242" i="2"/>
  <c r="H5242" i="2" s="1"/>
  <c r="I5241" i="2"/>
  <c r="D5241" i="2"/>
  <c r="I5240" i="2"/>
  <c r="D5240" i="2"/>
  <c r="H5240" i="2" s="1"/>
  <c r="I5239" i="2"/>
  <c r="D5239" i="2"/>
  <c r="F5239" i="2" s="1"/>
  <c r="I5238" i="2"/>
  <c r="D5238" i="2"/>
  <c r="H5238" i="2" s="1"/>
  <c r="I5237" i="2"/>
  <c r="D5237" i="2"/>
  <c r="F5237" i="2" s="1"/>
  <c r="I5236" i="2"/>
  <c r="D5236" i="2"/>
  <c r="I5235" i="2"/>
  <c r="D5235" i="2"/>
  <c r="F5235" i="2" s="1"/>
  <c r="I5234" i="2"/>
  <c r="D5234" i="2"/>
  <c r="I5233" i="2"/>
  <c r="D5233" i="2"/>
  <c r="H5233" i="2" s="1"/>
  <c r="I5232" i="2"/>
  <c r="D5232" i="2"/>
  <c r="I5231" i="2"/>
  <c r="D5231" i="2"/>
  <c r="H5231" i="2" s="1"/>
  <c r="I5230" i="2"/>
  <c r="D5230" i="2"/>
  <c r="I5229" i="2"/>
  <c r="D5229" i="2"/>
  <c r="F5229" i="2" s="1"/>
  <c r="I5228" i="2"/>
  <c r="D5228" i="2"/>
  <c r="I5227" i="2"/>
  <c r="D5227" i="2"/>
  <c r="F5227" i="2" s="1"/>
  <c r="I5226" i="2"/>
  <c r="D5226" i="2"/>
  <c r="H5226" i="2" s="1"/>
  <c r="I5225" i="2"/>
  <c r="D5225" i="2"/>
  <c r="I5224" i="2"/>
  <c r="D5224" i="2"/>
  <c r="H5224" i="2" s="1"/>
  <c r="I5223" i="2"/>
  <c r="D5223" i="2"/>
  <c r="I5222" i="2"/>
  <c r="D5222" i="2"/>
  <c r="I5221" i="2"/>
  <c r="D5221" i="2"/>
  <c r="F5221" i="2" s="1"/>
  <c r="I5220" i="2"/>
  <c r="D5220" i="2"/>
  <c r="F5220" i="2" s="1"/>
  <c r="I5219" i="2"/>
  <c r="D5219" i="2"/>
  <c r="I5218" i="2"/>
  <c r="D5218" i="2"/>
  <c r="I5217" i="2"/>
  <c r="D5217" i="2"/>
  <c r="I5216" i="2"/>
  <c r="D5216" i="2"/>
  <c r="H5216" i="2" s="1"/>
  <c r="I5215" i="2"/>
  <c r="D5215" i="2"/>
  <c r="I5214" i="2"/>
  <c r="D5214" i="2"/>
  <c r="I5213" i="2"/>
  <c r="D5213" i="2"/>
  <c r="I5212" i="2"/>
  <c r="D5212" i="2"/>
  <c r="G5212" i="2" s="1"/>
  <c r="I5211" i="2"/>
  <c r="D5211" i="2"/>
  <c r="I5210" i="2"/>
  <c r="D5210" i="2"/>
  <c r="G5210" i="2" s="1"/>
  <c r="I5209" i="2"/>
  <c r="D5209" i="2"/>
  <c r="H5209" i="2" s="1"/>
  <c r="I5208" i="2"/>
  <c r="D5208" i="2"/>
  <c r="I5207" i="2"/>
  <c r="D5207" i="2"/>
  <c r="F5207" i="2" s="1"/>
  <c r="I5206" i="2"/>
  <c r="D5206" i="2"/>
  <c r="I5205" i="2"/>
  <c r="D5205" i="2"/>
  <c r="I5204" i="2"/>
  <c r="D5204" i="2"/>
  <c r="I5203" i="2"/>
  <c r="D5203" i="2"/>
  <c r="F5203" i="2" s="1"/>
  <c r="I5202" i="2"/>
  <c r="D5202" i="2"/>
  <c r="I5201" i="2"/>
  <c r="D5201" i="2"/>
  <c r="I5200" i="2"/>
  <c r="D5200" i="2"/>
  <c r="H5200" i="2" s="1"/>
  <c r="I5199" i="2"/>
  <c r="D5199" i="2"/>
  <c r="I5198" i="2"/>
  <c r="D5198" i="2"/>
  <c r="F5198" i="2" s="1"/>
  <c r="I5197" i="2"/>
  <c r="D5197" i="2"/>
  <c r="I5196" i="2"/>
  <c r="D5196" i="2"/>
  <c r="H5196" i="2" s="1"/>
  <c r="I5195" i="2"/>
  <c r="D5195" i="2"/>
  <c r="I5194" i="2"/>
  <c r="D5194" i="2"/>
  <c r="I5193" i="2"/>
  <c r="D5193" i="2"/>
  <c r="H5193" i="2" s="1"/>
  <c r="I5192" i="2"/>
  <c r="D5192" i="2"/>
  <c r="H5192" i="2" s="1"/>
  <c r="I5191" i="2"/>
  <c r="D5191" i="2"/>
  <c r="G5191" i="2" s="1"/>
  <c r="I5190" i="2"/>
  <c r="D5190" i="2"/>
  <c r="I5189" i="2"/>
  <c r="D5189" i="2"/>
  <c r="G5189" i="2" s="1"/>
  <c r="I5188" i="2"/>
  <c r="D5188" i="2"/>
  <c r="I5187" i="2"/>
  <c r="D5187" i="2"/>
  <c r="I5186" i="2"/>
  <c r="D5186" i="2"/>
  <c r="I5185" i="2"/>
  <c r="D5185" i="2"/>
  <c r="I5184" i="2"/>
  <c r="D5184" i="2"/>
  <c r="I5183" i="2"/>
  <c r="D5183" i="2"/>
  <c r="I5182" i="2"/>
  <c r="D5182" i="2"/>
  <c r="I5181" i="2"/>
  <c r="D5181" i="2"/>
  <c r="I5180" i="2"/>
  <c r="D5180" i="2"/>
  <c r="F5180" i="2" s="1"/>
  <c r="I5179" i="2"/>
  <c r="D5179" i="2"/>
  <c r="F5179" i="2" s="1"/>
  <c r="I5178" i="2"/>
  <c r="D5178" i="2"/>
  <c r="I5177" i="2"/>
  <c r="D5177" i="2"/>
  <c r="I5176" i="2"/>
  <c r="D5176" i="2"/>
  <c r="I5175" i="2"/>
  <c r="D5175" i="2"/>
  <c r="I5174" i="2"/>
  <c r="D5174" i="2"/>
  <c r="F5174" i="2" s="1"/>
  <c r="I5173" i="2"/>
  <c r="D5173" i="2"/>
  <c r="G5173" i="2" s="1"/>
  <c r="I5172" i="2"/>
  <c r="D5172" i="2"/>
  <c r="F5172" i="2" s="1"/>
  <c r="I5171" i="2"/>
  <c r="D5171" i="2"/>
  <c r="F5171" i="2" s="1"/>
  <c r="I5170" i="2"/>
  <c r="D5170" i="2"/>
  <c r="I5169" i="2"/>
  <c r="D5169" i="2"/>
  <c r="I5168" i="2"/>
  <c r="D5168" i="2"/>
  <c r="I5167" i="2"/>
  <c r="D5167" i="2"/>
  <c r="G5167" i="2" s="1"/>
  <c r="I5166" i="2"/>
  <c r="D5166" i="2"/>
  <c r="I5165" i="2"/>
  <c r="D5165" i="2"/>
  <c r="G5165" i="2" s="1"/>
  <c r="I5164" i="2"/>
  <c r="D5164" i="2"/>
  <c r="I5163" i="2"/>
  <c r="D5163" i="2"/>
  <c r="F5163" i="2" s="1"/>
  <c r="I5162" i="2"/>
  <c r="D5162" i="2"/>
  <c r="I5161" i="2"/>
  <c r="D5161" i="2"/>
  <c r="I5160" i="2"/>
  <c r="D5160" i="2"/>
  <c r="I5159" i="2"/>
  <c r="D5159" i="2"/>
  <c r="I5158" i="2"/>
  <c r="D5158" i="2"/>
  <c r="F5158" i="2" s="1"/>
  <c r="I5157" i="2"/>
  <c r="D5157" i="2"/>
  <c r="G5157" i="2" s="1"/>
  <c r="I5156" i="2"/>
  <c r="D5156" i="2"/>
  <c r="F5156" i="2" s="1"/>
  <c r="I5155" i="2"/>
  <c r="D5155" i="2"/>
  <c r="F5155" i="2" s="1"/>
  <c r="I5154" i="2"/>
  <c r="D5154" i="2"/>
  <c r="I5153" i="2"/>
  <c r="D5153" i="2"/>
  <c r="I5152" i="2"/>
  <c r="D5152" i="2"/>
  <c r="I5151" i="2"/>
  <c r="D5151" i="2"/>
  <c r="F5151" i="2" s="1"/>
  <c r="I5150" i="2"/>
  <c r="D5150" i="2"/>
  <c r="I5149" i="2"/>
  <c r="D5149" i="2"/>
  <c r="G5149" i="2" s="1"/>
  <c r="I5148" i="2"/>
  <c r="D5148" i="2"/>
  <c r="I5147" i="2"/>
  <c r="D5147" i="2"/>
  <c r="F5147" i="2" s="1"/>
  <c r="I5146" i="2"/>
  <c r="D5146" i="2"/>
  <c r="I5145" i="2"/>
  <c r="D5145" i="2"/>
  <c r="H5145" i="2" s="1"/>
  <c r="I5144" i="2"/>
  <c r="D5144" i="2"/>
  <c r="I5143" i="2"/>
  <c r="D5143" i="2"/>
  <c r="I5142" i="2"/>
  <c r="D5142" i="2"/>
  <c r="I5141" i="2"/>
  <c r="D5141" i="2"/>
  <c r="I5140" i="2"/>
  <c r="D5140" i="2"/>
  <c r="F5140" i="2" s="1"/>
  <c r="I5139" i="2"/>
  <c r="D5139" i="2"/>
  <c r="F5139" i="2" s="1"/>
  <c r="I5138" i="2"/>
  <c r="D5138" i="2"/>
  <c r="F5138" i="2" s="1"/>
  <c r="I5137" i="2"/>
  <c r="D5137" i="2"/>
  <c r="F5137" i="2" s="1"/>
  <c r="I5136" i="2"/>
  <c r="D5136" i="2"/>
  <c r="I5135" i="2"/>
  <c r="D5135" i="2"/>
  <c r="H5135" i="2" s="1"/>
  <c r="I5134" i="2"/>
  <c r="D5134" i="2"/>
  <c r="F5134" i="2" s="1"/>
  <c r="I5133" i="2"/>
  <c r="D5133" i="2"/>
  <c r="G5133" i="2" s="1"/>
  <c r="I5132" i="2"/>
  <c r="D5132" i="2"/>
  <c r="I5131" i="2"/>
  <c r="D5131" i="2"/>
  <c r="F5131" i="2" s="1"/>
  <c r="I5130" i="2"/>
  <c r="D5130" i="2"/>
  <c r="I5129" i="2"/>
  <c r="D5129" i="2"/>
  <c r="H5129" i="2" s="1"/>
  <c r="I5128" i="2"/>
  <c r="D5128" i="2"/>
  <c r="I5127" i="2"/>
  <c r="D5127" i="2"/>
  <c r="F5127" i="2" s="1"/>
  <c r="I5126" i="2"/>
  <c r="D5126" i="2"/>
  <c r="F5126" i="2" s="1"/>
  <c r="I5125" i="2"/>
  <c r="D5125" i="2"/>
  <c r="G5125" i="2" s="1"/>
  <c r="I5124" i="2"/>
  <c r="D5124" i="2"/>
  <c r="I5123" i="2"/>
  <c r="D5123" i="2"/>
  <c r="F5123" i="2" s="1"/>
  <c r="I5122" i="2"/>
  <c r="D5122" i="2"/>
  <c r="F5122" i="2" s="1"/>
  <c r="I5121" i="2"/>
  <c r="D5121" i="2"/>
  <c r="I5120" i="2"/>
  <c r="D5120" i="2"/>
  <c r="I5119" i="2"/>
  <c r="D5119" i="2"/>
  <c r="G5119" i="2" s="1"/>
  <c r="I5118" i="2"/>
  <c r="D5118" i="2"/>
  <c r="I5117" i="2"/>
  <c r="D5117" i="2"/>
  <c r="G5117" i="2" s="1"/>
  <c r="I5116" i="2"/>
  <c r="D5116" i="2"/>
  <c r="F5116" i="2" s="1"/>
  <c r="I5115" i="2"/>
  <c r="D5115" i="2"/>
  <c r="F5115" i="2" s="1"/>
  <c r="I5114" i="2"/>
  <c r="D5114" i="2"/>
  <c r="H5114" i="2" s="1"/>
  <c r="I5113" i="2"/>
  <c r="D5113" i="2"/>
  <c r="I5112" i="2"/>
  <c r="D5112" i="2"/>
  <c r="I5111" i="2"/>
  <c r="D5111" i="2"/>
  <c r="I5110" i="2"/>
  <c r="D5110" i="2"/>
  <c r="F5110" i="2" s="1"/>
  <c r="I5109" i="2"/>
  <c r="D5109" i="2"/>
  <c r="G5109" i="2" s="1"/>
  <c r="I5108" i="2"/>
  <c r="D5108" i="2"/>
  <c r="F5108" i="2" s="1"/>
  <c r="I5107" i="2"/>
  <c r="D5107" i="2"/>
  <c r="F5107" i="2" s="1"/>
  <c r="I5106" i="2"/>
  <c r="D5106" i="2"/>
  <c r="H5106" i="2" s="1"/>
  <c r="I5105" i="2"/>
  <c r="D5105" i="2"/>
  <c r="H5105" i="2" s="1"/>
  <c r="I5104" i="2"/>
  <c r="D5104" i="2"/>
  <c r="I5103" i="2"/>
  <c r="D5103" i="2"/>
  <c r="I5102" i="2"/>
  <c r="D5102" i="2"/>
  <c r="I5101" i="2"/>
  <c r="D5101" i="2"/>
  <c r="G5101" i="2" s="1"/>
  <c r="I5100" i="2"/>
  <c r="D5100" i="2"/>
  <c r="I5099" i="2"/>
  <c r="D5099" i="2"/>
  <c r="F5099" i="2" s="1"/>
  <c r="I5098" i="2"/>
  <c r="D5098" i="2"/>
  <c r="I5097" i="2"/>
  <c r="D5097" i="2"/>
  <c r="H5097" i="2" s="1"/>
  <c r="I5096" i="2"/>
  <c r="D5096" i="2"/>
  <c r="I5095" i="2"/>
  <c r="D5095" i="2"/>
  <c r="G5095" i="2" s="1"/>
  <c r="I5094" i="2"/>
  <c r="D5094" i="2"/>
  <c r="F5094" i="2" s="1"/>
  <c r="I5093" i="2"/>
  <c r="D5093" i="2"/>
  <c r="G5093" i="2" s="1"/>
  <c r="I5092" i="2"/>
  <c r="D5092" i="2"/>
  <c r="F5092" i="2" s="1"/>
  <c r="I5091" i="2"/>
  <c r="D5091" i="2"/>
  <c r="F5091" i="2" s="1"/>
  <c r="I5090" i="2"/>
  <c r="D5090" i="2"/>
  <c r="I5089" i="2"/>
  <c r="D5089" i="2"/>
  <c r="F5089" i="2" s="1"/>
  <c r="I5088" i="2"/>
  <c r="D5088" i="2"/>
  <c r="I5087" i="2"/>
  <c r="D5087" i="2"/>
  <c r="I5086" i="2"/>
  <c r="D5086" i="2"/>
  <c r="I5085" i="2"/>
  <c r="D5085" i="2"/>
  <c r="G5085" i="2" s="1"/>
  <c r="I5084" i="2"/>
  <c r="D5084" i="2"/>
  <c r="I5083" i="2"/>
  <c r="D5083" i="2"/>
  <c r="F5083" i="2" s="1"/>
  <c r="I5082" i="2"/>
  <c r="D5082" i="2"/>
  <c r="I5081" i="2"/>
  <c r="D5081" i="2"/>
  <c r="I5080" i="2"/>
  <c r="D5080" i="2"/>
  <c r="I5079" i="2"/>
  <c r="D5079" i="2"/>
  <c r="G5079" i="2" s="1"/>
  <c r="I5078" i="2"/>
  <c r="D5078" i="2"/>
  <c r="I5077" i="2"/>
  <c r="D5077" i="2"/>
  <c r="G5077" i="2" s="1"/>
  <c r="I5076" i="2"/>
  <c r="D5076" i="2"/>
  <c r="F5076" i="2" s="1"/>
  <c r="I5075" i="2"/>
  <c r="D5075" i="2"/>
  <c r="F5075" i="2" s="1"/>
  <c r="I5074" i="2"/>
  <c r="D5074" i="2"/>
  <c r="G5074" i="2" s="1"/>
  <c r="I5073" i="2"/>
  <c r="D5073" i="2"/>
  <c r="I5072" i="2"/>
  <c r="D5072" i="2"/>
  <c r="I5071" i="2"/>
  <c r="D5071" i="2"/>
  <c r="H5071" i="2" s="1"/>
  <c r="I5070" i="2"/>
  <c r="D5070" i="2"/>
  <c r="F5070" i="2" s="1"/>
  <c r="I5069" i="2"/>
  <c r="D5069" i="2"/>
  <c r="G5069" i="2" s="1"/>
  <c r="I5068" i="2"/>
  <c r="D5068" i="2"/>
  <c r="I5067" i="2"/>
  <c r="D5067" i="2"/>
  <c r="F5067" i="2" s="1"/>
  <c r="I5066" i="2"/>
  <c r="D5066" i="2"/>
  <c r="I5065" i="2"/>
  <c r="D5065" i="2"/>
  <c r="G5065" i="2" s="1"/>
  <c r="I5064" i="2"/>
  <c r="D5064" i="2"/>
  <c r="I5063" i="2"/>
  <c r="D5063" i="2"/>
  <c r="G5063" i="2" s="1"/>
  <c r="I5062" i="2"/>
  <c r="D5062" i="2"/>
  <c r="F5062" i="2" s="1"/>
  <c r="I5061" i="2"/>
  <c r="D5061" i="2"/>
  <c r="G5061" i="2" s="1"/>
  <c r="I5060" i="2"/>
  <c r="D5060" i="2"/>
  <c r="I5059" i="2"/>
  <c r="D5059" i="2"/>
  <c r="F5059" i="2" s="1"/>
  <c r="I5058" i="2"/>
  <c r="D5058" i="2"/>
  <c r="I5057" i="2"/>
  <c r="D5057" i="2"/>
  <c r="F5057" i="2" s="1"/>
  <c r="I5056" i="2"/>
  <c r="D5056" i="2"/>
  <c r="I5055" i="2"/>
  <c r="D5055" i="2"/>
  <c r="H5055" i="2" s="1"/>
  <c r="I5054" i="2"/>
  <c r="D5054" i="2"/>
  <c r="I5053" i="2"/>
  <c r="D5053" i="2"/>
  <c r="G5053" i="2" s="1"/>
  <c r="I5052" i="2"/>
  <c r="D5052" i="2"/>
  <c r="F5052" i="2" s="1"/>
  <c r="I5051" i="2"/>
  <c r="D5051" i="2"/>
  <c r="F5051" i="2" s="1"/>
  <c r="I5050" i="2"/>
  <c r="D5050" i="2"/>
  <c r="H5050" i="2" s="1"/>
  <c r="I5049" i="2"/>
  <c r="D5049" i="2"/>
  <c r="I5048" i="2"/>
  <c r="D5048" i="2"/>
  <c r="I5047" i="2"/>
  <c r="D5047" i="2"/>
  <c r="F5047" i="2" s="1"/>
  <c r="I5046" i="2"/>
  <c r="D5046" i="2"/>
  <c r="F5046" i="2" s="1"/>
  <c r="I5045" i="2"/>
  <c r="D5045" i="2"/>
  <c r="G5045" i="2" s="1"/>
  <c r="I5044" i="2"/>
  <c r="D5044" i="2"/>
  <c r="F5044" i="2" s="1"/>
  <c r="I5043" i="2"/>
  <c r="D5043" i="2"/>
  <c r="F5043" i="2" s="1"/>
  <c r="I5042" i="2"/>
  <c r="D5042" i="2"/>
  <c r="I5041" i="2"/>
  <c r="D5041" i="2"/>
  <c r="G5041" i="2" s="1"/>
  <c r="I5040" i="2"/>
  <c r="D5040" i="2"/>
  <c r="I5039" i="2"/>
  <c r="D5039" i="2"/>
  <c r="H5039" i="2" s="1"/>
  <c r="I5038" i="2"/>
  <c r="D5038" i="2"/>
  <c r="I5037" i="2"/>
  <c r="D5037" i="2"/>
  <c r="G5037" i="2" s="1"/>
  <c r="I5036" i="2"/>
  <c r="D5036" i="2"/>
  <c r="I5035" i="2"/>
  <c r="D5035" i="2"/>
  <c r="F5035" i="2" s="1"/>
  <c r="I5034" i="2"/>
  <c r="D5034" i="2"/>
  <c r="I5033" i="2"/>
  <c r="D5033" i="2"/>
  <c r="G5033" i="2" s="1"/>
  <c r="I5032" i="2"/>
  <c r="D5032" i="2"/>
  <c r="I5031" i="2"/>
  <c r="D5031" i="2"/>
  <c r="I5030" i="2"/>
  <c r="D5030" i="2"/>
  <c r="F5030" i="2" s="1"/>
  <c r="I5029" i="2"/>
  <c r="D5029" i="2"/>
  <c r="G5029" i="2" s="1"/>
  <c r="I5028" i="2"/>
  <c r="D5028" i="2"/>
  <c r="F5028" i="2" s="1"/>
  <c r="I5027" i="2"/>
  <c r="D5027" i="2"/>
  <c r="F5027" i="2" s="1"/>
  <c r="I5026" i="2"/>
  <c r="D5026" i="2"/>
  <c r="G5026" i="2" s="1"/>
  <c r="I5025" i="2"/>
  <c r="D5025" i="2"/>
  <c r="G5025" i="2" s="1"/>
  <c r="I5024" i="2"/>
  <c r="D5024" i="2"/>
  <c r="I5023" i="2"/>
  <c r="D5023" i="2"/>
  <c r="I5022" i="2"/>
  <c r="D5022" i="2"/>
  <c r="I5021" i="2"/>
  <c r="D5021" i="2"/>
  <c r="G5021" i="2" s="1"/>
  <c r="I5020" i="2"/>
  <c r="D5020" i="2"/>
  <c r="I5019" i="2"/>
  <c r="D5019" i="2"/>
  <c r="F5019" i="2" s="1"/>
  <c r="I5018" i="2"/>
  <c r="D5018" i="2"/>
  <c r="H5018" i="2" s="1"/>
  <c r="I5017" i="2"/>
  <c r="D5017" i="2"/>
  <c r="I5016" i="2"/>
  <c r="D5016" i="2"/>
  <c r="I5015" i="2"/>
  <c r="D5015" i="2"/>
  <c r="G5015" i="2" s="1"/>
  <c r="I5014" i="2"/>
  <c r="D5014" i="2"/>
  <c r="I5013" i="2"/>
  <c r="D5013" i="2"/>
  <c r="G5013" i="2" s="1"/>
  <c r="I5012" i="2"/>
  <c r="D5012" i="2"/>
  <c r="F5012" i="2" s="1"/>
  <c r="I5011" i="2"/>
  <c r="D5011" i="2"/>
  <c r="F5011" i="2" s="1"/>
  <c r="I5010" i="2"/>
  <c r="D5010" i="2"/>
  <c r="G5010" i="2" s="1"/>
  <c r="I5009" i="2"/>
  <c r="D5009" i="2"/>
  <c r="I5008" i="2"/>
  <c r="D5008" i="2"/>
  <c r="I5007" i="2"/>
  <c r="D5007" i="2"/>
  <c r="I5006" i="2"/>
  <c r="D5006" i="2"/>
  <c r="F5006" i="2" s="1"/>
  <c r="I5005" i="2"/>
  <c r="D5005" i="2"/>
  <c r="G5005" i="2" s="1"/>
  <c r="I5004" i="2"/>
  <c r="D5004" i="2"/>
  <c r="I5003" i="2"/>
  <c r="D5003" i="2"/>
  <c r="F5003" i="2" s="1"/>
  <c r="I5002" i="2"/>
  <c r="D5002" i="2"/>
  <c r="H5002" i="2" s="1"/>
  <c r="I5001" i="2"/>
  <c r="D5001" i="2"/>
  <c r="I5000" i="2"/>
  <c r="D5000" i="2"/>
  <c r="I4999" i="2"/>
  <c r="D4999" i="2"/>
  <c r="G4999" i="2" s="1"/>
  <c r="I4998" i="2"/>
  <c r="D4998" i="2"/>
  <c r="F4998" i="2" s="1"/>
  <c r="I4997" i="2"/>
  <c r="D4997" i="2"/>
  <c r="G4997" i="2" s="1"/>
  <c r="I4996" i="2"/>
  <c r="D4996" i="2"/>
  <c r="I4995" i="2"/>
  <c r="D4995" i="2"/>
  <c r="F4995" i="2" s="1"/>
  <c r="I4994" i="2"/>
  <c r="D4994" i="2"/>
  <c r="H4994" i="2" s="1"/>
  <c r="I4993" i="2"/>
  <c r="D4993" i="2"/>
  <c r="F4993" i="2" s="1"/>
  <c r="I4992" i="2"/>
  <c r="D4992" i="2"/>
  <c r="I4991" i="2"/>
  <c r="D4991" i="2"/>
  <c r="I4990" i="2"/>
  <c r="D4990" i="2"/>
  <c r="I4989" i="2"/>
  <c r="D4989" i="2"/>
  <c r="G4989" i="2" s="1"/>
  <c r="I4988" i="2"/>
  <c r="D4988" i="2"/>
  <c r="F4988" i="2" s="1"/>
  <c r="I4987" i="2"/>
  <c r="D4987" i="2"/>
  <c r="F4987" i="2" s="1"/>
  <c r="I4986" i="2"/>
  <c r="D4986" i="2"/>
  <c r="H4986" i="2" s="1"/>
  <c r="I4985" i="2"/>
  <c r="D4985" i="2"/>
  <c r="I4984" i="2"/>
  <c r="D4984" i="2"/>
  <c r="I4983" i="2"/>
  <c r="D4983" i="2"/>
  <c r="I4982" i="2"/>
  <c r="D4982" i="2"/>
  <c r="F4982" i="2" s="1"/>
  <c r="I4981" i="2"/>
  <c r="D4981" i="2"/>
  <c r="G4981" i="2" s="1"/>
  <c r="I4980" i="2"/>
  <c r="D4980" i="2"/>
  <c r="F4980" i="2" s="1"/>
  <c r="I4979" i="2"/>
  <c r="D4979" i="2"/>
  <c r="F4979" i="2" s="1"/>
  <c r="I4978" i="2"/>
  <c r="D4978" i="2"/>
  <c r="G4978" i="2" s="1"/>
  <c r="I4977" i="2"/>
  <c r="D4977" i="2"/>
  <c r="I4976" i="2"/>
  <c r="D4976" i="2"/>
  <c r="I4975" i="2"/>
  <c r="D4975" i="2"/>
  <c r="I4974" i="2"/>
  <c r="D4974" i="2"/>
  <c r="I4973" i="2"/>
  <c r="D4973" i="2"/>
  <c r="G4973" i="2" s="1"/>
  <c r="I4972" i="2"/>
  <c r="D4972" i="2"/>
  <c r="I4971" i="2"/>
  <c r="D4971" i="2"/>
  <c r="F4971" i="2" s="1"/>
  <c r="I4970" i="2"/>
  <c r="D4970" i="2"/>
  <c r="I4969" i="2"/>
  <c r="D4969" i="2"/>
  <c r="I4968" i="2"/>
  <c r="D4968" i="2"/>
  <c r="I4967" i="2"/>
  <c r="D4967" i="2"/>
  <c r="I4966" i="2"/>
  <c r="D4966" i="2"/>
  <c r="F4966" i="2" s="1"/>
  <c r="I4965" i="2"/>
  <c r="D4965" i="2"/>
  <c r="G4965" i="2" s="1"/>
  <c r="I4964" i="2"/>
  <c r="D4964" i="2"/>
  <c r="F4964" i="2" s="1"/>
  <c r="I4963" i="2"/>
  <c r="D4963" i="2"/>
  <c r="F4963" i="2" s="1"/>
  <c r="I4962" i="2"/>
  <c r="D4962" i="2"/>
  <c r="I4961" i="2"/>
  <c r="D4961" i="2"/>
  <c r="I4960" i="2"/>
  <c r="D4960" i="2"/>
  <c r="I4959" i="2"/>
  <c r="D4959" i="2"/>
  <c r="H4959" i="2" s="1"/>
  <c r="I4958" i="2"/>
  <c r="D4958" i="2"/>
  <c r="I4957" i="2"/>
  <c r="D4957" i="2"/>
  <c r="G4957" i="2" s="1"/>
  <c r="I4956" i="2"/>
  <c r="D4956" i="2"/>
  <c r="I4955" i="2"/>
  <c r="D4955" i="2"/>
  <c r="F4955" i="2" s="1"/>
  <c r="I4954" i="2"/>
  <c r="D4954" i="2"/>
  <c r="I4953" i="2"/>
  <c r="D4953" i="2"/>
  <c r="I4952" i="2"/>
  <c r="D4952" i="2"/>
  <c r="I4951" i="2"/>
  <c r="D4951" i="2"/>
  <c r="I4950" i="2"/>
  <c r="D4950" i="2"/>
  <c r="I4949" i="2"/>
  <c r="D4949" i="2"/>
  <c r="I4948" i="2"/>
  <c r="D4948" i="2"/>
  <c r="F4948" i="2" s="1"/>
  <c r="I4947" i="2"/>
  <c r="D4947" i="2"/>
  <c r="F4947" i="2" s="1"/>
  <c r="I4946" i="2"/>
  <c r="D4946" i="2"/>
  <c r="I4945" i="2"/>
  <c r="D4945" i="2"/>
  <c r="I4944" i="2"/>
  <c r="D4944" i="2"/>
  <c r="I4943" i="2"/>
  <c r="D4943" i="2"/>
  <c r="H4943" i="2" s="1"/>
  <c r="I4942" i="2"/>
  <c r="D4942" i="2"/>
  <c r="F4942" i="2" s="1"/>
  <c r="I4941" i="2"/>
  <c r="D4941" i="2"/>
  <c r="G4941" i="2" s="1"/>
  <c r="I4940" i="2"/>
  <c r="D4940" i="2"/>
  <c r="I4939" i="2"/>
  <c r="D4939" i="2"/>
  <c r="F4939" i="2" s="1"/>
  <c r="I4938" i="2"/>
  <c r="D4938" i="2"/>
  <c r="I4937" i="2"/>
  <c r="D4937" i="2"/>
  <c r="F4937" i="2" s="1"/>
  <c r="I4936" i="2"/>
  <c r="D4936" i="2"/>
  <c r="I4935" i="2"/>
  <c r="D4935" i="2"/>
  <c r="H4935" i="2" s="1"/>
  <c r="I4934" i="2"/>
  <c r="D4934" i="2"/>
  <c r="F4934" i="2" s="1"/>
  <c r="I4933" i="2"/>
  <c r="D4933" i="2"/>
  <c r="G4933" i="2" s="1"/>
  <c r="I4932" i="2"/>
  <c r="D4932" i="2"/>
  <c r="I4931" i="2"/>
  <c r="D4931" i="2"/>
  <c r="F4931" i="2" s="1"/>
  <c r="I4930" i="2"/>
  <c r="D4930" i="2"/>
  <c r="I4929" i="2"/>
  <c r="D4929" i="2"/>
  <c r="I4928" i="2"/>
  <c r="D4928" i="2"/>
  <c r="I4927" i="2"/>
  <c r="D4927" i="2"/>
  <c r="I4926" i="2"/>
  <c r="D4926" i="2"/>
  <c r="I4925" i="2"/>
  <c r="D4925" i="2"/>
  <c r="I4924" i="2"/>
  <c r="D4924" i="2"/>
  <c r="H4924" i="2" s="1"/>
  <c r="I4923" i="2"/>
  <c r="D4923" i="2"/>
  <c r="F4923" i="2" s="1"/>
  <c r="I4922" i="2"/>
  <c r="D4922" i="2"/>
  <c r="G4922" i="2" s="1"/>
  <c r="I4921" i="2"/>
  <c r="D4921" i="2"/>
  <c r="H4921" i="2" s="1"/>
  <c r="I4920" i="2"/>
  <c r="D4920" i="2"/>
  <c r="F4920" i="2" s="1"/>
  <c r="I4919" i="2"/>
  <c r="D4919" i="2"/>
  <c r="H4919" i="2" s="1"/>
  <c r="I4918" i="2"/>
  <c r="D4918" i="2"/>
  <c r="F4918" i="2" s="1"/>
  <c r="I4917" i="2"/>
  <c r="D4917" i="2"/>
  <c r="H4917" i="2" s="1"/>
  <c r="I4916" i="2"/>
  <c r="D4916" i="2"/>
  <c r="I4915" i="2"/>
  <c r="D4915" i="2"/>
  <c r="I4914" i="2"/>
  <c r="D4914" i="2"/>
  <c r="H4914" i="2" s="1"/>
  <c r="I4913" i="2"/>
  <c r="D4913" i="2"/>
  <c r="H4913" i="2" s="1"/>
  <c r="I4912" i="2"/>
  <c r="D4912" i="2"/>
  <c r="H4912" i="2" s="1"/>
  <c r="I4911" i="2"/>
  <c r="D4911" i="2"/>
  <c r="F4911" i="2" s="1"/>
  <c r="I4910" i="2"/>
  <c r="D4910" i="2"/>
  <c r="G4910" i="2" s="1"/>
  <c r="I4909" i="2"/>
  <c r="D4909" i="2"/>
  <c r="G4909" i="2" s="1"/>
  <c r="I4908" i="2"/>
  <c r="D4908" i="2"/>
  <c r="G4908" i="2" s="1"/>
  <c r="I4907" i="2"/>
  <c r="D4907" i="2"/>
  <c r="I4906" i="2"/>
  <c r="D4906" i="2"/>
  <c r="H4906" i="2" s="1"/>
  <c r="I4905" i="2"/>
  <c r="D4905" i="2"/>
  <c r="I4904" i="2"/>
  <c r="D4904" i="2"/>
  <c r="G4904" i="2" s="1"/>
  <c r="I4903" i="2"/>
  <c r="D4903" i="2"/>
  <c r="G4903" i="2" s="1"/>
  <c r="I4902" i="2"/>
  <c r="D4902" i="2"/>
  <c r="I4901" i="2"/>
  <c r="D4901" i="2"/>
  <c r="G4901" i="2" s="1"/>
  <c r="I4900" i="2"/>
  <c r="D4900" i="2"/>
  <c r="I4899" i="2"/>
  <c r="D4899" i="2"/>
  <c r="I4898" i="2"/>
  <c r="D4898" i="2"/>
  <c r="H4898" i="2" s="1"/>
  <c r="I4897" i="2"/>
  <c r="D4897" i="2"/>
  <c r="H4897" i="2" s="1"/>
  <c r="I4896" i="2"/>
  <c r="D4896" i="2"/>
  <c r="I4895" i="2"/>
  <c r="D4895" i="2"/>
  <c r="H4895" i="2" s="1"/>
  <c r="I4894" i="2"/>
  <c r="D4894" i="2"/>
  <c r="I4893" i="2"/>
  <c r="D4893" i="2"/>
  <c r="I4892" i="2"/>
  <c r="D4892" i="2"/>
  <c r="I4891" i="2"/>
  <c r="D4891" i="2"/>
  <c r="I4890" i="2"/>
  <c r="D4890" i="2"/>
  <c r="I4889" i="2"/>
  <c r="D4889" i="2"/>
  <c r="F4889" i="2" s="1"/>
  <c r="I4888" i="2"/>
  <c r="D4888" i="2"/>
  <c r="I4887" i="2"/>
  <c r="D4887" i="2"/>
  <c r="H4887" i="2" s="1"/>
  <c r="I4886" i="2"/>
  <c r="D4886" i="2"/>
  <c r="H4886" i="2" s="1"/>
  <c r="I4885" i="2"/>
  <c r="D4885" i="2"/>
  <c r="F4885" i="2" s="1"/>
  <c r="I4884" i="2"/>
  <c r="D4884" i="2"/>
  <c r="I4883" i="2"/>
  <c r="D4883" i="2"/>
  <c r="H4883" i="2" s="1"/>
  <c r="I4882" i="2"/>
  <c r="D4882" i="2"/>
  <c r="H4882" i="2" s="1"/>
  <c r="I4881" i="2"/>
  <c r="D4881" i="2"/>
  <c r="I4880" i="2"/>
  <c r="D4880" i="2"/>
  <c r="I4879" i="2"/>
  <c r="D4879" i="2"/>
  <c r="I4878" i="2"/>
  <c r="D4878" i="2"/>
  <c r="I4877" i="2"/>
  <c r="D4877" i="2"/>
  <c r="H4877" i="2" s="1"/>
  <c r="I4876" i="2"/>
  <c r="D4876" i="2"/>
  <c r="F4876" i="2" s="1"/>
  <c r="I4875" i="2"/>
  <c r="D4875" i="2"/>
  <c r="F4875" i="2" s="1"/>
  <c r="I4874" i="2"/>
  <c r="D4874" i="2"/>
  <c r="I4873" i="2"/>
  <c r="D4873" i="2"/>
  <c r="I4872" i="2"/>
  <c r="D4872" i="2"/>
  <c r="I4871" i="2"/>
  <c r="D4871" i="2"/>
  <c r="H4871" i="2" s="1"/>
  <c r="I4870" i="2"/>
  <c r="D4870" i="2"/>
  <c r="I4869" i="2"/>
  <c r="D4869" i="2"/>
  <c r="F4869" i="2" s="1"/>
  <c r="I4868" i="2"/>
  <c r="D4868" i="2"/>
  <c r="I4867" i="2"/>
  <c r="D4867" i="2"/>
  <c r="I4866" i="2"/>
  <c r="D4866" i="2"/>
  <c r="I4865" i="2"/>
  <c r="D4865" i="2"/>
  <c r="I4864" i="2"/>
  <c r="D4864" i="2"/>
  <c r="F4864" i="2" s="1"/>
  <c r="I4863" i="2"/>
  <c r="D4863" i="2"/>
  <c r="I4862" i="2"/>
  <c r="D4862" i="2"/>
  <c r="I4861" i="2"/>
  <c r="D4861" i="2"/>
  <c r="I4860" i="2"/>
  <c r="D4860" i="2"/>
  <c r="I4859" i="2"/>
  <c r="D4859" i="2"/>
  <c r="H4859" i="2" s="1"/>
  <c r="I4858" i="2"/>
  <c r="D4858" i="2"/>
  <c r="I4857" i="2"/>
  <c r="D4857" i="2"/>
  <c r="I4856" i="2"/>
  <c r="D4856" i="2"/>
  <c r="H4856" i="2" s="1"/>
  <c r="I4855" i="2"/>
  <c r="D4855" i="2"/>
  <c r="H4855" i="2" s="1"/>
  <c r="I4854" i="2"/>
  <c r="D4854" i="2"/>
  <c r="I4853" i="2"/>
  <c r="D4853" i="2"/>
  <c r="F4853" i="2" s="1"/>
  <c r="I4852" i="2"/>
  <c r="D4852" i="2"/>
  <c r="H4852" i="2" s="1"/>
  <c r="I4851" i="2"/>
  <c r="D4851" i="2"/>
  <c r="I4850" i="2"/>
  <c r="D4850" i="2"/>
  <c r="I4849" i="2"/>
  <c r="D4849" i="2"/>
  <c r="H4849" i="2" s="1"/>
  <c r="I4848" i="2"/>
  <c r="D4848" i="2"/>
  <c r="F4848" i="2" s="1"/>
  <c r="I4847" i="2"/>
  <c r="D4847" i="2"/>
  <c r="H4847" i="2" s="1"/>
  <c r="I4846" i="2"/>
  <c r="D4846" i="2"/>
  <c r="F4846" i="2" s="1"/>
  <c r="I4845" i="2"/>
  <c r="D4845" i="2"/>
  <c r="G4845" i="2" s="1"/>
  <c r="I4844" i="2"/>
  <c r="D4844" i="2"/>
  <c r="F4844" i="2" s="1"/>
  <c r="I4843" i="2"/>
  <c r="D4843" i="2"/>
  <c r="I4842" i="2"/>
  <c r="D4842" i="2"/>
  <c r="F4842" i="2" s="1"/>
  <c r="I4841" i="2"/>
  <c r="D4841" i="2"/>
  <c r="I4840" i="2"/>
  <c r="D4840" i="2"/>
  <c r="H4840" i="2" s="1"/>
  <c r="I4839" i="2"/>
  <c r="D4839" i="2"/>
  <c r="I4838" i="2"/>
  <c r="D4838" i="2"/>
  <c r="I4837" i="2"/>
  <c r="D4837" i="2"/>
  <c r="I4836" i="2"/>
  <c r="D4836" i="2"/>
  <c r="F4836" i="2" s="1"/>
  <c r="I4835" i="2"/>
  <c r="D4835" i="2"/>
  <c r="I4834" i="2"/>
  <c r="D4834" i="2"/>
  <c r="F4834" i="2" s="1"/>
  <c r="I4833" i="2"/>
  <c r="D4833" i="2"/>
  <c r="H4833" i="2" s="1"/>
  <c r="I4832" i="2"/>
  <c r="D4832" i="2"/>
  <c r="G4832" i="2" s="1"/>
  <c r="I4831" i="2"/>
  <c r="D4831" i="2"/>
  <c r="I4830" i="2"/>
  <c r="D4830" i="2"/>
  <c r="I4829" i="2"/>
  <c r="D4829" i="2"/>
  <c r="I4828" i="2"/>
  <c r="D4828" i="2"/>
  <c r="G4828" i="2" s="1"/>
  <c r="I4827" i="2"/>
  <c r="D4827" i="2"/>
  <c r="F4827" i="2" s="1"/>
  <c r="I4826" i="2"/>
  <c r="D4826" i="2"/>
  <c r="F4826" i="2" s="1"/>
  <c r="I4825" i="2"/>
  <c r="D4825" i="2"/>
  <c r="I4824" i="2"/>
  <c r="D4824" i="2"/>
  <c r="I4823" i="2"/>
  <c r="D4823" i="2"/>
  <c r="I4822" i="2"/>
  <c r="D4822" i="2"/>
  <c r="I4821" i="2"/>
  <c r="D4821" i="2"/>
  <c r="F4821" i="2" s="1"/>
  <c r="I4820" i="2"/>
  <c r="D4820" i="2"/>
  <c r="I4819" i="2"/>
  <c r="D4819" i="2"/>
  <c r="I4818" i="2"/>
  <c r="D4818" i="2"/>
  <c r="I4817" i="2"/>
  <c r="D4817" i="2"/>
  <c r="F4817" i="2" s="1"/>
  <c r="I4816" i="2"/>
  <c r="D4816" i="2"/>
  <c r="I4815" i="2"/>
  <c r="D4815" i="2"/>
  <c r="I4814" i="2"/>
  <c r="D4814" i="2"/>
  <c r="I4813" i="2"/>
  <c r="D4813" i="2"/>
  <c r="H4813" i="2" s="1"/>
  <c r="I4812" i="2"/>
  <c r="D4812" i="2"/>
  <c r="I4811" i="2"/>
  <c r="D4811" i="2"/>
  <c r="F4811" i="2" s="1"/>
  <c r="I4810" i="2"/>
  <c r="D4810" i="2"/>
  <c r="F4810" i="2" s="1"/>
  <c r="I4809" i="2"/>
  <c r="D4809" i="2"/>
  <c r="H4809" i="2" s="1"/>
  <c r="I4808" i="2"/>
  <c r="D4808" i="2"/>
  <c r="I4807" i="2"/>
  <c r="D4807" i="2"/>
  <c r="H4807" i="2" s="1"/>
  <c r="I4806" i="2"/>
  <c r="D4806" i="2"/>
  <c r="I4805" i="2"/>
  <c r="D4805" i="2"/>
  <c r="F4805" i="2" s="1"/>
  <c r="I4804" i="2"/>
  <c r="D4804" i="2"/>
  <c r="I4803" i="2"/>
  <c r="D4803" i="2"/>
  <c r="G4803" i="2" s="1"/>
  <c r="I4802" i="2"/>
  <c r="D4802" i="2"/>
  <c r="I4801" i="2"/>
  <c r="D4801" i="2"/>
  <c r="I4800" i="2"/>
  <c r="D4800" i="2"/>
  <c r="I4799" i="2"/>
  <c r="D4799" i="2"/>
  <c r="H4799" i="2" s="1"/>
  <c r="I4798" i="2"/>
  <c r="D4798" i="2"/>
  <c r="I4797" i="2"/>
  <c r="D4797" i="2"/>
  <c r="I4796" i="2"/>
  <c r="D4796" i="2"/>
  <c r="I4795" i="2"/>
  <c r="D4795" i="2"/>
  <c r="I4794" i="2"/>
  <c r="D4794" i="2"/>
  <c r="I4793" i="2"/>
  <c r="D4793" i="2"/>
  <c r="F4793" i="2" s="1"/>
  <c r="I4792" i="2"/>
  <c r="D4792" i="2"/>
  <c r="I4791" i="2"/>
  <c r="D4791" i="2"/>
  <c r="I4790" i="2"/>
  <c r="D4790" i="2"/>
  <c r="I4789" i="2"/>
  <c r="D4789" i="2"/>
  <c r="I4788" i="2"/>
  <c r="D4788" i="2"/>
  <c r="I4787" i="2"/>
  <c r="D4787" i="2"/>
  <c r="I4786" i="2"/>
  <c r="D4786" i="2"/>
  <c r="G4786" i="2" s="1"/>
  <c r="I4785" i="2"/>
  <c r="D4785" i="2"/>
  <c r="I4784" i="2"/>
  <c r="D4784" i="2"/>
  <c r="H4784" i="2" s="1"/>
  <c r="I4783" i="2"/>
  <c r="D4783" i="2"/>
  <c r="H4783" i="2" s="1"/>
  <c r="I4782" i="2"/>
  <c r="D4782" i="2"/>
  <c r="I4781" i="2"/>
  <c r="D4781" i="2"/>
  <c r="I4780" i="2"/>
  <c r="D4780" i="2"/>
  <c r="H4780" i="2" s="1"/>
  <c r="I4779" i="2"/>
  <c r="D4779" i="2"/>
  <c r="I4778" i="2"/>
  <c r="D4778" i="2"/>
  <c r="I4777" i="2"/>
  <c r="D4777" i="2"/>
  <c r="H4777" i="2" s="1"/>
  <c r="I4776" i="2"/>
  <c r="D4776" i="2"/>
  <c r="I4775" i="2"/>
  <c r="D4775" i="2"/>
  <c r="I4774" i="2"/>
  <c r="D4774" i="2"/>
  <c r="I4773" i="2"/>
  <c r="D4773" i="2"/>
  <c r="F4773" i="2" s="1"/>
  <c r="I4772" i="2"/>
  <c r="D4772" i="2"/>
  <c r="I4771" i="2"/>
  <c r="D4771" i="2"/>
  <c r="G4771" i="2" s="1"/>
  <c r="I4770" i="2"/>
  <c r="D4770" i="2"/>
  <c r="I4769" i="2"/>
  <c r="D4769" i="2"/>
  <c r="I4768" i="2"/>
  <c r="D4768" i="2"/>
  <c r="I4767" i="2"/>
  <c r="D4767" i="2"/>
  <c r="H4767" i="2" s="1"/>
  <c r="I4766" i="2"/>
  <c r="D4766" i="2"/>
  <c r="F4766" i="2" s="1"/>
  <c r="I4765" i="2"/>
  <c r="D4765" i="2"/>
  <c r="I4764" i="2"/>
  <c r="D4764" i="2"/>
  <c r="G4764" i="2" s="1"/>
  <c r="I4763" i="2"/>
  <c r="D4763" i="2"/>
  <c r="I4762" i="2"/>
  <c r="D4762" i="2"/>
  <c r="I4761" i="2"/>
  <c r="D4761" i="2"/>
  <c r="I4760" i="2"/>
  <c r="D4760" i="2"/>
  <c r="I4759" i="2"/>
  <c r="D4759" i="2"/>
  <c r="I4758" i="2"/>
  <c r="D4758" i="2"/>
  <c r="I4757" i="2"/>
  <c r="D4757" i="2"/>
  <c r="F4757" i="2" s="1"/>
  <c r="I4756" i="2"/>
  <c r="D4756" i="2"/>
  <c r="I4755" i="2"/>
  <c r="D4755" i="2"/>
  <c r="I4754" i="2"/>
  <c r="D4754" i="2"/>
  <c r="I4753" i="2"/>
  <c r="D4753" i="2"/>
  <c r="I4752" i="2"/>
  <c r="D4752" i="2"/>
  <c r="G4752" i="2" s="1"/>
  <c r="I4751" i="2"/>
  <c r="D4751" i="2"/>
  <c r="F4751" i="2" s="1"/>
  <c r="I4750" i="2"/>
  <c r="D4750" i="2"/>
  <c r="I4749" i="2"/>
  <c r="D4749" i="2"/>
  <c r="I4748" i="2"/>
  <c r="D4748" i="2"/>
  <c r="I4747" i="2"/>
  <c r="D4747" i="2"/>
  <c r="G4747" i="2" s="1"/>
  <c r="I4746" i="2"/>
  <c r="D4746" i="2"/>
  <c r="I4745" i="2"/>
  <c r="D4745" i="2"/>
  <c r="I4744" i="2"/>
  <c r="D4744" i="2"/>
  <c r="H4744" i="2" s="1"/>
  <c r="I4743" i="2"/>
  <c r="D4743" i="2"/>
  <c r="I4742" i="2"/>
  <c r="D4742" i="2"/>
  <c r="I4741" i="2"/>
  <c r="D4741" i="2"/>
  <c r="F4741" i="2" s="1"/>
  <c r="I4740" i="2"/>
  <c r="D4740" i="2"/>
  <c r="H4740" i="2" s="1"/>
  <c r="I4739" i="2"/>
  <c r="D4739" i="2"/>
  <c r="H4739" i="2" s="1"/>
  <c r="I4738" i="2"/>
  <c r="D4738" i="2"/>
  <c r="I4737" i="2"/>
  <c r="D4737" i="2"/>
  <c r="H4737" i="2" s="1"/>
  <c r="I4736" i="2"/>
  <c r="D4736" i="2"/>
  <c r="I4735" i="2"/>
  <c r="D4735" i="2"/>
  <c r="H4735" i="2" s="1"/>
  <c r="I4734" i="2"/>
  <c r="D4734" i="2"/>
  <c r="I4733" i="2"/>
  <c r="D4733" i="2"/>
  <c r="I4732" i="2"/>
  <c r="D4732" i="2"/>
  <c r="H4732" i="2" s="1"/>
  <c r="I4731" i="2"/>
  <c r="D4731" i="2"/>
  <c r="G4731" i="2" s="1"/>
  <c r="I4730" i="2"/>
  <c r="D4730" i="2"/>
  <c r="I4729" i="2"/>
  <c r="D4729" i="2"/>
  <c r="I4728" i="2"/>
  <c r="D4728" i="2"/>
  <c r="I4727" i="2"/>
  <c r="D4727" i="2"/>
  <c r="H4727" i="2" s="1"/>
  <c r="I4726" i="2"/>
  <c r="D4726" i="2"/>
  <c r="F4726" i="2" s="1"/>
  <c r="I4725" i="2"/>
  <c r="D4725" i="2"/>
  <c r="F4725" i="2" s="1"/>
  <c r="I4724" i="2"/>
  <c r="D4724" i="2"/>
  <c r="I4723" i="2"/>
  <c r="D4723" i="2"/>
  <c r="I4722" i="2"/>
  <c r="D4722" i="2"/>
  <c r="I4721" i="2"/>
  <c r="D4721" i="2"/>
  <c r="H4721" i="2" s="1"/>
  <c r="I4720" i="2"/>
  <c r="D4720" i="2"/>
  <c r="H4720" i="2" s="1"/>
  <c r="I4719" i="2"/>
  <c r="D4719" i="2"/>
  <c r="I4718" i="2"/>
  <c r="D4718" i="2"/>
  <c r="I4717" i="2"/>
  <c r="D4717" i="2"/>
  <c r="F4717" i="2" s="1"/>
  <c r="I4716" i="2"/>
  <c r="D4716" i="2"/>
  <c r="F4716" i="2" s="1"/>
  <c r="I4715" i="2"/>
  <c r="D4715" i="2"/>
  <c r="I4714" i="2"/>
  <c r="D4714" i="2"/>
  <c r="I4713" i="2"/>
  <c r="D4713" i="2"/>
  <c r="I4712" i="2"/>
  <c r="D4712" i="2"/>
  <c r="I4711" i="2"/>
  <c r="D4711" i="2"/>
  <c r="I4710" i="2"/>
  <c r="D4710" i="2"/>
  <c r="G4710" i="2" s="1"/>
  <c r="I4709" i="2"/>
  <c r="D4709" i="2"/>
  <c r="F4709" i="2" s="1"/>
  <c r="I4708" i="2"/>
  <c r="D4708" i="2"/>
  <c r="I4707" i="2"/>
  <c r="D4707" i="2"/>
  <c r="H4707" i="2" s="1"/>
  <c r="I4706" i="2"/>
  <c r="D4706" i="2"/>
  <c r="I4705" i="2"/>
  <c r="D4705" i="2"/>
  <c r="I4704" i="2"/>
  <c r="D4704" i="2"/>
  <c r="G4704" i="2" s="1"/>
  <c r="I4703" i="2"/>
  <c r="D4703" i="2"/>
  <c r="I4702" i="2"/>
  <c r="D4702" i="2"/>
  <c r="I4701" i="2"/>
  <c r="D4701" i="2"/>
  <c r="F4701" i="2" s="1"/>
  <c r="I4700" i="2"/>
  <c r="D4700" i="2"/>
  <c r="I4699" i="2"/>
  <c r="D4699" i="2"/>
  <c r="F4699" i="2" s="1"/>
  <c r="I4698" i="2"/>
  <c r="D4698" i="2"/>
  <c r="I4697" i="2"/>
  <c r="D4697" i="2"/>
  <c r="I4696" i="2"/>
  <c r="D4696" i="2"/>
  <c r="I4695" i="2"/>
  <c r="D4695" i="2"/>
  <c r="I4694" i="2"/>
  <c r="D4694" i="2"/>
  <c r="H4694" i="2" s="1"/>
  <c r="I4693" i="2"/>
  <c r="D4693" i="2"/>
  <c r="F4693" i="2" s="1"/>
  <c r="I4692" i="2"/>
  <c r="D4692" i="2"/>
  <c r="I4691" i="2"/>
  <c r="D4691" i="2"/>
  <c r="G4691" i="2" s="1"/>
  <c r="I4690" i="2"/>
  <c r="D4690" i="2"/>
  <c r="I4689" i="2"/>
  <c r="D4689" i="2"/>
  <c r="H4689" i="2" s="1"/>
  <c r="I4688" i="2"/>
  <c r="D4688" i="2"/>
  <c r="H4688" i="2" s="1"/>
  <c r="I4687" i="2"/>
  <c r="D4687" i="2"/>
  <c r="G4687" i="2" s="1"/>
  <c r="I4686" i="2"/>
  <c r="D4686" i="2"/>
  <c r="I4685" i="2"/>
  <c r="D4685" i="2"/>
  <c r="F4685" i="2" s="1"/>
  <c r="I4684" i="2"/>
  <c r="D4684" i="2"/>
  <c r="I4683" i="2"/>
  <c r="D4683" i="2"/>
  <c r="H4683" i="2" s="1"/>
  <c r="I4682" i="2"/>
  <c r="D4682" i="2"/>
  <c r="I4681" i="2"/>
  <c r="D4681" i="2"/>
  <c r="H4681" i="2" s="1"/>
  <c r="I4680" i="2"/>
  <c r="D4680" i="2"/>
  <c r="I4679" i="2"/>
  <c r="D4679" i="2"/>
  <c r="F4679" i="2" s="1"/>
  <c r="I4678" i="2"/>
  <c r="D4678" i="2"/>
  <c r="I4677" i="2"/>
  <c r="D4677" i="2"/>
  <c r="F4677" i="2" s="1"/>
  <c r="I4676" i="2"/>
  <c r="D4676" i="2"/>
  <c r="F4676" i="2" s="1"/>
  <c r="I4675" i="2"/>
  <c r="D4675" i="2"/>
  <c r="H4675" i="2" s="1"/>
  <c r="I4674" i="2"/>
  <c r="D4674" i="2"/>
  <c r="I4673" i="2"/>
  <c r="D4673" i="2"/>
  <c r="I4672" i="2"/>
  <c r="D4672" i="2"/>
  <c r="G4672" i="2" s="1"/>
  <c r="I4671" i="2"/>
  <c r="D4671" i="2"/>
  <c r="I4670" i="2"/>
  <c r="D4670" i="2"/>
  <c r="I4669" i="2"/>
  <c r="D4669" i="2"/>
  <c r="F4669" i="2" s="1"/>
  <c r="I4668" i="2"/>
  <c r="D4668" i="2"/>
  <c r="H4668" i="2" s="1"/>
  <c r="I4667" i="2"/>
  <c r="D4667" i="2"/>
  <c r="H4667" i="2" s="1"/>
  <c r="I4666" i="2"/>
  <c r="D4666" i="2"/>
  <c r="I4665" i="2"/>
  <c r="D4665" i="2"/>
  <c r="G4665" i="2" s="1"/>
  <c r="I4664" i="2"/>
  <c r="D4664" i="2"/>
  <c r="H4664" i="2" s="1"/>
  <c r="I4663" i="2"/>
  <c r="D4663" i="2"/>
  <c r="H4663" i="2" s="1"/>
  <c r="I4662" i="2"/>
  <c r="D4662" i="2"/>
  <c r="H4662" i="2" s="1"/>
  <c r="I4661" i="2"/>
  <c r="D4661" i="2"/>
  <c r="F4661" i="2" s="1"/>
  <c r="I4660" i="2"/>
  <c r="D4660" i="2"/>
  <c r="G4660" i="2" s="1"/>
  <c r="I4659" i="2"/>
  <c r="D4659" i="2"/>
  <c r="I4658" i="2"/>
  <c r="D4658" i="2"/>
  <c r="I4657" i="2"/>
  <c r="D4657" i="2"/>
  <c r="I4656" i="2"/>
  <c r="D4656" i="2"/>
  <c r="H4656" i="2" s="1"/>
  <c r="I4655" i="2"/>
  <c r="D4655" i="2"/>
  <c r="G4655" i="2" s="1"/>
  <c r="I4654" i="2"/>
  <c r="D4654" i="2"/>
  <c r="I4653" i="2"/>
  <c r="D4653" i="2"/>
  <c r="F4653" i="2" s="1"/>
  <c r="I4652" i="2"/>
  <c r="D4652" i="2"/>
  <c r="I4651" i="2"/>
  <c r="D4651" i="2"/>
  <c r="H4651" i="2" s="1"/>
  <c r="I4650" i="2"/>
  <c r="D4650" i="2"/>
  <c r="I4649" i="2"/>
  <c r="D4649" i="2"/>
  <c r="G4649" i="2" s="1"/>
  <c r="I4648" i="2"/>
  <c r="D4648" i="2"/>
  <c r="I4647" i="2"/>
  <c r="D4647" i="2"/>
  <c r="I4646" i="2"/>
  <c r="D4646" i="2"/>
  <c r="G4646" i="2" s="1"/>
  <c r="I4645" i="2"/>
  <c r="D4645" i="2"/>
  <c r="F4645" i="2" s="1"/>
  <c r="I4644" i="2"/>
  <c r="D4644" i="2"/>
  <c r="I4643" i="2"/>
  <c r="D4643" i="2"/>
  <c r="I4642" i="2"/>
  <c r="D4642" i="2"/>
  <c r="I4641" i="2"/>
  <c r="D4641" i="2"/>
  <c r="I4640" i="2"/>
  <c r="D4640" i="2"/>
  <c r="I4639" i="2"/>
  <c r="D4639" i="2"/>
  <c r="I4638" i="2"/>
  <c r="D4638" i="2"/>
  <c r="F4638" i="2" s="1"/>
  <c r="I4637" i="2"/>
  <c r="D4637" i="2"/>
  <c r="F4637" i="2" s="1"/>
  <c r="I4636" i="2"/>
  <c r="D4636" i="2"/>
  <c r="H4636" i="2" s="1"/>
  <c r="I4635" i="2"/>
  <c r="D4635" i="2"/>
  <c r="I4634" i="2"/>
  <c r="D4634" i="2"/>
  <c r="I4633" i="2"/>
  <c r="D4633" i="2"/>
  <c r="F4633" i="2" s="1"/>
  <c r="I4632" i="2"/>
  <c r="D4632" i="2"/>
  <c r="I4631" i="2"/>
  <c r="D4631" i="2"/>
  <c r="I4630" i="2"/>
  <c r="D4630" i="2"/>
  <c r="H4630" i="2" s="1"/>
  <c r="I4629" i="2"/>
  <c r="D4629" i="2"/>
  <c r="F4629" i="2" s="1"/>
  <c r="I4628" i="2"/>
  <c r="D4628" i="2"/>
  <c r="I4627" i="2"/>
  <c r="D4627" i="2"/>
  <c r="I4626" i="2"/>
  <c r="D4626" i="2"/>
  <c r="I4625" i="2"/>
  <c r="D4625" i="2"/>
  <c r="I4624" i="2"/>
  <c r="D4624" i="2"/>
  <c r="H4624" i="2" s="1"/>
  <c r="I4623" i="2"/>
  <c r="D4623" i="2"/>
  <c r="F4623" i="2" s="1"/>
  <c r="I4622" i="2"/>
  <c r="D4622" i="2"/>
  <c r="I4621" i="2"/>
  <c r="D4621" i="2"/>
  <c r="F4621" i="2" s="1"/>
  <c r="I4620" i="2"/>
  <c r="D4620" i="2"/>
  <c r="I4619" i="2"/>
  <c r="D4619" i="2"/>
  <c r="I4618" i="2"/>
  <c r="D4618" i="2"/>
  <c r="I4617" i="2"/>
  <c r="D4617" i="2"/>
  <c r="H4617" i="2" s="1"/>
  <c r="I4616" i="2"/>
  <c r="D4616" i="2"/>
  <c r="I4615" i="2"/>
  <c r="D4615" i="2"/>
  <c r="I4614" i="2"/>
  <c r="D4614" i="2"/>
  <c r="I4613" i="2"/>
  <c r="D4613" i="2"/>
  <c r="F4613" i="2" s="1"/>
  <c r="I4612" i="2"/>
  <c r="D4612" i="2"/>
  <c r="I4611" i="2"/>
  <c r="D4611" i="2"/>
  <c r="H4611" i="2" s="1"/>
  <c r="I4610" i="2"/>
  <c r="D4610" i="2"/>
  <c r="I4609" i="2"/>
  <c r="D4609" i="2"/>
  <c r="H4609" i="2" s="1"/>
  <c r="I4608" i="2"/>
  <c r="D4608" i="2"/>
  <c r="G4608" i="2" s="1"/>
  <c r="I4607" i="2"/>
  <c r="D4607" i="2"/>
  <c r="H4607" i="2" s="1"/>
  <c r="I4606" i="2"/>
  <c r="D4606" i="2"/>
  <c r="F4606" i="2" s="1"/>
  <c r="I4605" i="2"/>
  <c r="D4605" i="2"/>
  <c r="F4605" i="2" s="1"/>
  <c r="I4604" i="2"/>
  <c r="D4604" i="2"/>
  <c r="I4603" i="2"/>
  <c r="D4603" i="2"/>
  <c r="I4602" i="2"/>
  <c r="D4602" i="2"/>
  <c r="I4601" i="2"/>
  <c r="D4601" i="2"/>
  <c r="G4601" i="2" s="1"/>
  <c r="I4600" i="2"/>
  <c r="D4600" i="2"/>
  <c r="H4600" i="2" s="1"/>
  <c r="I4599" i="2"/>
  <c r="D4599" i="2"/>
  <c r="G4599" i="2" s="1"/>
  <c r="I4598" i="2"/>
  <c r="D4598" i="2"/>
  <c r="H4598" i="2" s="1"/>
  <c r="I4597" i="2"/>
  <c r="D4597" i="2"/>
  <c r="F4597" i="2" s="1"/>
  <c r="I4596" i="2"/>
  <c r="D4596" i="2"/>
  <c r="I4595" i="2"/>
  <c r="D4595" i="2"/>
  <c r="I4594" i="2"/>
  <c r="D4594" i="2"/>
  <c r="I4593" i="2"/>
  <c r="D4593" i="2"/>
  <c r="H4593" i="2" s="1"/>
  <c r="I4592" i="2"/>
  <c r="D4592" i="2"/>
  <c r="H4592" i="2" s="1"/>
  <c r="I4591" i="2"/>
  <c r="D4591" i="2"/>
  <c r="I4590" i="2"/>
  <c r="D4590" i="2"/>
  <c r="I4589" i="2"/>
  <c r="D4589" i="2"/>
  <c r="F4589" i="2" s="1"/>
  <c r="I4588" i="2"/>
  <c r="D4588" i="2"/>
  <c r="I4587" i="2"/>
  <c r="D4587" i="2"/>
  <c r="G4587" i="2" s="1"/>
  <c r="I4586" i="2"/>
  <c r="D4586" i="2"/>
  <c r="I4585" i="2"/>
  <c r="D4585" i="2"/>
  <c r="I4584" i="2"/>
  <c r="D4584" i="2"/>
  <c r="H4584" i="2" s="1"/>
  <c r="I4583" i="2"/>
  <c r="D4583" i="2"/>
  <c r="H4583" i="2" s="1"/>
  <c r="I4582" i="2"/>
  <c r="D4582" i="2"/>
  <c r="H4582" i="2" s="1"/>
  <c r="I4581" i="2"/>
  <c r="D4581" i="2"/>
  <c r="I4580" i="2"/>
  <c r="D4580" i="2"/>
  <c r="I4579" i="2"/>
  <c r="D4579" i="2"/>
  <c r="G4579" i="2" s="1"/>
  <c r="I4578" i="2"/>
  <c r="D4578" i="2"/>
  <c r="H4578" i="2" s="1"/>
  <c r="I4577" i="2"/>
  <c r="D4577" i="2"/>
  <c r="I4576" i="2"/>
  <c r="D4576" i="2"/>
  <c r="H4576" i="2" s="1"/>
  <c r="I4575" i="2"/>
  <c r="D4575" i="2"/>
  <c r="G4575" i="2" s="1"/>
  <c r="I4574" i="2"/>
  <c r="D4574" i="2"/>
  <c r="I4573" i="2"/>
  <c r="D4573" i="2"/>
  <c r="F4573" i="2" s="1"/>
  <c r="I4572" i="2"/>
  <c r="D4572" i="2"/>
  <c r="I4571" i="2"/>
  <c r="D4571" i="2"/>
  <c r="H4571" i="2" s="1"/>
  <c r="I4570" i="2"/>
  <c r="D4570" i="2"/>
  <c r="I4569" i="2"/>
  <c r="D4569" i="2"/>
  <c r="H4569" i="2" s="1"/>
  <c r="I4568" i="2"/>
  <c r="D4568" i="2"/>
  <c r="H4568" i="2" s="1"/>
  <c r="I4567" i="2"/>
  <c r="D4567" i="2"/>
  <c r="I4566" i="2"/>
  <c r="D4566" i="2"/>
  <c r="I4565" i="2"/>
  <c r="D4565" i="2"/>
  <c r="I4564" i="2"/>
  <c r="D4564" i="2"/>
  <c r="H4564" i="2" s="1"/>
  <c r="I4563" i="2"/>
  <c r="D4563" i="2"/>
  <c r="I4562" i="2"/>
  <c r="D4562" i="2"/>
  <c r="H4562" i="2" s="1"/>
  <c r="I4561" i="2"/>
  <c r="D4561" i="2"/>
  <c r="I4560" i="2"/>
  <c r="D4560" i="2"/>
  <c r="I4559" i="2"/>
  <c r="D4559" i="2"/>
  <c r="I4558" i="2"/>
  <c r="D4558" i="2"/>
  <c r="I4557" i="2"/>
  <c r="D4557" i="2"/>
  <c r="F4557" i="2" s="1"/>
  <c r="I4556" i="2"/>
  <c r="D4556" i="2"/>
  <c r="H4556" i="2" s="1"/>
  <c r="I4555" i="2"/>
  <c r="D4555" i="2"/>
  <c r="I4554" i="2"/>
  <c r="D4554" i="2"/>
  <c r="I4553" i="2"/>
  <c r="D4553" i="2"/>
  <c r="G4553" i="2" s="1"/>
  <c r="I4552" i="2"/>
  <c r="D4552" i="2"/>
  <c r="H4552" i="2" s="1"/>
  <c r="I4551" i="2"/>
  <c r="D4551" i="2"/>
  <c r="I4550" i="2"/>
  <c r="D4550" i="2"/>
  <c r="H4550" i="2" s="1"/>
  <c r="I4549" i="2"/>
  <c r="D4549" i="2"/>
  <c r="I4548" i="2"/>
  <c r="D4548" i="2"/>
  <c r="I4547" i="2"/>
  <c r="D4547" i="2"/>
  <c r="H4547" i="2" s="1"/>
  <c r="I4546" i="2"/>
  <c r="D4546" i="2"/>
  <c r="H4546" i="2" s="1"/>
  <c r="I4545" i="2"/>
  <c r="D4545" i="2"/>
  <c r="I4544" i="2"/>
  <c r="D4544" i="2"/>
  <c r="G4544" i="2" s="1"/>
  <c r="I4543" i="2"/>
  <c r="D4543" i="2"/>
  <c r="I4542" i="2"/>
  <c r="D4542" i="2"/>
  <c r="G4542" i="2" s="1"/>
  <c r="I4541" i="2"/>
  <c r="D4541" i="2"/>
  <c r="F4541" i="2" s="1"/>
  <c r="I4540" i="2"/>
  <c r="D4540" i="2"/>
  <c r="I4539" i="2"/>
  <c r="D4539" i="2"/>
  <c r="H4539" i="2" s="1"/>
  <c r="I4538" i="2"/>
  <c r="D4538" i="2"/>
  <c r="I4537" i="2"/>
  <c r="D4537" i="2"/>
  <c r="H4537" i="2" s="1"/>
  <c r="I4536" i="2"/>
  <c r="D4536" i="2"/>
  <c r="H4536" i="2" s="1"/>
  <c r="I4535" i="2"/>
  <c r="D4535" i="2"/>
  <c r="I4534" i="2"/>
  <c r="D4534" i="2"/>
  <c r="I4533" i="2"/>
  <c r="D4533" i="2"/>
  <c r="G4533" i="2" s="1"/>
  <c r="I4532" i="2"/>
  <c r="D4532" i="2"/>
  <c r="I4531" i="2"/>
  <c r="D4531" i="2"/>
  <c r="H4531" i="2" s="1"/>
  <c r="I4530" i="2"/>
  <c r="D4530" i="2"/>
  <c r="F4530" i="2" s="1"/>
  <c r="I4529" i="2"/>
  <c r="D4529" i="2"/>
  <c r="I4528" i="2"/>
  <c r="D4528" i="2"/>
  <c r="G4528" i="2" s="1"/>
  <c r="I4527" i="2"/>
  <c r="D4527" i="2"/>
  <c r="H4527" i="2" s="1"/>
  <c r="I4526" i="2"/>
  <c r="D4526" i="2"/>
  <c r="G4526" i="2" s="1"/>
  <c r="I4525" i="2"/>
  <c r="D4525" i="2"/>
  <c r="I4524" i="2"/>
  <c r="D4524" i="2"/>
  <c r="G4524" i="2" s="1"/>
  <c r="I4523" i="2"/>
  <c r="D4523" i="2"/>
  <c r="I4522" i="2"/>
  <c r="D4522" i="2"/>
  <c r="I4521" i="2"/>
  <c r="D4521" i="2"/>
  <c r="I4520" i="2"/>
  <c r="D4520" i="2"/>
  <c r="H4520" i="2" s="1"/>
  <c r="I4519" i="2"/>
  <c r="D4519" i="2"/>
  <c r="G4519" i="2" s="1"/>
  <c r="I4518" i="2"/>
  <c r="D4518" i="2"/>
  <c r="H4518" i="2" s="1"/>
  <c r="I4517" i="2"/>
  <c r="D4517" i="2"/>
  <c r="G4517" i="2" s="1"/>
  <c r="I4516" i="2"/>
  <c r="D4516" i="2"/>
  <c r="G4516" i="2" s="1"/>
  <c r="I4515" i="2"/>
  <c r="D4515" i="2"/>
  <c r="I4514" i="2"/>
  <c r="D4514" i="2"/>
  <c r="F4514" i="2" s="1"/>
  <c r="I4513" i="2"/>
  <c r="D4513" i="2"/>
  <c r="I4512" i="2"/>
  <c r="D4512" i="2"/>
  <c r="G4512" i="2" s="1"/>
  <c r="I4511" i="2"/>
  <c r="D4511" i="2"/>
  <c r="H4511" i="2" s="1"/>
  <c r="I4510" i="2"/>
  <c r="D4510" i="2"/>
  <c r="F4510" i="2" s="1"/>
  <c r="I4509" i="2"/>
  <c r="D4509" i="2"/>
  <c r="H4509" i="2" s="1"/>
  <c r="I4508" i="2"/>
  <c r="D4508" i="2"/>
  <c r="G4508" i="2" s="1"/>
  <c r="I4507" i="2"/>
  <c r="D4507" i="2"/>
  <c r="I4506" i="2"/>
  <c r="D4506" i="2"/>
  <c r="I4505" i="2"/>
  <c r="D4505" i="2"/>
  <c r="I4504" i="2"/>
  <c r="D4504" i="2"/>
  <c r="H4504" i="2" s="1"/>
  <c r="I4503" i="2"/>
  <c r="D4503" i="2"/>
  <c r="I4502" i="2"/>
  <c r="D4502" i="2"/>
  <c r="G4502" i="2" s="1"/>
  <c r="I4501" i="2"/>
  <c r="D4501" i="2"/>
  <c r="G4501" i="2" s="1"/>
  <c r="I4500" i="2"/>
  <c r="D4500" i="2"/>
  <c r="G4500" i="2" s="1"/>
  <c r="I4499" i="2"/>
  <c r="D4499" i="2"/>
  <c r="I4498" i="2"/>
  <c r="D4498" i="2"/>
  <c r="F4498" i="2" s="1"/>
  <c r="I4497" i="2"/>
  <c r="D4497" i="2"/>
  <c r="I4496" i="2"/>
  <c r="D4496" i="2"/>
  <c r="I4495" i="2"/>
  <c r="D4495" i="2"/>
  <c r="H4495" i="2" s="1"/>
  <c r="I4494" i="2"/>
  <c r="D4494" i="2"/>
  <c r="I4493" i="2"/>
  <c r="D4493" i="2"/>
  <c r="H4493" i="2" s="1"/>
  <c r="I4492" i="2"/>
  <c r="D4492" i="2"/>
  <c r="I4491" i="2"/>
  <c r="D4491" i="2"/>
  <c r="I4490" i="2"/>
  <c r="D4490" i="2"/>
  <c r="I4489" i="2"/>
  <c r="D4489" i="2"/>
  <c r="G4489" i="2" s="1"/>
  <c r="I4488" i="2"/>
  <c r="D4488" i="2"/>
  <c r="H4488" i="2" s="1"/>
  <c r="I4487" i="2"/>
  <c r="D4487" i="2"/>
  <c r="I4486" i="2"/>
  <c r="D4486" i="2"/>
  <c r="H4486" i="2" s="1"/>
  <c r="I4485" i="2"/>
  <c r="D4485" i="2"/>
  <c r="I4484" i="2"/>
  <c r="D4484" i="2"/>
  <c r="I4483" i="2"/>
  <c r="D4483" i="2"/>
  <c r="I4482" i="2"/>
  <c r="D4482" i="2"/>
  <c r="F4482" i="2" s="1"/>
  <c r="I4481" i="2"/>
  <c r="D4481" i="2"/>
  <c r="G4481" i="2" s="1"/>
  <c r="I4480" i="2"/>
  <c r="D4480" i="2"/>
  <c r="I4479" i="2"/>
  <c r="D4479" i="2"/>
  <c r="H4479" i="2" s="1"/>
  <c r="I4478" i="2"/>
  <c r="D4478" i="2"/>
  <c r="I4477" i="2"/>
  <c r="D4477" i="2"/>
  <c r="G4477" i="2" s="1"/>
  <c r="I4476" i="2"/>
  <c r="D4476" i="2"/>
  <c r="I4475" i="2"/>
  <c r="D4475" i="2"/>
  <c r="I4474" i="2"/>
  <c r="D4474" i="2"/>
  <c r="I4473" i="2"/>
  <c r="D4473" i="2"/>
  <c r="I4472" i="2"/>
  <c r="D4472" i="2"/>
  <c r="I4471" i="2"/>
  <c r="D4471" i="2"/>
  <c r="I4470" i="2"/>
  <c r="D4470" i="2"/>
  <c r="G4470" i="2" s="1"/>
  <c r="I4469" i="2"/>
  <c r="D4469" i="2"/>
  <c r="I4468" i="2"/>
  <c r="D4468" i="2"/>
  <c r="I4467" i="2"/>
  <c r="D4467" i="2"/>
  <c r="H4467" i="2" s="1"/>
  <c r="I4466" i="2"/>
  <c r="D4466" i="2"/>
  <c r="I4465" i="2"/>
  <c r="D4465" i="2"/>
  <c r="I4464" i="2"/>
  <c r="D4464" i="2"/>
  <c r="G4464" i="2" s="1"/>
  <c r="I4463" i="2"/>
  <c r="D4463" i="2"/>
  <c r="I4462" i="2"/>
  <c r="D4462" i="2"/>
  <c r="G4462" i="2" s="1"/>
  <c r="I4461" i="2"/>
  <c r="D4461" i="2"/>
  <c r="I4460" i="2"/>
  <c r="D4460" i="2"/>
  <c r="I4459" i="2"/>
  <c r="D4459" i="2"/>
  <c r="G4459" i="2" s="1"/>
  <c r="I4458" i="2"/>
  <c r="D4458" i="2"/>
  <c r="I4457" i="2"/>
  <c r="D4457" i="2"/>
  <c r="G4457" i="2" s="1"/>
  <c r="I4456" i="2"/>
  <c r="D4456" i="2"/>
  <c r="H4456" i="2" s="1"/>
  <c r="I4455" i="2"/>
  <c r="D4455" i="2"/>
  <c r="I4454" i="2"/>
  <c r="D4454" i="2"/>
  <c r="G4454" i="2" s="1"/>
  <c r="I4453" i="2"/>
  <c r="D4453" i="2"/>
  <c r="F4453" i="2" s="1"/>
  <c r="I4452" i="2"/>
  <c r="D4452" i="2"/>
  <c r="G4452" i="2" s="1"/>
  <c r="I4451" i="2"/>
  <c r="D4451" i="2"/>
  <c r="I4450" i="2"/>
  <c r="D4450" i="2"/>
  <c r="I4449" i="2"/>
  <c r="D4449" i="2"/>
  <c r="G4449" i="2" s="1"/>
  <c r="I4448" i="2"/>
  <c r="D4448" i="2"/>
  <c r="I4447" i="2"/>
  <c r="D4447" i="2"/>
  <c r="G4447" i="2" s="1"/>
  <c r="I4446" i="2"/>
  <c r="D4446" i="2"/>
  <c r="I4445" i="2"/>
  <c r="D4445" i="2"/>
  <c r="I4444" i="2"/>
  <c r="D4444" i="2"/>
  <c r="I4443" i="2"/>
  <c r="D4443" i="2"/>
  <c r="I4442" i="2"/>
  <c r="D4442" i="2"/>
  <c r="H4442" i="2" s="1"/>
  <c r="I4441" i="2"/>
  <c r="D4441" i="2"/>
  <c r="G4441" i="2" s="1"/>
  <c r="I4440" i="2"/>
  <c r="D4440" i="2"/>
  <c r="I4439" i="2"/>
  <c r="D4439" i="2"/>
  <c r="I4438" i="2"/>
  <c r="D4438" i="2"/>
  <c r="G4438" i="2" s="1"/>
  <c r="I4437" i="2"/>
  <c r="D4437" i="2"/>
  <c r="I4436" i="2"/>
  <c r="D4436" i="2"/>
  <c r="G4436" i="2" s="1"/>
  <c r="I4435" i="2"/>
  <c r="D4435" i="2"/>
  <c r="I4434" i="2"/>
  <c r="D4434" i="2"/>
  <c r="G4434" i="2" s="1"/>
  <c r="I4433" i="2"/>
  <c r="D4433" i="2"/>
  <c r="I4432" i="2"/>
  <c r="D4432" i="2"/>
  <c r="I4431" i="2"/>
  <c r="D4431" i="2"/>
  <c r="I4430" i="2"/>
  <c r="D4430" i="2"/>
  <c r="G4430" i="2" s="1"/>
  <c r="I4429" i="2"/>
  <c r="D4429" i="2"/>
  <c r="F4429" i="2" s="1"/>
  <c r="I4428" i="2"/>
  <c r="D4428" i="2"/>
  <c r="G4428" i="2" s="1"/>
  <c r="I4427" i="2"/>
  <c r="D4427" i="2"/>
  <c r="I4426" i="2"/>
  <c r="D4426" i="2"/>
  <c r="H4426" i="2" s="1"/>
  <c r="I4425" i="2"/>
  <c r="D4425" i="2"/>
  <c r="G4425" i="2" s="1"/>
  <c r="I4424" i="2"/>
  <c r="D4424" i="2"/>
  <c r="I4423" i="2"/>
  <c r="D4423" i="2"/>
  <c r="I4422" i="2"/>
  <c r="D4422" i="2"/>
  <c r="G4422" i="2" s="1"/>
  <c r="I4421" i="2"/>
  <c r="D4421" i="2"/>
  <c r="F4421" i="2" s="1"/>
  <c r="I4420" i="2"/>
  <c r="D4420" i="2"/>
  <c r="G4420" i="2" s="1"/>
  <c r="I4419" i="2"/>
  <c r="D4419" i="2"/>
  <c r="I4418" i="2"/>
  <c r="D4418" i="2"/>
  <c r="H4418" i="2" s="1"/>
  <c r="I4417" i="2"/>
  <c r="D4417" i="2"/>
  <c r="I4416" i="2"/>
  <c r="D4416" i="2"/>
  <c r="I4415" i="2"/>
  <c r="D4415" i="2"/>
  <c r="G4415" i="2" s="1"/>
  <c r="I4414" i="2"/>
  <c r="D4414" i="2"/>
  <c r="G4414" i="2" s="1"/>
  <c r="I4413" i="2"/>
  <c r="D4413" i="2"/>
  <c r="F4413" i="2" s="1"/>
  <c r="I4412" i="2"/>
  <c r="D4412" i="2"/>
  <c r="G4412" i="2" s="1"/>
  <c r="I4411" i="2"/>
  <c r="D4411" i="2"/>
  <c r="I4410" i="2"/>
  <c r="D4410" i="2"/>
  <c r="I4409" i="2"/>
  <c r="D4409" i="2"/>
  <c r="I4408" i="2"/>
  <c r="D4408" i="2"/>
  <c r="G4408" i="2" s="1"/>
  <c r="I4407" i="2"/>
  <c r="D4407" i="2"/>
  <c r="G4407" i="2" s="1"/>
  <c r="I4406" i="2"/>
  <c r="D4406" i="2"/>
  <c r="G4406" i="2" s="1"/>
  <c r="I4405" i="2"/>
  <c r="D4405" i="2"/>
  <c r="F4405" i="2" s="1"/>
  <c r="I4404" i="2"/>
  <c r="D4404" i="2"/>
  <c r="G4404" i="2" s="1"/>
  <c r="I4403" i="2"/>
  <c r="D4403" i="2"/>
  <c r="I4402" i="2"/>
  <c r="D4402" i="2"/>
  <c r="I4401" i="2"/>
  <c r="D4401" i="2"/>
  <c r="I4400" i="2"/>
  <c r="D4400" i="2"/>
  <c r="I4399" i="2"/>
  <c r="D4399" i="2"/>
  <c r="G4399" i="2" s="1"/>
  <c r="I4398" i="2"/>
  <c r="D4398" i="2"/>
  <c r="G4398" i="2" s="1"/>
  <c r="I4397" i="2"/>
  <c r="D4397" i="2"/>
  <c r="F4397" i="2" s="1"/>
  <c r="I4396" i="2"/>
  <c r="D4396" i="2"/>
  <c r="G4396" i="2" s="1"/>
  <c r="I4395" i="2"/>
  <c r="D4395" i="2"/>
  <c r="I4394" i="2"/>
  <c r="D4394" i="2"/>
  <c r="H4394" i="2" s="1"/>
  <c r="I4393" i="2"/>
  <c r="D4393" i="2"/>
  <c r="G4393" i="2" s="1"/>
  <c r="I4392" i="2"/>
  <c r="D4392" i="2"/>
  <c r="I4391" i="2"/>
  <c r="D4391" i="2"/>
  <c r="I4390" i="2"/>
  <c r="D4390" i="2"/>
  <c r="G4390" i="2" s="1"/>
  <c r="I4389" i="2"/>
  <c r="D4389" i="2"/>
  <c r="F4389" i="2" s="1"/>
  <c r="I4388" i="2"/>
  <c r="D4388" i="2"/>
  <c r="G4388" i="2" s="1"/>
  <c r="I4387" i="2"/>
  <c r="D4387" i="2"/>
  <c r="I4386" i="2"/>
  <c r="D4386" i="2"/>
  <c r="I4385" i="2"/>
  <c r="D4385" i="2"/>
  <c r="G4385" i="2" s="1"/>
  <c r="I4384" i="2"/>
  <c r="D4384" i="2"/>
  <c r="F4384" i="2" s="1"/>
  <c r="I4383" i="2"/>
  <c r="D4383" i="2"/>
  <c r="G4383" i="2" s="1"/>
  <c r="I4382" i="2"/>
  <c r="D4382" i="2"/>
  <c r="I4381" i="2"/>
  <c r="D4381" i="2"/>
  <c r="I4380" i="2"/>
  <c r="D4380" i="2"/>
  <c r="I4379" i="2"/>
  <c r="D4379" i="2"/>
  <c r="I4378" i="2"/>
  <c r="D4378" i="2"/>
  <c r="H4378" i="2" s="1"/>
  <c r="I4377" i="2"/>
  <c r="D4377" i="2"/>
  <c r="G4377" i="2" s="1"/>
  <c r="I4376" i="2"/>
  <c r="D4376" i="2"/>
  <c r="I4375" i="2"/>
  <c r="D4375" i="2"/>
  <c r="I4374" i="2"/>
  <c r="D4374" i="2"/>
  <c r="I4373" i="2"/>
  <c r="D4373" i="2"/>
  <c r="I4372" i="2"/>
  <c r="D4372" i="2"/>
  <c r="I4371" i="2"/>
  <c r="D4371" i="2"/>
  <c r="I4370" i="2"/>
  <c r="D4370" i="2"/>
  <c r="I4369" i="2"/>
  <c r="D4369" i="2"/>
  <c r="I4368" i="2"/>
  <c r="D4368" i="2"/>
  <c r="I4367" i="2"/>
  <c r="D4367" i="2"/>
  <c r="I4366" i="2"/>
  <c r="D4366" i="2"/>
  <c r="G4366" i="2" s="1"/>
  <c r="I4365" i="2"/>
  <c r="D4365" i="2"/>
  <c r="F4365" i="2" s="1"/>
  <c r="I4364" i="2"/>
  <c r="D4364" i="2"/>
  <c r="G4364" i="2" s="1"/>
  <c r="I4363" i="2"/>
  <c r="D4363" i="2"/>
  <c r="I4362" i="2"/>
  <c r="D4362" i="2"/>
  <c r="H4362" i="2" s="1"/>
  <c r="I4361" i="2"/>
  <c r="D4361" i="2"/>
  <c r="G4361" i="2" s="1"/>
  <c r="I4360" i="2"/>
  <c r="D4360" i="2"/>
  <c r="I4359" i="2"/>
  <c r="D4359" i="2"/>
  <c r="I4358" i="2"/>
  <c r="D4358" i="2"/>
  <c r="G4358" i="2" s="1"/>
  <c r="I4357" i="2"/>
  <c r="D4357" i="2"/>
  <c r="F4357" i="2" s="1"/>
  <c r="I4356" i="2"/>
  <c r="D4356" i="2"/>
  <c r="G4356" i="2" s="1"/>
  <c r="I4355" i="2"/>
  <c r="D4355" i="2"/>
  <c r="I4354" i="2"/>
  <c r="D4354" i="2"/>
  <c r="I4353" i="2"/>
  <c r="D4353" i="2"/>
  <c r="I4352" i="2"/>
  <c r="D4352" i="2"/>
  <c r="I4351" i="2"/>
  <c r="D4351" i="2"/>
  <c r="G4351" i="2" s="1"/>
  <c r="I4350" i="2"/>
  <c r="D4350" i="2"/>
  <c r="G4350" i="2" s="1"/>
  <c r="I4349" i="2"/>
  <c r="D4349" i="2"/>
  <c r="F4349" i="2" s="1"/>
  <c r="I4348" i="2"/>
  <c r="D4348" i="2"/>
  <c r="G4348" i="2" s="1"/>
  <c r="I4347" i="2"/>
  <c r="D4347" i="2"/>
  <c r="I4346" i="2"/>
  <c r="D4346" i="2"/>
  <c r="I4345" i="2"/>
  <c r="D4345" i="2"/>
  <c r="I4344" i="2"/>
  <c r="D4344" i="2"/>
  <c r="I4343" i="2"/>
  <c r="D4343" i="2"/>
  <c r="G4343" i="2" s="1"/>
  <c r="I4342" i="2"/>
  <c r="D4342" i="2"/>
  <c r="G4342" i="2" s="1"/>
  <c r="I4341" i="2"/>
  <c r="D4341" i="2"/>
  <c r="F4341" i="2" s="1"/>
  <c r="I4340" i="2"/>
  <c r="D4340" i="2"/>
  <c r="G4340" i="2" s="1"/>
  <c r="I4339" i="2"/>
  <c r="D4339" i="2"/>
  <c r="I4338" i="2"/>
  <c r="D4338" i="2"/>
  <c r="G4338" i="2" s="1"/>
  <c r="I4337" i="2"/>
  <c r="D4337" i="2"/>
  <c r="I4336" i="2"/>
  <c r="D4336" i="2"/>
  <c r="I4335" i="2"/>
  <c r="D4335" i="2"/>
  <c r="G4335" i="2" s="1"/>
  <c r="I4334" i="2"/>
  <c r="D4334" i="2"/>
  <c r="G4334" i="2" s="1"/>
  <c r="I4333" i="2"/>
  <c r="D4333" i="2"/>
  <c r="F4333" i="2" s="1"/>
  <c r="I4332" i="2"/>
  <c r="D4332" i="2"/>
  <c r="G4332" i="2" s="1"/>
  <c r="I4331" i="2"/>
  <c r="D4331" i="2"/>
  <c r="I4330" i="2"/>
  <c r="D4330" i="2"/>
  <c r="I4329" i="2"/>
  <c r="D4329" i="2"/>
  <c r="G4329" i="2" s="1"/>
  <c r="I4328" i="2"/>
  <c r="D4328" i="2"/>
  <c r="I4327" i="2"/>
  <c r="D4327" i="2"/>
  <c r="I4326" i="2"/>
  <c r="D4326" i="2"/>
  <c r="G4326" i="2" s="1"/>
  <c r="I4325" i="2"/>
  <c r="D4325" i="2"/>
  <c r="F4325" i="2" s="1"/>
  <c r="I4324" i="2"/>
  <c r="D4324" i="2"/>
  <c r="G4324" i="2" s="1"/>
  <c r="I4323" i="2"/>
  <c r="D4323" i="2"/>
  <c r="I4322" i="2"/>
  <c r="D4322" i="2"/>
  <c r="G4322" i="2" s="1"/>
  <c r="I4321" i="2"/>
  <c r="D4321" i="2"/>
  <c r="G4321" i="2" s="1"/>
  <c r="I4320" i="2"/>
  <c r="D4320" i="2"/>
  <c r="G4320" i="2" s="1"/>
  <c r="I4319" i="2"/>
  <c r="D4319" i="2"/>
  <c r="H4319" i="2" s="1"/>
  <c r="I4318" i="2"/>
  <c r="D4318" i="2"/>
  <c r="I4317" i="2"/>
  <c r="D4317" i="2"/>
  <c r="F4317" i="2" s="1"/>
  <c r="I4316" i="2"/>
  <c r="D4316" i="2"/>
  <c r="I4315" i="2"/>
  <c r="D4315" i="2"/>
  <c r="I4314" i="2"/>
  <c r="D4314" i="2"/>
  <c r="H4314" i="2" s="1"/>
  <c r="I4313" i="2"/>
  <c r="D4313" i="2"/>
  <c r="I4312" i="2"/>
  <c r="D4312" i="2"/>
  <c r="I4311" i="2"/>
  <c r="D4311" i="2"/>
  <c r="I4310" i="2"/>
  <c r="D4310" i="2"/>
  <c r="G4310" i="2" s="1"/>
  <c r="I4309" i="2"/>
  <c r="D4309" i="2"/>
  <c r="I4308" i="2"/>
  <c r="D4308" i="2"/>
  <c r="I4307" i="2"/>
  <c r="D4307" i="2"/>
  <c r="I4306" i="2"/>
  <c r="D4306" i="2"/>
  <c r="I4305" i="2"/>
  <c r="D4305" i="2"/>
  <c r="I4304" i="2"/>
  <c r="D4304" i="2"/>
  <c r="G4304" i="2" s="1"/>
  <c r="I4303" i="2"/>
  <c r="D4303" i="2"/>
  <c r="H4303" i="2" s="1"/>
  <c r="I4302" i="2"/>
  <c r="D4302" i="2"/>
  <c r="I4301" i="2"/>
  <c r="D4301" i="2"/>
  <c r="F4301" i="2" s="1"/>
  <c r="I4300" i="2"/>
  <c r="D4300" i="2"/>
  <c r="I4299" i="2"/>
  <c r="D4299" i="2"/>
  <c r="I4298" i="2"/>
  <c r="D4298" i="2"/>
  <c r="I4297" i="2"/>
  <c r="D4297" i="2"/>
  <c r="I4296" i="2"/>
  <c r="D4296" i="2"/>
  <c r="G4296" i="2" s="1"/>
  <c r="I4295" i="2"/>
  <c r="D4295" i="2"/>
  <c r="I4294" i="2"/>
  <c r="D4294" i="2"/>
  <c r="G4294" i="2" s="1"/>
  <c r="I4293" i="2"/>
  <c r="D4293" i="2"/>
  <c r="I4292" i="2"/>
  <c r="D4292" i="2"/>
  <c r="I4291" i="2"/>
  <c r="D4291" i="2"/>
  <c r="I4290" i="2"/>
  <c r="D4290" i="2"/>
  <c r="H4290" i="2" s="1"/>
  <c r="I4289" i="2"/>
  <c r="D4289" i="2"/>
  <c r="G4289" i="2" s="1"/>
  <c r="I4288" i="2"/>
  <c r="D4288" i="2"/>
  <c r="I4287" i="2"/>
  <c r="D4287" i="2"/>
  <c r="H4287" i="2" s="1"/>
  <c r="I4286" i="2"/>
  <c r="D4286" i="2"/>
  <c r="I4285" i="2"/>
  <c r="D4285" i="2"/>
  <c r="I4284" i="2"/>
  <c r="D4284" i="2"/>
  <c r="G4284" i="2" s="1"/>
  <c r="I4283" i="2"/>
  <c r="D4283" i="2"/>
  <c r="G4283" i="2" s="1"/>
  <c r="I4282" i="2"/>
  <c r="D4282" i="2"/>
  <c r="I4281" i="2"/>
  <c r="D4281" i="2"/>
  <c r="G4281" i="2" s="1"/>
  <c r="I4280" i="2"/>
  <c r="D4280" i="2"/>
  <c r="I4279" i="2"/>
  <c r="D4279" i="2"/>
  <c r="H4279" i="2" s="1"/>
  <c r="I4278" i="2"/>
  <c r="D4278" i="2"/>
  <c r="G4278" i="2" s="1"/>
  <c r="I4277" i="2"/>
  <c r="D4277" i="2"/>
  <c r="I4276" i="2"/>
  <c r="D4276" i="2"/>
  <c r="I4275" i="2"/>
  <c r="D4275" i="2"/>
  <c r="I4274" i="2"/>
  <c r="D4274" i="2"/>
  <c r="I4273" i="2"/>
  <c r="D4273" i="2"/>
  <c r="I4272" i="2"/>
  <c r="D4272" i="2"/>
  <c r="G4272" i="2" s="1"/>
  <c r="I4271" i="2"/>
  <c r="D4271" i="2"/>
  <c r="H4271" i="2" s="1"/>
  <c r="I4270" i="2"/>
  <c r="D4270" i="2"/>
  <c r="I4269" i="2"/>
  <c r="D4269" i="2"/>
  <c r="F4269" i="2" s="1"/>
  <c r="I4268" i="2"/>
  <c r="D4268" i="2"/>
  <c r="I4267" i="2"/>
  <c r="D4267" i="2"/>
  <c r="G4267" i="2" s="1"/>
  <c r="I4266" i="2"/>
  <c r="D4266" i="2"/>
  <c r="H4266" i="2" s="1"/>
  <c r="I4265" i="2"/>
  <c r="D4265" i="2"/>
  <c r="G4265" i="2" s="1"/>
  <c r="I4264" i="2"/>
  <c r="D4264" i="2"/>
  <c r="I4263" i="2"/>
  <c r="D4263" i="2"/>
  <c r="H4263" i="2" s="1"/>
  <c r="I4262" i="2"/>
  <c r="D4262" i="2"/>
  <c r="G4262" i="2" s="1"/>
  <c r="I4261" i="2"/>
  <c r="D4261" i="2"/>
  <c r="F4261" i="2" s="1"/>
  <c r="I4260" i="2"/>
  <c r="D4260" i="2"/>
  <c r="G4260" i="2" s="1"/>
  <c r="I4259" i="2"/>
  <c r="D4259" i="2"/>
  <c r="I4258" i="2"/>
  <c r="D4258" i="2"/>
  <c r="I4257" i="2"/>
  <c r="D4257" i="2"/>
  <c r="I4256" i="2"/>
  <c r="D4256" i="2"/>
  <c r="I4255" i="2"/>
  <c r="D4255" i="2"/>
  <c r="H4255" i="2" s="1"/>
  <c r="I4254" i="2"/>
  <c r="D4254" i="2"/>
  <c r="I4253" i="2"/>
  <c r="D4253" i="2"/>
  <c r="F4253" i="2" s="1"/>
  <c r="I4252" i="2"/>
  <c r="D4252" i="2"/>
  <c r="G4252" i="2" s="1"/>
  <c r="I4251" i="2"/>
  <c r="D4251" i="2"/>
  <c r="G4251" i="2" s="1"/>
  <c r="I4250" i="2"/>
  <c r="D4250" i="2"/>
  <c r="I4249" i="2"/>
  <c r="D4249" i="2"/>
  <c r="G4249" i="2" s="1"/>
  <c r="I4248" i="2"/>
  <c r="D4248" i="2"/>
  <c r="I4247" i="2"/>
  <c r="D4247" i="2"/>
  <c r="I4246" i="2"/>
  <c r="D4246" i="2"/>
  <c r="I4245" i="2"/>
  <c r="D4245" i="2"/>
  <c r="I4244" i="2"/>
  <c r="D4244" i="2"/>
  <c r="G4244" i="2" s="1"/>
  <c r="I4243" i="2"/>
  <c r="D4243" i="2"/>
  <c r="I4242" i="2"/>
  <c r="D4242" i="2"/>
  <c r="G4242" i="2" s="1"/>
  <c r="I4241" i="2"/>
  <c r="D4241" i="2"/>
  <c r="I4240" i="2"/>
  <c r="D4240" i="2"/>
  <c r="I4239" i="2"/>
  <c r="D4239" i="2"/>
  <c r="I4238" i="2"/>
  <c r="D4238" i="2"/>
  <c r="G4238" i="2" s="1"/>
  <c r="I4237" i="2"/>
  <c r="D4237" i="2"/>
  <c r="I4236" i="2"/>
  <c r="D4236" i="2"/>
  <c r="I4235" i="2"/>
  <c r="D4235" i="2"/>
  <c r="I4234" i="2"/>
  <c r="D4234" i="2"/>
  <c r="I4233" i="2"/>
  <c r="D4233" i="2"/>
  <c r="I4232" i="2"/>
  <c r="D4232" i="2"/>
  <c r="G4232" i="2" s="1"/>
  <c r="I4231" i="2"/>
  <c r="D4231" i="2"/>
  <c r="H4231" i="2" s="1"/>
  <c r="I4230" i="2"/>
  <c r="D4230" i="2"/>
  <c r="H4230" i="2" s="1"/>
  <c r="I4229" i="2"/>
  <c r="D4229" i="2"/>
  <c r="F4229" i="2" s="1"/>
  <c r="I4228" i="2"/>
  <c r="D4228" i="2"/>
  <c r="I4227" i="2"/>
  <c r="D4227" i="2"/>
  <c r="G4227" i="2" s="1"/>
  <c r="I4226" i="2"/>
  <c r="D4226" i="2"/>
  <c r="I4225" i="2"/>
  <c r="D4225" i="2"/>
  <c r="G4225" i="2" s="1"/>
  <c r="I4224" i="2"/>
  <c r="D4224" i="2"/>
  <c r="G4224" i="2" s="1"/>
  <c r="I4223" i="2"/>
  <c r="D4223" i="2"/>
  <c r="I4222" i="2"/>
  <c r="D4222" i="2"/>
  <c r="H4222" i="2" s="1"/>
  <c r="I4221" i="2"/>
  <c r="D4221" i="2"/>
  <c r="I4220" i="2"/>
  <c r="D4220" i="2"/>
  <c r="G4220" i="2" s="1"/>
  <c r="I4219" i="2"/>
  <c r="D4219" i="2"/>
  <c r="G4219" i="2" s="1"/>
  <c r="I4218" i="2"/>
  <c r="D4218" i="2"/>
  <c r="I4217" i="2"/>
  <c r="D4217" i="2"/>
  <c r="G4217" i="2" s="1"/>
  <c r="I4216" i="2"/>
  <c r="D4216" i="2"/>
  <c r="I4215" i="2"/>
  <c r="D4215" i="2"/>
  <c r="I4214" i="2"/>
  <c r="D4214" i="2"/>
  <c r="I4213" i="2"/>
  <c r="D4213" i="2"/>
  <c r="I4212" i="2"/>
  <c r="D4212" i="2"/>
  <c r="G4212" i="2" s="1"/>
  <c r="I4211" i="2"/>
  <c r="D4211" i="2"/>
  <c r="I4210" i="2"/>
  <c r="D4210" i="2"/>
  <c r="H4210" i="2" s="1"/>
  <c r="I4209" i="2"/>
  <c r="D4209" i="2"/>
  <c r="I4208" i="2"/>
  <c r="D4208" i="2"/>
  <c r="I4207" i="2"/>
  <c r="D4207" i="2"/>
  <c r="I4206" i="2"/>
  <c r="D4206" i="2"/>
  <c r="H4206" i="2" s="1"/>
  <c r="I4205" i="2"/>
  <c r="D4205" i="2"/>
  <c r="I4204" i="2"/>
  <c r="D4204" i="2"/>
  <c r="I4203" i="2"/>
  <c r="D4203" i="2"/>
  <c r="G4203" i="2" s="1"/>
  <c r="I4202" i="2"/>
  <c r="D4202" i="2"/>
  <c r="H4202" i="2" s="1"/>
  <c r="I4201" i="2"/>
  <c r="D4201" i="2"/>
  <c r="G4201" i="2" s="1"/>
  <c r="I4200" i="2"/>
  <c r="D4200" i="2"/>
  <c r="G4200" i="2" s="1"/>
  <c r="I4199" i="2"/>
  <c r="D4199" i="2"/>
  <c r="I4198" i="2"/>
  <c r="D4198" i="2"/>
  <c r="H4198" i="2" s="1"/>
  <c r="I4197" i="2"/>
  <c r="D4197" i="2"/>
  <c r="I4196" i="2"/>
  <c r="D4196" i="2"/>
  <c r="G4196" i="2" s="1"/>
  <c r="I4195" i="2"/>
  <c r="D4195" i="2"/>
  <c r="I4194" i="2"/>
  <c r="D4194" i="2"/>
  <c r="I4193" i="2"/>
  <c r="D4193" i="2"/>
  <c r="I4192" i="2"/>
  <c r="D4192" i="2"/>
  <c r="I4191" i="2"/>
  <c r="D4191" i="2"/>
  <c r="I4190" i="2"/>
  <c r="D4190" i="2"/>
  <c r="I4189" i="2"/>
  <c r="D4189" i="2"/>
  <c r="I4188" i="2"/>
  <c r="D4188" i="2"/>
  <c r="I4187" i="2"/>
  <c r="D4187" i="2"/>
  <c r="G4187" i="2" s="1"/>
  <c r="I4186" i="2"/>
  <c r="D4186" i="2"/>
  <c r="I4185" i="2"/>
  <c r="D4185" i="2"/>
  <c r="G4185" i="2" s="1"/>
  <c r="I4184" i="2"/>
  <c r="D4184" i="2"/>
  <c r="G4184" i="2" s="1"/>
  <c r="I4183" i="2"/>
  <c r="D4183" i="2"/>
  <c r="I4182" i="2"/>
  <c r="D4182" i="2"/>
  <c r="I4181" i="2"/>
  <c r="D4181" i="2"/>
  <c r="I4180" i="2"/>
  <c r="D4180" i="2"/>
  <c r="H4180" i="2" s="1"/>
  <c r="I4179" i="2"/>
  <c r="D4179" i="2"/>
  <c r="H4179" i="2" s="1"/>
  <c r="I4178" i="2"/>
  <c r="D4178" i="2"/>
  <c r="I4177" i="2"/>
  <c r="D4177" i="2"/>
  <c r="G4177" i="2" s="1"/>
  <c r="I4176" i="2"/>
  <c r="D4176" i="2"/>
  <c r="H4176" i="2" s="1"/>
  <c r="I4175" i="2"/>
  <c r="D4175" i="2"/>
  <c r="I4174" i="2"/>
  <c r="D4174" i="2"/>
  <c r="I4173" i="2"/>
  <c r="D4173" i="2"/>
  <c r="F4173" i="2" s="1"/>
  <c r="I4172" i="2"/>
  <c r="D4172" i="2"/>
  <c r="I4171" i="2"/>
  <c r="D4171" i="2"/>
  <c r="I4170" i="2"/>
  <c r="D4170" i="2"/>
  <c r="H4170" i="2" s="1"/>
  <c r="I4169" i="2"/>
  <c r="D4169" i="2"/>
  <c r="H4169" i="2" s="1"/>
  <c r="I4168" i="2"/>
  <c r="D4168" i="2"/>
  <c r="I4167" i="2"/>
  <c r="D4167" i="2"/>
  <c r="I4166" i="2"/>
  <c r="D4166" i="2"/>
  <c r="I4165" i="2"/>
  <c r="D4165" i="2"/>
  <c r="I4164" i="2"/>
  <c r="D4164" i="2"/>
  <c r="I4163" i="2"/>
  <c r="D4163" i="2"/>
  <c r="I4162" i="2"/>
  <c r="D4162" i="2"/>
  <c r="H4162" i="2" s="1"/>
  <c r="I4161" i="2"/>
  <c r="D4161" i="2"/>
  <c r="I4160" i="2"/>
  <c r="D4160" i="2"/>
  <c r="G4160" i="2" s="1"/>
  <c r="I4159" i="2"/>
  <c r="D4159" i="2"/>
  <c r="I4158" i="2"/>
  <c r="D4158" i="2"/>
  <c r="I4157" i="2"/>
  <c r="D4157" i="2"/>
  <c r="G4157" i="2" s="1"/>
  <c r="I4156" i="2"/>
  <c r="D4156" i="2"/>
  <c r="H4156" i="2" s="1"/>
  <c r="I4155" i="2"/>
  <c r="D4155" i="2"/>
  <c r="G4155" i="2" s="1"/>
  <c r="I4154" i="2"/>
  <c r="D4154" i="2"/>
  <c r="I4153" i="2"/>
  <c r="D4153" i="2"/>
  <c r="I4152" i="2"/>
  <c r="D4152" i="2"/>
  <c r="I4151" i="2"/>
  <c r="D4151" i="2"/>
  <c r="I4150" i="2"/>
  <c r="D4150" i="2"/>
  <c r="I4149" i="2"/>
  <c r="D4149" i="2"/>
  <c r="F4149" i="2" s="1"/>
  <c r="I4148" i="2"/>
  <c r="D4148" i="2"/>
  <c r="I4147" i="2"/>
  <c r="D4147" i="2"/>
  <c r="I4146" i="2"/>
  <c r="D4146" i="2"/>
  <c r="G4146" i="2" s="1"/>
  <c r="I4145" i="2"/>
  <c r="D4145" i="2"/>
  <c r="G4145" i="2" s="1"/>
  <c r="I4144" i="2"/>
  <c r="D4144" i="2"/>
  <c r="G4144" i="2" s="1"/>
  <c r="I4143" i="2"/>
  <c r="D4143" i="2"/>
  <c r="I4142" i="2"/>
  <c r="D4142" i="2"/>
  <c r="I4141" i="2"/>
  <c r="D4141" i="2"/>
  <c r="I4140" i="2"/>
  <c r="D4140" i="2"/>
  <c r="F4140" i="2" s="1"/>
  <c r="I4139" i="2"/>
  <c r="D4139" i="2"/>
  <c r="H4139" i="2" s="1"/>
  <c r="I4138" i="2"/>
  <c r="D4138" i="2"/>
  <c r="I4137" i="2"/>
  <c r="D4137" i="2"/>
  <c r="I4136" i="2"/>
  <c r="D4136" i="2"/>
  <c r="H4136" i="2" s="1"/>
  <c r="I4135" i="2"/>
  <c r="D4135" i="2"/>
  <c r="H4135" i="2" s="1"/>
  <c r="I4134" i="2"/>
  <c r="D4134" i="2"/>
  <c r="I4133" i="2"/>
  <c r="D4133" i="2"/>
  <c r="G4133" i="2" s="1"/>
  <c r="I4132" i="2"/>
  <c r="D4132" i="2"/>
  <c r="G4132" i="2" s="1"/>
  <c r="I4131" i="2"/>
  <c r="D4131" i="2"/>
  <c r="I4130" i="2"/>
  <c r="D4130" i="2"/>
  <c r="G4130" i="2" s="1"/>
  <c r="I4129" i="2"/>
  <c r="D4129" i="2"/>
  <c r="H4129" i="2" s="1"/>
  <c r="I4128" i="2"/>
  <c r="D4128" i="2"/>
  <c r="I4127" i="2"/>
  <c r="D4127" i="2"/>
  <c r="I4126" i="2"/>
  <c r="D4126" i="2"/>
  <c r="I4125" i="2"/>
  <c r="D4125" i="2"/>
  <c r="F4125" i="2" s="1"/>
  <c r="I4124" i="2"/>
  <c r="D4124" i="2"/>
  <c r="I4123" i="2"/>
  <c r="D4123" i="2"/>
  <c r="I4122" i="2"/>
  <c r="D4122" i="2"/>
  <c r="G4122" i="2" s="1"/>
  <c r="I4121" i="2"/>
  <c r="D4121" i="2"/>
  <c r="I4120" i="2"/>
  <c r="D4120" i="2"/>
  <c r="H4120" i="2" s="1"/>
  <c r="I4119" i="2"/>
  <c r="D4119" i="2"/>
  <c r="H4119" i="2" s="1"/>
  <c r="I4118" i="2"/>
  <c r="D4118" i="2"/>
  <c r="H4118" i="2" s="1"/>
  <c r="I4117" i="2"/>
  <c r="D4117" i="2"/>
  <c r="H4117" i="2" s="1"/>
  <c r="I4116" i="2"/>
  <c r="D4116" i="2"/>
  <c r="H4116" i="2" s="1"/>
  <c r="I4115" i="2"/>
  <c r="D4115" i="2"/>
  <c r="I4114" i="2"/>
  <c r="D4114" i="2"/>
  <c r="I4113" i="2"/>
  <c r="D4113" i="2"/>
  <c r="G4113" i="2" s="1"/>
  <c r="I4112" i="2"/>
  <c r="D4112" i="2"/>
  <c r="I4111" i="2"/>
  <c r="D4111" i="2"/>
  <c r="H4111" i="2" s="1"/>
  <c r="I4110" i="2"/>
  <c r="D4110" i="2"/>
  <c r="I4109" i="2"/>
  <c r="D4109" i="2"/>
  <c r="I4108" i="2"/>
  <c r="D4108" i="2"/>
  <c r="G4108" i="2" s="1"/>
  <c r="I4107" i="2"/>
  <c r="D4107" i="2"/>
  <c r="F4107" i="2" s="1"/>
  <c r="I4106" i="2"/>
  <c r="D4106" i="2"/>
  <c r="I4105" i="2"/>
  <c r="D4105" i="2"/>
  <c r="I4104" i="2"/>
  <c r="D4104" i="2"/>
  <c r="G4104" i="2" s="1"/>
  <c r="I4103" i="2"/>
  <c r="D4103" i="2"/>
  <c r="I4102" i="2"/>
  <c r="D4102" i="2"/>
  <c r="F4102" i="2" s="1"/>
  <c r="I4101" i="2"/>
  <c r="D4101" i="2"/>
  <c r="I4100" i="2"/>
  <c r="D4100" i="2"/>
  <c r="G4100" i="2" s="1"/>
  <c r="I4099" i="2"/>
  <c r="D4099" i="2"/>
  <c r="H4099" i="2" s="1"/>
  <c r="I4098" i="2"/>
  <c r="D4098" i="2"/>
  <c r="H4098" i="2" s="1"/>
  <c r="I4097" i="2"/>
  <c r="D4097" i="2"/>
  <c r="I4096" i="2"/>
  <c r="D4096" i="2"/>
  <c r="I4095" i="2"/>
  <c r="D4095" i="2"/>
  <c r="F4095" i="2" s="1"/>
  <c r="I4094" i="2"/>
  <c r="D4094" i="2"/>
  <c r="G4094" i="2" s="1"/>
  <c r="I4093" i="2"/>
  <c r="D4093" i="2"/>
  <c r="H4093" i="2" s="1"/>
  <c r="I4092" i="2"/>
  <c r="D4092" i="2"/>
  <c r="H4092" i="2" s="1"/>
  <c r="I4091" i="2"/>
  <c r="D4091" i="2"/>
  <c r="I4090" i="2"/>
  <c r="D4090" i="2"/>
  <c r="I4089" i="2"/>
  <c r="D4089" i="2"/>
  <c r="I4088" i="2"/>
  <c r="D4088" i="2"/>
  <c r="G4088" i="2" s="1"/>
  <c r="I4087" i="2"/>
  <c r="D4087" i="2"/>
  <c r="I4086" i="2"/>
  <c r="D4086" i="2"/>
  <c r="I4085" i="2"/>
  <c r="D4085" i="2"/>
  <c r="F4085" i="2" s="1"/>
  <c r="I4084" i="2"/>
  <c r="D4084" i="2"/>
  <c r="I4083" i="2"/>
  <c r="D4083" i="2"/>
  <c r="I4082" i="2"/>
  <c r="D4082" i="2"/>
  <c r="H4082" i="2" s="1"/>
  <c r="I4081" i="2"/>
  <c r="D4081" i="2"/>
  <c r="I4080" i="2"/>
  <c r="D4080" i="2"/>
  <c r="G4080" i="2" s="1"/>
  <c r="I4079" i="2"/>
  <c r="D4079" i="2"/>
  <c r="I4078" i="2"/>
  <c r="D4078" i="2"/>
  <c r="G4078" i="2" s="1"/>
  <c r="I4077" i="2"/>
  <c r="D4077" i="2"/>
  <c r="F4077" i="2" s="1"/>
  <c r="I4076" i="2"/>
  <c r="D4076" i="2"/>
  <c r="H4076" i="2" s="1"/>
  <c r="I4075" i="2"/>
  <c r="D4075" i="2"/>
  <c r="I4074" i="2"/>
  <c r="D4074" i="2"/>
  <c r="I4073" i="2"/>
  <c r="D4073" i="2"/>
  <c r="I4072" i="2"/>
  <c r="D4072" i="2"/>
  <c r="I4071" i="2"/>
  <c r="D4071" i="2"/>
  <c r="I4070" i="2"/>
  <c r="D4070" i="2"/>
  <c r="I4069" i="2"/>
  <c r="D4069" i="2"/>
  <c r="I4068" i="2"/>
  <c r="D4068" i="2"/>
  <c r="H4068" i="2" s="1"/>
  <c r="I4067" i="2"/>
  <c r="D4067" i="2"/>
  <c r="I4066" i="2"/>
  <c r="D4066" i="2"/>
  <c r="I4065" i="2"/>
  <c r="D4065" i="2"/>
  <c r="I4064" i="2"/>
  <c r="D4064" i="2"/>
  <c r="I4063" i="2"/>
  <c r="D4063" i="2"/>
  <c r="I4062" i="2"/>
  <c r="D4062" i="2"/>
  <c r="I4061" i="2"/>
  <c r="D4061" i="2"/>
  <c r="I4060" i="2"/>
  <c r="D4060" i="2"/>
  <c r="I4059" i="2"/>
  <c r="D4059" i="2"/>
  <c r="I4058" i="2"/>
  <c r="D4058" i="2"/>
  <c r="H4058" i="2" s="1"/>
  <c r="I4057" i="2"/>
  <c r="D4057" i="2"/>
  <c r="I4056" i="2"/>
  <c r="D4056" i="2"/>
  <c r="G4056" i="2" s="1"/>
  <c r="I4055" i="2"/>
  <c r="D4055" i="2"/>
  <c r="I4054" i="2"/>
  <c r="D4054" i="2"/>
  <c r="G4054" i="2" s="1"/>
  <c r="I4053" i="2"/>
  <c r="D4053" i="2"/>
  <c r="I4052" i="2"/>
  <c r="D4052" i="2"/>
  <c r="I4051" i="2"/>
  <c r="D4051" i="2"/>
  <c r="I4050" i="2"/>
  <c r="D4050" i="2"/>
  <c r="I4049" i="2"/>
  <c r="D4049" i="2"/>
  <c r="I4048" i="2"/>
  <c r="D4048" i="2"/>
  <c r="I4047" i="2"/>
  <c r="D4047" i="2"/>
  <c r="I4046" i="2"/>
  <c r="D4046" i="2"/>
  <c r="I4045" i="2"/>
  <c r="D4045" i="2"/>
  <c r="I4044" i="2"/>
  <c r="D4044" i="2"/>
  <c r="F4044" i="2" s="1"/>
  <c r="I4043" i="2"/>
  <c r="D4043" i="2"/>
  <c r="I4042" i="2"/>
  <c r="D4042" i="2"/>
  <c r="H4042" i="2" s="1"/>
  <c r="I4041" i="2"/>
  <c r="D4041" i="2"/>
  <c r="F4041" i="2" s="1"/>
  <c r="I4040" i="2"/>
  <c r="D4040" i="2"/>
  <c r="I4039" i="2"/>
  <c r="D4039" i="2"/>
  <c r="H4039" i="2" s="1"/>
  <c r="I4038" i="2"/>
  <c r="D4038" i="2"/>
  <c r="I4037" i="2"/>
  <c r="D4037" i="2"/>
  <c r="I4036" i="2"/>
  <c r="D4036" i="2"/>
  <c r="I4035" i="2"/>
  <c r="D4035" i="2"/>
  <c r="I4034" i="2"/>
  <c r="D4034" i="2"/>
  <c r="H4034" i="2" s="1"/>
  <c r="I4033" i="2"/>
  <c r="D4033" i="2"/>
  <c r="G4033" i="2" s="1"/>
  <c r="I4032" i="2"/>
  <c r="D4032" i="2"/>
  <c r="G4032" i="2" s="1"/>
  <c r="I4031" i="2"/>
  <c r="D4031" i="2"/>
  <c r="I4030" i="2"/>
  <c r="D4030" i="2"/>
  <c r="H4030" i="2" s="1"/>
  <c r="I4029" i="2"/>
  <c r="D4029" i="2"/>
  <c r="I4028" i="2"/>
  <c r="D4028" i="2"/>
  <c r="F4028" i="2" s="1"/>
  <c r="I4027" i="2"/>
  <c r="D4027" i="2"/>
  <c r="F4027" i="2" s="1"/>
  <c r="I4026" i="2"/>
  <c r="D4026" i="2"/>
  <c r="I4025" i="2"/>
  <c r="D4025" i="2"/>
  <c r="F4025" i="2" s="1"/>
  <c r="I4024" i="2"/>
  <c r="D4024" i="2"/>
  <c r="I4023" i="2"/>
  <c r="D4023" i="2"/>
  <c r="H4023" i="2" s="1"/>
  <c r="I4022" i="2"/>
  <c r="D4022" i="2"/>
  <c r="I4021" i="2"/>
  <c r="D4021" i="2"/>
  <c r="F4021" i="2" s="1"/>
  <c r="I4020" i="2"/>
  <c r="D4020" i="2"/>
  <c r="H4020" i="2" s="1"/>
  <c r="I4019" i="2"/>
  <c r="D4019" i="2"/>
  <c r="I4018" i="2"/>
  <c r="D4018" i="2"/>
  <c r="H4018" i="2" s="1"/>
  <c r="I4017" i="2"/>
  <c r="D4017" i="2"/>
  <c r="I4016" i="2"/>
  <c r="D4016" i="2"/>
  <c r="G4016" i="2" s="1"/>
  <c r="I4015" i="2"/>
  <c r="D4015" i="2"/>
  <c r="F4015" i="2" s="1"/>
  <c r="I4014" i="2"/>
  <c r="D4014" i="2"/>
  <c r="I4013" i="2"/>
  <c r="D4013" i="2"/>
  <c r="F4013" i="2" s="1"/>
  <c r="I4012" i="2"/>
  <c r="D4012" i="2"/>
  <c r="F4012" i="2" s="1"/>
  <c r="I4011" i="2"/>
  <c r="D4011" i="2"/>
  <c r="H4011" i="2" s="1"/>
  <c r="I4010" i="2"/>
  <c r="D4010" i="2"/>
  <c r="I4009" i="2"/>
  <c r="D4009" i="2"/>
  <c r="F4009" i="2" s="1"/>
  <c r="I4008" i="2"/>
  <c r="D4008" i="2"/>
  <c r="G4008" i="2" s="1"/>
  <c r="I4007" i="2"/>
  <c r="D4007" i="2"/>
  <c r="H4007" i="2" s="1"/>
  <c r="I4006" i="2"/>
  <c r="D4006" i="2"/>
  <c r="I4005" i="2"/>
  <c r="D4005" i="2"/>
  <c r="F4005" i="2" s="1"/>
  <c r="I4004" i="2"/>
  <c r="D4004" i="2"/>
  <c r="I4003" i="2"/>
  <c r="D4003" i="2"/>
  <c r="H4003" i="2" s="1"/>
  <c r="I4002" i="2"/>
  <c r="D4002" i="2"/>
  <c r="I4001" i="2"/>
  <c r="D4001" i="2"/>
  <c r="I4000" i="2"/>
  <c r="D4000" i="2"/>
  <c r="I3999" i="2"/>
  <c r="D3999" i="2"/>
  <c r="G3999" i="2" s="1"/>
  <c r="I3998" i="2"/>
  <c r="D3998" i="2"/>
  <c r="I3997" i="2"/>
  <c r="D3997" i="2"/>
  <c r="F3997" i="2" s="1"/>
  <c r="I3996" i="2"/>
  <c r="D3996" i="2"/>
  <c r="I3995" i="2"/>
  <c r="D3995" i="2"/>
  <c r="H3995" i="2" s="1"/>
  <c r="I3994" i="2"/>
  <c r="D3994" i="2"/>
  <c r="H3994" i="2" s="1"/>
  <c r="I3993" i="2"/>
  <c r="D3993" i="2"/>
  <c r="F3993" i="2" s="1"/>
  <c r="I3992" i="2"/>
  <c r="D3992" i="2"/>
  <c r="G3992" i="2" s="1"/>
  <c r="I3991" i="2"/>
  <c r="D3991" i="2"/>
  <c r="I3990" i="2"/>
  <c r="D3990" i="2"/>
  <c r="I3989" i="2"/>
  <c r="D3989" i="2"/>
  <c r="F3989" i="2" s="1"/>
  <c r="I3988" i="2"/>
  <c r="D3988" i="2"/>
  <c r="F3988" i="2" s="1"/>
  <c r="I3987" i="2"/>
  <c r="D3987" i="2"/>
  <c r="H3987" i="2" s="1"/>
  <c r="I3986" i="2"/>
  <c r="D3986" i="2"/>
  <c r="I3985" i="2"/>
  <c r="D3985" i="2"/>
  <c r="F3985" i="2" s="1"/>
  <c r="I3984" i="2"/>
  <c r="D3984" i="2"/>
  <c r="G3984" i="2" s="1"/>
  <c r="I3983" i="2"/>
  <c r="D3983" i="2"/>
  <c r="I3982" i="2"/>
  <c r="D3982" i="2"/>
  <c r="I3981" i="2"/>
  <c r="D3981" i="2"/>
  <c r="F3981" i="2" s="1"/>
  <c r="I3980" i="2"/>
  <c r="D3980" i="2"/>
  <c r="I3979" i="2"/>
  <c r="D3979" i="2"/>
  <c r="H3979" i="2" s="1"/>
  <c r="I3978" i="2"/>
  <c r="D3978" i="2"/>
  <c r="I3977" i="2"/>
  <c r="D3977" i="2"/>
  <c r="I3976" i="2"/>
  <c r="D3976" i="2"/>
  <c r="I3975" i="2"/>
  <c r="D3975" i="2"/>
  <c r="I3974" i="2"/>
  <c r="D3974" i="2"/>
  <c r="I3973" i="2"/>
  <c r="D3973" i="2"/>
  <c r="F3973" i="2" s="1"/>
  <c r="I3972" i="2"/>
  <c r="D3972" i="2"/>
  <c r="G3972" i="2" s="1"/>
  <c r="I3971" i="2"/>
  <c r="D3971" i="2"/>
  <c r="I3970" i="2"/>
  <c r="D3970" i="2"/>
  <c r="F3970" i="2" s="1"/>
  <c r="I3969" i="2"/>
  <c r="D3969" i="2"/>
  <c r="I3968" i="2"/>
  <c r="D3968" i="2"/>
  <c r="F3968" i="2" s="1"/>
  <c r="I3967" i="2"/>
  <c r="D3967" i="2"/>
  <c r="F3967" i="2" s="1"/>
  <c r="I3966" i="2"/>
  <c r="D3966" i="2"/>
  <c r="I3965" i="2"/>
  <c r="D3965" i="2"/>
  <c r="F3965" i="2" s="1"/>
  <c r="I3964" i="2"/>
  <c r="D3964" i="2"/>
  <c r="I3963" i="2"/>
  <c r="D3963" i="2"/>
  <c r="I3962" i="2"/>
  <c r="D3962" i="2"/>
  <c r="H3962" i="2" s="1"/>
  <c r="I3961" i="2"/>
  <c r="D3961" i="2"/>
  <c r="I3960" i="2"/>
  <c r="D3960" i="2"/>
  <c r="I3959" i="2"/>
  <c r="D3959" i="2"/>
  <c r="I3958" i="2"/>
  <c r="D3958" i="2"/>
  <c r="I3957" i="2"/>
  <c r="D3957" i="2"/>
  <c r="F3957" i="2" s="1"/>
  <c r="I3956" i="2"/>
  <c r="D3956" i="2"/>
  <c r="I3955" i="2"/>
  <c r="D3955" i="2"/>
  <c r="H3955" i="2" s="1"/>
  <c r="I3954" i="2"/>
  <c r="D3954" i="2"/>
  <c r="I3953" i="2"/>
  <c r="D3953" i="2"/>
  <c r="I3952" i="2"/>
  <c r="D3952" i="2"/>
  <c r="I3951" i="2"/>
  <c r="D3951" i="2"/>
  <c r="F3951" i="2" s="1"/>
  <c r="I3950" i="2"/>
  <c r="D3950" i="2"/>
  <c r="I3949" i="2"/>
  <c r="D3949" i="2"/>
  <c r="F3949" i="2" s="1"/>
  <c r="I3948" i="2"/>
  <c r="D3948" i="2"/>
  <c r="H3948" i="2" s="1"/>
  <c r="I3947" i="2"/>
  <c r="D3947" i="2"/>
  <c r="I3946" i="2"/>
  <c r="D3946" i="2"/>
  <c r="I3945" i="2"/>
  <c r="D3945" i="2"/>
  <c r="F3945" i="2" s="1"/>
  <c r="I3944" i="2"/>
  <c r="D3944" i="2"/>
  <c r="G3944" i="2" s="1"/>
  <c r="I3943" i="2"/>
  <c r="D3943" i="2"/>
  <c r="I3942" i="2"/>
  <c r="D3942" i="2"/>
  <c r="I3941" i="2"/>
  <c r="D3941" i="2"/>
  <c r="F3941" i="2" s="1"/>
  <c r="I3940" i="2"/>
  <c r="D3940" i="2"/>
  <c r="G3940" i="2" s="1"/>
  <c r="I3939" i="2"/>
  <c r="D3939" i="2"/>
  <c r="H3939" i="2" s="1"/>
  <c r="I3938" i="2"/>
  <c r="D3938" i="2"/>
  <c r="I3937" i="2"/>
  <c r="D3937" i="2"/>
  <c r="I3936" i="2"/>
  <c r="D3936" i="2"/>
  <c r="G3936" i="2" s="1"/>
  <c r="I3935" i="2"/>
  <c r="D3935" i="2"/>
  <c r="I3934" i="2"/>
  <c r="D3934" i="2"/>
  <c r="I3933" i="2"/>
  <c r="D3933" i="2"/>
  <c r="F3933" i="2" s="1"/>
  <c r="I3932" i="2"/>
  <c r="D3932" i="2"/>
  <c r="H3932" i="2" s="1"/>
  <c r="I3931" i="2"/>
  <c r="D3931" i="2"/>
  <c r="H3931" i="2" s="1"/>
  <c r="I3930" i="2"/>
  <c r="D3930" i="2"/>
  <c r="I3929" i="2"/>
  <c r="D3929" i="2"/>
  <c r="I3928" i="2"/>
  <c r="D3928" i="2"/>
  <c r="F3928" i="2" s="1"/>
  <c r="I3927" i="2"/>
  <c r="D3927" i="2"/>
  <c r="F3927" i="2" s="1"/>
  <c r="I3926" i="2"/>
  <c r="D3926" i="2"/>
  <c r="I3925" i="2"/>
  <c r="D3925" i="2"/>
  <c r="F3925" i="2" s="1"/>
  <c r="I3924" i="2"/>
  <c r="D3924" i="2"/>
  <c r="H3924" i="2" s="1"/>
  <c r="I3923" i="2"/>
  <c r="D3923" i="2"/>
  <c r="I3922" i="2"/>
  <c r="D3922" i="2"/>
  <c r="H3922" i="2" s="1"/>
  <c r="I3921" i="2"/>
  <c r="D3921" i="2"/>
  <c r="I3920" i="2"/>
  <c r="D3920" i="2"/>
  <c r="F3920" i="2" s="1"/>
  <c r="I3919" i="2"/>
  <c r="D3919" i="2"/>
  <c r="I3918" i="2"/>
  <c r="D3918" i="2"/>
  <c r="I3917" i="2"/>
  <c r="D3917" i="2"/>
  <c r="F3917" i="2" s="1"/>
  <c r="I3916" i="2"/>
  <c r="D3916" i="2"/>
  <c r="I3915" i="2"/>
  <c r="D3915" i="2"/>
  <c r="I3914" i="2"/>
  <c r="D3914" i="2"/>
  <c r="H3914" i="2" s="1"/>
  <c r="I3913" i="2"/>
  <c r="D3913" i="2"/>
  <c r="I3912" i="2"/>
  <c r="D3912" i="2"/>
  <c r="I3911" i="2"/>
  <c r="D3911" i="2"/>
  <c r="I3910" i="2"/>
  <c r="D3910" i="2"/>
  <c r="I3909" i="2"/>
  <c r="D3909" i="2"/>
  <c r="F3909" i="2" s="1"/>
  <c r="I3908" i="2"/>
  <c r="D3908" i="2"/>
  <c r="I3907" i="2"/>
  <c r="D3907" i="2"/>
  <c r="I3906" i="2"/>
  <c r="D3906" i="2"/>
  <c r="H3906" i="2" s="1"/>
  <c r="I3905" i="2"/>
  <c r="D3905" i="2"/>
  <c r="I3904" i="2"/>
  <c r="D3904" i="2"/>
  <c r="I3903" i="2"/>
  <c r="D3903" i="2"/>
  <c r="I3902" i="2"/>
  <c r="D3902" i="2"/>
  <c r="I3901" i="2"/>
  <c r="D3901" i="2"/>
  <c r="F3901" i="2" s="1"/>
  <c r="I3900" i="2"/>
  <c r="D3900" i="2"/>
  <c r="I3899" i="2"/>
  <c r="D3899" i="2"/>
  <c r="F3899" i="2" s="1"/>
  <c r="I3898" i="2"/>
  <c r="D3898" i="2"/>
  <c r="I3897" i="2"/>
  <c r="D3897" i="2"/>
  <c r="I3896" i="2"/>
  <c r="D3896" i="2"/>
  <c r="I3895" i="2"/>
  <c r="D3895" i="2"/>
  <c r="I3894" i="2"/>
  <c r="D3894" i="2"/>
  <c r="I3893" i="2"/>
  <c r="D3893" i="2"/>
  <c r="F3893" i="2" s="1"/>
  <c r="I3892" i="2"/>
  <c r="D3892" i="2"/>
  <c r="H3892" i="2" s="1"/>
  <c r="I3891" i="2"/>
  <c r="D3891" i="2"/>
  <c r="I3890" i="2"/>
  <c r="D3890" i="2"/>
  <c r="H3890" i="2" s="1"/>
  <c r="I3889" i="2"/>
  <c r="D3889" i="2"/>
  <c r="I3888" i="2"/>
  <c r="D3888" i="2"/>
  <c r="I3887" i="2"/>
  <c r="D3887" i="2"/>
  <c r="I3886" i="2"/>
  <c r="D3886" i="2"/>
  <c r="I3885" i="2"/>
  <c r="D3885" i="2"/>
  <c r="F3885" i="2" s="1"/>
  <c r="I3884" i="2"/>
  <c r="D3884" i="2"/>
  <c r="I3883" i="2"/>
  <c r="D3883" i="2"/>
  <c r="H3883" i="2" s="1"/>
  <c r="I3882" i="2"/>
  <c r="D3882" i="2"/>
  <c r="H3882" i="2" s="1"/>
  <c r="I3881" i="2"/>
  <c r="D3881" i="2"/>
  <c r="I3880" i="2"/>
  <c r="D3880" i="2"/>
  <c r="H3880" i="2" s="1"/>
  <c r="I3879" i="2"/>
  <c r="D3879" i="2"/>
  <c r="F3879" i="2" s="1"/>
  <c r="I3878" i="2"/>
  <c r="D3878" i="2"/>
  <c r="I3877" i="2"/>
  <c r="D3877" i="2"/>
  <c r="F3877" i="2" s="1"/>
  <c r="I3876" i="2"/>
  <c r="D3876" i="2"/>
  <c r="H3876" i="2" s="1"/>
  <c r="I3875" i="2"/>
  <c r="D3875" i="2"/>
  <c r="I3874" i="2"/>
  <c r="D3874" i="2"/>
  <c r="I3873" i="2"/>
  <c r="D3873" i="2"/>
  <c r="I3872" i="2"/>
  <c r="D3872" i="2"/>
  <c r="H3872" i="2" s="1"/>
  <c r="I3871" i="2"/>
  <c r="D3871" i="2"/>
  <c r="F3871" i="2" s="1"/>
  <c r="I3870" i="2"/>
  <c r="D3870" i="2"/>
  <c r="I3869" i="2"/>
  <c r="D3869" i="2"/>
  <c r="F3869" i="2" s="1"/>
  <c r="I3868" i="2"/>
  <c r="D3868" i="2"/>
  <c r="I3867" i="2"/>
  <c r="D3867" i="2"/>
  <c r="I3866" i="2"/>
  <c r="D3866" i="2"/>
  <c r="I3865" i="2"/>
  <c r="D3865" i="2"/>
  <c r="I3864" i="2"/>
  <c r="D3864" i="2"/>
  <c r="H3864" i="2" s="1"/>
  <c r="I3863" i="2"/>
  <c r="D3863" i="2"/>
  <c r="F3863" i="2" s="1"/>
  <c r="I3862" i="2"/>
  <c r="D3862" i="2"/>
  <c r="I3861" i="2"/>
  <c r="D3861" i="2"/>
  <c r="F3861" i="2" s="1"/>
  <c r="I3860" i="2"/>
  <c r="D3860" i="2"/>
  <c r="H3860" i="2" s="1"/>
  <c r="I3859" i="2"/>
  <c r="D3859" i="2"/>
  <c r="H3859" i="2" s="1"/>
  <c r="I3858" i="2"/>
  <c r="D3858" i="2"/>
  <c r="I3857" i="2"/>
  <c r="D3857" i="2"/>
  <c r="F3857" i="2" s="1"/>
  <c r="I3856" i="2"/>
  <c r="D3856" i="2"/>
  <c r="I3855" i="2"/>
  <c r="D3855" i="2"/>
  <c r="F3855" i="2" s="1"/>
  <c r="I3854" i="2"/>
  <c r="D3854" i="2"/>
  <c r="I3853" i="2"/>
  <c r="D3853" i="2"/>
  <c r="F3853" i="2" s="1"/>
  <c r="I3852" i="2"/>
  <c r="D3852" i="2"/>
  <c r="H3852" i="2" s="1"/>
  <c r="I3851" i="2"/>
  <c r="D3851" i="2"/>
  <c r="H3851" i="2" s="1"/>
  <c r="I3850" i="2"/>
  <c r="D3850" i="2"/>
  <c r="G3850" i="2" s="1"/>
  <c r="I3849" i="2"/>
  <c r="D3849" i="2"/>
  <c r="F3849" i="2" s="1"/>
  <c r="I3848" i="2"/>
  <c r="D3848" i="2"/>
  <c r="G3848" i="2" s="1"/>
  <c r="I3847" i="2"/>
  <c r="D3847" i="2"/>
  <c r="I3846" i="2"/>
  <c r="D3846" i="2"/>
  <c r="I3845" i="2"/>
  <c r="D3845" i="2"/>
  <c r="F3845" i="2" s="1"/>
  <c r="I3844" i="2"/>
  <c r="D3844" i="2"/>
  <c r="H3844" i="2" s="1"/>
  <c r="I3843" i="2"/>
  <c r="D3843" i="2"/>
  <c r="I3842" i="2"/>
  <c r="D3842" i="2"/>
  <c r="I3841" i="2"/>
  <c r="D3841" i="2"/>
  <c r="F3841" i="2" s="1"/>
  <c r="I3840" i="2"/>
  <c r="D3840" i="2"/>
  <c r="I3839" i="2"/>
  <c r="D3839" i="2"/>
  <c r="F3839" i="2" s="1"/>
  <c r="I3838" i="2"/>
  <c r="D3838" i="2"/>
  <c r="I3837" i="2"/>
  <c r="D3837" i="2"/>
  <c r="F3837" i="2" s="1"/>
  <c r="I3836" i="2"/>
  <c r="D3836" i="2"/>
  <c r="H3836" i="2" s="1"/>
  <c r="I3835" i="2"/>
  <c r="D3835" i="2"/>
  <c r="H3835" i="2" s="1"/>
  <c r="I3834" i="2"/>
  <c r="D3834" i="2"/>
  <c r="G3834" i="2" s="1"/>
  <c r="I3833" i="2"/>
  <c r="D3833" i="2"/>
  <c r="I3832" i="2"/>
  <c r="D3832" i="2"/>
  <c r="I3831" i="2"/>
  <c r="D3831" i="2"/>
  <c r="I3830" i="2"/>
  <c r="D3830" i="2"/>
  <c r="I3829" i="2"/>
  <c r="D3829" i="2"/>
  <c r="F3829" i="2" s="1"/>
  <c r="I3828" i="2"/>
  <c r="D3828" i="2"/>
  <c r="I3827" i="2"/>
  <c r="D3827" i="2"/>
  <c r="H3827" i="2" s="1"/>
  <c r="I3826" i="2"/>
  <c r="D3826" i="2"/>
  <c r="G3826" i="2" s="1"/>
  <c r="I3825" i="2"/>
  <c r="D3825" i="2"/>
  <c r="F3825" i="2" s="1"/>
  <c r="I3824" i="2"/>
  <c r="D3824" i="2"/>
  <c r="H3824" i="2" s="1"/>
  <c r="I3823" i="2"/>
  <c r="D3823" i="2"/>
  <c r="F3823" i="2" s="1"/>
  <c r="I3822" i="2"/>
  <c r="D3822" i="2"/>
  <c r="I3821" i="2"/>
  <c r="D3821" i="2"/>
  <c r="F3821" i="2" s="1"/>
  <c r="I3820" i="2"/>
  <c r="D3820" i="2"/>
  <c r="H3820" i="2" s="1"/>
  <c r="I3819" i="2"/>
  <c r="D3819" i="2"/>
  <c r="I3818" i="2"/>
  <c r="D3818" i="2"/>
  <c r="I3817" i="2"/>
  <c r="D3817" i="2"/>
  <c r="I3816" i="2"/>
  <c r="D3816" i="2"/>
  <c r="H3816" i="2" s="1"/>
  <c r="I3815" i="2"/>
  <c r="D3815" i="2"/>
  <c r="F3815" i="2" s="1"/>
  <c r="I3814" i="2"/>
  <c r="D3814" i="2"/>
  <c r="H3814" i="2" s="1"/>
  <c r="I3813" i="2"/>
  <c r="D3813" i="2"/>
  <c r="I3812" i="2"/>
  <c r="D3812" i="2"/>
  <c r="I3811" i="2"/>
  <c r="D3811" i="2"/>
  <c r="I3810" i="2"/>
  <c r="D3810" i="2"/>
  <c r="I3809" i="2"/>
  <c r="D3809" i="2"/>
  <c r="I3808" i="2"/>
  <c r="D3808" i="2"/>
  <c r="I3807" i="2"/>
  <c r="D3807" i="2"/>
  <c r="F3807" i="2" s="1"/>
  <c r="I3806" i="2"/>
  <c r="D3806" i="2"/>
  <c r="I3805" i="2"/>
  <c r="D3805" i="2"/>
  <c r="I3804" i="2"/>
  <c r="D3804" i="2"/>
  <c r="I3803" i="2"/>
  <c r="D3803" i="2"/>
  <c r="I3802" i="2"/>
  <c r="D3802" i="2"/>
  <c r="I3801" i="2"/>
  <c r="D3801" i="2"/>
  <c r="F3801" i="2" s="1"/>
  <c r="I3800" i="2"/>
  <c r="D3800" i="2"/>
  <c r="H3800" i="2" s="1"/>
  <c r="I3799" i="2"/>
  <c r="D3799" i="2"/>
  <c r="I3798" i="2"/>
  <c r="D3798" i="2"/>
  <c r="I3797" i="2"/>
  <c r="D3797" i="2"/>
  <c r="I3796" i="2"/>
  <c r="D3796" i="2"/>
  <c r="I3795" i="2"/>
  <c r="D3795" i="2"/>
  <c r="I3794" i="2"/>
  <c r="D3794" i="2"/>
  <c r="I3793" i="2"/>
  <c r="D3793" i="2"/>
  <c r="I3792" i="2"/>
  <c r="D3792" i="2"/>
  <c r="I3791" i="2"/>
  <c r="D3791" i="2"/>
  <c r="H3791" i="2" s="1"/>
  <c r="I3790" i="2"/>
  <c r="D3790" i="2"/>
  <c r="I3789" i="2"/>
  <c r="D3789" i="2"/>
  <c r="I3788" i="2"/>
  <c r="D3788" i="2"/>
  <c r="I3787" i="2"/>
  <c r="D3787" i="2"/>
  <c r="I3786" i="2"/>
  <c r="D3786" i="2"/>
  <c r="I3785" i="2"/>
  <c r="D3785" i="2"/>
  <c r="I3784" i="2"/>
  <c r="D3784" i="2"/>
  <c r="H3784" i="2" s="1"/>
  <c r="I3783" i="2"/>
  <c r="D3783" i="2"/>
  <c r="I3782" i="2"/>
  <c r="D3782" i="2"/>
  <c r="H3782" i="2" s="1"/>
  <c r="I3781" i="2"/>
  <c r="D3781" i="2"/>
  <c r="I3780" i="2"/>
  <c r="D3780" i="2"/>
  <c r="H3780" i="2" s="1"/>
  <c r="I3779" i="2"/>
  <c r="D3779" i="2"/>
  <c r="H3779" i="2" s="1"/>
  <c r="I3778" i="2"/>
  <c r="D3778" i="2"/>
  <c r="G3778" i="2" s="1"/>
  <c r="I3777" i="2"/>
  <c r="D3777" i="2"/>
  <c r="I3776" i="2"/>
  <c r="D3776" i="2"/>
  <c r="I3775" i="2"/>
  <c r="D3775" i="2"/>
  <c r="I3774" i="2"/>
  <c r="D3774" i="2"/>
  <c r="I3773" i="2"/>
  <c r="D3773" i="2"/>
  <c r="I3772" i="2"/>
  <c r="D3772" i="2"/>
  <c r="I3771" i="2"/>
  <c r="D3771" i="2"/>
  <c r="H3771" i="2" s="1"/>
  <c r="I3770" i="2"/>
  <c r="D3770" i="2"/>
  <c r="I3769" i="2"/>
  <c r="D3769" i="2"/>
  <c r="F3769" i="2" s="1"/>
  <c r="I3768" i="2"/>
  <c r="D3768" i="2"/>
  <c r="I3767" i="2"/>
  <c r="D3767" i="2"/>
  <c r="F3767" i="2" s="1"/>
  <c r="I3766" i="2"/>
  <c r="D3766" i="2"/>
  <c r="I3765" i="2"/>
  <c r="D3765" i="2"/>
  <c r="I3764" i="2"/>
  <c r="D3764" i="2"/>
  <c r="H3764" i="2" s="1"/>
  <c r="I3763" i="2"/>
  <c r="D3763" i="2"/>
  <c r="H3763" i="2" s="1"/>
  <c r="I3762" i="2"/>
  <c r="D3762" i="2"/>
  <c r="I3761" i="2"/>
  <c r="D3761" i="2"/>
  <c r="I3760" i="2"/>
  <c r="D3760" i="2"/>
  <c r="H3760" i="2" s="1"/>
  <c r="I3759" i="2"/>
  <c r="D3759" i="2"/>
  <c r="I3758" i="2"/>
  <c r="D3758" i="2"/>
  <c r="I3757" i="2"/>
  <c r="D3757" i="2"/>
  <c r="I3756" i="2"/>
  <c r="D3756" i="2"/>
  <c r="I3755" i="2"/>
  <c r="D3755" i="2"/>
  <c r="H3755" i="2" s="1"/>
  <c r="I3754" i="2"/>
  <c r="D3754" i="2"/>
  <c r="G3754" i="2" s="1"/>
  <c r="I3753" i="2"/>
  <c r="D3753" i="2"/>
  <c r="I3752" i="2"/>
  <c r="D3752" i="2"/>
  <c r="H3752" i="2" s="1"/>
  <c r="I3751" i="2"/>
  <c r="D3751" i="2"/>
  <c r="F3751" i="2" s="1"/>
  <c r="I3750" i="2"/>
  <c r="D3750" i="2"/>
  <c r="H3750" i="2" s="1"/>
  <c r="I3749" i="2"/>
  <c r="D3749" i="2"/>
  <c r="I3748" i="2"/>
  <c r="D3748" i="2"/>
  <c r="I3747" i="2"/>
  <c r="D3747" i="2"/>
  <c r="F3747" i="2" s="1"/>
  <c r="I3746" i="2"/>
  <c r="D3746" i="2"/>
  <c r="I3745" i="2"/>
  <c r="D3745" i="2"/>
  <c r="I3744" i="2"/>
  <c r="D3744" i="2"/>
  <c r="I3743" i="2"/>
  <c r="D3743" i="2"/>
  <c r="F3743" i="2" s="1"/>
  <c r="I3742" i="2"/>
  <c r="D3742" i="2"/>
  <c r="I3741" i="2"/>
  <c r="D3741" i="2"/>
  <c r="I3740" i="2"/>
  <c r="D3740" i="2"/>
  <c r="H3740" i="2" s="1"/>
  <c r="I3739" i="2"/>
  <c r="D3739" i="2"/>
  <c r="H3739" i="2" s="1"/>
  <c r="I3738" i="2"/>
  <c r="D3738" i="2"/>
  <c r="G3738" i="2" s="1"/>
  <c r="I3737" i="2"/>
  <c r="D3737" i="2"/>
  <c r="I3736" i="2"/>
  <c r="D3736" i="2"/>
  <c r="H3736" i="2" s="1"/>
  <c r="I3735" i="2"/>
  <c r="D3735" i="2"/>
  <c r="I3734" i="2"/>
  <c r="D3734" i="2"/>
  <c r="H3734" i="2" s="1"/>
  <c r="I3733" i="2"/>
  <c r="D3733" i="2"/>
  <c r="G3733" i="2" s="1"/>
  <c r="I3732" i="2"/>
  <c r="D3732" i="2"/>
  <c r="H3732" i="2" s="1"/>
  <c r="I3731" i="2"/>
  <c r="D3731" i="2"/>
  <c r="I3730" i="2"/>
  <c r="D3730" i="2"/>
  <c r="I3729" i="2"/>
  <c r="D3729" i="2"/>
  <c r="F3729" i="2" s="1"/>
  <c r="I3728" i="2"/>
  <c r="D3728" i="2"/>
  <c r="I3727" i="2"/>
  <c r="D3727" i="2"/>
  <c r="F3727" i="2" s="1"/>
  <c r="I3726" i="2"/>
  <c r="D3726" i="2"/>
  <c r="I3725" i="2"/>
  <c r="D3725" i="2"/>
  <c r="I3724" i="2"/>
  <c r="D3724" i="2"/>
  <c r="I3723" i="2"/>
  <c r="D3723" i="2"/>
  <c r="H3723" i="2" s="1"/>
  <c r="I3722" i="2"/>
  <c r="D3722" i="2"/>
  <c r="G3722" i="2" s="1"/>
  <c r="I3721" i="2"/>
  <c r="D3721" i="2"/>
  <c r="I3720" i="2"/>
  <c r="D3720" i="2"/>
  <c r="H3720" i="2" s="1"/>
  <c r="I3719" i="2"/>
  <c r="D3719" i="2"/>
  <c r="F3719" i="2" s="1"/>
  <c r="I3718" i="2"/>
  <c r="D3718" i="2"/>
  <c r="H3718" i="2" s="1"/>
  <c r="I3717" i="2"/>
  <c r="D3717" i="2"/>
  <c r="H3717" i="2" s="1"/>
  <c r="I3716" i="2"/>
  <c r="D3716" i="2"/>
  <c r="I3715" i="2"/>
  <c r="D3715" i="2"/>
  <c r="I3714" i="2"/>
  <c r="D3714" i="2"/>
  <c r="I3713" i="2"/>
  <c r="D3713" i="2"/>
  <c r="I3712" i="2"/>
  <c r="D3712" i="2"/>
  <c r="I3711" i="2"/>
  <c r="D3711" i="2"/>
  <c r="I3710" i="2"/>
  <c r="D3710" i="2"/>
  <c r="H3710" i="2" s="1"/>
  <c r="I3709" i="2"/>
  <c r="D3709" i="2"/>
  <c r="H3709" i="2" s="1"/>
  <c r="I3708" i="2"/>
  <c r="D3708" i="2"/>
  <c r="I3707" i="2"/>
  <c r="D3707" i="2"/>
  <c r="I3706" i="2"/>
  <c r="D3706" i="2"/>
  <c r="I3705" i="2"/>
  <c r="D3705" i="2"/>
  <c r="I3704" i="2"/>
  <c r="D3704" i="2"/>
  <c r="G3704" i="2" s="1"/>
  <c r="I3703" i="2"/>
  <c r="D3703" i="2"/>
  <c r="I3702" i="2"/>
  <c r="D3702" i="2"/>
  <c r="H3702" i="2" s="1"/>
  <c r="I3701" i="2"/>
  <c r="D3701" i="2"/>
  <c r="H3701" i="2" s="1"/>
  <c r="I3700" i="2"/>
  <c r="D3700" i="2"/>
  <c r="H3700" i="2" s="1"/>
  <c r="I3699" i="2"/>
  <c r="D3699" i="2"/>
  <c r="I3698" i="2"/>
  <c r="D3698" i="2"/>
  <c r="I3697" i="2"/>
  <c r="D3697" i="2"/>
  <c r="I3696" i="2"/>
  <c r="D3696" i="2"/>
  <c r="I3695" i="2"/>
  <c r="D3695" i="2"/>
  <c r="F3695" i="2" s="1"/>
  <c r="I3694" i="2"/>
  <c r="D3694" i="2"/>
  <c r="H3694" i="2" s="1"/>
  <c r="I3693" i="2"/>
  <c r="D3693" i="2"/>
  <c r="H3693" i="2" s="1"/>
  <c r="I3692" i="2"/>
  <c r="D3692" i="2"/>
  <c r="G3692" i="2" s="1"/>
  <c r="I3691" i="2"/>
  <c r="D3691" i="2"/>
  <c r="F3691" i="2" s="1"/>
  <c r="I3690" i="2"/>
  <c r="D3690" i="2"/>
  <c r="I3689" i="2"/>
  <c r="D3689" i="2"/>
  <c r="I3688" i="2"/>
  <c r="D3688" i="2"/>
  <c r="H3688" i="2" s="1"/>
  <c r="I3687" i="2"/>
  <c r="D3687" i="2"/>
  <c r="I3686" i="2"/>
  <c r="D3686" i="2"/>
  <c r="H3686" i="2" s="1"/>
  <c r="I3685" i="2"/>
  <c r="D3685" i="2"/>
  <c r="H3685" i="2" s="1"/>
  <c r="I3684" i="2"/>
  <c r="D3684" i="2"/>
  <c r="H3684" i="2" s="1"/>
  <c r="I3683" i="2"/>
  <c r="D3683" i="2"/>
  <c r="H3683" i="2" s="1"/>
  <c r="I3682" i="2"/>
  <c r="D3682" i="2"/>
  <c r="I3681" i="2"/>
  <c r="D3681" i="2"/>
  <c r="G3681" i="2" s="1"/>
  <c r="I3680" i="2"/>
  <c r="D3680" i="2"/>
  <c r="H3680" i="2" s="1"/>
  <c r="I3679" i="2"/>
  <c r="D3679" i="2"/>
  <c r="F3679" i="2" s="1"/>
  <c r="I3678" i="2"/>
  <c r="D3678" i="2"/>
  <c r="I3677" i="2"/>
  <c r="D3677" i="2"/>
  <c r="H3677" i="2" s="1"/>
  <c r="I3676" i="2"/>
  <c r="D3676" i="2"/>
  <c r="H3676" i="2" s="1"/>
  <c r="I3675" i="2"/>
  <c r="D3675" i="2"/>
  <c r="H3675" i="2" s="1"/>
  <c r="I3674" i="2"/>
  <c r="D3674" i="2"/>
  <c r="I3673" i="2"/>
  <c r="D3673" i="2"/>
  <c r="I3672" i="2"/>
  <c r="D3672" i="2"/>
  <c r="I3671" i="2"/>
  <c r="D3671" i="2"/>
  <c r="I3670" i="2"/>
  <c r="D3670" i="2"/>
  <c r="F3670" i="2" s="1"/>
  <c r="I3669" i="2"/>
  <c r="D3669" i="2"/>
  <c r="H3669" i="2" s="1"/>
  <c r="I3668" i="2"/>
  <c r="D3668" i="2"/>
  <c r="I3667" i="2"/>
  <c r="D3667" i="2"/>
  <c r="H3667" i="2" s="1"/>
  <c r="I3666" i="2"/>
  <c r="D3666" i="2"/>
  <c r="I3665" i="2"/>
  <c r="D3665" i="2"/>
  <c r="I3664" i="2"/>
  <c r="D3664" i="2"/>
  <c r="H3664" i="2" s="1"/>
  <c r="I3663" i="2"/>
  <c r="D3663" i="2"/>
  <c r="I3662" i="2"/>
  <c r="D3662" i="2"/>
  <c r="F3662" i="2" s="1"/>
  <c r="I3661" i="2"/>
  <c r="D3661" i="2"/>
  <c r="I3660" i="2"/>
  <c r="D3660" i="2"/>
  <c r="I3659" i="2"/>
  <c r="D3659" i="2"/>
  <c r="H3659" i="2" s="1"/>
  <c r="I3658" i="2"/>
  <c r="D3658" i="2"/>
  <c r="H3658" i="2" s="1"/>
  <c r="I3657" i="2"/>
  <c r="D3657" i="2"/>
  <c r="G3657" i="2" s="1"/>
  <c r="I3656" i="2"/>
  <c r="D3656" i="2"/>
  <c r="I3655" i="2"/>
  <c r="D3655" i="2"/>
  <c r="H3655" i="2" s="1"/>
  <c r="I3654" i="2"/>
  <c r="D3654" i="2"/>
  <c r="F3654" i="2" s="1"/>
  <c r="I3653" i="2"/>
  <c r="D3653" i="2"/>
  <c r="I3652" i="2"/>
  <c r="D3652" i="2"/>
  <c r="H3652" i="2" s="1"/>
  <c r="I3651" i="2"/>
  <c r="D3651" i="2"/>
  <c r="F3651" i="2" s="1"/>
  <c r="I3650" i="2"/>
  <c r="D3650" i="2"/>
  <c r="I3649" i="2"/>
  <c r="D3649" i="2"/>
  <c r="I3648" i="2"/>
  <c r="D3648" i="2"/>
  <c r="H3648" i="2" s="1"/>
  <c r="I3647" i="2"/>
  <c r="D3647" i="2"/>
  <c r="I3646" i="2"/>
  <c r="D3646" i="2"/>
  <c r="I3645" i="2"/>
  <c r="D3645" i="2"/>
  <c r="I3644" i="2"/>
  <c r="D3644" i="2"/>
  <c r="I3643" i="2"/>
  <c r="D3643" i="2"/>
  <c r="H3643" i="2" s="1"/>
  <c r="I3642" i="2"/>
  <c r="D3642" i="2"/>
  <c r="I3641" i="2"/>
  <c r="D3641" i="2"/>
  <c r="G3641" i="2" s="1"/>
  <c r="I3640" i="2"/>
  <c r="D3640" i="2"/>
  <c r="I3639" i="2"/>
  <c r="D3639" i="2"/>
  <c r="H3639" i="2" s="1"/>
  <c r="I3638" i="2"/>
  <c r="D3638" i="2"/>
  <c r="F3638" i="2" s="1"/>
  <c r="I3637" i="2"/>
  <c r="D3637" i="2"/>
  <c r="I3636" i="2"/>
  <c r="D3636" i="2"/>
  <c r="H3636" i="2" s="1"/>
  <c r="I3635" i="2"/>
  <c r="D3635" i="2"/>
  <c r="I3634" i="2"/>
  <c r="D3634" i="2"/>
  <c r="I3633" i="2"/>
  <c r="D3633" i="2"/>
  <c r="I3632" i="2"/>
  <c r="D3632" i="2"/>
  <c r="I3631" i="2"/>
  <c r="D3631" i="2"/>
  <c r="H3631" i="2" s="1"/>
  <c r="I3630" i="2"/>
  <c r="D3630" i="2"/>
  <c r="H3630" i="2" s="1"/>
  <c r="I3629" i="2"/>
  <c r="D3629" i="2"/>
  <c r="H3629" i="2" s="1"/>
  <c r="I3628" i="2"/>
  <c r="D3628" i="2"/>
  <c r="H3628" i="2" s="1"/>
  <c r="I3627" i="2"/>
  <c r="D3627" i="2"/>
  <c r="H3627" i="2" s="1"/>
  <c r="I3626" i="2"/>
  <c r="D3626" i="2"/>
  <c r="G3626" i="2" s="1"/>
  <c r="I3625" i="2"/>
  <c r="D3625" i="2"/>
  <c r="G3625" i="2" s="1"/>
  <c r="I3624" i="2"/>
  <c r="D3624" i="2"/>
  <c r="I3623" i="2"/>
  <c r="D3623" i="2"/>
  <c r="H3623" i="2" s="1"/>
  <c r="I3622" i="2"/>
  <c r="D3622" i="2"/>
  <c r="I3621" i="2"/>
  <c r="D3621" i="2"/>
  <c r="I3620" i="2"/>
  <c r="D3620" i="2"/>
  <c r="I3619" i="2"/>
  <c r="D3619" i="2"/>
  <c r="H3619" i="2" s="1"/>
  <c r="I3618" i="2"/>
  <c r="D3618" i="2"/>
  <c r="H3618" i="2" s="1"/>
  <c r="I3617" i="2"/>
  <c r="D3617" i="2"/>
  <c r="F3617" i="2" s="1"/>
  <c r="I3616" i="2"/>
  <c r="D3616" i="2"/>
  <c r="G3616" i="2" s="1"/>
  <c r="I3615" i="2"/>
  <c r="D3615" i="2"/>
  <c r="F3615" i="2" s="1"/>
  <c r="I3614" i="2"/>
  <c r="D3614" i="2"/>
  <c r="I3613" i="2"/>
  <c r="D3613" i="2"/>
  <c r="G3613" i="2" s="1"/>
  <c r="I3612" i="2"/>
  <c r="D3612" i="2"/>
  <c r="I3611" i="2"/>
  <c r="D3611" i="2"/>
  <c r="H3611" i="2" s="1"/>
  <c r="I3610" i="2"/>
  <c r="D3610" i="2"/>
  <c r="I3609" i="2"/>
  <c r="D3609" i="2"/>
  <c r="I3608" i="2"/>
  <c r="D3608" i="2"/>
  <c r="I3607" i="2"/>
  <c r="D3607" i="2"/>
  <c r="H3607" i="2" s="1"/>
  <c r="I3606" i="2"/>
  <c r="D3606" i="2"/>
  <c r="I3605" i="2"/>
  <c r="D3605" i="2"/>
  <c r="I3604" i="2"/>
  <c r="D3604" i="2"/>
  <c r="I3603" i="2"/>
  <c r="D3603" i="2"/>
  <c r="H3603" i="2" s="1"/>
  <c r="I3602" i="2"/>
  <c r="D3602" i="2"/>
  <c r="H3602" i="2" s="1"/>
  <c r="I3601" i="2"/>
  <c r="D3601" i="2"/>
  <c r="H3601" i="2" s="1"/>
  <c r="I3600" i="2"/>
  <c r="D3600" i="2"/>
  <c r="F3600" i="2" s="1"/>
  <c r="I3599" i="2"/>
  <c r="D3599" i="2"/>
  <c r="I3598" i="2"/>
  <c r="D3598" i="2"/>
  <c r="I3597" i="2"/>
  <c r="D3597" i="2"/>
  <c r="G3597" i="2" s="1"/>
  <c r="I3596" i="2"/>
  <c r="D3596" i="2"/>
  <c r="I3595" i="2"/>
  <c r="D3595" i="2"/>
  <c r="H3595" i="2" s="1"/>
  <c r="I3594" i="2"/>
  <c r="D3594" i="2"/>
  <c r="I3593" i="2"/>
  <c r="D3593" i="2"/>
  <c r="I3592" i="2"/>
  <c r="D3592" i="2"/>
  <c r="I3591" i="2"/>
  <c r="D3591" i="2"/>
  <c r="H3591" i="2" s="1"/>
  <c r="I3590" i="2"/>
  <c r="D3590" i="2"/>
  <c r="I3589" i="2"/>
  <c r="D3589" i="2"/>
  <c r="I3588" i="2"/>
  <c r="D3588" i="2"/>
  <c r="I3587" i="2"/>
  <c r="D3587" i="2"/>
  <c r="H3587" i="2" s="1"/>
  <c r="I3586" i="2"/>
  <c r="D3586" i="2"/>
  <c r="I3585" i="2"/>
  <c r="D3585" i="2"/>
  <c r="H3585" i="2" s="1"/>
  <c r="I3584" i="2"/>
  <c r="D3584" i="2"/>
  <c r="I3583" i="2"/>
  <c r="D3583" i="2"/>
  <c r="H3583" i="2" s="1"/>
  <c r="I3582" i="2"/>
  <c r="D3582" i="2"/>
  <c r="I3581" i="2"/>
  <c r="D3581" i="2"/>
  <c r="I3580" i="2"/>
  <c r="D3580" i="2"/>
  <c r="I3579" i="2"/>
  <c r="D3579" i="2"/>
  <c r="H3579" i="2" s="1"/>
  <c r="I3578" i="2"/>
  <c r="D3578" i="2"/>
  <c r="I3577" i="2"/>
  <c r="D3577" i="2"/>
  <c r="I3576" i="2"/>
  <c r="D3576" i="2"/>
  <c r="G3576" i="2" s="1"/>
  <c r="I3575" i="2"/>
  <c r="D3575" i="2"/>
  <c r="I3574" i="2"/>
  <c r="D3574" i="2"/>
  <c r="I3573" i="2"/>
  <c r="D3573" i="2"/>
  <c r="G3573" i="2" s="1"/>
  <c r="I3572" i="2"/>
  <c r="D3572" i="2"/>
  <c r="I3571" i="2"/>
  <c r="D3571" i="2"/>
  <c r="H3571" i="2" s="1"/>
  <c r="I3570" i="2"/>
  <c r="D3570" i="2"/>
  <c r="H3570" i="2" s="1"/>
  <c r="I3569" i="2"/>
  <c r="D3569" i="2"/>
  <c r="I3568" i="2"/>
  <c r="D3568" i="2"/>
  <c r="I3567" i="2"/>
  <c r="D3567" i="2"/>
  <c r="F3567" i="2" s="1"/>
  <c r="I3566" i="2"/>
  <c r="D3566" i="2"/>
  <c r="I3565" i="2"/>
  <c r="D3565" i="2"/>
  <c r="G3565" i="2" s="1"/>
  <c r="I3564" i="2"/>
  <c r="D3564" i="2"/>
  <c r="I3563" i="2"/>
  <c r="D3563" i="2"/>
  <c r="H3563" i="2" s="1"/>
  <c r="I3562" i="2"/>
  <c r="D3562" i="2"/>
  <c r="H3562" i="2" s="1"/>
  <c r="I3561" i="2"/>
  <c r="D3561" i="2"/>
  <c r="I3560" i="2"/>
  <c r="D3560" i="2"/>
  <c r="G3560" i="2" s="1"/>
  <c r="I3559" i="2"/>
  <c r="D3559" i="2"/>
  <c r="H3559" i="2" s="1"/>
  <c r="I3558" i="2"/>
  <c r="D3558" i="2"/>
  <c r="I3557" i="2"/>
  <c r="D3557" i="2"/>
  <c r="I3556" i="2"/>
  <c r="D3556" i="2"/>
  <c r="I3555" i="2"/>
  <c r="D3555" i="2"/>
  <c r="H3555" i="2" s="1"/>
  <c r="I3554" i="2"/>
  <c r="D3554" i="2"/>
  <c r="H3554" i="2" s="1"/>
  <c r="I3553" i="2"/>
  <c r="D3553" i="2"/>
  <c r="I3552" i="2"/>
  <c r="D3552" i="2"/>
  <c r="G3552" i="2" s="1"/>
  <c r="I3551" i="2"/>
  <c r="D3551" i="2"/>
  <c r="G3551" i="2" s="1"/>
  <c r="I3550" i="2"/>
  <c r="D3550" i="2"/>
  <c r="I3549" i="2"/>
  <c r="D3549" i="2"/>
  <c r="G3549" i="2" s="1"/>
  <c r="I3548" i="2"/>
  <c r="D3548" i="2"/>
  <c r="G3548" i="2" s="1"/>
  <c r="I3547" i="2"/>
  <c r="D3547" i="2"/>
  <c r="H3547" i="2" s="1"/>
  <c r="I3546" i="2"/>
  <c r="D3546" i="2"/>
  <c r="F3546" i="2" s="1"/>
  <c r="I3545" i="2"/>
  <c r="D3545" i="2"/>
  <c r="H3545" i="2" s="1"/>
  <c r="I3544" i="2"/>
  <c r="D3544" i="2"/>
  <c r="I3543" i="2"/>
  <c r="D3543" i="2"/>
  <c r="I3542" i="2"/>
  <c r="D3542" i="2"/>
  <c r="I3541" i="2"/>
  <c r="D3541" i="2"/>
  <c r="G3541" i="2" s="1"/>
  <c r="I3540" i="2"/>
  <c r="D3540" i="2"/>
  <c r="I3539" i="2"/>
  <c r="D3539" i="2"/>
  <c r="H3539" i="2" s="1"/>
  <c r="I3538" i="2"/>
  <c r="D3538" i="2"/>
  <c r="H3538" i="2" s="1"/>
  <c r="I3537" i="2"/>
  <c r="D3537" i="2"/>
  <c r="I3536" i="2"/>
  <c r="D3536" i="2"/>
  <c r="H3536" i="2" s="1"/>
  <c r="I3535" i="2"/>
  <c r="D3535" i="2"/>
  <c r="H3535" i="2" s="1"/>
  <c r="I3534" i="2"/>
  <c r="D3534" i="2"/>
  <c r="I3533" i="2"/>
  <c r="D3533" i="2"/>
  <c r="G3533" i="2" s="1"/>
  <c r="I3532" i="2"/>
  <c r="D3532" i="2"/>
  <c r="G3532" i="2" s="1"/>
  <c r="I3531" i="2"/>
  <c r="D3531" i="2"/>
  <c r="H3531" i="2" s="1"/>
  <c r="I3530" i="2"/>
  <c r="D3530" i="2"/>
  <c r="I3529" i="2"/>
  <c r="D3529" i="2"/>
  <c r="H3529" i="2" s="1"/>
  <c r="I3528" i="2"/>
  <c r="D3528" i="2"/>
  <c r="I3527" i="2"/>
  <c r="D3527" i="2"/>
  <c r="H3527" i="2" s="1"/>
  <c r="I3526" i="2"/>
  <c r="D3526" i="2"/>
  <c r="I3525" i="2"/>
  <c r="D3525" i="2"/>
  <c r="G3525" i="2" s="1"/>
  <c r="I3524" i="2"/>
  <c r="D3524" i="2"/>
  <c r="I3523" i="2"/>
  <c r="D3523" i="2"/>
  <c r="H3523" i="2" s="1"/>
  <c r="I3522" i="2"/>
  <c r="D3522" i="2"/>
  <c r="F3522" i="2" s="1"/>
  <c r="I3521" i="2"/>
  <c r="D3521" i="2"/>
  <c r="H3521" i="2" s="1"/>
  <c r="I3520" i="2"/>
  <c r="D3520" i="2"/>
  <c r="H3520" i="2" s="1"/>
  <c r="I3519" i="2"/>
  <c r="D3519" i="2"/>
  <c r="I3518" i="2"/>
  <c r="D3518" i="2"/>
  <c r="I3517" i="2"/>
  <c r="D3517" i="2"/>
  <c r="G3517" i="2" s="1"/>
  <c r="I3516" i="2"/>
  <c r="D3516" i="2"/>
  <c r="G3516" i="2" s="1"/>
  <c r="I3515" i="2"/>
  <c r="D3515" i="2"/>
  <c r="H3515" i="2" s="1"/>
  <c r="I3514" i="2"/>
  <c r="D3514" i="2"/>
  <c r="I3513" i="2"/>
  <c r="D3513" i="2"/>
  <c r="G3513" i="2" s="1"/>
  <c r="I3512" i="2"/>
  <c r="D3512" i="2"/>
  <c r="G3512" i="2" s="1"/>
  <c r="I3511" i="2"/>
  <c r="D3511" i="2"/>
  <c r="H3511" i="2" s="1"/>
  <c r="I3510" i="2"/>
  <c r="D3510" i="2"/>
  <c r="I3509" i="2"/>
  <c r="D3509" i="2"/>
  <c r="G3509" i="2" s="1"/>
  <c r="I3508" i="2"/>
  <c r="D3508" i="2"/>
  <c r="I3507" i="2"/>
  <c r="D3507" i="2"/>
  <c r="H3507" i="2" s="1"/>
  <c r="I3506" i="2"/>
  <c r="D3506" i="2"/>
  <c r="I3505" i="2"/>
  <c r="D3505" i="2"/>
  <c r="I3504" i="2"/>
  <c r="D3504" i="2"/>
  <c r="I3503" i="2"/>
  <c r="D3503" i="2"/>
  <c r="H3503" i="2" s="1"/>
  <c r="I3502" i="2"/>
  <c r="D3502" i="2"/>
  <c r="I3501" i="2"/>
  <c r="D3501" i="2"/>
  <c r="G3501" i="2" s="1"/>
  <c r="I3500" i="2"/>
  <c r="D3500" i="2"/>
  <c r="G3500" i="2" s="1"/>
  <c r="I3499" i="2"/>
  <c r="D3499" i="2"/>
  <c r="H3499" i="2" s="1"/>
  <c r="I3498" i="2"/>
  <c r="D3498" i="2"/>
  <c r="I3497" i="2"/>
  <c r="D3497" i="2"/>
  <c r="I3496" i="2"/>
  <c r="D3496" i="2"/>
  <c r="G3496" i="2" s="1"/>
  <c r="I3495" i="2"/>
  <c r="D3495" i="2"/>
  <c r="I3494" i="2"/>
  <c r="D3494" i="2"/>
  <c r="I3493" i="2"/>
  <c r="D3493" i="2"/>
  <c r="F3493" i="2" s="1"/>
  <c r="I3492" i="2"/>
  <c r="D3492" i="2"/>
  <c r="G3492" i="2" s="1"/>
  <c r="I3491" i="2"/>
  <c r="D3491" i="2"/>
  <c r="H3491" i="2" s="1"/>
  <c r="I3490" i="2"/>
  <c r="D3490" i="2"/>
  <c r="H3490" i="2" s="1"/>
  <c r="I3489" i="2"/>
  <c r="D3489" i="2"/>
  <c r="H3489" i="2" s="1"/>
  <c r="I3488" i="2"/>
  <c r="D3488" i="2"/>
  <c r="G3488" i="2" s="1"/>
  <c r="I3487" i="2"/>
  <c r="D3487" i="2"/>
  <c r="I3486" i="2"/>
  <c r="D3486" i="2"/>
  <c r="I3485" i="2"/>
  <c r="D3485" i="2"/>
  <c r="F3485" i="2" s="1"/>
  <c r="I3484" i="2"/>
  <c r="D3484" i="2"/>
  <c r="I3483" i="2"/>
  <c r="D3483" i="2"/>
  <c r="H3483" i="2" s="1"/>
  <c r="I3482" i="2"/>
  <c r="D3482" i="2"/>
  <c r="H3482" i="2" s="1"/>
  <c r="I3481" i="2"/>
  <c r="D3481" i="2"/>
  <c r="H3481" i="2" s="1"/>
  <c r="I3480" i="2"/>
  <c r="D3480" i="2"/>
  <c r="G3480" i="2" s="1"/>
  <c r="I3479" i="2"/>
  <c r="D3479" i="2"/>
  <c r="I3478" i="2"/>
  <c r="D3478" i="2"/>
  <c r="I3477" i="2"/>
  <c r="D3477" i="2"/>
  <c r="I3476" i="2"/>
  <c r="D3476" i="2"/>
  <c r="G3476" i="2" s="1"/>
  <c r="I3475" i="2"/>
  <c r="D3475" i="2"/>
  <c r="H3475" i="2" s="1"/>
  <c r="I3474" i="2"/>
  <c r="D3474" i="2"/>
  <c r="I3473" i="2"/>
  <c r="D3473" i="2"/>
  <c r="I3472" i="2"/>
  <c r="D3472" i="2"/>
  <c r="I3471" i="2"/>
  <c r="D3471" i="2"/>
  <c r="F3471" i="2" s="1"/>
  <c r="I3470" i="2"/>
  <c r="D3470" i="2"/>
  <c r="I3469" i="2"/>
  <c r="D3469" i="2"/>
  <c r="F3469" i="2" s="1"/>
  <c r="I3468" i="2"/>
  <c r="D3468" i="2"/>
  <c r="I3467" i="2"/>
  <c r="D3467" i="2"/>
  <c r="H3467" i="2" s="1"/>
  <c r="I3466" i="2"/>
  <c r="D3466" i="2"/>
  <c r="I3465" i="2"/>
  <c r="D3465" i="2"/>
  <c r="F3465" i="2" s="1"/>
  <c r="I3464" i="2"/>
  <c r="D3464" i="2"/>
  <c r="I3463" i="2"/>
  <c r="D3463" i="2"/>
  <c r="G3463" i="2" s="1"/>
  <c r="I3462" i="2"/>
  <c r="D3462" i="2"/>
  <c r="I3461" i="2"/>
  <c r="D3461" i="2"/>
  <c r="I3460" i="2"/>
  <c r="D3460" i="2"/>
  <c r="G3460" i="2" s="1"/>
  <c r="I3459" i="2"/>
  <c r="D3459" i="2"/>
  <c r="H3459" i="2" s="1"/>
  <c r="I3458" i="2"/>
  <c r="D3458" i="2"/>
  <c r="G3458" i="2" s="1"/>
  <c r="I3457" i="2"/>
  <c r="D3457" i="2"/>
  <c r="I3456" i="2"/>
  <c r="D3456" i="2"/>
  <c r="I3455" i="2"/>
  <c r="D3455" i="2"/>
  <c r="I3454" i="2"/>
  <c r="D3454" i="2"/>
  <c r="I3453" i="2"/>
  <c r="D3453" i="2"/>
  <c r="F3453" i="2" s="1"/>
  <c r="I3452" i="2"/>
  <c r="D3452" i="2"/>
  <c r="G3452" i="2" s="1"/>
  <c r="I3451" i="2"/>
  <c r="D3451" i="2"/>
  <c r="H3451" i="2" s="1"/>
  <c r="I3450" i="2"/>
  <c r="D3450" i="2"/>
  <c r="I3449" i="2"/>
  <c r="D3449" i="2"/>
  <c r="H3449" i="2" s="1"/>
  <c r="I3448" i="2"/>
  <c r="D3448" i="2"/>
  <c r="I3447" i="2"/>
  <c r="D3447" i="2"/>
  <c r="H3447" i="2" s="1"/>
  <c r="I3446" i="2"/>
  <c r="D3446" i="2"/>
  <c r="I3445" i="2"/>
  <c r="D3445" i="2"/>
  <c r="F3445" i="2" s="1"/>
  <c r="I3444" i="2"/>
  <c r="D3444" i="2"/>
  <c r="G3444" i="2" s="1"/>
  <c r="I3443" i="2"/>
  <c r="D3443" i="2"/>
  <c r="H3443" i="2" s="1"/>
  <c r="I3442" i="2"/>
  <c r="D3442" i="2"/>
  <c r="H3442" i="2" s="1"/>
  <c r="I3441" i="2"/>
  <c r="D3441" i="2"/>
  <c r="I3440" i="2"/>
  <c r="D3440" i="2"/>
  <c r="G3440" i="2" s="1"/>
  <c r="I3439" i="2"/>
  <c r="D3439" i="2"/>
  <c r="I3438" i="2"/>
  <c r="D3438" i="2"/>
  <c r="I3437" i="2"/>
  <c r="D3437" i="2"/>
  <c r="F3437" i="2" s="1"/>
  <c r="I3436" i="2"/>
  <c r="D3436" i="2"/>
  <c r="G3436" i="2" s="1"/>
  <c r="I3435" i="2"/>
  <c r="D3435" i="2"/>
  <c r="H3435" i="2" s="1"/>
  <c r="I3434" i="2"/>
  <c r="D3434" i="2"/>
  <c r="I3433" i="2"/>
  <c r="D3433" i="2"/>
  <c r="H3433" i="2" s="1"/>
  <c r="I3432" i="2"/>
  <c r="D3432" i="2"/>
  <c r="I3431" i="2"/>
  <c r="D3431" i="2"/>
  <c r="I3430" i="2"/>
  <c r="D3430" i="2"/>
  <c r="I3429" i="2"/>
  <c r="D3429" i="2"/>
  <c r="I3428" i="2"/>
  <c r="D3428" i="2"/>
  <c r="G3428" i="2" s="1"/>
  <c r="I3427" i="2"/>
  <c r="D3427" i="2"/>
  <c r="H3427" i="2" s="1"/>
  <c r="I3426" i="2"/>
  <c r="D3426" i="2"/>
  <c r="I3425" i="2"/>
  <c r="D3425" i="2"/>
  <c r="I3424" i="2"/>
  <c r="D3424" i="2"/>
  <c r="F3424" i="2" s="1"/>
  <c r="I3423" i="2"/>
  <c r="D3423" i="2"/>
  <c r="I3422" i="2"/>
  <c r="D3422" i="2"/>
  <c r="I3421" i="2"/>
  <c r="D3421" i="2"/>
  <c r="I3420" i="2"/>
  <c r="D3420" i="2"/>
  <c r="I3419" i="2"/>
  <c r="D3419" i="2"/>
  <c r="H3419" i="2" s="1"/>
  <c r="I3418" i="2"/>
  <c r="D3418" i="2"/>
  <c r="I3417" i="2"/>
  <c r="D3417" i="2"/>
  <c r="I3416" i="2"/>
  <c r="D3416" i="2"/>
  <c r="F3416" i="2" s="1"/>
  <c r="I3415" i="2"/>
  <c r="D3415" i="2"/>
  <c r="G3415" i="2" s="1"/>
  <c r="I3414" i="2"/>
  <c r="D3414" i="2"/>
  <c r="I3413" i="2"/>
  <c r="D3413" i="2"/>
  <c r="F3413" i="2" s="1"/>
  <c r="I3412" i="2"/>
  <c r="D3412" i="2"/>
  <c r="G3412" i="2" s="1"/>
  <c r="I3411" i="2"/>
  <c r="D3411" i="2"/>
  <c r="H3411" i="2" s="1"/>
  <c r="I3410" i="2"/>
  <c r="D3410" i="2"/>
  <c r="I3409" i="2"/>
  <c r="D3409" i="2"/>
  <c r="F3409" i="2" s="1"/>
  <c r="I3408" i="2"/>
  <c r="D3408" i="2"/>
  <c r="H3408" i="2" s="1"/>
  <c r="I3407" i="2"/>
  <c r="D3407" i="2"/>
  <c r="I3406" i="2"/>
  <c r="D3406" i="2"/>
  <c r="I3405" i="2"/>
  <c r="D3405" i="2"/>
  <c r="I3404" i="2"/>
  <c r="D3404" i="2"/>
  <c r="I3403" i="2"/>
  <c r="D3403" i="2"/>
  <c r="H3403" i="2" s="1"/>
  <c r="I3402" i="2"/>
  <c r="D3402" i="2"/>
  <c r="I3401" i="2"/>
  <c r="D3401" i="2"/>
  <c r="H3401" i="2" s="1"/>
  <c r="I3400" i="2"/>
  <c r="D3400" i="2"/>
  <c r="I3399" i="2"/>
  <c r="D3399" i="2"/>
  <c r="G3399" i="2" s="1"/>
  <c r="I3398" i="2"/>
  <c r="D3398" i="2"/>
  <c r="I3397" i="2"/>
  <c r="D3397" i="2"/>
  <c r="I3396" i="2"/>
  <c r="D3396" i="2"/>
  <c r="G3396" i="2" s="1"/>
  <c r="I3395" i="2"/>
  <c r="D3395" i="2"/>
  <c r="H3395" i="2" s="1"/>
  <c r="I3394" i="2"/>
  <c r="D3394" i="2"/>
  <c r="H3394" i="2" s="1"/>
  <c r="I3393" i="2"/>
  <c r="D3393" i="2"/>
  <c r="I3392" i="2"/>
  <c r="D3392" i="2"/>
  <c r="H3392" i="2" s="1"/>
  <c r="I3391" i="2"/>
  <c r="D3391" i="2"/>
  <c r="G3391" i="2" s="1"/>
  <c r="I3390" i="2"/>
  <c r="D3390" i="2"/>
  <c r="I3389" i="2"/>
  <c r="D3389" i="2"/>
  <c r="I3388" i="2"/>
  <c r="D3388" i="2"/>
  <c r="I3387" i="2"/>
  <c r="D3387" i="2"/>
  <c r="H3387" i="2" s="1"/>
  <c r="I3386" i="2"/>
  <c r="D3386" i="2"/>
  <c r="I3385" i="2"/>
  <c r="D3385" i="2"/>
  <c r="H3385" i="2" s="1"/>
  <c r="I3384" i="2"/>
  <c r="D3384" i="2"/>
  <c r="I3383" i="2"/>
  <c r="D3383" i="2"/>
  <c r="G3383" i="2" s="1"/>
  <c r="I3382" i="2"/>
  <c r="D3382" i="2"/>
  <c r="I3381" i="2"/>
  <c r="D3381" i="2"/>
  <c r="I3380" i="2"/>
  <c r="D3380" i="2"/>
  <c r="G3380" i="2" s="1"/>
  <c r="I3379" i="2"/>
  <c r="D3379" i="2"/>
  <c r="H3379" i="2" s="1"/>
  <c r="I3378" i="2"/>
  <c r="D3378" i="2"/>
  <c r="I3377" i="2"/>
  <c r="D3377" i="2"/>
  <c r="H3377" i="2" s="1"/>
  <c r="I3376" i="2"/>
  <c r="D3376" i="2"/>
  <c r="G3376" i="2" s="1"/>
  <c r="I3375" i="2"/>
  <c r="D3375" i="2"/>
  <c r="H3375" i="2" s="1"/>
  <c r="I3374" i="2"/>
  <c r="D3374" i="2"/>
  <c r="I3373" i="2"/>
  <c r="D3373" i="2"/>
  <c r="I3372" i="2"/>
  <c r="D3372" i="2"/>
  <c r="I3371" i="2"/>
  <c r="D3371" i="2"/>
  <c r="H3371" i="2" s="1"/>
  <c r="I3370" i="2"/>
  <c r="D3370" i="2"/>
  <c r="H3370" i="2" s="1"/>
  <c r="I3369" i="2"/>
  <c r="D3369" i="2"/>
  <c r="H3369" i="2" s="1"/>
  <c r="I3368" i="2"/>
  <c r="D3368" i="2"/>
  <c r="H3368" i="2" s="1"/>
  <c r="I3367" i="2"/>
  <c r="D3367" i="2"/>
  <c r="I3366" i="2"/>
  <c r="D3366" i="2"/>
  <c r="I3365" i="2"/>
  <c r="D3365" i="2"/>
  <c r="I3364" i="2"/>
  <c r="D3364" i="2"/>
  <c r="G3364" i="2" s="1"/>
  <c r="I3363" i="2"/>
  <c r="D3363" i="2"/>
  <c r="H3363" i="2" s="1"/>
  <c r="I3362" i="2"/>
  <c r="D3362" i="2"/>
  <c r="I3361" i="2"/>
  <c r="D3361" i="2"/>
  <c r="I3360" i="2"/>
  <c r="D3360" i="2"/>
  <c r="I3359" i="2"/>
  <c r="D3359" i="2"/>
  <c r="F3359" i="2" s="1"/>
  <c r="I3358" i="2"/>
  <c r="D3358" i="2"/>
  <c r="I3357" i="2"/>
  <c r="D3357" i="2"/>
  <c r="H3357" i="2" s="1"/>
  <c r="I3356" i="2"/>
  <c r="D3356" i="2"/>
  <c r="I3355" i="2"/>
  <c r="D3355" i="2"/>
  <c r="H3355" i="2" s="1"/>
  <c r="I3354" i="2"/>
  <c r="D3354" i="2"/>
  <c r="G3354" i="2" s="1"/>
  <c r="I3353" i="2"/>
  <c r="D3353" i="2"/>
  <c r="G3353" i="2" s="1"/>
  <c r="I3352" i="2"/>
  <c r="D3352" i="2"/>
  <c r="G3352" i="2" s="1"/>
  <c r="I3351" i="2"/>
  <c r="D3351" i="2"/>
  <c r="F3351" i="2" s="1"/>
  <c r="I3350" i="2"/>
  <c r="D3350" i="2"/>
  <c r="I3349" i="2"/>
  <c r="D3349" i="2"/>
  <c r="F3349" i="2" s="1"/>
  <c r="I3348" i="2"/>
  <c r="D3348" i="2"/>
  <c r="G3348" i="2" s="1"/>
  <c r="I3347" i="2"/>
  <c r="D3347" i="2"/>
  <c r="H3347" i="2" s="1"/>
  <c r="I3346" i="2"/>
  <c r="D3346" i="2"/>
  <c r="G3346" i="2" s="1"/>
  <c r="I3345" i="2"/>
  <c r="D3345" i="2"/>
  <c r="I3344" i="2"/>
  <c r="D3344" i="2"/>
  <c r="H3344" i="2" s="1"/>
  <c r="I3343" i="2"/>
  <c r="D3343" i="2"/>
  <c r="I3342" i="2"/>
  <c r="D3342" i="2"/>
  <c r="I3341" i="2"/>
  <c r="D3341" i="2"/>
  <c r="I3340" i="2"/>
  <c r="D3340" i="2"/>
  <c r="I3339" i="2"/>
  <c r="D3339" i="2"/>
  <c r="H3339" i="2" s="1"/>
  <c r="I3338" i="2"/>
  <c r="D3338" i="2"/>
  <c r="I3337" i="2"/>
  <c r="D3337" i="2"/>
  <c r="I3336" i="2"/>
  <c r="D3336" i="2"/>
  <c r="H3336" i="2" s="1"/>
  <c r="I3335" i="2"/>
  <c r="D3335" i="2"/>
  <c r="G3335" i="2" s="1"/>
  <c r="I3334" i="2"/>
  <c r="D3334" i="2"/>
  <c r="I3333" i="2"/>
  <c r="D3333" i="2"/>
  <c r="I3332" i="2"/>
  <c r="D3332" i="2"/>
  <c r="G3332" i="2" s="1"/>
  <c r="I3331" i="2"/>
  <c r="D3331" i="2"/>
  <c r="H3331" i="2" s="1"/>
  <c r="I3330" i="2"/>
  <c r="D3330" i="2"/>
  <c r="I3329" i="2"/>
  <c r="D3329" i="2"/>
  <c r="I3328" i="2"/>
  <c r="D3328" i="2"/>
  <c r="H3328" i="2" s="1"/>
  <c r="I3327" i="2"/>
  <c r="D3327" i="2"/>
  <c r="I3326" i="2"/>
  <c r="D3326" i="2"/>
  <c r="I3325" i="2"/>
  <c r="D3325" i="2"/>
  <c r="F3325" i="2" s="1"/>
  <c r="I3324" i="2"/>
  <c r="D3324" i="2"/>
  <c r="I3323" i="2"/>
  <c r="D3323" i="2"/>
  <c r="H3323" i="2" s="1"/>
  <c r="I3322" i="2"/>
  <c r="D3322" i="2"/>
  <c r="I3321" i="2"/>
  <c r="D3321" i="2"/>
  <c r="H3321" i="2" s="1"/>
  <c r="I3320" i="2"/>
  <c r="D3320" i="2"/>
  <c r="I3319" i="2"/>
  <c r="D3319" i="2"/>
  <c r="G3319" i="2" s="1"/>
  <c r="I3318" i="2"/>
  <c r="D3318" i="2"/>
  <c r="I3317" i="2"/>
  <c r="D3317" i="2"/>
  <c r="I3316" i="2"/>
  <c r="D3316" i="2"/>
  <c r="G3316" i="2" s="1"/>
  <c r="I3315" i="2"/>
  <c r="D3315" i="2"/>
  <c r="H3315" i="2" s="1"/>
  <c r="I3314" i="2"/>
  <c r="D3314" i="2"/>
  <c r="H3314" i="2" s="1"/>
  <c r="I3313" i="2"/>
  <c r="D3313" i="2"/>
  <c r="H3313" i="2" s="1"/>
  <c r="I3312" i="2"/>
  <c r="D3312" i="2"/>
  <c r="G3312" i="2" s="1"/>
  <c r="I3311" i="2"/>
  <c r="D3311" i="2"/>
  <c r="H3311" i="2" s="1"/>
  <c r="I3310" i="2"/>
  <c r="D3310" i="2"/>
  <c r="I3309" i="2"/>
  <c r="D3309" i="2"/>
  <c r="I3308" i="2"/>
  <c r="D3308" i="2"/>
  <c r="I3307" i="2"/>
  <c r="D3307" i="2"/>
  <c r="H3307" i="2" s="1"/>
  <c r="I3306" i="2"/>
  <c r="D3306" i="2"/>
  <c r="H3306" i="2" s="1"/>
  <c r="I3305" i="2"/>
  <c r="D3305" i="2"/>
  <c r="H3305" i="2" s="1"/>
  <c r="I3304" i="2"/>
  <c r="D3304" i="2"/>
  <c r="H3304" i="2" s="1"/>
  <c r="I3303" i="2"/>
  <c r="D3303" i="2"/>
  <c r="H3303" i="2" s="1"/>
  <c r="I3302" i="2"/>
  <c r="D3302" i="2"/>
  <c r="I3301" i="2"/>
  <c r="D3301" i="2"/>
  <c r="F3301" i="2" s="1"/>
  <c r="I3300" i="2"/>
  <c r="D3300" i="2"/>
  <c r="G3300" i="2" s="1"/>
  <c r="I3299" i="2"/>
  <c r="D3299" i="2"/>
  <c r="H3299" i="2" s="1"/>
  <c r="I3298" i="2"/>
  <c r="D3298" i="2"/>
  <c r="G3298" i="2" s="1"/>
  <c r="I3297" i="2"/>
  <c r="D3297" i="2"/>
  <c r="H3297" i="2" s="1"/>
  <c r="I3296" i="2"/>
  <c r="D3296" i="2"/>
  <c r="F3296" i="2" s="1"/>
  <c r="I3295" i="2"/>
  <c r="D3295" i="2"/>
  <c r="I3294" i="2"/>
  <c r="D3294" i="2"/>
  <c r="I3293" i="2"/>
  <c r="D3293" i="2"/>
  <c r="I3292" i="2"/>
  <c r="D3292" i="2"/>
  <c r="I3291" i="2"/>
  <c r="D3291" i="2"/>
  <c r="H3291" i="2" s="1"/>
  <c r="I3290" i="2"/>
  <c r="D3290" i="2"/>
  <c r="H3290" i="2" s="1"/>
  <c r="I3289" i="2"/>
  <c r="D3289" i="2"/>
  <c r="H3289" i="2" s="1"/>
  <c r="I3288" i="2"/>
  <c r="D3288" i="2"/>
  <c r="I3287" i="2"/>
  <c r="D3287" i="2"/>
  <c r="I3286" i="2"/>
  <c r="D3286" i="2"/>
  <c r="F3286" i="2" s="1"/>
  <c r="I3285" i="2"/>
  <c r="D3285" i="2"/>
  <c r="F3285" i="2" s="1"/>
  <c r="I3284" i="2"/>
  <c r="D3284" i="2"/>
  <c r="I3283" i="2"/>
  <c r="D3283" i="2"/>
  <c r="I3282" i="2"/>
  <c r="D3282" i="2"/>
  <c r="I3281" i="2"/>
  <c r="D3281" i="2"/>
  <c r="H3281" i="2" s="1"/>
  <c r="I3280" i="2"/>
  <c r="D3280" i="2"/>
  <c r="I3279" i="2"/>
  <c r="D3279" i="2"/>
  <c r="G3279" i="2" s="1"/>
  <c r="I3278" i="2"/>
  <c r="D3278" i="2"/>
  <c r="I3277" i="2"/>
  <c r="D3277" i="2"/>
  <c r="I3276" i="2"/>
  <c r="D3276" i="2"/>
  <c r="F3276" i="2" s="1"/>
  <c r="I3275" i="2"/>
  <c r="D3275" i="2"/>
  <c r="I3274" i="2"/>
  <c r="D3274" i="2"/>
  <c r="H3274" i="2" s="1"/>
  <c r="I3273" i="2"/>
  <c r="D3273" i="2"/>
  <c r="I3272" i="2"/>
  <c r="D3272" i="2"/>
  <c r="H3272" i="2" s="1"/>
  <c r="I3271" i="2"/>
  <c r="D3271" i="2"/>
  <c r="I3270" i="2"/>
  <c r="D3270" i="2"/>
  <c r="F3270" i="2" s="1"/>
  <c r="I3269" i="2"/>
  <c r="D3269" i="2"/>
  <c r="H3269" i="2" s="1"/>
  <c r="I3268" i="2"/>
  <c r="D3268" i="2"/>
  <c r="H3268" i="2" s="1"/>
  <c r="I3267" i="2"/>
  <c r="D3267" i="2"/>
  <c r="I3266" i="2"/>
  <c r="D3266" i="2"/>
  <c r="H3266" i="2" s="1"/>
  <c r="I3265" i="2"/>
  <c r="D3265" i="2"/>
  <c r="I3264" i="2"/>
  <c r="D3264" i="2"/>
  <c r="I3263" i="2"/>
  <c r="D3263" i="2"/>
  <c r="I3262" i="2"/>
  <c r="D3262" i="2"/>
  <c r="I3261" i="2"/>
  <c r="D3261" i="2"/>
  <c r="F3261" i="2" s="1"/>
  <c r="I3260" i="2"/>
  <c r="D3260" i="2"/>
  <c r="F3260" i="2" s="1"/>
  <c r="I3259" i="2"/>
  <c r="D3259" i="2"/>
  <c r="I3258" i="2"/>
  <c r="D3258" i="2"/>
  <c r="F3258" i="2" s="1"/>
  <c r="I3257" i="2"/>
  <c r="D3257" i="2"/>
  <c r="I3256" i="2"/>
  <c r="D3256" i="2"/>
  <c r="I3255" i="2"/>
  <c r="D3255" i="2"/>
  <c r="I3254" i="2"/>
  <c r="D3254" i="2"/>
  <c r="F3254" i="2" s="1"/>
  <c r="I3253" i="2"/>
  <c r="D3253" i="2"/>
  <c r="F3253" i="2" s="1"/>
  <c r="I3252" i="2"/>
  <c r="D3252" i="2"/>
  <c r="H3252" i="2" s="1"/>
  <c r="I3251" i="2"/>
  <c r="D3251" i="2"/>
  <c r="I3250" i="2"/>
  <c r="D3250" i="2"/>
  <c r="I3249" i="2"/>
  <c r="D3249" i="2"/>
  <c r="H3249" i="2" s="1"/>
  <c r="I3248" i="2"/>
  <c r="D3248" i="2"/>
  <c r="I3247" i="2"/>
  <c r="D3247" i="2"/>
  <c r="I3246" i="2"/>
  <c r="D3246" i="2"/>
  <c r="I3245" i="2"/>
  <c r="D3245" i="2"/>
  <c r="I3244" i="2"/>
  <c r="D3244" i="2"/>
  <c r="F3244" i="2" s="1"/>
  <c r="I3243" i="2"/>
  <c r="D3243" i="2"/>
  <c r="I3242" i="2"/>
  <c r="D3242" i="2"/>
  <c r="I3241" i="2"/>
  <c r="D3241" i="2"/>
  <c r="I3240" i="2"/>
  <c r="D3240" i="2"/>
  <c r="F3240" i="2" s="1"/>
  <c r="I3239" i="2"/>
  <c r="D3239" i="2"/>
  <c r="H3239" i="2" s="1"/>
  <c r="I3238" i="2"/>
  <c r="D3238" i="2"/>
  <c r="F3238" i="2" s="1"/>
  <c r="I3237" i="2"/>
  <c r="D3237" i="2"/>
  <c r="I3236" i="2"/>
  <c r="D3236" i="2"/>
  <c r="F3236" i="2" s="1"/>
  <c r="I3235" i="2"/>
  <c r="D3235" i="2"/>
  <c r="I3234" i="2"/>
  <c r="D3234" i="2"/>
  <c r="G3234" i="2" s="1"/>
  <c r="I3233" i="2"/>
  <c r="D3233" i="2"/>
  <c r="I3232" i="2"/>
  <c r="D3232" i="2"/>
  <c r="H3232" i="2" s="1"/>
  <c r="I3231" i="2"/>
  <c r="D3231" i="2"/>
  <c r="I3230" i="2"/>
  <c r="D3230" i="2"/>
  <c r="I3229" i="2"/>
  <c r="D3229" i="2"/>
  <c r="F3229" i="2" s="1"/>
  <c r="I3228" i="2"/>
  <c r="D3228" i="2"/>
  <c r="F3228" i="2" s="1"/>
  <c r="I3227" i="2"/>
  <c r="D3227" i="2"/>
  <c r="I3226" i="2"/>
  <c r="D3226" i="2"/>
  <c r="H3226" i="2" s="1"/>
  <c r="I3225" i="2"/>
  <c r="D3225" i="2"/>
  <c r="H3225" i="2" s="1"/>
  <c r="I3224" i="2"/>
  <c r="D3224" i="2"/>
  <c r="I3223" i="2"/>
  <c r="D3223" i="2"/>
  <c r="G3223" i="2" s="1"/>
  <c r="I3222" i="2"/>
  <c r="D3222" i="2"/>
  <c r="F3222" i="2" s="1"/>
  <c r="I3221" i="2"/>
  <c r="D3221" i="2"/>
  <c r="F3221" i="2" s="1"/>
  <c r="I3220" i="2"/>
  <c r="D3220" i="2"/>
  <c r="I3219" i="2"/>
  <c r="D3219" i="2"/>
  <c r="I3218" i="2"/>
  <c r="D3218" i="2"/>
  <c r="I3217" i="2"/>
  <c r="D3217" i="2"/>
  <c r="I3216" i="2"/>
  <c r="D3216" i="2"/>
  <c r="H3216" i="2" s="1"/>
  <c r="I3215" i="2"/>
  <c r="D3215" i="2"/>
  <c r="G3215" i="2" s="1"/>
  <c r="I3214" i="2"/>
  <c r="D3214" i="2"/>
  <c r="I3213" i="2"/>
  <c r="D3213" i="2"/>
  <c r="F3213" i="2" s="1"/>
  <c r="I3212" i="2"/>
  <c r="D3212" i="2"/>
  <c r="F3212" i="2" s="1"/>
  <c r="I3211" i="2"/>
  <c r="D3211" i="2"/>
  <c r="I3210" i="2"/>
  <c r="D3210" i="2"/>
  <c r="G3210" i="2" s="1"/>
  <c r="I3209" i="2"/>
  <c r="D3209" i="2"/>
  <c r="I3208" i="2"/>
  <c r="D3208" i="2"/>
  <c r="I3207" i="2"/>
  <c r="D3207" i="2"/>
  <c r="G3207" i="2" s="1"/>
  <c r="I3206" i="2"/>
  <c r="D3206" i="2"/>
  <c r="F3206" i="2" s="1"/>
  <c r="I3205" i="2"/>
  <c r="D3205" i="2"/>
  <c r="I3204" i="2"/>
  <c r="D3204" i="2"/>
  <c r="H3204" i="2" s="1"/>
  <c r="I3203" i="2"/>
  <c r="D3203" i="2"/>
  <c r="I3202" i="2"/>
  <c r="D3202" i="2"/>
  <c r="F3202" i="2" s="1"/>
  <c r="I3201" i="2"/>
  <c r="D3201" i="2"/>
  <c r="H3201" i="2" s="1"/>
  <c r="I3200" i="2"/>
  <c r="D3200" i="2"/>
  <c r="G3200" i="2" s="1"/>
  <c r="I3199" i="2"/>
  <c r="D3199" i="2"/>
  <c r="I3198" i="2"/>
  <c r="D3198" i="2"/>
  <c r="I3197" i="2"/>
  <c r="D3197" i="2"/>
  <c r="F3197" i="2" s="1"/>
  <c r="I3196" i="2"/>
  <c r="D3196" i="2"/>
  <c r="I3195" i="2"/>
  <c r="D3195" i="2"/>
  <c r="I3194" i="2"/>
  <c r="D3194" i="2"/>
  <c r="I3193" i="2"/>
  <c r="D3193" i="2"/>
  <c r="I3192" i="2"/>
  <c r="D3192" i="2"/>
  <c r="I3191" i="2"/>
  <c r="D3191" i="2"/>
  <c r="G3191" i="2" s="1"/>
  <c r="I3190" i="2"/>
  <c r="D3190" i="2"/>
  <c r="F3190" i="2" s="1"/>
  <c r="I3189" i="2"/>
  <c r="D3189" i="2"/>
  <c r="I3188" i="2"/>
  <c r="D3188" i="2"/>
  <c r="I3187" i="2"/>
  <c r="D3187" i="2"/>
  <c r="I3186" i="2"/>
  <c r="D3186" i="2"/>
  <c r="F3186" i="2" s="1"/>
  <c r="I3185" i="2"/>
  <c r="D3185" i="2"/>
  <c r="H3185" i="2" s="1"/>
  <c r="I3184" i="2"/>
  <c r="D3184" i="2"/>
  <c r="I3183" i="2"/>
  <c r="D3183" i="2"/>
  <c r="G3183" i="2" s="1"/>
  <c r="I3182" i="2"/>
  <c r="D3182" i="2"/>
  <c r="I3181" i="2"/>
  <c r="D3181" i="2"/>
  <c r="F3181" i="2" s="1"/>
  <c r="I3180" i="2"/>
  <c r="D3180" i="2"/>
  <c r="F3180" i="2" s="1"/>
  <c r="I3179" i="2"/>
  <c r="D3179" i="2"/>
  <c r="I3178" i="2"/>
  <c r="D3178" i="2"/>
  <c r="I3177" i="2"/>
  <c r="D3177" i="2"/>
  <c r="I3176" i="2"/>
  <c r="D3176" i="2"/>
  <c r="G3176" i="2" s="1"/>
  <c r="I3175" i="2"/>
  <c r="D3175" i="2"/>
  <c r="I3174" i="2"/>
  <c r="D3174" i="2"/>
  <c r="F3174" i="2" s="1"/>
  <c r="I3173" i="2"/>
  <c r="D3173" i="2"/>
  <c r="F3173" i="2" s="1"/>
  <c r="I3172" i="2"/>
  <c r="D3172" i="2"/>
  <c r="F3172" i="2" s="1"/>
  <c r="I3171" i="2"/>
  <c r="D3171" i="2"/>
  <c r="I3170" i="2"/>
  <c r="D3170" i="2"/>
  <c r="H3170" i="2" s="1"/>
  <c r="I3169" i="2"/>
  <c r="D3169" i="2"/>
  <c r="H3169" i="2" s="1"/>
  <c r="I3168" i="2"/>
  <c r="D3168" i="2"/>
  <c r="I3167" i="2"/>
  <c r="D3167" i="2"/>
  <c r="G3167" i="2" s="1"/>
  <c r="I3166" i="2"/>
  <c r="D3166" i="2"/>
  <c r="I3165" i="2"/>
  <c r="D3165" i="2"/>
  <c r="F3165" i="2" s="1"/>
  <c r="I3164" i="2"/>
  <c r="D3164" i="2"/>
  <c r="F3164" i="2" s="1"/>
  <c r="I3163" i="2"/>
  <c r="D3163" i="2"/>
  <c r="I3162" i="2"/>
  <c r="D3162" i="2"/>
  <c r="I3161" i="2"/>
  <c r="D3161" i="2"/>
  <c r="I3160" i="2"/>
  <c r="D3160" i="2"/>
  <c r="I3159" i="2"/>
  <c r="D3159" i="2"/>
  <c r="I3158" i="2"/>
  <c r="D3158" i="2"/>
  <c r="F3158" i="2" s="1"/>
  <c r="I3157" i="2"/>
  <c r="D3157" i="2"/>
  <c r="F3157" i="2" s="1"/>
  <c r="I3156" i="2"/>
  <c r="D3156" i="2"/>
  <c r="F3156" i="2" s="1"/>
  <c r="I3155" i="2"/>
  <c r="D3155" i="2"/>
  <c r="I3154" i="2"/>
  <c r="D3154" i="2"/>
  <c r="H3154" i="2" s="1"/>
  <c r="I3153" i="2"/>
  <c r="D3153" i="2"/>
  <c r="F3153" i="2" s="1"/>
  <c r="I3152" i="2"/>
  <c r="D3152" i="2"/>
  <c r="H3152" i="2" s="1"/>
  <c r="I3151" i="2"/>
  <c r="D3151" i="2"/>
  <c r="I3150" i="2"/>
  <c r="D3150" i="2"/>
  <c r="I3149" i="2"/>
  <c r="D3149" i="2"/>
  <c r="F3149" i="2" s="1"/>
  <c r="I3148" i="2"/>
  <c r="D3148" i="2"/>
  <c r="F3148" i="2" s="1"/>
  <c r="I3147" i="2"/>
  <c r="D3147" i="2"/>
  <c r="I3146" i="2"/>
  <c r="D3146" i="2"/>
  <c r="H3146" i="2" s="1"/>
  <c r="I3145" i="2"/>
  <c r="D3145" i="2"/>
  <c r="I3144" i="2"/>
  <c r="D3144" i="2"/>
  <c r="I3143" i="2"/>
  <c r="D3143" i="2"/>
  <c r="G3143" i="2" s="1"/>
  <c r="I3142" i="2"/>
  <c r="D3142" i="2"/>
  <c r="F3142" i="2" s="1"/>
  <c r="I3141" i="2"/>
  <c r="D3141" i="2"/>
  <c r="F3141" i="2" s="1"/>
  <c r="I3140" i="2"/>
  <c r="D3140" i="2"/>
  <c r="I3139" i="2"/>
  <c r="D3139" i="2"/>
  <c r="I3138" i="2"/>
  <c r="D3138" i="2"/>
  <c r="G3138" i="2" s="1"/>
  <c r="I3137" i="2"/>
  <c r="D3137" i="2"/>
  <c r="G3137" i="2" s="1"/>
  <c r="I3136" i="2"/>
  <c r="D3136" i="2"/>
  <c r="H3136" i="2" s="1"/>
  <c r="I3135" i="2"/>
  <c r="D3135" i="2"/>
  <c r="I3134" i="2"/>
  <c r="D3134" i="2"/>
  <c r="I3133" i="2"/>
  <c r="D3133" i="2"/>
  <c r="I3132" i="2"/>
  <c r="D3132" i="2"/>
  <c r="I3131" i="2"/>
  <c r="D3131" i="2"/>
  <c r="I3130" i="2"/>
  <c r="D3130" i="2"/>
  <c r="I3129" i="2"/>
  <c r="D3129" i="2"/>
  <c r="H3129" i="2" s="1"/>
  <c r="I3128" i="2"/>
  <c r="D3128" i="2"/>
  <c r="I3127" i="2"/>
  <c r="D3127" i="2"/>
  <c r="I3126" i="2"/>
  <c r="D3126" i="2"/>
  <c r="F3126" i="2" s="1"/>
  <c r="I3125" i="2"/>
  <c r="D3125" i="2"/>
  <c r="F3125" i="2" s="1"/>
  <c r="I3124" i="2"/>
  <c r="D3124" i="2"/>
  <c r="F3124" i="2" s="1"/>
  <c r="I3123" i="2"/>
  <c r="D3123" i="2"/>
  <c r="I3122" i="2"/>
  <c r="D3122" i="2"/>
  <c r="I3121" i="2"/>
  <c r="D3121" i="2"/>
  <c r="H3121" i="2" s="1"/>
  <c r="I3120" i="2"/>
  <c r="D3120" i="2"/>
  <c r="I3119" i="2"/>
  <c r="D3119" i="2"/>
  <c r="G3119" i="2" s="1"/>
  <c r="I3118" i="2"/>
  <c r="D3118" i="2"/>
  <c r="I3117" i="2"/>
  <c r="D3117" i="2"/>
  <c r="F3117" i="2" s="1"/>
  <c r="I3116" i="2"/>
  <c r="D3116" i="2"/>
  <c r="F3116" i="2" s="1"/>
  <c r="I3115" i="2"/>
  <c r="D3115" i="2"/>
  <c r="I3114" i="2"/>
  <c r="D3114" i="2"/>
  <c r="G3114" i="2" s="1"/>
  <c r="I3113" i="2"/>
  <c r="D3113" i="2"/>
  <c r="I3112" i="2"/>
  <c r="D3112" i="2"/>
  <c r="H3112" i="2" s="1"/>
  <c r="I3111" i="2"/>
  <c r="D3111" i="2"/>
  <c r="I3110" i="2"/>
  <c r="D3110" i="2"/>
  <c r="F3110" i="2" s="1"/>
  <c r="I3109" i="2"/>
  <c r="D3109" i="2"/>
  <c r="F3109" i="2" s="1"/>
  <c r="I3108" i="2"/>
  <c r="D3108" i="2"/>
  <c r="F3108" i="2" s="1"/>
  <c r="I3107" i="2"/>
  <c r="D3107" i="2"/>
  <c r="I3106" i="2"/>
  <c r="D3106" i="2"/>
  <c r="G3106" i="2" s="1"/>
  <c r="I3105" i="2"/>
  <c r="D3105" i="2"/>
  <c r="I3104" i="2"/>
  <c r="D3104" i="2"/>
  <c r="I3103" i="2"/>
  <c r="D3103" i="2"/>
  <c r="G3103" i="2" s="1"/>
  <c r="I3102" i="2"/>
  <c r="D3102" i="2"/>
  <c r="I3101" i="2"/>
  <c r="D3101" i="2"/>
  <c r="I3100" i="2"/>
  <c r="D3100" i="2"/>
  <c r="F3100" i="2" s="1"/>
  <c r="I3099" i="2"/>
  <c r="D3099" i="2"/>
  <c r="I3098" i="2"/>
  <c r="D3098" i="2"/>
  <c r="I3097" i="2"/>
  <c r="D3097" i="2"/>
  <c r="H3097" i="2" s="1"/>
  <c r="I3096" i="2"/>
  <c r="D3096" i="2"/>
  <c r="H3096" i="2" s="1"/>
  <c r="I3095" i="2"/>
  <c r="D3095" i="2"/>
  <c r="G3095" i="2" s="1"/>
  <c r="I3094" i="2"/>
  <c r="D3094" i="2"/>
  <c r="F3094" i="2" s="1"/>
  <c r="I3093" i="2"/>
  <c r="D3093" i="2"/>
  <c r="I3092" i="2"/>
  <c r="D3092" i="2"/>
  <c r="F3092" i="2" s="1"/>
  <c r="I3091" i="2"/>
  <c r="D3091" i="2"/>
  <c r="I3090" i="2"/>
  <c r="D3090" i="2"/>
  <c r="G3090" i="2" s="1"/>
  <c r="I3089" i="2"/>
  <c r="D3089" i="2"/>
  <c r="I3088" i="2"/>
  <c r="D3088" i="2"/>
  <c r="I3087" i="2"/>
  <c r="D3087" i="2"/>
  <c r="G3087" i="2" s="1"/>
  <c r="I3086" i="2"/>
  <c r="D3086" i="2"/>
  <c r="I3085" i="2"/>
  <c r="D3085" i="2"/>
  <c r="F3085" i="2" s="1"/>
  <c r="I3084" i="2"/>
  <c r="D3084" i="2"/>
  <c r="F3084" i="2" s="1"/>
  <c r="I3083" i="2"/>
  <c r="D3083" i="2"/>
  <c r="I3082" i="2"/>
  <c r="D3082" i="2"/>
  <c r="F3082" i="2" s="1"/>
  <c r="I3081" i="2"/>
  <c r="D3081" i="2"/>
  <c r="H3081" i="2" s="1"/>
  <c r="I3080" i="2"/>
  <c r="D3080" i="2"/>
  <c r="F3080" i="2" s="1"/>
  <c r="I3079" i="2"/>
  <c r="D3079" i="2"/>
  <c r="I3078" i="2"/>
  <c r="D3078" i="2"/>
  <c r="F3078" i="2" s="1"/>
  <c r="I3077" i="2"/>
  <c r="D3077" i="2"/>
  <c r="F3077" i="2" s="1"/>
  <c r="I3076" i="2"/>
  <c r="D3076" i="2"/>
  <c r="F3076" i="2" s="1"/>
  <c r="I3075" i="2"/>
  <c r="D3075" i="2"/>
  <c r="I3074" i="2"/>
  <c r="D3074" i="2"/>
  <c r="H3074" i="2" s="1"/>
  <c r="I3073" i="2"/>
  <c r="D3073" i="2"/>
  <c r="H3073" i="2" s="1"/>
  <c r="I3072" i="2"/>
  <c r="D3072" i="2"/>
  <c r="I3071" i="2"/>
  <c r="D3071" i="2"/>
  <c r="G3071" i="2" s="1"/>
  <c r="I3070" i="2"/>
  <c r="D3070" i="2"/>
  <c r="I3069" i="2"/>
  <c r="D3069" i="2"/>
  <c r="F3069" i="2" s="1"/>
  <c r="I3068" i="2"/>
  <c r="D3068" i="2"/>
  <c r="I3067" i="2"/>
  <c r="D3067" i="2"/>
  <c r="I3066" i="2"/>
  <c r="D3066" i="2"/>
  <c r="G3066" i="2" s="1"/>
  <c r="I3065" i="2"/>
  <c r="D3065" i="2"/>
  <c r="H3065" i="2" s="1"/>
  <c r="I3064" i="2"/>
  <c r="D3064" i="2"/>
  <c r="I3063" i="2"/>
  <c r="D3063" i="2"/>
  <c r="I3062" i="2"/>
  <c r="D3062" i="2"/>
  <c r="F3062" i="2" s="1"/>
  <c r="I3061" i="2"/>
  <c r="D3061" i="2"/>
  <c r="I3060" i="2"/>
  <c r="D3060" i="2"/>
  <c r="F3060" i="2" s="1"/>
  <c r="I3059" i="2"/>
  <c r="D3059" i="2"/>
  <c r="I3058" i="2"/>
  <c r="D3058" i="2"/>
  <c r="I3057" i="2"/>
  <c r="D3057" i="2"/>
  <c r="H3057" i="2" s="1"/>
  <c r="I3056" i="2"/>
  <c r="D3056" i="2"/>
  <c r="G3056" i="2" s="1"/>
  <c r="I3055" i="2"/>
  <c r="D3055" i="2"/>
  <c r="I3054" i="2"/>
  <c r="D3054" i="2"/>
  <c r="I3053" i="2"/>
  <c r="D3053" i="2"/>
  <c r="F3053" i="2" s="1"/>
  <c r="I3052" i="2"/>
  <c r="D3052" i="2"/>
  <c r="F3052" i="2" s="1"/>
  <c r="I3051" i="2"/>
  <c r="D3051" i="2"/>
  <c r="I3050" i="2"/>
  <c r="D3050" i="2"/>
  <c r="I3049" i="2"/>
  <c r="D3049" i="2"/>
  <c r="F3049" i="2" s="1"/>
  <c r="I3048" i="2"/>
  <c r="D3048" i="2"/>
  <c r="H3048" i="2" s="1"/>
  <c r="I3047" i="2"/>
  <c r="D3047" i="2"/>
  <c r="G3047" i="2" s="1"/>
  <c r="I3046" i="2"/>
  <c r="D3046" i="2"/>
  <c r="F3046" i="2" s="1"/>
  <c r="I3045" i="2"/>
  <c r="D3045" i="2"/>
  <c r="F3045" i="2" s="1"/>
  <c r="I3044" i="2"/>
  <c r="D3044" i="2"/>
  <c r="F3044" i="2" s="1"/>
  <c r="I3043" i="2"/>
  <c r="D3043" i="2"/>
  <c r="I3042" i="2"/>
  <c r="D3042" i="2"/>
  <c r="I3041" i="2"/>
  <c r="D3041" i="2"/>
  <c r="I3040" i="2"/>
  <c r="D3040" i="2"/>
  <c r="H3040" i="2" s="1"/>
  <c r="I3039" i="2"/>
  <c r="D3039" i="2"/>
  <c r="I3038" i="2"/>
  <c r="D3038" i="2"/>
  <c r="I3037" i="2"/>
  <c r="D3037" i="2"/>
  <c r="F3037" i="2" s="1"/>
  <c r="I3036" i="2"/>
  <c r="D3036" i="2"/>
  <c r="F3036" i="2" s="1"/>
  <c r="I3035" i="2"/>
  <c r="D3035" i="2"/>
  <c r="I3034" i="2"/>
  <c r="D3034" i="2"/>
  <c r="I3033" i="2"/>
  <c r="D3033" i="2"/>
  <c r="I3032" i="2"/>
  <c r="D3032" i="2"/>
  <c r="H3032" i="2" s="1"/>
  <c r="I3031" i="2"/>
  <c r="D3031" i="2"/>
  <c r="G3031" i="2" s="1"/>
  <c r="I3030" i="2"/>
  <c r="D3030" i="2"/>
  <c r="F3030" i="2" s="1"/>
  <c r="I3029" i="2"/>
  <c r="D3029" i="2"/>
  <c r="I3028" i="2"/>
  <c r="D3028" i="2"/>
  <c r="F3028" i="2" s="1"/>
  <c r="I3027" i="2"/>
  <c r="D3027" i="2"/>
  <c r="I3026" i="2"/>
  <c r="D3026" i="2"/>
  <c r="H3026" i="2" s="1"/>
  <c r="I3025" i="2"/>
  <c r="D3025" i="2"/>
  <c r="H3025" i="2" s="1"/>
  <c r="I3024" i="2"/>
  <c r="D3024" i="2"/>
  <c r="G3024" i="2" s="1"/>
  <c r="I3023" i="2"/>
  <c r="D3023" i="2"/>
  <c r="F3023" i="2" s="1"/>
  <c r="I3022" i="2"/>
  <c r="D3022" i="2"/>
  <c r="I3021" i="2"/>
  <c r="D3021" i="2"/>
  <c r="I3020" i="2"/>
  <c r="D3020" i="2"/>
  <c r="F3020" i="2" s="1"/>
  <c r="I3019" i="2"/>
  <c r="D3019" i="2"/>
  <c r="I3018" i="2"/>
  <c r="D3018" i="2"/>
  <c r="I3017" i="2"/>
  <c r="D3017" i="2"/>
  <c r="I3016" i="2"/>
  <c r="D3016" i="2"/>
  <c r="I3015" i="2"/>
  <c r="D3015" i="2"/>
  <c r="G3015" i="2" s="1"/>
  <c r="I3014" i="2"/>
  <c r="D3014" i="2"/>
  <c r="F3014" i="2" s="1"/>
  <c r="I3013" i="2"/>
  <c r="D3013" i="2"/>
  <c r="F3013" i="2" s="1"/>
  <c r="I3012" i="2"/>
  <c r="D3012" i="2"/>
  <c r="I3011" i="2"/>
  <c r="D3011" i="2"/>
  <c r="I3010" i="2"/>
  <c r="D3010" i="2"/>
  <c r="I3009" i="2"/>
  <c r="D3009" i="2"/>
  <c r="I3008" i="2"/>
  <c r="D3008" i="2"/>
  <c r="I3007" i="2"/>
  <c r="D3007" i="2"/>
  <c r="G3007" i="2" s="1"/>
  <c r="I3006" i="2"/>
  <c r="D3006" i="2"/>
  <c r="I3005" i="2"/>
  <c r="D3005" i="2"/>
  <c r="I3004" i="2"/>
  <c r="D3004" i="2"/>
  <c r="F3004" i="2" s="1"/>
  <c r="I3003" i="2"/>
  <c r="D3003" i="2"/>
  <c r="I3002" i="2"/>
  <c r="D3002" i="2"/>
  <c r="I3001" i="2"/>
  <c r="D3001" i="2"/>
  <c r="H3001" i="2" s="1"/>
  <c r="I3000" i="2"/>
  <c r="D3000" i="2"/>
  <c r="F3000" i="2" s="1"/>
  <c r="I2999" i="2"/>
  <c r="D2999" i="2"/>
  <c r="G2999" i="2" s="1"/>
  <c r="I2998" i="2"/>
  <c r="D2998" i="2"/>
  <c r="F2998" i="2" s="1"/>
  <c r="I2997" i="2"/>
  <c r="D2997" i="2"/>
  <c r="F2997" i="2" s="1"/>
  <c r="I2996" i="2"/>
  <c r="D2996" i="2"/>
  <c r="I2995" i="2"/>
  <c r="D2995" i="2"/>
  <c r="I2994" i="2"/>
  <c r="D2994" i="2"/>
  <c r="H2994" i="2" s="1"/>
  <c r="I2993" i="2"/>
  <c r="D2993" i="2"/>
  <c r="I2992" i="2"/>
  <c r="D2992" i="2"/>
  <c r="I2991" i="2"/>
  <c r="D2991" i="2"/>
  <c r="G2991" i="2" s="1"/>
  <c r="I2990" i="2"/>
  <c r="D2990" i="2"/>
  <c r="I2989" i="2"/>
  <c r="D2989" i="2"/>
  <c r="G2989" i="2" s="1"/>
  <c r="I2988" i="2"/>
  <c r="D2988" i="2"/>
  <c r="F2988" i="2" s="1"/>
  <c r="I2987" i="2"/>
  <c r="D2987" i="2"/>
  <c r="G2987" i="2" s="1"/>
  <c r="I2986" i="2"/>
  <c r="D2986" i="2"/>
  <c r="I2985" i="2"/>
  <c r="D2985" i="2"/>
  <c r="I2984" i="2"/>
  <c r="D2984" i="2"/>
  <c r="I2983" i="2"/>
  <c r="D2983" i="2"/>
  <c r="I2982" i="2"/>
  <c r="D2982" i="2"/>
  <c r="G2982" i="2" s="1"/>
  <c r="I2981" i="2"/>
  <c r="D2981" i="2"/>
  <c r="F2981" i="2" s="1"/>
  <c r="I2980" i="2"/>
  <c r="D2980" i="2"/>
  <c r="I2979" i="2"/>
  <c r="D2979" i="2"/>
  <c r="I2978" i="2"/>
  <c r="D2978" i="2"/>
  <c r="I2977" i="2"/>
  <c r="D2977" i="2"/>
  <c r="I2976" i="2"/>
  <c r="D2976" i="2"/>
  <c r="I2975" i="2"/>
  <c r="D2975" i="2"/>
  <c r="G2975" i="2" s="1"/>
  <c r="I2974" i="2"/>
  <c r="D2974" i="2"/>
  <c r="I2973" i="2"/>
  <c r="D2973" i="2"/>
  <c r="F2973" i="2" s="1"/>
  <c r="I2972" i="2"/>
  <c r="D2972" i="2"/>
  <c r="F2972" i="2" s="1"/>
  <c r="I2971" i="2"/>
  <c r="D2971" i="2"/>
  <c r="I2970" i="2"/>
  <c r="D2970" i="2"/>
  <c r="F2970" i="2" s="1"/>
  <c r="I2969" i="2"/>
  <c r="D2969" i="2"/>
  <c r="I2968" i="2"/>
  <c r="D2968" i="2"/>
  <c r="I2967" i="2"/>
  <c r="D2967" i="2"/>
  <c r="I2966" i="2"/>
  <c r="D2966" i="2"/>
  <c r="G2966" i="2" s="1"/>
  <c r="I2965" i="2"/>
  <c r="D2965" i="2"/>
  <c r="F2965" i="2" s="1"/>
  <c r="I2964" i="2"/>
  <c r="D2964" i="2"/>
  <c r="I2963" i="2"/>
  <c r="D2963" i="2"/>
  <c r="I2962" i="2"/>
  <c r="D2962" i="2"/>
  <c r="F2962" i="2" s="1"/>
  <c r="I2961" i="2"/>
  <c r="D2961" i="2"/>
  <c r="H2961" i="2" s="1"/>
  <c r="I2960" i="2"/>
  <c r="D2960" i="2"/>
  <c r="F2960" i="2" s="1"/>
  <c r="I2959" i="2"/>
  <c r="D2959" i="2"/>
  <c r="G2959" i="2" s="1"/>
  <c r="I2958" i="2"/>
  <c r="D2958" i="2"/>
  <c r="I2957" i="2"/>
  <c r="D2957" i="2"/>
  <c r="F2957" i="2" s="1"/>
  <c r="I2956" i="2"/>
  <c r="D2956" i="2"/>
  <c r="H2956" i="2" s="1"/>
  <c r="I2955" i="2"/>
  <c r="D2955" i="2"/>
  <c r="I2954" i="2"/>
  <c r="D2954" i="2"/>
  <c r="G2954" i="2" s="1"/>
  <c r="I2953" i="2"/>
  <c r="D2953" i="2"/>
  <c r="H2953" i="2" s="1"/>
  <c r="I2952" i="2"/>
  <c r="D2952" i="2"/>
  <c r="F2952" i="2" s="1"/>
  <c r="I2951" i="2"/>
  <c r="D2951" i="2"/>
  <c r="I2950" i="2"/>
  <c r="D2950" i="2"/>
  <c r="G2950" i="2" s="1"/>
  <c r="I2949" i="2"/>
  <c r="D2949" i="2"/>
  <c r="I2948" i="2"/>
  <c r="D2948" i="2"/>
  <c r="H2948" i="2" s="1"/>
  <c r="I2947" i="2"/>
  <c r="D2947" i="2"/>
  <c r="G2947" i="2" s="1"/>
  <c r="I2946" i="2"/>
  <c r="D2946" i="2"/>
  <c r="I2945" i="2"/>
  <c r="D2945" i="2"/>
  <c r="H2945" i="2" s="1"/>
  <c r="I2944" i="2"/>
  <c r="D2944" i="2"/>
  <c r="I2943" i="2"/>
  <c r="D2943" i="2"/>
  <c r="H2943" i="2" s="1"/>
  <c r="I2942" i="2"/>
  <c r="D2942" i="2"/>
  <c r="G2942" i="2" s="1"/>
  <c r="I2941" i="2"/>
  <c r="D2941" i="2"/>
  <c r="F2941" i="2" s="1"/>
  <c r="I2940" i="2"/>
  <c r="D2940" i="2"/>
  <c r="I2939" i="2"/>
  <c r="D2939" i="2"/>
  <c r="I2938" i="2"/>
  <c r="D2938" i="2"/>
  <c r="F2938" i="2" s="1"/>
  <c r="I2937" i="2"/>
  <c r="D2937" i="2"/>
  <c r="H2937" i="2" s="1"/>
  <c r="I2936" i="2"/>
  <c r="D2936" i="2"/>
  <c r="I2935" i="2"/>
  <c r="D2935" i="2"/>
  <c r="I2934" i="2"/>
  <c r="D2934" i="2"/>
  <c r="G2934" i="2" s="1"/>
  <c r="I2933" i="2"/>
  <c r="D2933" i="2"/>
  <c r="I2932" i="2"/>
  <c r="D2932" i="2"/>
  <c r="I2931" i="2"/>
  <c r="D2931" i="2"/>
  <c r="F2931" i="2" s="1"/>
  <c r="I2930" i="2"/>
  <c r="D2930" i="2"/>
  <c r="H2930" i="2" s="1"/>
  <c r="I2929" i="2"/>
  <c r="D2929" i="2"/>
  <c r="I2928" i="2"/>
  <c r="D2928" i="2"/>
  <c r="I2927" i="2"/>
  <c r="D2927" i="2"/>
  <c r="H2927" i="2" s="1"/>
  <c r="I2926" i="2"/>
  <c r="D2926" i="2"/>
  <c r="G2926" i="2" s="1"/>
  <c r="I2925" i="2"/>
  <c r="D2925" i="2"/>
  <c r="I2924" i="2"/>
  <c r="D2924" i="2"/>
  <c r="I2923" i="2"/>
  <c r="D2923" i="2"/>
  <c r="F2923" i="2" s="1"/>
  <c r="I2922" i="2"/>
  <c r="D2922" i="2"/>
  <c r="H2922" i="2" s="1"/>
  <c r="I2921" i="2"/>
  <c r="D2921" i="2"/>
  <c r="I2920" i="2"/>
  <c r="D2920" i="2"/>
  <c r="I2919" i="2"/>
  <c r="D2919" i="2"/>
  <c r="H2919" i="2" s="1"/>
  <c r="I2918" i="2"/>
  <c r="D2918" i="2"/>
  <c r="I2917" i="2"/>
  <c r="D2917" i="2"/>
  <c r="I2916" i="2"/>
  <c r="D2916" i="2"/>
  <c r="I2915" i="2"/>
  <c r="D2915" i="2"/>
  <c r="F2915" i="2" s="1"/>
  <c r="I2914" i="2"/>
  <c r="D2914" i="2"/>
  <c r="F2914" i="2" s="1"/>
  <c r="I2913" i="2"/>
  <c r="D2913" i="2"/>
  <c r="H2913" i="2" s="1"/>
  <c r="I2912" i="2"/>
  <c r="D2912" i="2"/>
  <c r="H2912" i="2" s="1"/>
  <c r="I2911" i="2"/>
  <c r="D2911" i="2"/>
  <c r="H2911" i="2" s="1"/>
  <c r="I2910" i="2"/>
  <c r="D2910" i="2"/>
  <c r="I2909" i="2"/>
  <c r="D2909" i="2"/>
  <c r="H2909" i="2" s="1"/>
  <c r="I2908" i="2"/>
  <c r="D2908" i="2"/>
  <c r="H2908" i="2" s="1"/>
  <c r="I2907" i="2"/>
  <c r="D2907" i="2"/>
  <c r="I2906" i="2"/>
  <c r="D2906" i="2"/>
  <c r="I2905" i="2"/>
  <c r="D2905" i="2"/>
  <c r="I2904" i="2"/>
  <c r="D2904" i="2"/>
  <c r="I2903" i="2"/>
  <c r="D2903" i="2"/>
  <c r="H2903" i="2" s="1"/>
  <c r="I2902" i="2"/>
  <c r="D2902" i="2"/>
  <c r="I2901" i="2"/>
  <c r="D2901" i="2"/>
  <c r="H2901" i="2" s="1"/>
  <c r="I2900" i="2"/>
  <c r="D2900" i="2"/>
  <c r="I2899" i="2"/>
  <c r="D2899" i="2"/>
  <c r="I2898" i="2"/>
  <c r="D2898" i="2"/>
  <c r="F2898" i="2" s="1"/>
  <c r="I2897" i="2"/>
  <c r="D2897" i="2"/>
  <c r="H2897" i="2" s="1"/>
  <c r="I2896" i="2"/>
  <c r="D2896" i="2"/>
  <c r="F2896" i="2" s="1"/>
  <c r="I2895" i="2"/>
  <c r="D2895" i="2"/>
  <c r="F2895" i="2" s="1"/>
  <c r="I2894" i="2"/>
  <c r="D2894" i="2"/>
  <c r="G2894" i="2" s="1"/>
  <c r="I2893" i="2"/>
  <c r="D2893" i="2"/>
  <c r="I2892" i="2"/>
  <c r="D2892" i="2"/>
  <c r="H2892" i="2" s="1"/>
  <c r="I2891" i="2"/>
  <c r="D2891" i="2"/>
  <c r="I2890" i="2"/>
  <c r="D2890" i="2"/>
  <c r="I2889" i="2"/>
  <c r="D2889" i="2"/>
  <c r="H2889" i="2" s="1"/>
  <c r="I2888" i="2"/>
  <c r="D2888" i="2"/>
  <c r="H2888" i="2" s="1"/>
  <c r="I2887" i="2"/>
  <c r="D2887" i="2"/>
  <c r="I2886" i="2"/>
  <c r="D2886" i="2"/>
  <c r="I2885" i="2"/>
  <c r="D2885" i="2"/>
  <c r="H2885" i="2" s="1"/>
  <c r="I2884" i="2"/>
  <c r="D2884" i="2"/>
  <c r="H2884" i="2" s="1"/>
  <c r="I2883" i="2"/>
  <c r="D2883" i="2"/>
  <c r="I2882" i="2"/>
  <c r="D2882" i="2"/>
  <c r="H2882" i="2" s="1"/>
  <c r="I2881" i="2"/>
  <c r="D2881" i="2"/>
  <c r="I2880" i="2"/>
  <c r="D2880" i="2"/>
  <c r="I2879" i="2"/>
  <c r="D2879" i="2"/>
  <c r="I2878" i="2"/>
  <c r="D2878" i="2"/>
  <c r="G2878" i="2" s="1"/>
  <c r="I2877" i="2"/>
  <c r="D2877" i="2"/>
  <c r="H2877" i="2" s="1"/>
  <c r="I2876" i="2"/>
  <c r="D2876" i="2"/>
  <c r="G2876" i="2" s="1"/>
  <c r="I2875" i="2"/>
  <c r="D2875" i="2"/>
  <c r="F2875" i="2" s="1"/>
  <c r="I2874" i="2"/>
  <c r="D2874" i="2"/>
  <c r="F2874" i="2" s="1"/>
  <c r="I2873" i="2"/>
  <c r="D2873" i="2"/>
  <c r="I2872" i="2"/>
  <c r="D2872" i="2"/>
  <c r="F2872" i="2" s="1"/>
  <c r="I2871" i="2"/>
  <c r="D2871" i="2"/>
  <c r="H2871" i="2" s="1"/>
  <c r="I2870" i="2"/>
  <c r="D2870" i="2"/>
  <c r="G2870" i="2" s="1"/>
  <c r="I2869" i="2"/>
  <c r="D2869" i="2"/>
  <c r="I2868" i="2"/>
  <c r="D2868" i="2"/>
  <c r="I2867" i="2"/>
  <c r="D2867" i="2"/>
  <c r="F2867" i="2" s="1"/>
  <c r="I2866" i="2"/>
  <c r="D2866" i="2"/>
  <c r="H2866" i="2" s="1"/>
  <c r="I2865" i="2"/>
  <c r="D2865" i="2"/>
  <c r="I2864" i="2"/>
  <c r="D2864" i="2"/>
  <c r="F2864" i="2" s="1"/>
  <c r="I2863" i="2"/>
  <c r="D2863" i="2"/>
  <c r="H2863" i="2" s="1"/>
  <c r="I2862" i="2"/>
  <c r="D2862" i="2"/>
  <c r="I2861" i="2"/>
  <c r="D2861" i="2"/>
  <c r="I2860" i="2"/>
  <c r="D2860" i="2"/>
  <c r="H2860" i="2" s="1"/>
  <c r="I2859" i="2"/>
  <c r="D2859" i="2"/>
  <c r="F2859" i="2" s="1"/>
  <c r="I2858" i="2"/>
  <c r="D2858" i="2"/>
  <c r="I2857" i="2"/>
  <c r="D2857" i="2"/>
  <c r="I2856" i="2"/>
  <c r="D2856" i="2"/>
  <c r="I2855" i="2"/>
  <c r="D2855" i="2"/>
  <c r="I2854" i="2"/>
  <c r="D2854" i="2"/>
  <c r="I2853" i="2"/>
  <c r="D2853" i="2"/>
  <c r="I2852" i="2"/>
  <c r="D2852" i="2"/>
  <c r="I2851" i="2"/>
  <c r="D2851" i="2"/>
  <c r="F2851" i="2" s="1"/>
  <c r="I2850" i="2"/>
  <c r="D2850" i="2"/>
  <c r="I2849" i="2"/>
  <c r="D2849" i="2"/>
  <c r="H2849" i="2" s="1"/>
  <c r="I2848" i="2"/>
  <c r="D2848" i="2"/>
  <c r="I2847" i="2"/>
  <c r="D2847" i="2"/>
  <c r="I2846" i="2"/>
  <c r="D2846" i="2"/>
  <c r="I2845" i="2"/>
  <c r="D2845" i="2"/>
  <c r="H2845" i="2" s="1"/>
  <c r="I2844" i="2"/>
  <c r="D2844" i="2"/>
  <c r="H2844" i="2" s="1"/>
  <c r="I2843" i="2"/>
  <c r="D2843" i="2"/>
  <c r="F2843" i="2" s="1"/>
  <c r="I2842" i="2"/>
  <c r="D2842" i="2"/>
  <c r="H2842" i="2" s="1"/>
  <c r="I2841" i="2"/>
  <c r="D2841" i="2"/>
  <c r="G2841" i="2" s="1"/>
  <c r="I2840" i="2"/>
  <c r="D2840" i="2"/>
  <c r="H2840" i="2" s="1"/>
  <c r="I2839" i="2"/>
  <c r="D2839" i="2"/>
  <c r="I2838" i="2"/>
  <c r="D2838" i="2"/>
  <c r="G2838" i="2" s="1"/>
  <c r="I2837" i="2"/>
  <c r="D2837" i="2"/>
  <c r="H2837" i="2" s="1"/>
  <c r="I2836" i="2"/>
  <c r="D2836" i="2"/>
  <c r="G2836" i="2" s="1"/>
  <c r="I2835" i="2"/>
  <c r="D2835" i="2"/>
  <c r="F2835" i="2" s="1"/>
  <c r="I2834" i="2"/>
  <c r="D2834" i="2"/>
  <c r="F2834" i="2" s="1"/>
  <c r="I2833" i="2"/>
  <c r="D2833" i="2"/>
  <c r="I2832" i="2"/>
  <c r="D2832" i="2"/>
  <c r="H2832" i="2" s="1"/>
  <c r="I2831" i="2"/>
  <c r="D2831" i="2"/>
  <c r="F2831" i="2" s="1"/>
  <c r="I2830" i="2"/>
  <c r="D2830" i="2"/>
  <c r="G2830" i="2" s="1"/>
  <c r="I2829" i="2"/>
  <c r="D2829" i="2"/>
  <c r="H2829" i="2" s="1"/>
  <c r="I2828" i="2"/>
  <c r="D2828" i="2"/>
  <c r="I2827" i="2"/>
  <c r="D2827" i="2"/>
  <c r="F2827" i="2" s="1"/>
  <c r="I2826" i="2"/>
  <c r="D2826" i="2"/>
  <c r="H2826" i="2" s="1"/>
  <c r="I2825" i="2"/>
  <c r="D2825" i="2"/>
  <c r="H2825" i="2" s="1"/>
  <c r="I2824" i="2"/>
  <c r="D2824" i="2"/>
  <c r="H2824" i="2" s="1"/>
  <c r="I2823" i="2"/>
  <c r="D2823" i="2"/>
  <c r="I2822" i="2"/>
  <c r="D2822" i="2"/>
  <c r="G2822" i="2" s="1"/>
  <c r="I2821" i="2"/>
  <c r="D2821" i="2"/>
  <c r="I2820" i="2"/>
  <c r="D2820" i="2"/>
  <c r="G2820" i="2" s="1"/>
  <c r="I2819" i="2"/>
  <c r="D2819" i="2"/>
  <c r="I2818" i="2"/>
  <c r="D2818" i="2"/>
  <c r="H2818" i="2" s="1"/>
  <c r="I2817" i="2"/>
  <c r="D2817" i="2"/>
  <c r="H2817" i="2" s="1"/>
  <c r="I2816" i="2"/>
  <c r="D2816" i="2"/>
  <c r="H2816" i="2" s="1"/>
  <c r="I2815" i="2"/>
  <c r="D2815" i="2"/>
  <c r="F2815" i="2" s="1"/>
  <c r="I2814" i="2"/>
  <c r="D2814" i="2"/>
  <c r="I2813" i="2"/>
  <c r="D2813" i="2"/>
  <c r="H2813" i="2" s="1"/>
  <c r="I2812" i="2"/>
  <c r="D2812" i="2"/>
  <c r="H2812" i="2" s="1"/>
  <c r="I2811" i="2"/>
  <c r="D2811" i="2"/>
  <c r="I2810" i="2"/>
  <c r="D2810" i="2"/>
  <c r="G2810" i="2" s="1"/>
  <c r="I2809" i="2"/>
  <c r="D2809" i="2"/>
  <c r="I2808" i="2"/>
  <c r="D2808" i="2"/>
  <c r="H2808" i="2" s="1"/>
  <c r="I2807" i="2"/>
  <c r="D2807" i="2"/>
  <c r="F2807" i="2" s="1"/>
  <c r="I2806" i="2"/>
  <c r="D2806" i="2"/>
  <c r="H2806" i="2" s="1"/>
  <c r="I2805" i="2"/>
  <c r="D2805" i="2"/>
  <c r="H2805" i="2" s="1"/>
  <c r="I2804" i="2"/>
  <c r="D2804" i="2"/>
  <c r="I2803" i="2"/>
  <c r="D2803" i="2"/>
  <c r="I2802" i="2"/>
  <c r="D2802" i="2"/>
  <c r="I2801" i="2"/>
  <c r="D2801" i="2"/>
  <c r="F2801" i="2" s="1"/>
  <c r="I2800" i="2"/>
  <c r="D2800" i="2"/>
  <c r="H2800" i="2" s="1"/>
  <c r="I2799" i="2"/>
  <c r="D2799" i="2"/>
  <c r="F2799" i="2" s="1"/>
  <c r="I2798" i="2"/>
  <c r="D2798" i="2"/>
  <c r="I2797" i="2"/>
  <c r="D2797" i="2"/>
  <c r="H2797" i="2" s="1"/>
  <c r="I2796" i="2"/>
  <c r="D2796" i="2"/>
  <c r="H2796" i="2" s="1"/>
  <c r="I2795" i="2"/>
  <c r="D2795" i="2"/>
  <c r="I2794" i="2"/>
  <c r="D2794" i="2"/>
  <c r="G2794" i="2" s="1"/>
  <c r="I2793" i="2"/>
  <c r="D2793" i="2"/>
  <c r="I2792" i="2"/>
  <c r="D2792" i="2"/>
  <c r="H2792" i="2" s="1"/>
  <c r="I2791" i="2"/>
  <c r="D2791" i="2"/>
  <c r="F2791" i="2" s="1"/>
  <c r="I2790" i="2"/>
  <c r="D2790" i="2"/>
  <c r="H2790" i="2" s="1"/>
  <c r="I2789" i="2"/>
  <c r="D2789" i="2"/>
  <c r="H2789" i="2" s="1"/>
  <c r="I2788" i="2"/>
  <c r="D2788" i="2"/>
  <c r="G2788" i="2" s="1"/>
  <c r="I2787" i="2"/>
  <c r="D2787" i="2"/>
  <c r="I2786" i="2"/>
  <c r="D2786" i="2"/>
  <c r="I2785" i="2"/>
  <c r="D2785" i="2"/>
  <c r="F2785" i="2" s="1"/>
  <c r="I2784" i="2"/>
  <c r="D2784" i="2"/>
  <c r="H2784" i="2" s="1"/>
  <c r="I2783" i="2"/>
  <c r="D2783" i="2"/>
  <c r="F2783" i="2" s="1"/>
  <c r="I2782" i="2"/>
  <c r="D2782" i="2"/>
  <c r="I2781" i="2"/>
  <c r="D2781" i="2"/>
  <c r="H2781" i="2" s="1"/>
  <c r="I2780" i="2"/>
  <c r="D2780" i="2"/>
  <c r="H2780" i="2" s="1"/>
  <c r="I2779" i="2"/>
  <c r="D2779" i="2"/>
  <c r="I2778" i="2"/>
  <c r="D2778" i="2"/>
  <c r="G2778" i="2" s="1"/>
  <c r="I2777" i="2"/>
  <c r="D2777" i="2"/>
  <c r="I2776" i="2"/>
  <c r="D2776" i="2"/>
  <c r="H2776" i="2" s="1"/>
  <c r="I2775" i="2"/>
  <c r="D2775" i="2"/>
  <c r="F2775" i="2" s="1"/>
  <c r="I2774" i="2"/>
  <c r="D2774" i="2"/>
  <c r="H2774" i="2" s="1"/>
  <c r="I2773" i="2"/>
  <c r="D2773" i="2"/>
  <c r="H2773" i="2" s="1"/>
  <c r="I2772" i="2"/>
  <c r="D2772" i="2"/>
  <c r="I2771" i="2"/>
  <c r="D2771" i="2"/>
  <c r="I2770" i="2"/>
  <c r="D2770" i="2"/>
  <c r="I2769" i="2"/>
  <c r="D2769" i="2"/>
  <c r="F2769" i="2" s="1"/>
  <c r="I2768" i="2"/>
  <c r="D2768" i="2"/>
  <c r="H2768" i="2" s="1"/>
  <c r="I2767" i="2"/>
  <c r="D2767" i="2"/>
  <c r="F2767" i="2" s="1"/>
  <c r="I2766" i="2"/>
  <c r="D2766" i="2"/>
  <c r="I2765" i="2"/>
  <c r="D2765" i="2"/>
  <c r="H2765" i="2" s="1"/>
  <c r="I2764" i="2"/>
  <c r="D2764" i="2"/>
  <c r="H2764" i="2" s="1"/>
  <c r="I2763" i="2"/>
  <c r="D2763" i="2"/>
  <c r="I2762" i="2"/>
  <c r="D2762" i="2"/>
  <c r="G2762" i="2" s="1"/>
  <c r="I2761" i="2"/>
  <c r="D2761" i="2"/>
  <c r="I2760" i="2"/>
  <c r="D2760" i="2"/>
  <c r="H2760" i="2" s="1"/>
  <c r="I2759" i="2"/>
  <c r="D2759" i="2"/>
  <c r="F2759" i="2" s="1"/>
  <c r="I2758" i="2"/>
  <c r="D2758" i="2"/>
  <c r="H2758" i="2" s="1"/>
  <c r="I2757" i="2"/>
  <c r="D2757" i="2"/>
  <c r="H2757" i="2" s="1"/>
  <c r="I2756" i="2"/>
  <c r="D2756" i="2"/>
  <c r="G2756" i="2" s="1"/>
  <c r="I2755" i="2"/>
  <c r="D2755" i="2"/>
  <c r="I2754" i="2"/>
  <c r="D2754" i="2"/>
  <c r="I2753" i="2"/>
  <c r="D2753" i="2"/>
  <c r="F2753" i="2" s="1"/>
  <c r="I2752" i="2"/>
  <c r="D2752" i="2"/>
  <c r="H2752" i="2" s="1"/>
  <c r="I2751" i="2"/>
  <c r="D2751" i="2"/>
  <c r="F2751" i="2" s="1"/>
  <c r="I2750" i="2"/>
  <c r="D2750" i="2"/>
  <c r="I2749" i="2"/>
  <c r="D2749" i="2"/>
  <c r="H2749" i="2" s="1"/>
  <c r="I2748" i="2"/>
  <c r="D2748" i="2"/>
  <c r="H2748" i="2" s="1"/>
  <c r="I2747" i="2"/>
  <c r="D2747" i="2"/>
  <c r="I2746" i="2"/>
  <c r="D2746" i="2"/>
  <c r="G2746" i="2" s="1"/>
  <c r="I2745" i="2"/>
  <c r="D2745" i="2"/>
  <c r="I2744" i="2"/>
  <c r="D2744" i="2"/>
  <c r="H2744" i="2" s="1"/>
  <c r="I2743" i="2"/>
  <c r="D2743" i="2"/>
  <c r="F2743" i="2" s="1"/>
  <c r="I2742" i="2"/>
  <c r="D2742" i="2"/>
  <c r="H2742" i="2" s="1"/>
  <c r="I2741" i="2"/>
  <c r="D2741" i="2"/>
  <c r="H2741" i="2" s="1"/>
  <c r="I2740" i="2"/>
  <c r="D2740" i="2"/>
  <c r="G2740" i="2" s="1"/>
  <c r="I2739" i="2"/>
  <c r="D2739" i="2"/>
  <c r="I2738" i="2"/>
  <c r="D2738" i="2"/>
  <c r="I2737" i="2"/>
  <c r="D2737" i="2"/>
  <c r="F2737" i="2" s="1"/>
  <c r="I2736" i="2"/>
  <c r="D2736" i="2"/>
  <c r="H2736" i="2" s="1"/>
  <c r="I2735" i="2"/>
  <c r="D2735" i="2"/>
  <c r="F2735" i="2" s="1"/>
  <c r="I2734" i="2"/>
  <c r="D2734" i="2"/>
  <c r="I2733" i="2"/>
  <c r="D2733" i="2"/>
  <c r="H2733" i="2" s="1"/>
  <c r="I2732" i="2"/>
  <c r="D2732" i="2"/>
  <c r="H2732" i="2" s="1"/>
  <c r="I2731" i="2"/>
  <c r="D2731" i="2"/>
  <c r="I2730" i="2"/>
  <c r="D2730" i="2"/>
  <c r="G2730" i="2" s="1"/>
  <c r="I2729" i="2"/>
  <c r="D2729" i="2"/>
  <c r="I2728" i="2"/>
  <c r="D2728" i="2"/>
  <c r="H2728" i="2" s="1"/>
  <c r="I2727" i="2"/>
  <c r="D2727" i="2"/>
  <c r="F2727" i="2" s="1"/>
  <c r="I2726" i="2"/>
  <c r="D2726" i="2"/>
  <c r="H2726" i="2" s="1"/>
  <c r="I2725" i="2"/>
  <c r="D2725" i="2"/>
  <c r="H2725" i="2" s="1"/>
  <c r="I2724" i="2"/>
  <c r="D2724" i="2"/>
  <c r="I2723" i="2"/>
  <c r="D2723" i="2"/>
  <c r="I2722" i="2"/>
  <c r="D2722" i="2"/>
  <c r="I2721" i="2"/>
  <c r="D2721" i="2"/>
  <c r="F2721" i="2" s="1"/>
  <c r="I2720" i="2"/>
  <c r="D2720" i="2"/>
  <c r="H2720" i="2" s="1"/>
  <c r="I2719" i="2"/>
  <c r="D2719" i="2"/>
  <c r="F2719" i="2" s="1"/>
  <c r="I2718" i="2"/>
  <c r="D2718" i="2"/>
  <c r="I2717" i="2"/>
  <c r="D2717" i="2"/>
  <c r="H2717" i="2" s="1"/>
  <c r="I2716" i="2"/>
  <c r="D2716" i="2"/>
  <c r="H2716" i="2" s="1"/>
  <c r="I2715" i="2"/>
  <c r="D2715" i="2"/>
  <c r="I2714" i="2"/>
  <c r="D2714" i="2"/>
  <c r="G2714" i="2" s="1"/>
  <c r="I2713" i="2"/>
  <c r="D2713" i="2"/>
  <c r="I2712" i="2"/>
  <c r="D2712" i="2"/>
  <c r="H2712" i="2" s="1"/>
  <c r="I2711" i="2"/>
  <c r="D2711" i="2"/>
  <c r="F2711" i="2" s="1"/>
  <c r="I2710" i="2"/>
  <c r="D2710" i="2"/>
  <c r="H2710" i="2" s="1"/>
  <c r="I2709" i="2"/>
  <c r="D2709" i="2"/>
  <c r="H2709" i="2" s="1"/>
  <c r="I2708" i="2"/>
  <c r="D2708" i="2"/>
  <c r="I2707" i="2"/>
  <c r="D2707" i="2"/>
  <c r="I2706" i="2"/>
  <c r="D2706" i="2"/>
  <c r="I2705" i="2"/>
  <c r="D2705" i="2"/>
  <c r="F2705" i="2" s="1"/>
  <c r="I2704" i="2"/>
  <c r="D2704" i="2"/>
  <c r="H2704" i="2" s="1"/>
  <c r="I2703" i="2"/>
  <c r="D2703" i="2"/>
  <c r="F2703" i="2" s="1"/>
  <c r="I2702" i="2"/>
  <c r="D2702" i="2"/>
  <c r="I2701" i="2"/>
  <c r="D2701" i="2"/>
  <c r="H2701" i="2" s="1"/>
  <c r="I2700" i="2"/>
  <c r="D2700" i="2"/>
  <c r="H2700" i="2" s="1"/>
  <c r="I2699" i="2"/>
  <c r="D2699" i="2"/>
  <c r="I2698" i="2"/>
  <c r="D2698" i="2"/>
  <c r="G2698" i="2" s="1"/>
  <c r="I2697" i="2"/>
  <c r="D2697" i="2"/>
  <c r="I2696" i="2"/>
  <c r="D2696" i="2"/>
  <c r="H2696" i="2" s="1"/>
  <c r="I2695" i="2"/>
  <c r="D2695" i="2"/>
  <c r="I2694" i="2"/>
  <c r="D2694" i="2"/>
  <c r="H2694" i="2" s="1"/>
  <c r="I2693" i="2"/>
  <c r="D2693" i="2"/>
  <c r="H2693" i="2" s="1"/>
  <c r="I2692" i="2"/>
  <c r="D2692" i="2"/>
  <c r="G2692" i="2" s="1"/>
  <c r="I2691" i="2"/>
  <c r="D2691" i="2"/>
  <c r="I2690" i="2"/>
  <c r="D2690" i="2"/>
  <c r="I2689" i="2"/>
  <c r="D2689" i="2"/>
  <c r="F2689" i="2" s="1"/>
  <c r="I2688" i="2"/>
  <c r="D2688" i="2"/>
  <c r="I2687" i="2"/>
  <c r="D2687" i="2"/>
  <c r="F2687" i="2" s="1"/>
  <c r="I2686" i="2"/>
  <c r="D2686" i="2"/>
  <c r="F2686" i="2" s="1"/>
  <c r="I2685" i="2"/>
  <c r="D2685" i="2"/>
  <c r="H2685" i="2" s="1"/>
  <c r="I2684" i="2"/>
  <c r="D2684" i="2"/>
  <c r="I2683" i="2"/>
  <c r="D2683" i="2"/>
  <c r="I2682" i="2"/>
  <c r="D2682" i="2"/>
  <c r="G2682" i="2" s="1"/>
  <c r="I2681" i="2"/>
  <c r="D2681" i="2"/>
  <c r="G2681" i="2" s="1"/>
  <c r="I2680" i="2"/>
  <c r="D2680" i="2"/>
  <c r="H2680" i="2" s="1"/>
  <c r="I2679" i="2"/>
  <c r="D2679" i="2"/>
  <c r="I2678" i="2"/>
  <c r="D2678" i="2"/>
  <c r="H2678" i="2" s="1"/>
  <c r="I2677" i="2"/>
  <c r="D2677" i="2"/>
  <c r="H2677" i="2" s="1"/>
  <c r="I2676" i="2"/>
  <c r="D2676" i="2"/>
  <c r="G2676" i="2" s="1"/>
  <c r="I2675" i="2"/>
  <c r="D2675" i="2"/>
  <c r="I2674" i="2"/>
  <c r="D2674" i="2"/>
  <c r="G2674" i="2" s="1"/>
  <c r="I2673" i="2"/>
  <c r="D2673" i="2"/>
  <c r="F2673" i="2" s="1"/>
  <c r="I2672" i="2"/>
  <c r="D2672" i="2"/>
  <c r="I2671" i="2"/>
  <c r="D2671" i="2"/>
  <c r="F2671" i="2" s="1"/>
  <c r="I2670" i="2"/>
  <c r="D2670" i="2"/>
  <c r="I2669" i="2"/>
  <c r="D2669" i="2"/>
  <c r="H2669" i="2" s="1"/>
  <c r="I2668" i="2"/>
  <c r="D2668" i="2"/>
  <c r="I2667" i="2"/>
  <c r="D2667" i="2"/>
  <c r="I2666" i="2"/>
  <c r="D2666" i="2"/>
  <c r="G2666" i="2" s="1"/>
  <c r="I2665" i="2"/>
  <c r="D2665" i="2"/>
  <c r="I2664" i="2"/>
  <c r="D2664" i="2"/>
  <c r="H2664" i="2" s="1"/>
  <c r="I2663" i="2"/>
  <c r="D2663" i="2"/>
  <c r="I2662" i="2"/>
  <c r="D2662" i="2"/>
  <c r="H2662" i="2" s="1"/>
  <c r="I2661" i="2"/>
  <c r="D2661" i="2"/>
  <c r="H2661" i="2" s="1"/>
  <c r="I2660" i="2"/>
  <c r="D2660" i="2"/>
  <c r="G2660" i="2" s="1"/>
  <c r="I2659" i="2"/>
  <c r="D2659" i="2"/>
  <c r="I2658" i="2"/>
  <c r="D2658" i="2"/>
  <c r="I2657" i="2"/>
  <c r="D2657" i="2"/>
  <c r="F2657" i="2" s="1"/>
  <c r="I2656" i="2"/>
  <c r="D2656" i="2"/>
  <c r="I2655" i="2"/>
  <c r="D2655" i="2"/>
  <c r="F2655" i="2" s="1"/>
  <c r="I2654" i="2"/>
  <c r="D2654" i="2"/>
  <c r="F2654" i="2" s="1"/>
  <c r="I2653" i="2"/>
  <c r="D2653" i="2"/>
  <c r="H2653" i="2" s="1"/>
  <c r="I2652" i="2"/>
  <c r="D2652" i="2"/>
  <c r="I2651" i="2"/>
  <c r="D2651" i="2"/>
  <c r="I2650" i="2"/>
  <c r="D2650" i="2"/>
  <c r="G2650" i="2" s="1"/>
  <c r="I2649" i="2"/>
  <c r="D2649" i="2"/>
  <c r="G2649" i="2" s="1"/>
  <c r="I2648" i="2"/>
  <c r="D2648" i="2"/>
  <c r="H2648" i="2" s="1"/>
  <c r="I2647" i="2"/>
  <c r="D2647" i="2"/>
  <c r="I2646" i="2"/>
  <c r="D2646" i="2"/>
  <c r="H2646" i="2" s="1"/>
  <c r="I2645" i="2"/>
  <c r="D2645" i="2"/>
  <c r="H2645" i="2" s="1"/>
  <c r="I2644" i="2"/>
  <c r="D2644" i="2"/>
  <c r="G2644" i="2" s="1"/>
  <c r="I2643" i="2"/>
  <c r="D2643" i="2"/>
  <c r="I2642" i="2"/>
  <c r="D2642" i="2"/>
  <c r="G2642" i="2" s="1"/>
  <c r="I2641" i="2"/>
  <c r="D2641" i="2"/>
  <c r="F2641" i="2" s="1"/>
  <c r="I2640" i="2"/>
  <c r="D2640" i="2"/>
  <c r="I2639" i="2"/>
  <c r="D2639" i="2"/>
  <c r="F2639" i="2" s="1"/>
  <c r="I2638" i="2"/>
  <c r="D2638" i="2"/>
  <c r="F2638" i="2" s="1"/>
  <c r="I2637" i="2"/>
  <c r="D2637" i="2"/>
  <c r="H2637" i="2" s="1"/>
  <c r="I2636" i="2"/>
  <c r="D2636" i="2"/>
  <c r="I2635" i="2"/>
  <c r="D2635" i="2"/>
  <c r="I2634" i="2"/>
  <c r="D2634" i="2"/>
  <c r="G2634" i="2" s="1"/>
  <c r="I2633" i="2"/>
  <c r="D2633" i="2"/>
  <c r="I2632" i="2"/>
  <c r="D2632" i="2"/>
  <c r="H2632" i="2" s="1"/>
  <c r="I2631" i="2"/>
  <c r="D2631" i="2"/>
  <c r="I2630" i="2"/>
  <c r="D2630" i="2"/>
  <c r="H2630" i="2" s="1"/>
  <c r="I2629" i="2"/>
  <c r="D2629" i="2"/>
  <c r="H2629" i="2" s="1"/>
  <c r="I2628" i="2"/>
  <c r="D2628" i="2"/>
  <c r="G2628" i="2" s="1"/>
  <c r="I2627" i="2"/>
  <c r="D2627" i="2"/>
  <c r="I2626" i="2"/>
  <c r="D2626" i="2"/>
  <c r="I2625" i="2"/>
  <c r="D2625" i="2"/>
  <c r="F2625" i="2" s="1"/>
  <c r="I2624" i="2"/>
  <c r="D2624" i="2"/>
  <c r="H2624" i="2" s="1"/>
  <c r="I2623" i="2"/>
  <c r="D2623" i="2"/>
  <c r="F2623" i="2" s="1"/>
  <c r="I2622" i="2"/>
  <c r="D2622" i="2"/>
  <c r="I2621" i="2"/>
  <c r="D2621" i="2"/>
  <c r="H2621" i="2" s="1"/>
  <c r="I2620" i="2"/>
  <c r="D2620" i="2"/>
  <c r="G2620" i="2" s="1"/>
  <c r="I2619" i="2"/>
  <c r="D2619" i="2"/>
  <c r="I2618" i="2"/>
  <c r="D2618" i="2"/>
  <c r="G2618" i="2" s="1"/>
  <c r="I2617" i="2"/>
  <c r="D2617" i="2"/>
  <c r="F2617" i="2" s="1"/>
  <c r="I2616" i="2"/>
  <c r="D2616" i="2"/>
  <c r="I2615" i="2"/>
  <c r="D2615" i="2"/>
  <c r="H2615" i="2" s="1"/>
  <c r="I2614" i="2"/>
  <c r="D2614" i="2"/>
  <c r="H2614" i="2" s="1"/>
  <c r="I2613" i="2"/>
  <c r="D2613" i="2"/>
  <c r="H2613" i="2" s="1"/>
  <c r="I2612" i="2"/>
  <c r="D2612" i="2"/>
  <c r="I2611" i="2"/>
  <c r="D2611" i="2"/>
  <c r="I2610" i="2"/>
  <c r="D2610" i="2"/>
  <c r="G2610" i="2" s="1"/>
  <c r="I2609" i="2"/>
  <c r="D2609" i="2"/>
  <c r="I2608" i="2"/>
  <c r="D2608" i="2"/>
  <c r="H2608" i="2" s="1"/>
  <c r="I2607" i="2"/>
  <c r="D2607" i="2"/>
  <c r="G2607" i="2" s="1"/>
  <c r="I2606" i="2"/>
  <c r="D2606" i="2"/>
  <c r="I2605" i="2"/>
  <c r="D2605" i="2"/>
  <c r="H2605" i="2" s="1"/>
  <c r="I2604" i="2"/>
  <c r="D2604" i="2"/>
  <c r="I2603" i="2"/>
  <c r="D2603" i="2"/>
  <c r="I2602" i="2"/>
  <c r="D2602" i="2"/>
  <c r="I2601" i="2"/>
  <c r="D2601" i="2"/>
  <c r="F2601" i="2" s="1"/>
  <c r="I2600" i="2"/>
  <c r="D2600" i="2"/>
  <c r="I2599" i="2"/>
  <c r="D2599" i="2"/>
  <c r="I2598" i="2"/>
  <c r="D2598" i="2"/>
  <c r="F2598" i="2" s="1"/>
  <c r="I2597" i="2"/>
  <c r="D2597" i="2"/>
  <c r="H2597" i="2" s="1"/>
  <c r="I2596" i="2"/>
  <c r="D2596" i="2"/>
  <c r="I2595" i="2"/>
  <c r="D2595" i="2"/>
  <c r="I2594" i="2"/>
  <c r="D2594" i="2"/>
  <c r="G2594" i="2" s="1"/>
  <c r="I2593" i="2"/>
  <c r="D2593" i="2"/>
  <c r="I2592" i="2"/>
  <c r="D2592" i="2"/>
  <c r="H2592" i="2" s="1"/>
  <c r="I2591" i="2"/>
  <c r="D2591" i="2"/>
  <c r="F2591" i="2" s="1"/>
  <c r="I2590" i="2"/>
  <c r="D2590" i="2"/>
  <c r="H2590" i="2" s="1"/>
  <c r="I2589" i="2"/>
  <c r="D2589" i="2"/>
  <c r="H2589" i="2" s="1"/>
  <c r="I2588" i="2"/>
  <c r="D2588" i="2"/>
  <c r="I2587" i="2"/>
  <c r="D2587" i="2"/>
  <c r="I2586" i="2"/>
  <c r="D2586" i="2"/>
  <c r="I2585" i="2"/>
  <c r="D2585" i="2"/>
  <c r="I2584" i="2"/>
  <c r="D2584" i="2"/>
  <c r="I2583" i="2"/>
  <c r="D2583" i="2"/>
  <c r="F2583" i="2" s="1"/>
  <c r="I2582" i="2"/>
  <c r="D2582" i="2"/>
  <c r="I2581" i="2"/>
  <c r="D2581" i="2"/>
  <c r="H2581" i="2" s="1"/>
  <c r="I2580" i="2"/>
  <c r="D2580" i="2"/>
  <c r="G2580" i="2" s="1"/>
  <c r="I2579" i="2"/>
  <c r="D2579" i="2"/>
  <c r="I2578" i="2"/>
  <c r="D2578" i="2"/>
  <c r="G2578" i="2" s="1"/>
  <c r="I2577" i="2"/>
  <c r="D2577" i="2"/>
  <c r="I2576" i="2"/>
  <c r="D2576" i="2"/>
  <c r="H2576" i="2" s="1"/>
  <c r="I2575" i="2"/>
  <c r="D2575" i="2"/>
  <c r="F2575" i="2" s="1"/>
  <c r="I2574" i="2"/>
  <c r="D2574" i="2"/>
  <c r="I2573" i="2"/>
  <c r="D2573" i="2"/>
  <c r="H2573" i="2" s="1"/>
  <c r="I2572" i="2"/>
  <c r="D2572" i="2"/>
  <c r="I2571" i="2"/>
  <c r="D2571" i="2"/>
  <c r="I2570" i="2"/>
  <c r="D2570" i="2"/>
  <c r="I2569" i="2"/>
  <c r="D2569" i="2"/>
  <c r="I2568" i="2"/>
  <c r="D2568" i="2"/>
  <c r="H2568" i="2" s="1"/>
  <c r="I2567" i="2"/>
  <c r="D2567" i="2"/>
  <c r="I2566" i="2"/>
  <c r="D2566" i="2"/>
  <c r="G2566" i="2" s="1"/>
  <c r="I2565" i="2"/>
  <c r="D2565" i="2"/>
  <c r="H2565" i="2" s="1"/>
  <c r="I2564" i="2"/>
  <c r="D2564" i="2"/>
  <c r="I2563" i="2"/>
  <c r="D2563" i="2"/>
  <c r="I2562" i="2"/>
  <c r="D2562" i="2"/>
  <c r="G2562" i="2" s="1"/>
  <c r="I2561" i="2"/>
  <c r="D2561" i="2"/>
  <c r="F2561" i="2" s="1"/>
  <c r="I2560" i="2"/>
  <c r="D2560" i="2"/>
  <c r="I2559" i="2"/>
  <c r="D2559" i="2"/>
  <c r="F2559" i="2" s="1"/>
  <c r="I2558" i="2"/>
  <c r="D2558" i="2"/>
  <c r="I2557" i="2"/>
  <c r="D2557" i="2"/>
  <c r="H2557" i="2" s="1"/>
  <c r="I2556" i="2"/>
  <c r="D2556" i="2"/>
  <c r="I2555" i="2"/>
  <c r="D2555" i="2"/>
  <c r="I2554" i="2"/>
  <c r="D2554" i="2"/>
  <c r="G2554" i="2" s="1"/>
  <c r="I2553" i="2"/>
  <c r="D2553" i="2"/>
  <c r="F2553" i="2" s="1"/>
  <c r="I2552" i="2"/>
  <c r="D2552" i="2"/>
  <c r="I2551" i="2"/>
  <c r="D2551" i="2"/>
  <c r="F2551" i="2" s="1"/>
  <c r="I2550" i="2"/>
  <c r="D2550" i="2"/>
  <c r="I2549" i="2"/>
  <c r="D2549" i="2"/>
  <c r="H2549" i="2" s="1"/>
  <c r="I2548" i="2"/>
  <c r="D2548" i="2"/>
  <c r="I2547" i="2"/>
  <c r="D2547" i="2"/>
  <c r="I2546" i="2"/>
  <c r="D2546" i="2"/>
  <c r="G2546" i="2" s="1"/>
  <c r="I2545" i="2"/>
  <c r="D2545" i="2"/>
  <c r="I2544" i="2"/>
  <c r="D2544" i="2"/>
  <c r="H2544" i="2" s="1"/>
  <c r="I2543" i="2"/>
  <c r="D2543" i="2"/>
  <c r="I2542" i="2"/>
  <c r="D2542" i="2"/>
  <c r="I2541" i="2"/>
  <c r="D2541" i="2"/>
  <c r="H2541" i="2" s="1"/>
  <c r="I2540" i="2"/>
  <c r="D2540" i="2"/>
  <c r="I2539" i="2"/>
  <c r="D2539" i="2"/>
  <c r="I2538" i="2"/>
  <c r="D2538" i="2"/>
  <c r="I2537" i="2"/>
  <c r="D2537" i="2"/>
  <c r="F2537" i="2" s="1"/>
  <c r="I2536" i="2"/>
  <c r="D2536" i="2"/>
  <c r="I2535" i="2"/>
  <c r="D2535" i="2"/>
  <c r="I2534" i="2"/>
  <c r="D2534" i="2"/>
  <c r="I2533" i="2"/>
  <c r="D2533" i="2"/>
  <c r="H2533" i="2" s="1"/>
  <c r="I2532" i="2"/>
  <c r="D2532" i="2"/>
  <c r="I2531" i="2"/>
  <c r="D2531" i="2"/>
  <c r="I2530" i="2"/>
  <c r="D2530" i="2"/>
  <c r="G2530" i="2" s="1"/>
  <c r="I2529" i="2"/>
  <c r="D2529" i="2"/>
  <c r="I2528" i="2"/>
  <c r="D2528" i="2"/>
  <c r="H2528" i="2" s="1"/>
  <c r="I2527" i="2"/>
  <c r="D2527" i="2"/>
  <c r="F2527" i="2" s="1"/>
  <c r="I2526" i="2"/>
  <c r="D2526" i="2"/>
  <c r="F2526" i="2" s="1"/>
  <c r="I2525" i="2"/>
  <c r="D2525" i="2"/>
  <c r="H2525" i="2" s="1"/>
  <c r="I2524" i="2"/>
  <c r="D2524" i="2"/>
  <c r="H2524" i="2" s="1"/>
  <c r="I2523" i="2"/>
  <c r="D2523" i="2"/>
  <c r="I2522" i="2"/>
  <c r="D2522" i="2"/>
  <c r="I2521" i="2"/>
  <c r="D2521" i="2"/>
  <c r="F2521" i="2" s="1"/>
  <c r="I2520" i="2"/>
  <c r="D2520" i="2"/>
  <c r="I2519" i="2"/>
  <c r="D2519" i="2"/>
  <c r="F2519" i="2" s="1"/>
  <c r="I2518" i="2"/>
  <c r="D2518" i="2"/>
  <c r="I2517" i="2"/>
  <c r="D2517" i="2"/>
  <c r="H2517" i="2" s="1"/>
  <c r="I2516" i="2"/>
  <c r="D2516" i="2"/>
  <c r="I2515" i="2"/>
  <c r="D2515" i="2"/>
  <c r="I2514" i="2"/>
  <c r="D2514" i="2"/>
  <c r="I2513" i="2"/>
  <c r="D2513" i="2"/>
  <c r="F2513" i="2" s="1"/>
  <c r="I2512" i="2"/>
  <c r="D2512" i="2"/>
  <c r="I2511" i="2"/>
  <c r="D2511" i="2"/>
  <c r="F2511" i="2" s="1"/>
  <c r="I2510" i="2"/>
  <c r="D2510" i="2"/>
  <c r="I2509" i="2"/>
  <c r="D2509" i="2"/>
  <c r="H2509" i="2" s="1"/>
  <c r="I2508" i="2"/>
  <c r="D2508" i="2"/>
  <c r="I2507" i="2"/>
  <c r="D2507" i="2"/>
  <c r="I2506" i="2"/>
  <c r="D2506" i="2"/>
  <c r="I2505" i="2"/>
  <c r="D2505" i="2"/>
  <c r="F2505" i="2" s="1"/>
  <c r="I2504" i="2"/>
  <c r="D2504" i="2"/>
  <c r="H2504" i="2" s="1"/>
  <c r="I2503" i="2"/>
  <c r="D2503" i="2"/>
  <c r="I2502" i="2"/>
  <c r="D2502" i="2"/>
  <c r="G2502" i="2" s="1"/>
  <c r="I2501" i="2"/>
  <c r="D2501" i="2"/>
  <c r="I2500" i="2"/>
  <c r="D2500" i="2"/>
  <c r="I2499" i="2"/>
  <c r="D2499" i="2"/>
  <c r="I2498" i="2"/>
  <c r="D2498" i="2"/>
  <c r="G2498" i="2" s="1"/>
  <c r="I2497" i="2"/>
  <c r="D2497" i="2"/>
  <c r="F2497" i="2" s="1"/>
  <c r="I2496" i="2"/>
  <c r="D2496" i="2"/>
  <c r="I2495" i="2"/>
  <c r="D2495" i="2"/>
  <c r="I2494" i="2"/>
  <c r="D2494" i="2"/>
  <c r="I2493" i="2"/>
  <c r="D2493" i="2"/>
  <c r="I2492" i="2"/>
  <c r="D2492" i="2"/>
  <c r="I2491" i="2"/>
  <c r="D2491" i="2"/>
  <c r="I2490" i="2"/>
  <c r="D2490" i="2"/>
  <c r="G2490" i="2" s="1"/>
  <c r="I2489" i="2"/>
  <c r="D2489" i="2"/>
  <c r="I2488" i="2"/>
  <c r="D2488" i="2"/>
  <c r="I2487" i="2"/>
  <c r="D2487" i="2"/>
  <c r="F2487" i="2" s="1"/>
  <c r="I2486" i="2"/>
  <c r="D2486" i="2"/>
  <c r="I2485" i="2"/>
  <c r="D2485" i="2"/>
  <c r="I2484" i="2"/>
  <c r="D2484" i="2"/>
  <c r="H2484" i="2" s="1"/>
  <c r="I2483" i="2"/>
  <c r="D2483" i="2"/>
  <c r="I2482" i="2"/>
  <c r="D2482" i="2"/>
  <c r="G2482" i="2" s="1"/>
  <c r="I2481" i="2"/>
  <c r="D2481" i="2"/>
  <c r="F2481" i="2" s="1"/>
  <c r="I2480" i="2"/>
  <c r="D2480" i="2"/>
  <c r="H2480" i="2" s="1"/>
  <c r="I2479" i="2"/>
  <c r="D2479" i="2"/>
  <c r="I2478" i="2"/>
  <c r="D2478" i="2"/>
  <c r="H2478" i="2" s="1"/>
  <c r="I2477" i="2"/>
  <c r="D2477" i="2"/>
  <c r="I2476" i="2"/>
  <c r="D2476" i="2"/>
  <c r="G2476" i="2" s="1"/>
  <c r="I2475" i="2"/>
  <c r="D2475" i="2"/>
  <c r="I2474" i="2"/>
  <c r="D2474" i="2"/>
  <c r="I2473" i="2"/>
  <c r="D2473" i="2"/>
  <c r="F2473" i="2" s="1"/>
  <c r="I2472" i="2"/>
  <c r="D2472" i="2"/>
  <c r="I2471" i="2"/>
  <c r="D2471" i="2"/>
  <c r="F2471" i="2" s="1"/>
  <c r="I2470" i="2"/>
  <c r="D2470" i="2"/>
  <c r="I2469" i="2"/>
  <c r="D2469" i="2"/>
  <c r="I2468" i="2"/>
  <c r="D2468" i="2"/>
  <c r="I2467" i="2"/>
  <c r="D2467" i="2"/>
  <c r="I2466" i="2"/>
  <c r="D2466" i="2"/>
  <c r="G2466" i="2" s="1"/>
  <c r="I2465" i="2"/>
  <c r="D2465" i="2"/>
  <c r="I2464" i="2"/>
  <c r="D2464" i="2"/>
  <c r="H2464" i="2" s="1"/>
  <c r="I2463" i="2"/>
  <c r="D2463" i="2"/>
  <c r="I2462" i="2"/>
  <c r="D2462" i="2"/>
  <c r="F2462" i="2" s="1"/>
  <c r="I2461" i="2"/>
  <c r="D2461" i="2"/>
  <c r="I2460" i="2"/>
  <c r="D2460" i="2"/>
  <c r="F2460" i="2" s="1"/>
  <c r="I2459" i="2"/>
  <c r="D2459" i="2"/>
  <c r="I2458" i="2"/>
  <c r="D2458" i="2"/>
  <c r="I2457" i="2"/>
  <c r="D2457" i="2"/>
  <c r="I2456" i="2"/>
  <c r="D2456" i="2"/>
  <c r="H2456" i="2" s="1"/>
  <c r="I2455" i="2"/>
  <c r="D2455" i="2"/>
  <c r="G2455" i="2" s="1"/>
  <c r="I2454" i="2"/>
  <c r="D2454" i="2"/>
  <c r="I2453" i="2"/>
  <c r="D2453" i="2"/>
  <c r="I2452" i="2"/>
  <c r="D2452" i="2"/>
  <c r="H2452" i="2" s="1"/>
  <c r="I2451" i="2"/>
  <c r="D2451" i="2"/>
  <c r="I2450" i="2"/>
  <c r="D2450" i="2"/>
  <c r="I2449" i="2"/>
  <c r="D2449" i="2"/>
  <c r="G2449" i="2" s="1"/>
  <c r="I2448" i="2"/>
  <c r="D2448" i="2"/>
  <c r="H2448" i="2" s="1"/>
  <c r="I2447" i="2"/>
  <c r="D2447" i="2"/>
  <c r="F2447" i="2" s="1"/>
  <c r="I2446" i="2"/>
  <c r="D2446" i="2"/>
  <c r="H2446" i="2" s="1"/>
  <c r="I2445" i="2"/>
  <c r="D2445" i="2"/>
  <c r="I2444" i="2"/>
  <c r="D2444" i="2"/>
  <c r="I2443" i="2"/>
  <c r="D2443" i="2"/>
  <c r="I2442" i="2"/>
  <c r="D2442" i="2"/>
  <c r="G2442" i="2" s="1"/>
  <c r="I2441" i="2"/>
  <c r="D2441" i="2"/>
  <c r="G2441" i="2" s="1"/>
  <c r="I2440" i="2"/>
  <c r="D2440" i="2"/>
  <c r="H2440" i="2" s="1"/>
  <c r="I2439" i="2"/>
  <c r="D2439" i="2"/>
  <c r="I2438" i="2"/>
  <c r="D2438" i="2"/>
  <c r="I2437" i="2"/>
  <c r="D2437" i="2"/>
  <c r="I2436" i="2"/>
  <c r="D2436" i="2"/>
  <c r="F2436" i="2" s="1"/>
  <c r="I2435" i="2"/>
  <c r="D2435" i="2"/>
  <c r="I2434" i="2"/>
  <c r="D2434" i="2"/>
  <c r="G2434" i="2" s="1"/>
  <c r="I2433" i="2"/>
  <c r="D2433" i="2"/>
  <c r="G2433" i="2" s="1"/>
  <c r="I2432" i="2"/>
  <c r="D2432" i="2"/>
  <c r="I2431" i="2"/>
  <c r="D2431" i="2"/>
  <c r="F2431" i="2" s="1"/>
  <c r="I2430" i="2"/>
  <c r="D2430" i="2"/>
  <c r="I2429" i="2"/>
  <c r="D2429" i="2"/>
  <c r="I2428" i="2"/>
  <c r="D2428" i="2"/>
  <c r="I2427" i="2"/>
  <c r="D2427" i="2"/>
  <c r="I2426" i="2"/>
  <c r="D2426" i="2"/>
  <c r="G2426" i="2" s="1"/>
  <c r="I2425" i="2"/>
  <c r="D2425" i="2"/>
  <c r="G2425" i="2" s="1"/>
  <c r="I2424" i="2"/>
  <c r="D2424" i="2"/>
  <c r="H2424" i="2" s="1"/>
  <c r="I2423" i="2"/>
  <c r="D2423" i="2"/>
  <c r="I2422" i="2"/>
  <c r="D2422" i="2"/>
  <c r="H2422" i="2" s="1"/>
  <c r="I2421" i="2"/>
  <c r="D2421" i="2"/>
  <c r="I2420" i="2"/>
  <c r="D2420" i="2"/>
  <c r="I2419" i="2"/>
  <c r="D2419" i="2"/>
  <c r="I2418" i="2"/>
  <c r="D2418" i="2"/>
  <c r="I2417" i="2"/>
  <c r="D2417" i="2"/>
  <c r="G2417" i="2" s="1"/>
  <c r="I2416" i="2"/>
  <c r="D2416" i="2"/>
  <c r="H2416" i="2" s="1"/>
  <c r="I2415" i="2"/>
  <c r="D2415" i="2"/>
  <c r="I2414" i="2"/>
  <c r="D2414" i="2"/>
  <c r="H2414" i="2" s="1"/>
  <c r="I2413" i="2"/>
  <c r="D2413" i="2"/>
  <c r="I2412" i="2"/>
  <c r="D2412" i="2"/>
  <c r="I2411" i="2"/>
  <c r="D2411" i="2"/>
  <c r="I2410" i="2"/>
  <c r="D2410" i="2"/>
  <c r="G2410" i="2" s="1"/>
  <c r="I2409" i="2"/>
  <c r="D2409" i="2"/>
  <c r="G2409" i="2" s="1"/>
  <c r="I2408" i="2"/>
  <c r="D2408" i="2"/>
  <c r="I2407" i="2"/>
  <c r="D2407" i="2"/>
  <c r="F2407" i="2" s="1"/>
  <c r="I2406" i="2"/>
  <c r="D2406" i="2"/>
  <c r="I2405" i="2"/>
  <c r="D2405" i="2"/>
  <c r="I2404" i="2"/>
  <c r="D2404" i="2"/>
  <c r="I2403" i="2"/>
  <c r="D2403" i="2"/>
  <c r="I2402" i="2"/>
  <c r="D2402" i="2"/>
  <c r="G2402" i="2" s="1"/>
  <c r="I2401" i="2"/>
  <c r="D2401" i="2"/>
  <c r="G2401" i="2" s="1"/>
  <c r="I2400" i="2"/>
  <c r="D2400" i="2"/>
  <c r="H2400" i="2" s="1"/>
  <c r="I2399" i="2"/>
  <c r="D2399" i="2"/>
  <c r="F2399" i="2" s="1"/>
  <c r="I2398" i="2"/>
  <c r="D2398" i="2"/>
  <c r="I2397" i="2"/>
  <c r="D2397" i="2"/>
  <c r="I2396" i="2"/>
  <c r="D2396" i="2"/>
  <c r="I2395" i="2"/>
  <c r="D2395" i="2"/>
  <c r="I2394" i="2"/>
  <c r="D2394" i="2"/>
  <c r="I2393" i="2"/>
  <c r="D2393" i="2"/>
  <c r="G2393" i="2" s="1"/>
  <c r="I2392" i="2"/>
  <c r="D2392" i="2"/>
  <c r="H2392" i="2" s="1"/>
  <c r="I2391" i="2"/>
  <c r="D2391" i="2"/>
  <c r="I2390" i="2"/>
  <c r="D2390" i="2"/>
  <c r="I2389" i="2"/>
  <c r="D2389" i="2"/>
  <c r="I2388" i="2"/>
  <c r="D2388" i="2"/>
  <c r="H2388" i="2" s="1"/>
  <c r="I2387" i="2"/>
  <c r="D2387" i="2"/>
  <c r="H2387" i="2" s="1"/>
  <c r="I2386" i="2"/>
  <c r="D2386" i="2"/>
  <c r="G2386" i="2" s="1"/>
  <c r="I2385" i="2"/>
  <c r="D2385" i="2"/>
  <c r="F2385" i="2" s="1"/>
  <c r="I2384" i="2"/>
  <c r="D2384" i="2"/>
  <c r="I2383" i="2"/>
  <c r="D2383" i="2"/>
  <c r="I2382" i="2"/>
  <c r="D2382" i="2"/>
  <c r="F2382" i="2" s="1"/>
  <c r="I2381" i="2"/>
  <c r="D2381" i="2"/>
  <c r="I2380" i="2"/>
  <c r="D2380" i="2"/>
  <c r="I2379" i="2"/>
  <c r="D2379" i="2"/>
  <c r="H2379" i="2" s="1"/>
  <c r="I2378" i="2"/>
  <c r="D2378" i="2"/>
  <c r="G2378" i="2" s="1"/>
  <c r="I2377" i="2"/>
  <c r="D2377" i="2"/>
  <c r="I2376" i="2"/>
  <c r="D2376" i="2"/>
  <c r="F2376" i="2" s="1"/>
  <c r="I2375" i="2"/>
  <c r="D2375" i="2"/>
  <c r="I2374" i="2"/>
  <c r="D2374" i="2"/>
  <c r="I2373" i="2"/>
  <c r="D2373" i="2"/>
  <c r="I2372" i="2"/>
  <c r="D2372" i="2"/>
  <c r="H2372" i="2" s="1"/>
  <c r="I2371" i="2"/>
  <c r="D2371" i="2"/>
  <c r="H2371" i="2" s="1"/>
  <c r="I2370" i="2"/>
  <c r="D2370" i="2"/>
  <c r="G2370" i="2" s="1"/>
  <c r="I2369" i="2"/>
  <c r="D2369" i="2"/>
  <c r="I2368" i="2"/>
  <c r="D2368" i="2"/>
  <c r="F2368" i="2" s="1"/>
  <c r="I2367" i="2"/>
  <c r="D2367" i="2"/>
  <c r="I2366" i="2"/>
  <c r="D2366" i="2"/>
  <c r="H2366" i="2" s="1"/>
  <c r="I2365" i="2"/>
  <c r="D2365" i="2"/>
  <c r="I2364" i="2"/>
  <c r="D2364" i="2"/>
  <c r="I2363" i="2"/>
  <c r="D2363" i="2"/>
  <c r="H2363" i="2" s="1"/>
  <c r="I2362" i="2"/>
  <c r="D2362" i="2"/>
  <c r="G2362" i="2" s="1"/>
  <c r="I2361" i="2"/>
  <c r="D2361" i="2"/>
  <c r="F2361" i="2" s="1"/>
  <c r="I2360" i="2"/>
  <c r="D2360" i="2"/>
  <c r="F2360" i="2" s="1"/>
  <c r="I2359" i="2"/>
  <c r="D2359" i="2"/>
  <c r="I2358" i="2"/>
  <c r="D2358" i="2"/>
  <c r="I2357" i="2"/>
  <c r="D2357" i="2"/>
  <c r="I2356" i="2"/>
  <c r="D2356" i="2"/>
  <c r="I2355" i="2"/>
  <c r="D2355" i="2"/>
  <c r="I2354" i="2"/>
  <c r="D2354" i="2"/>
  <c r="G2354" i="2" s="1"/>
  <c r="I2353" i="2"/>
  <c r="D2353" i="2"/>
  <c r="I2352" i="2"/>
  <c r="D2352" i="2"/>
  <c r="I2351" i="2"/>
  <c r="D2351" i="2"/>
  <c r="F2351" i="2" s="1"/>
  <c r="I2350" i="2"/>
  <c r="D2350" i="2"/>
  <c r="I2349" i="2"/>
  <c r="D2349" i="2"/>
  <c r="I2348" i="2"/>
  <c r="D2348" i="2"/>
  <c r="I2347" i="2"/>
  <c r="D2347" i="2"/>
  <c r="H2347" i="2" s="1"/>
  <c r="I2346" i="2"/>
  <c r="D2346" i="2"/>
  <c r="G2346" i="2" s="1"/>
  <c r="I2345" i="2"/>
  <c r="D2345" i="2"/>
  <c r="F2345" i="2" s="1"/>
  <c r="I2344" i="2"/>
  <c r="D2344" i="2"/>
  <c r="I2343" i="2"/>
  <c r="D2343" i="2"/>
  <c r="F2343" i="2" s="1"/>
  <c r="I2342" i="2"/>
  <c r="D2342" i="2"/>
  <c r="I2341" i="2"/>
  <c r="D2341" i="2"/>
  <c r="I2340" i="2"/>
  <c r="D2340" i="2"/>
  <c r="G2340" i="2" s="1"/>
  <c r="I2339" i="2"/>
  <c r="D2339" i="2"/>
  <c r="I2338" i="2"/>
  <c r="D2338" i="2"/>
  <c r="G2338" i="2" s="1"/>
  <c r="I2337" i="2"/>
  <c r="D2337" i="2"/>
  <c r="H2337" i="2" s="1"/>
  <c r="I2336" i="2"/>
  <c r="D2336" i="2"/>
  <c r="F2336" i="2" s="1"/>
  <c r="I2335" i="2"/>
  <c r="D2335" i="2"/>
  <c r="I2334" i="2"/>
  <c r="D2334" i="2"/>
  <c r="G2334" i="2" s="1"/>
  <c r="I2333" i="2"/>
  <c r="D2333" i="2"/>
  <c r="I2332" i="2"/>
  <c r="D2332" i="2"/>
  <c r="I2331" i="2"/>
  <c r="D2331" i="2"/>
  <c r="I2330" i="2"/>
  <c r="D2330" i="2"/>
  <c r="G2330" i="2" s="1"/>
  <c r="I2329" i="2"/>
  <c r="D2329" i="2"/>
  <c r="I2328" i="2"/>
  <c r="D2328" i="2"/>
  <c r="F2328" i="2" s="1"/>
  <c r="I2327" i="2"/>
  <c r="D2327" i="2"/>
  <c r="F2327" i="2" s="1"/>
  <c r="I2326" i="2"/>
  <c r="D2326" i="2"/>
  <c r="I2325" i="2"/>
  <c r="D2325" i="2"/>
  <c r="I2324" i="2"/>
  <c r="D2324" i="2"/>
  <c r="F2324" i="2" s="1"/>
  <c r="I2323" i="2"/>
  <c r="D2323" i="2"/>
  <c r="H2323" i="2" s="1"/>
  <c r="I2322" i="2"/>
  <c r="D2322" i="2"/>
  <c r="I2321" i="2"/>
  <c r="D2321" i="2"/>
  <c r="H2321" i="2" s="1"/>
  <c r="I2320" i="2"/>
  <c r="D2320" i="2"/>
  <c r="I2319" i="2"/>
  <c r="D2319" i="2"/>
  <c r="G2319" i="2" s="1"/>
  <c r="I2318" i="2"/>
  <c r="D2318" i="2"/>
  <c r="G2318" i="2" s="1"/>
  <c r="I2317" i="2"/>
  <c r="D2317" i="2"/>
  <c r="I2316" i="2"/>
  <c r="D2316" i="2"/>
  <c r="I2315" i="2"/>
  <c r="D2315" i="2"/>
  <c r="I2314" i="2"/>
  <c r="D2314" i="2"/>
  <c r="G2314" i="2" s="1"/>
  <c r="I2313" i="2"/>
  <c r="D2313" i="2"/>
  <c r="I2312" i="2"/>
  <c r="D2312" i="2"/>
  <c r="F2312" i="2" s="1"/>
  <c r="I2311" i="2"/>
  <c r="D2311" i="2"/>
  <c r="F2311" i="2" s="1"/>
  <c r="I2310" i="2"/>
  <c r="D2310" i="2"/>
  <c r="F2310" i="2" s="1"/>
  <c r="I2309" i="2"/>
  <c r="D2309" i="2"/>
  <c r="I2308" i="2"/>
  <c r="D2308" i="2"/>
  <c r="I2307" i="2"/>
  <c r="D2307" i="2"/>
  <c r="H2307" i="2" s="1"/>
  <c r="I2306" i="2"/>
  <c r="D2306" i="2"/>
  <c r="I2305" i="2"/>
  <c r="D2305" i="2"/>
  <c r="G2305" i="2" s="1"/>
  <c r="I2304" i="2"/>
  <c r="D2304" i="2"/>
  <c r="F2304" i="2" s="1"/>
  <c r="I2303" i="2"/>
  <c r="D2303" i="2"/>
  <c r="I2302" i="2"/>
  <c r="D2302" i="2"/>
  <c r="H2302" i="2" s="1"/>
  <c r="I2301" i="2"/>
  <c r="D2301" i="2"/>
  <c r="I2300" i="2"/>
  <c r="D2300" i="2"/>
  <c r="H2300" i="2" s="1"/>
  <c r="I2299" i="2"/>
  <c r="D2299" i="2"/>
  <c r="I2298" i="2"/>
  <c r="D2298" i="2"/>
  <c r="G2298" i="2" s="1"/>
  <c r="I2297" i="2"/>
  <c r="D2297" i="2"/>
  <c r="I2296" i="2"/>
  <c r="D2296" i="2"/>
  <c r="F2296" i="2" s="1"/>
  <c r="I2295" i="2"/>
  <c r="D2295" i="2"/>
  <c r="I2294" i="2"/>
  <c r="D2294" i="2"/>
  <c r="G2294" i="2" s="1"/>
  <c r="I2293" i="2"/>
  <c r="D2293" i="2"/>
  <c r="I2292" i="2"/>
  <c r="D2292" i="2"/>
  <c r="I2291" i="2"/>
  <c r="D2291" i="2"/>
  <c r="H2291" i="2" s="1"/>
  <c r="I2290" i="2"/>
  <c r="D2290" i="2"/>
  <c r="G2290" i="2" s="1"/>
  <c r="I2289" i="2"/>
  <c r="D2289" i="2"/>
  <c r="G2289" i="2" s="1"/>
  <c r="I2288" i="2"/>
  <c r="D2288" i="2"/>
  <c r="I2287" i="2"/>
  <c r="D2287" i="2"/>
  <c r="I2286" i="2"/>
  <c r="D2286" i="2"/>
  <c r="I2285" i="2"/>
  <c r="D2285" i="2"/>
  <c r="I2284" i="2"/>
  <c r="D2284" i="2"/>
  <c r="I2283" i="2"/>
  <c r="D2283" i="2"/>
  <c r="H2283" i="2" s="1"/>
  <c r="I2282" i="2"/>
  <c r="D2282" i="2"/>
  <c r="G2282" i="2" s="1"/>
  <c r="I2281" i="2"/>
  <c r="D2281" i="2"/>
  <c r="F2281" i="2" s="1"/>
  <c r="I2280" i="2"/>
  <c r="D2280" i="2"/>
  <c r="I2279" i="2"/>
  <c r="D2279" i="2"/>
  <c r="F2279" i="2" s="1"/>
  <c r="I2278" i="2"/>
  <c r="D2278" i="2"/>
  <c r="I2277" i="2"/>
  <c r="D2277" i="2"/>
  <c r="I2276" i="2"/>
  <c r="D2276" i="2"/>
  <c r="F2276" i="2" s="1"/>
  <c r="I2275" i="2"/>
  <c r="D2275" i="2"/>
  <c r="I2274" i="2"/>
  <c r="D2274" i="2"/>
  <c r="G2274" i="2" s="1"/>
  <c r="I2273" i="2"/>
  <c r="D2273" i="2"/>
  <c r="I2272" i="2"/>
  <c r="D2272" i="2"/>
  <c r="F2272" i="2" s="1"/>
  <c r="I2271" i="2"/>
  <c r="D2271" i="2"/>
  <c r="I2270" i="2"/>
  <c r="D2270" i="2"/>
  <c r="G2270" i="2" s="1"/>
  <c r="I2269" i="2"/>
  <c r="D2269" i="2"/>
  <c r="I2268" i="2"/>
  <c r="D2268" i="2"/>
  <c r="I2267" i="2"/>
  <c r="D2267" i="2"/>
  <c r="H2267" i="2" s="1"/>
  <c r="I2266" i="2"/>
  <c r="D2266" i="2"/>
  <c r="I2265" i="2"/>
  <c r="D2265" i="2"/>
  <c r="G2265" i="2" s="1"/>
  <c r="I2264" i="2"/>
  <c r="D2264" i="2"/>
  <c r="F2264" i="2" s="1"/>
  <c r="I2263" i="2"/>
  <c r="D2263" i="2"/>
  <c r="I2262" i="2"/>
  <c r="D2262" i="2"/>
  <c r="I2261" i="2"/>
  <c r="D2261" i="2"/>
  <c r="I2260" i="2"/>
  <c r="D2260" i="2"/>
  <c r="I2259" i="2"/>
  <c r="D2259" i="2"/>
  <c r="H2259" i="2" s="1"/>
  <c r="I2258" i="2"/>
  <c r="D2258" i="2"/>
  <c r="G2258" i="2" s="1"/>
  <c r="I2257" i="2"/>
  <c r="D2257" i="2"/>
  <c r="I2256" i="2"/>
  <c r="D2256" i="2"/>
  <c r="I2255" i="2"/>
  <c r="D2255" i="2"/>
  <c r="I2254" i="2"/>
  <c r="D2254" i="2"/>
  <c r="I2253" i="2"/>
  <c r="D2253" i="2"/>
  <c r="I2252" i="2"/>
  <c r="D2252" i="2"/>
  <c r="I2251" i="2"/>
  <c r="D2251" i="2"/>
  <c r="I2250" i="2"/>
  <c r="D2250" i="2"/>
  <c r="G2250" i="2" s="1"/>
  <c r="I2249" i="2"/>
  <c r="D2249" i="2"/>
  <c r="I2248" i="2"/>
  <c r="D2248" i="2"/>
  <c r="F2248" i="2" s="1"/>
  <c r="I2247" i="2"/>
  <c r="D2247" i="2"/>
  <c r="I2246" i="2"/>
  <c r="D2246" i="2"/>
  <c r="F2246" i="2" s="1"/>
  <c r="I2245" i="2"/>
  <c r="D2245" i="2"/>
  <c r="I2244" i="2"/>
  <c r="D2244" i="2"/>
  <c r="F2244" i="2" s="1"/>
  <c r="I2243" i="2"/>
  <c r="D2243" i="2"/>
  <c r="H2243" i="2" s="1"/>
  <c r="I2242" i="2"/>
  <c r="D2242" i="2"/>
  <c r="I2241" i="2"/>
  <c r="D2241" i="2"/>
  <c r="G2241" i="2" s="1"/>
  <c r="I2240" i="2"/>
  <c r="D2240" i="2"/>
  <c r="F2240" i="2" s="1"/>
  <c r="I2239" i="2"/>
  <c r="D2239" i="2"/>
  <c r="I2238" i="2"/>
  <c r="D2238" i="2"/>
  <c r="G2238" i="2" s="1"/>
  <c r="I2237" i="2"/>
  <c r="D2237" i="2"/>
  <c r="I2236" i="2"/>
  <c r="D2236" i="2"/>
  <c r="F2236" i="2" s="1"/>
  <c r="I2235" i="2"/>
  <c r="D2235" i="2"/>
  <c r="I2234" i="2"/>
  <c r="D2234" i="2"/>
  <c r="I2233" i="2"/>
  <c r="D2233" i="2"/>
  <c r="I2232" i="2"/>
  <c r="D2232" i="2"/>
  <c r="F2232" i="2" s="1"/>
  <c r="I2231" i="2"/>
  <c r="D2231" i="2"/>
  <c r="I2230" i="2"/>
  <c r="D2230" i="2"/>
  <c r="F2230" i="2" s="1"/>
  <c r="I2229" i="2"/>
  <c r="D2229" i="2"/>
  <c r="I2228" i="2"/>
  <c r="D2228" i="2"/>
  <c r="H2228" i="2" s="1"/>
  <c r="I2227" i="2"/>
  <c r="D2227" i="2"/>
  <c r="H2227" i="2" s="1"/>
  <c r="I2226" i="2"/>
  <c r="D2226" i="2"/>
  <c r="I2225" i="2"/>
  <c r="D2225" i="2"/>
  <c r="G2225" i="2" s="1"/>
  <c r="I2224" i="2"/>
  <c r="D2224" i="2"/>
  <c r="I2223" i="2"/>
  <c r="D2223" i="2"/>
  <c r="I2222" i="2"/>
  <c r="D2222" i="2"/>
  <c r="H2222" i="2" s="1"/>
  <c r="I2221" i="2"/>
  <c r="D2221" i="2"/>
  <c r="I2220" i="2"/>
  <c r="D2220" i="2"/>
  <c r="I2219" i="2"/>
  <c r="D2219" i="2"/>
  <c r="H2219" i="2" s="1"/>
  <c r="I2218" i="2"/>
  <c r="D2218" i="2"/>
  <c r="G2218" i="2" s="1"/>
  <c r="I2217" i="2"/>
  <c r="D2217" i="2"/>
  <c r="F2217" i="2" s="1"/>
  <c r="I2216" i="2"/>
  <c r="D2216" i="2"/>
  <c r="I2215" i="2"/>
  <c r="D2215" i="2"/>
  <c r="G2215" i="2" s="1"/>
  <c r="I2214" i="2"/>
  <c r="D2214" i="2"/>
  <c r="I2213" i="2"/>
  <c r="D2213" i="2"/>
  <c r="I2212" i="2"/>
  <c r="D2212" i="2"/>
  <c r="I2211" i="2"/>
  <c r="D2211" i="2"/>
  <c r="H2211" i="2" s="1"/>
  <c r="I2210" i="2"/>
  <c r="D2210" i="2"/>
  <c r="I2209" i="2"/>
  <c r="D2209" i="2"/>
  <c r="I2208" i="2"/>
  <c r="D2208" i="2"/>
  <c r="F2208" i="2" s="1"/>
  <c r="I2207" i="2"/>
  <c r="D2207" i="2"/>
  <c r="F2207" i="2" s="1"/>
  <c r="I2206" i="2"/>
  <c r="D2206" i="2"/>
  <c r="I2205" i="2"/>
  <c r="D2205" i="2"/>
  <c r="I2204" i="2"/>
  <c r="D2204" i="2"/>
  <c r="I2203" i="2"/>
  <c r="D2203" i="2"/>
  <c r="H2203" i="2" s="1"/>
  <c r="I2202" i="2"/>
  <c r="D2202" i="2"/>
  <c r="I2201" i="2"/>
  <c r="D2201" i="2"/>
  <c r="H2201" i="2" s="1"/>
  <c r="I2200" i="2"/>
  <c r="D2200" i="2"/>
  <c r="F2200" i="2" s="1"/>
  <c r="I2199" i="2"/>
  <c r="D2199" i="2"/>
  <c r="F2199" i="2" s="1"/>
  <c r="I2198" i="2"/>
  <c r="D2198" i="2"/>
  <c r="H2198" i="2" s="1"/>
  <c r="I2197" i="2"/>
  <c r="D2197" i="2"/>
  <c r="I2196" i="2"/>
  <c r="D2196" i="2"/>
  <c r="G2196" i="2" s="1"/>
  <c r="I2195" i="2"/>
  <c r="D2195" i="2"/>
  <c r="F2195" i="2" s="1"/>
  <c r="I2194" i="2"/>
  <c r="D2194" i="2"/>
  <c r="G2194" i="2" s="1"/>
  <c r="I2193" i="2"/>
  <c r="D2193" i="2"/>
  <c r="I2192" i="2"/>
  <c r="D2192" i="2"/>
  <c r="I2191" i="2"/>
  <c r="D2191" i="2"/>
  <c r="I2190" i="2"/>
  <c r="D2190" i="2"/>
  <c r="G2190" i="2" s="1"/>
  <c r="I2189" i="2"/>
  <c r="D2189" i="2"/>
  <c r="I2188" i="2"/>
  <c r="D2188" i="2"/>
  <c r="I2187" i="2"/>
  <c r="D2187" i="2"/>
  <c r="I2186" i="2"/>
  <c r="D2186" i="2"/>
  <c r="I2185" i="2"/>
  <c r="D2185" i="2"/>
  <c r="I2184" i="2"/>
  <c r="D2184" i="2"/>
  <c r="F2184" i="2" s="1"/>
  <c r="I2183" i="2"/>
  <c r="D2183" i="2"/>
  <c r="I2182" i="2"/>
  <c r="D2182" i="2"/>
  <c r="I2181" i="2"/>
  <c r="D2181" i="2"/>
  <c r="I2180" i="2"/>
  <c r="D2180" i="2"/>
  <c r="F2180" i="2" s="1"/>
  <c r="I2179" i="2"/>
  <c r="D2179" i="2"/>
  <c r="H2179" i="2" s="1"/>
  <c r="I2178" i="2"/>
  <c r="D2178" i="2"/>
  <c r="G2178" i="2" s="1"/>
  <c r="I2177" i="2"/>
  <c r="D2177" i="2"/>
  <c r="G2177" i="2" s="1"/>
  <c r="I2176" i="2"/>
  <c r="D2176" i="2"/>
  <c r="F2176" i="2" s="1"/>
  <c r="I2175" i="2"/>
  <c r="D2175" i="2"/>
  <c r="I2174" i="2"/>
  <c r="D2174" i="2"/>
  <c r="I2173" i="2"/>
  <c r="D2173" i="2"/>
  <c r="I2172" i="2"/>
  <c r="D2172" i="2"/>
  <c r="H2172" i="2" s="1"/>
  <c r="I2171" i="2"/>
  <c r="D2171" i="2"/>
  <c r="I2170" i="2"/>
  <c r="D2170" i="2"/>
  <c r="H2170" i="2" s="1"/>
  <c r="I2169" i="2"/>
  <c r="D2169" i="2"/>
  <c r="I2168" i="2"/>
  <c r="D2168" i="2"/>
  <c r="I2167" i="2"/>
  <c r="D2167" i="2"/>
  <c r="F2167" i="2" s="1"/>
  <c r="I2166" i="2"/>
  <c r="D2166" i="2"/>
  <c r="I2165" i="2"/>
  <c r="D2165" i="2"/>
  <c r="I2164" i="2"/>
  <c r="D2164" i="2"/>
  <c r="F2164" i="2" s="1"/>
  <c r="I2163" i="2"/>
  <c r="D2163" i="2"/>
  <c r="I2162" i="2"/>
  <c r="D2162" i="2"/>
  <c r="I2161" i="2"/>
  <c r="D2161" i="2"/>
  <c r="H2161" i="2" s="1"/>
  <c r="I2160" i="2"/>
  <c r="D2160" i="2"/>
  <c r="I2159" i="2"/>
  <c r="D2159" i="2"/>
  <c r="I2158" i="2"/>
  <c r="D2158" i="2"/>
  <c r="F2158" i="2" s="1"/>
  <c r="I2157" i="2"/>
  <c r="D2157" i="2"/>
  <c r="F2157" i="2" s="1"/>
  <c r="I2156" i="2"/>
  <c r="D2156" i="2"/>
  <c r="F2156" i="2" s="1"/>
  <c r="I2155" i="2"/>
  <c r="D2155" i="2"/>
  <c r="H2155" i="2" s="1"/>
  <c r="I2154" i="2"/>
  <c r="D2154" i="2"/>
  <c r="H2154" i="2" s="1"/>
  <c r="I2153" i="2"/>
  <c r="D2153" i="2"/>
  <c r="F2153" i="2" s="1"/>
  <c r="I2152" i="2"/>
  <c r="D2152" i="2"/>
  <c r="H2152" i="2" s="1"/>
  <c r="I2151" i="2"/>
  <c r="D2151" i="2"/>
  <c r="I2150" i="2"/>
  <c r="D2150" i="2"/>
  <c r="I2149" i="2"/>
  <c r="D2149" i="2"/>
  <c r="F2149" i="2" s="1"/>
  <c r="I2148" i="2"/>
  <c r="D2148" i="2"/>
  <c r="I2147" i="2"/>
  <c r="D2147" i="2"/>
  <c r="I2146" i="2"/>
  <c r="D2146" i="2"/>
  <c r="I2145" i="2"/>
  <c r="D2145" i="2"/>
  <c r="I2144" i="2"/>
  <c r="D2144" i="2"/>
  <c r="H2144" i="2" s="1"/>
  <c r="I2143" i="2"/>
  <c r="D2143" i="2"/>
  <c r="F2143" i="2" s="1"/>
  <c r="I2142" i="2"/>
  <c r="D2142" i="2"/>
  <c r="I2141" i="2"/>
  <c r="D2141" i="2"/>
  <c r="F2141" i="2" s="1"/>
  <c r="I2140" i="2"/>
  <c r="D2140" i="2"/>
  <c r="H2140" i="2" s="1"/>
  <c r="I2139" i="2"/>
  <c r="D2139" i="2"/>
  <c r="G2139" i="2" s="1"/>
  <c r="I2138" i="2"/>
  <c r="D2138" i="2"/>
  <c r="H2138" i="2" s="1"/>
  <c r="I2137" i="2"/>
  <c r="D2137" i="2"/>
  <c r="I2136" i="2"/>
  <c r="D2136" i="2"/>
  <c r="I2135" i="2"/>
  <c r="D2135" i="2"/>
  <c r="H2135" i="2" s="1"/>
  <c r="I2134" i="2"/>
  <c r="D2134" i="2"/>
  <c r="I2133" i="2"/>
  <c r="D2133" i="2"/>
  <c r="I2132" i="2"/>
  <c r="D2132" i="2"/>
  <c r="I2131" i="2"/>
  <c r="D2131" i="2"/>
  <c r="F2131" i="2" s="1"/>
  <c r="I2130" i="2"/>
  <c r="D2130" i="2"/>
  <c r="I2129" i="2"/>
  <c r="D2129" i="2"/>
  <c r="F2129" i="2" s="1"/>
  <c r="I2128" i="2"/>
  <c r="D2128" i="2"/>
  <c r="H2128" i="2" s="1"/>
  <c r="I2127" i="2"/>
  <c r="D2127" i="2"/>
  <c r="I2126" i="2"/>
  <c r="D2126" i="2"/>
  <c r="G2126" i="2" s="1"/>
  <c r="I2125" i="2"/>
  <c r="D2125" i="2"/>
  <c r="F2125" i="2" s="1"/>
  <c r="I2124" i="2"/>
  <c r="D2124" i="2"/>
  <c r="I2123" i="2"/>
  <c r="D2123" i="2"/>
  <c r="H2123" i="2" s="1"/>
  <c r="I2122" i="2"/>
  <c r="D2122" i="2"/>
  <c r="H2122" i="2" s="1"/>
  <c r="I2121" i="2"/>
  <c r="D2121" i="2"/>
  <c r="I2120" i="2"/>
  <c r="D2120" i="2"/>
  <c r="H2120" i="2" s="1"/>
  <c r="I2119" i="2"/>
  <c r="D2119" i="2"/>
  <c r="I2118" i="2"/>
  <c r="D2118" i="2"/>
  <c r="I2117" i="2"/>
  <c r="D2117" i="2"/>
  <c r="F2117" i="2" s="1"/>
  <c r="I2116" i="2"/>
  <c r="D2116" i="2"/>
  <c r="I2115" i="2"/>
  <c r="D2115" i="2"/>
  <c r="G2115" i="2" s="1"/>
  <c r="I2114" i="2"/>
  <c r="D2114" i="2"/>
  <c r="I2113" i="2"/>
  <c r="D2113" i="2"/>
  <c r="I2112" i="2"/>
  <c r="D2112" i="2"/>
  <c r="I2111" i="2"/>
  <c r="D2111" i="2"/>
  <c r="I2110" i="2"/>
  <c r="D2110" i="2"/>
  <c r="I2109" i="2"/>
  <c r="D2109" i="2"/>
  <c r="F2109" i="2" s="1"/>
  <c r="I2108" i="2"/>
  <c r="D2108" i="2"/>
  <c r="G2108" i="2" s="1"/>
  <c r="I2107" i="2"/>
  <c r="D2107" i="2"/>
  <c r="I2106" i="2"/>
  <c r="D2106" i="2"/>
  <c r="H2106" i="2" s="1"/>
  <c r="I2105" i="2"/>
  <c r="D2105" i="2"/>
  <c r="H2105" i="2" s="1"/>
  <c r="I2104" i="2"/>
  <c r="D2104" i="2"/>
  <c r="F2104" i="2" s="1"/>
  <c r="I2103" i="2"/>
  <c r="D2103" i="2"/>
  <c r="G2103" i="2" s="1"/>
  <c r="I2102" i="2"/>
  <c r="D2102" i="2"/>
  <c r="I2101" i="2"/>
  <c r="D2101" i="2"/>
  <c r="I2100" i="2"/>
  <c r="D2100" i="2"/>
  <c r="I2099" i="2"/>
  <c r="D2099" i="2"/>
  <c r="I2098" i="2"/>
  <c r="D2098" i="2"/>
  <c r="F2098" i="2" s="1"/>
  <c r="I2097" i="2"/>
  <c r="D2097" i="2"/>
  <c r="F2097" i="2" s="1"/>
  <c r="I2096" i="2"/>
  <c r="D2096" i="2"/>
  <c r="I2095" i="2"/>
  <c r="D2095" i="2"/>
  <c r="G2095" i="2" s="1"/>
  <c r="I2094" i="2"/>
  <c r="D2094" i="2"/>
  <c r="I2093" i="2"/>
  <c r="D2093" i="2"/>
  <c r="I2092" i="2"/>
  <c r="D2092" i="2"/>
  <c r="I2091" i="2"/>
  <c r="D2091" i="2"/>
  <c r="I2090" i="2"/>
  <c r="D2090" i="2"/>
  <c r="I2089" i="2"/>
  <c r="D2089" i="2"/>
  <c r="G2089" i="2" s="1"/>
  <c r="I2088" i="2"/>
  <c r="D2088" i="2"/>
  <c r="I2087" i="2"/>
  <c r="D2087" i="2"/>
  <c r="I2086" i="2"/>
  <c r="D2086" i="2"/>
  <c r="I2085" i="2"/>
  <c r="D2085" i="2"/>
  <c r="H2085" i="2" s="1"/>
  <c r="I2084" i="2"/>
  <c r="D2084" i="2"/>
  <c r="I2083" i="2"/>
  <c r="D2083" i="2"/>
  <c r="I2082" i="2"/>
  <c r="D2082" i="2"/>
  <c r="I2081" i="2"/>
  <c r="D2081" i="2"/>
  <c r="I2080" i="2"/>
  <c r="D2080" i="2"/>
  <c r="F2080" i="2" s="1"/>
  <c r="I2079" i="2"/>
  <c r="D2079" i="2"/>
  <c r="I2078" i="2"/>
  <c r="D2078" i="2"/>
  <c r="G2078" i="2" s="1"/>
  <c r="I2077" i="2"/>
  <c r="D2077" i="2"/>
  <c r="H2077" i="2" s="1"/>
  <c r="I2076" i="2"/>
  <c r="D2076" i="2"/>
  <c r="I2075" i="2"/>
  <c r="D2075" i="2"/>
  <c r="H2075" i="2" s="1"/>
  <c r="I2074" i="2"/>
  <c r="D2074" i="2"/>
  <c r="H2074" i="2" s="1"/>
  <c r="I2073" i="2"/>
  <c r="D2073" i="2"/>
  <c r="I2072" i="2"/>
  <c r="D2072" i="2"/>
  <c r="I2071" i="2"/>
  <c r="D2071" i="2"/>
  <c r="G2071" i="2" s="1"/>
  <c r="I2070" i="2"/>
  <c r="D2070" i="2"/>
  <c r="H2070" i="2" s="1"/>
  <c r="I2069" i="2"/>
  <c r="D2069" i="2"/>
  <c r="I2068" i="2"/>
  <c r="D2068" i="2"/>
  <c r="I2067" i="2"/>
  <c r="D2067" i="2"/>
  <c r="H2067" i="2" s="1"/>
  <c r="I2066" i="2"/>
  <c r="D2066" i="2"/>
  <c r="I2065" i="2"/>
  <c r="D2065" i="2"/>
  <c r="F2065" i="2" s="1"/>
  <c r="I2064" i="2"/>
  <c r="D2064" i="2"/>
  <c r="I2063" i="2"/>
  <c r="D2063" i="2"/>
  <c r="G2063" i="2" s="1"/>
  <c r="I2062" i="2"/>
  <c r="D2062" i="2"/>
  <c r="H2062" i="2" s="1"/>
  <c r="I2061" i="2"/>
  <c r="D2061" i="2"/>
  <c r="I2060" i="2"/>
  <c r="D2060" i="2"/>
  <c r="I2059" i="2"/>
  <c r="D2059" i="2"/>
  <c r="I2058" i="2"/>
  <c r="D2058" i="2"/>
  <c r="I2057" i="2"/>
  <c r="D2057" i="2"/>
  <c r="F2057" i="2" s="1"/>
  <c r="I2056" i="2"/>
  <c r="D2056" i="2"/>
  <c r="I2055" i="2"/>
  <c r="D2055" i="2"/>
  <c r="I2054" i="2"/>
  <c r="D2054" i="2"/>
  <c r="H2054" i="2" s="1"/>
  <c r="I2053" i="2"/>
  <c r="D2053" i="2"/>
  <c r="H2053" i="2" s="1"/>
  <c r="I2052" i="2"/>
  <c r="D2052" i="2"/>
  <c r="I2051" i="2"/>
  <c r="D2051" i="2"/>
  <c r="H2051" i="2" s="1"/>
  <c r="I2050" i="2"/>
  <c r="D2050" i="2"/>
  <c r="F2050" i="2" s="1"/>
  <c r="I2049" i="2"/>
  <c r="D2049" i="2"/>
  <c r="G2049" i="2" s="1"/>
  <c r="I2048" i="2"/>
  <c r="D2048" i="2"/>
  <c r="F2048" i="2" s="1"/>
  <c r="I2047" i="2"/>
  <c r="D2047" i="2"/>
  <c r="I2046" i="2"/>
  <c r="D2046" i="2"/>
  <c r="F2046" i="2" s="1"/>
  <c r="I2045" i="2"/>
  <c r="D2045" i="2"/>
  <c r="H2045" i="2" s="1"/>
  <c r="I2044" i="2"/>
  <c r="D2044" i="2"/>
  <c r="I2043" i="2"/>
  <c r="D2043" i="2"/>
  <c r="F2043" i="2" s="1"/>
  <c r="I2042" i="2"/>
  <c r="D2042" i="2"/>
  <c r="I2041" i="2"/>
  <c r="D2041" i="2"/>
  <c r="H2041" i="2" s="1"/>
  <c r="I2040" i="2"/>
  <c r="D2040" i="2"/>
  <c r="F2040" i="2" s="1"/>
  <c r="I2039" i="2"/>
  <c r="D2039" i="2"/>
  <c r="G2039" i="2" s="1"/>
  <c r="I2038" i="2"/>
  <c r="D2038" i="2"/>
  <c r="H2038" i="2" s="1"/>
  <c r="I2037" i="2"/>
  <c r="D2037" i="2"/>
  <c r="H2037" i="2" s="1"/>
  <c r="I2036" i="2"/>
  <c r="D2036" i="2"/>
  <c r="I2035" i="2"/>
  <c r="D2035" i="2"/>
  <c r="F2035" i="2" s="1"/>
  <c r="I2034" i="2"/>
  <c r="D2034" i="2"/>
  <c r="F2034" i="2" s="1"/>
  <c r="I2033" i="2"/>
  <c r="D2033" i="2"/>
  <c r="I2032" i="2"/>
  <c r="D2032" i="2"/>
  <c r="I2031" i="2"/>
  <c r="D2031" i="2"/>
  <c r="G2031" i="2" s="1"/>
  <c r="I2030" i="2"/>
  <c r="D2030" i="2"/>
  <c r="I2029" i="2"/>
  <c r="D2029" i="2"/>
  <c r="I2028" i="2"/>
  <c r="D2028" i="2"/>
  <c r="I2027" i="2"/>
  <c r="D2027" i="2"/>
  <c r="I2026" i="2"/>
  <c r="D2026" i="2"/>
  <c r="F2026" i="2" s="1"/>
  <c r="I2025" i="2"/>
  <c r="D2025" i="2"/>
  <c r="G2025" i="2" s="1"/>
  <c r="I2024" i="2"/>
  <c r="D2024" i="2"/>
  <c r="I2023" i="2"/>
  <c r="D2023" i="2"/>
  <c r="I2022" i="2"/>
  <c r="D2022" i="2"/>
  <c r="H2022" i="2" s="1"/>
  <c r="I2021" i="2"/>
  <c r="D2021" i="2"/>
  <c r="H2021" i="2" s="1"/>
  <c r="I2020" i="2"/>
  <c r="D2020" i="2"/>
  <c r="I2019" i="2"/>
  <c r="D2019" i="2"/>
  <c r="I2018" i="2"/>
  <c r="D2018" i="2"/>
  <c r="I2017" i="2"/>
  <c r="D2017" i="2"/>
  <c r="I2016" i="2"/>
  <c r="D2016" i="2"/>
  <c r="F2016" i="2" s="1"/>
  <c r="I2015" i="2"/>
  <c r="D2015" i="2"/>
  <c r="G2015" i="2" s="1"/>
  <c r="I2014" i="2"/>
  <c r="D2014" i="2"/>
  <c r="H2014" i="2" s="1"/>
  <c r="I2013" i="2"/>
  <c r="D2013" i="2"/>
  <c r="H2013" i="2" s="1"/>
  <c r="I2012" i="2"/>
  <c r="D2012" i="2"/>
  <c r="I2011" i="2"/>
  <c r="D2011" i="2"/>
  <c r="I2010" i="2"/>
  <c r="D2010" i="2"/>
  <c r="H2010" i="2" s="1"/>
  <c r="I2009" i="2"/>
  <c r="D2009" i="2"/>
  <c r="G2009" i="2" s="1"/>
  <c r="I2008" i="2"/>
  <c r="D2008" i="2"/>
  <c r="I2007" i="2"/>
  <c r="D2007" i="2"/>
  <c r="G2007" i="2" s="1"/>
  <c r="I2006" i="2"/>
  <c r="D2006" i="2"/>
  <c r="G2006" i="2" s="1"/>
  <c r="I2005" i="2"/>
  <c r="D2005" i="2"/>
  <c r="H2005" i="2" s="1"/>
  <c r="I2004" i="2"/>
  <c r="D2004" i="2"/>
  <c r="I2003" i="2"/>
  <c r="D2003" i="2"/>
  <c r="H2003" i="2" s="1"/>
  <c r="I2002" i="2"/>
  <c r="D2002" i="2"/>
  <c r="G2002" i="2" s="1"/>
  <c r="I2001" i="2"/>
  <c r="D2001" i="2"/>
  <c r="I2000" i="2"/>
  <c r="D2000" i="2"/>
  <c r="I1999" i="2"/>
  <c r="D1999" i="2"/>
  <c r="G1999" i="2" s="1"/>
  <c r="I1998" i="2"/>
  <c r="D1998" i="2"/>
  <c r="G1998" i="2" s="1"/>
  <c r="I1997" i="2"/>
  <c r="D1997" i="2"/>
  <c r="I1996" i="2"/>
  <c r="D1996" i="2"/>
  <c r="I1995" i="2"/>
  <c r="D1995" i="2"/>
  <c r="H1995" i="2" s="1"/>
  <c r="I1994" i="2"/>
  <c r="D1994" i="2"/>
  <c r="I1993" i="2"/>
  <c r="D1993" i="2"/>
  <c r="H1993" i="2" s="1"/>
  <c r="I1992" i="2"/>
  <c r="D1992" i="2"/>
  <c r="I1991" i="2"/>
  <c r="D1991" i="2"/>
  <c r="G1991" i="2" s="1"/>
  <c r="I1990" i="2"/>
  <c r="D1990" i="2"/>
  <c r="H1990" i="2" s="1"/>
  <c r="I1989" i="2"/>
  <c r="D1989" i="2"/>
  <c r="H1989" i="2" s="1"/>
  <c r="I1988" i="2"/>
  <c r="D1988" i="2"/>
  <c r="I1987" i="2"/>
  <c r="D1987" i="2"/>
  <c r="I1986" i="2"/>
  <c r="D1986" i="2"/>
  <c r="H1986" i="2" s="1"/>
  <c r="I1985" i="2"/>
  <c r="D1985" i="2"/>
  <c r="I1984" i="2"/>
  <c r="D1984" i="2"/>
  <c r="F1984" i="2" s="1"/>
  <c r="I1983" i="2"/>
  <c r="D1983" i="2"/>
  <c r="I1982" i="2"/>
  <c r="D1982" i="2"/>
  <c r="H1982" i="2" s="1"/>
  <c r="I1981" i="2"/>
  <c r="D1981" i="2"/>
  <c r="H1981" i="2" s="1"/>
  <c r="I1980" i="2"/>
  <c r="D1980" i="2"/>
  <c r="I1979" i="2"/>
  <c r="D1979" i="2"/>
  <c r="H1979" i="2" s="1"/>
  <c r="I1978" i="2"/>
  <c r="D1978" i="2"/>
  <c r="G1978" i="2" s="1"/>
  <c r="I1977" i="2"/>
  <c r="D1977" i="2"/>
  <c r="I1976" i="2"/>
  <c r="D1976" i="2"/>
  <c r="I1975" i="2"/>
  <c r="D1975" i="2"/>
  <c r="G1975" i="2" s="1"/>
  <c r="I1974" i="2"/>
  <c r="D1974" i="2"/>
  <c r="H1974" i="2" s="1"/>
  <c r="I1973" i="2"/>
  <c r="D1973" i="2"/>
  <c r="H1973" i="2" s="1"/>
  <c r="I1972" i="2"/>
  <c r="D1972" i="2"/>
  <c r="I1971" i="2"/>
  <c r="D1971" i="2"/>
  <c r="H1971" i="2" s="1"/>
  <c r="I1970" i="2"/>
  <c r="D1970" i="2"/>
  <c r="I1969" i="2"/>
  <c r="D1969" i="2"/>
  <c r="H1969" i="2" s="1"/>
  <c r="I1968" i="2"/>
  <c r="D1968" i="2"/>
  <c r="I1967" i="2"/>
  <c r="D1967" i="2"/>
  <c r="G1967" i="2" s="1"/>
  <c r="I1966" i="2"/>
  <c r="D1966" i="2"/>
  <c r="H1966" i="2" s="1"/>
  <c r="I1965" i="2"/>
  <c r="D1965" i="2"/>
  <c r="H1965" i="2" s="1"/>
  <c r="I1964" i="2"/>
  <c r="D1964" i="2"/>
  <c r="I1963" i="2"/>
  <c r="D1963" i="2"/>
  <c r="H1963" i="2" s="1"/>
  <c r="I1962" i="2"/>
  <c r="D1962" i="2"/>
  <c r="F1962" i="2" s="1"/>
  <c r="I1961" i="2"/>
  <c r="D1961" i="2"/>
  <c r="I1960" i="2"/>
  <c r="D1960" i="2"/>
  <c r="F1960" i="2" s="1"/>
  <c r="I1959" i="2"/>
  <c r="D1959" i="2"/>
  <c r="G1959" i="2" s="1"/>
  <c r="I1958" i="2"/>
  <c r="D1958" i="2"/>
  <c r="G1958" i="2" s="1"/>
  <c r="I1957" i="2"/>
  <c r="D1957" i="2"/>
  <c r="I1956" i="2"/>
  <c r="D1956" i="2"/>
  <c r="H1956" i="2" s="1"/>
  <c r="I1955" i="2"/>
  <c r="D1955" i="2"/>
  <c r="H1955" i="2" s="1"/>
  <c r="I1954" i="2"/>
  <c r="D1954" i="2"/>
  <c r="I1953" i="2"/>
  <c r="D1953" i="2"/>
  <c r="G1953" i="2" s="1"/>
  <c r="I1952" i="2"/>
  <c r="D1952" i="2"/>
  <c r="I1951" i="2"/>
  <c r="D1951" i="2"/>
  <c r="G1951" i="2" s="1"/>
  <c r="I1950" i="2"/>
  <c r="D1950" i="2"/>
  <c r="I1949" i="2"/>
  <c r="D1949" i="2"/>
  <c r="H1949" i="2" s="1"/>
  <c r="I1948" i="2"/>
  <c r="D1948" i="2"/>
  <c r="H1948" i="2" s="1"/>
  <c r="I1947" i="2"/>
  <c r="D1947" i="2"/>
  <c r="H1947" i="2" s="1"/>
  <c r="I1946" i="2"/>
  <c r="D1946" i="2"/>
  <c r="H1946" i="2" s="1"/>
  <c r="I1945" i="2"/>
  <c r="D1945" i="2"/>
  <c r="I1944" i="2"/>
  <c r="D1944" i="2"/>
  <c r="F1944" i="2" s="1"/>
  <c r="I1943" i="2"/>
  <c r="D1943" i="2"/>
  <c r="I1942" i="2"/>
  <c r="D1942" i="2"/>
  <c r="H1942" i="2" s="1"/>
  <c r="I1941" i="2"/>
  <c r="D1941" i="2"/>
  <c r="I1940" i="2"/>
  <c r="D1940" i="2"/>
  <c r="H1940" i="2" s="1"/>
  <c r="I1939" i="2"/>
  <c r="D1939" i="2"/>
  <c r="H1939" i="2" s="1"/>
  <c r="I1938" i="2"/>
  <c r="D1938" i="2"/>
  <c r="H1938" i="2" s="1"/>
  <c r="I1937" i="2"/>
  <c r="D1937" i="2"/>
  <c r="H1937" i="2" s="1"/>
  <c r="I1936" i="2"/>
  <c r="D1936" i="2"/>
  <c r="F1936" i="2" s="1"/>
  <c r="I1935" i="2"/>
  <c r="D1935" i="2"/>
  <c r="G1935" i="2" s="1"/>
  <c r="I1934" i="2"/>
  <c r="D1934" i="2"/>
  <c r="F1934" i="2" s="1"/>
  <c r="I1933" i="2"/>
  <c r="D1933" i="2"/>
  <c r="H1933" i="2" s="1"/>
  <c r="I1932" i="2"/>
  <c r="D1932" i="2"/>
  <c r="I1931" i="2"/>
  <c r="D1931" i="2"/>
  <c r="H1931" i="2" s="1"/>
  <c r="I1930" i="2"/>
  <c r="D1930" i="2"/>
  <c r="G1930" i="2" s="1"/>
  <c r="I1929" i="2"/>
  <c r="D1929" i="2"/>
  <c r="G1929" i="2" s="1"/>
  <c r="I1928" i="2"/>
  <c r="D1928" i="2"/>
  <c r="F1928" i="2" s="1"/>
  <c r="I1927" i="2"/>
  <c r="D1927" i="2"/>
  <c r="G1927" i="2" s="1"/>
  <c r="I1926" i="2"/>
  <c r="D1926" i="2"/>
  <c r="F1926" i="2" s="1"/>
  <c r="I1925" i="2"/>
  <c r="D1925" i="2"/>
  <c r="I1924" i="2"/>
  <c r="D1924" i="2"/>
  <c r="H1924" i="2" s="1"/>
  <c r="I1923" i="2"/>
  <c r="D1923" i="2"/>
  <c r="H1923" i="2" s="1"/>
  <c r="I1922" i="2"/>
  <c r="D1922" i="2"/>
  <c r="F1922" i="2" s="1"/>
  <c r="I1921" i="2"/>
  <c r="D1921" i="2"/>
  <c r="I1920" i="2"/>
  <c r="D1920" i="2"/>
  <c r="I1919" i="2"/>
  <c r="D1919" i="2"/>
  <c r="I1918" i="2"/>
  <c r="D1918" i="2"/>
  <c r="I1917" i="2"/>
  <c r="D1917" i="2"/>
  <c r="H1917" i="2" s="1"/>
  <c r="I1916" i="2"/>
  <c r="D1916" i="2"/>
  <c r="I1915" i="2"/>
  <c r="D1915" i="2"/>
  <c r="H1915" i="2" s="1"/>
  <c r="I1914" i="2"/>
  <c r="D1914" i="2"/>
  <c r="I1913" i="2"/>
  <c r="D1913" i="2"/>
  <c r="G1913" i="2" s="1"/>
  <c r="I1912" i="2"/>
  <c r="D1912" i="2"/>
  <c r="F1912" i="2" s="1"/>
  <c r="I1911" i="2"/>
  <c r="D1911" i="2"/>
  <c r="G1911" i="2" s="1"/>
  <c r="I1910" i="2"/>
  <c r="D1910" i="2"/>
  <c r="F1910" i="2" s="1"/>
  <c r="I1909" i="2"/>
  <c r="D1909" i="2"/>
  <c r="H1909" i="2" s="1"/>
  <c r="I1908" i="2"/>
  <c r="D1908" i="2"/>
  <c r="H1908" i="2" s="1"/>
  <c r="I1907" i="2"/>
  <c r="D1907" i="2"/>
  <c r="H1907" i="2" s="1"/>
  <c r="I1906" i="2"/>
  <c r="D1906" i="2"/>
  <c r="H1906" i="2" s="1"/>
  <c r="I1905" i="2"/>
  <c r="D1905" i="2"/>
  <c r="I1904" i="2"/>
  <c r="D1904" i="2"/>
  <c r="I1903" i="2"/>
  <c r="D1903" i="2"/>
  <c r="G1903" i="2" s="1"/>
  <c r="I1902" i="2"/>
  <c r="D1902" i="2"/>
  <c r="I1901" i="2"/>
  <c r="D1901" i="2"/>
  <c r="H1901" i="2" s="1"/>
  <c r="I1900" i="2"/>
  <c r="D1900" i="2"/>
  <c r="I1899" i="2"/>
  <c r="D1899" i="2"/>
  <c r="I1898" i="2"/>
  <c r="D1898" i="2"/>
  <c r="I1897" i="2"/>
  <c r="D1897" i="2"/>
  <c r="I1896" i="2"/>
  <c r="D1896" i="2"/>
  <c r="F1896" i="2" s="1"/>
  <c r="I1895" i="2"/>
  <c r="D1895" i="2"/>
  <c r="G1895" i="2" s="1"/>
  <c r="I1894" i="2"/>
  <c r="D1894" i="2"/>
  <c r="G1894" i="2" s="1"/>
  <c r="I1893" i="2"/>
  <c r="D1893" i="2"/>
  <c r="I1892" i="2"/>
  <c r="D1892" i="2"/>
  <c r="H1892" i="2" s="1"/>
  <c r="I1891" i="2"/>
  <c r="D1891" i="2"/>
  <c r="H1891" i="2" s="1"/>
  <c r="I1890" i="2"/>
  <c r="D1890" i="2"/>
  <c r="I1889" i="2"/>
  <c r="D1889" i="2"/>
  <c r="I1888" i="2"/>
  <c r="D1888" i="2"/>
  <c r="I1887" i="2"/>
  <c r="D1887" i="2"/>
  <c r="G1887" i="2" s="1"/>
  <c r="I1886" i="2"/>
  <c r="D1886" i="2"/>
  <c r="H1886" i="2" s="1"/>
  <c r="I1885" i="2"/>
  <c r="D1885" i="2"/>
  <c r="I1884" i="2"/>
  <c r="D1884" i="2"/>
  <c r="F1884" i="2" s="1"/>
  <c r="I1883" i="2"/>
  <c r="D1883" i="2"/>
  <c r="H1883" i="2" s="1"/>
  <c r="I1882" i="2"/>
  <c r="D1882" i="2"/>
  <c r="I1881" i="2"/>
  <c r="D1881" i="2"/>
  <c r="H1881" i="2" s="1"/>
  <c r="I1880" i="2"/>
  <c r="D1880" i="2"/>
  <c r="G1880" i="2" s="1"/>
  <c r="I1879" i="2"/>
  <c r="D1879" i="2"/>
  <c r="G1879" i="2" s="1"/>
  <c r="I1878" i="2"/>
  <c r="D1878" i="2"/>
  <c r="I1877" i="2"/>
  <c r="D1877" i="2"/>
  <c r="F1877" i="2" s="1"/>
  <c r="I1876" i="2"/>
  <c r="D1876" i="2"/>
  <c r="I1875" i="2"/>
  <c r="D1875" i="2"/>
  <c r="H1875" i="2" s="1"/>
  <c r="I1874" i="2"/>
  <c r="D1874" i="2"/>
  <c r="I1873" i="2"/>
  <c r="D1873" i="2"/>
  <c r="I1872" i="2"/>
  <c r="D1872" i="2"/>
  <c r="G1872" i="2" s="1"/>
  <c r="I1871" i="2"/>
  <c r="D1871" i="2"/>
  <c r="G1871" i="2" s="1"/>
  <c r="I1870" i="2"/>
  <c r="D1870" i="2"/>
  <c r="H1870" i="2" s="1"/>
  <c r="I1869" i="2"/>
  <c r="D1869" i="2"/>
  <c r="F1869" i="2" s="1"/>
  <c r="I1868" i="2"/>
  <c r="D1868" i="2"/>
  <c r="F1868" i="2" s="1"/>
  <c r="I1867" i="2"/>
  <c r="D1867" i="2"/>
  <c r="H1867" i="2" s="1"/>
  <c r="I1866" i="2"/>
  <c r="D1866" i="2"/>
  <c r="G1866" i="2" s="1"/>
  <c r="I1865" i="2"/>
  <c r="D1865" i="2"/>
  <c r="I1864" i="2"/>
  <c r="D1864" i="2"/>
  <c r="I1863" i="2"/>
  <c r="D1863" i="2"/>
  <c r="G1863" i="2" s="1"/>
  <c r="I1862" i="2"/>
  <c r="D1862" i="2"/>
  <c r="F1862" i="2" s="1"/>
  <c r="I1861" i="2"/>
  <c r="D1861" i="2"/>
  <c r="I1860" i="2"/>
  <c r="D1860" i="2"/>
  <c r="I1859" i="2"/>
  <c r="D1859" i="2"/>
  <c r="I1858" i="2"/>
  <c r="D1858" i="2"/>
  <c r="H1858" i="2" s="1"/>
  <c r="I1857" i="2"/>
  <c r="D1857" i="2"/>
  <c r="F1857" i="2" s="1"/>
  <c r="I1856" i="2"/>
  <c r="D1856" i="2"/>
  <c r="G1856" i="2" s="1"/>
  <c r="I1855" i="2"/>
  <c r="D1855" i="2"/>
  <c r="I1854" i="2"/>
  <c r="D1854" i="2"/>
  <c r="I1853" i="2"/>
  <c r="D1853" i="2"/>
  <c r="I1852" i="2"/>
  <c r="D1852" i="2"/>
  <c r="F1852" i="2" s="1"/>
  <c r="I1851" i="2"/>
  <c r="D1851" i="2"/>
  <c r="I1850" i="2"/>
  <c r="D1850" i="2"/>
  <c r="H1850" i="2" s="1"/>
  <c r="I1849" i="2"/>
  <c r="D1849" i="2"/>
  <c r="I1848" i="2"/>
  <c r="D1848" i="2"/>
  <c r="G1848" i="2" s="1"/>
  <c r="I1847" i="2"/>
  <c r="D1847" i="2"/>
  <c r="G1847" i="2" s="1"/>
  <c r="I1846" i="2"/>
  <c r="D1846" i="2"/>
  <c r="G1846" i="2" s="1"/>
  <c r="I1845" i="2"/>
  <c r="D1845" i="2"/>
  <c r="F1845" i="2" s="1"/>
  <c r="I1844" i="2"/>
  <c r="D1844" i="2"/>
  <c r="F1844" i="2" s="1"/>
  <c r="I1843" i="2"/>
  <c r="D1843" i="2"/>
  <c r="I1842" i="2"/>
  <c r="D1842" i="2"/>
  <c r="I1841" i="2"/>
  <c r="D1841" i="2"/>
  <c r="I1840" i="2"/>
  <c r="D1840" i="2"/>
  <c r="I1839" i="2"/>
  <c r="D1839" i="2"/>
  <c r="I1838" i="2"/>
  <c r="D1838" i="2"/>
  <c r="F1838" i="2" s="1"/>
  <c r="I1837" i="2"/>
  <c r="D1837" i="2"/>
  <c r="F1837" i="2" s="1"/>
  <c r="I1836" i="2"/>
  <c r="D1836" i="2"/>
  <c r="F1836" i="2" s="1"/>
  <c r="I1835" i="2"/>
  <c r="D1835" i="2"/>
  <c r="H1835" i="2" s="1"/>
  <c r="I1834" i="2"/>
  <c r="D1834" i="2"/>
  <c r="I1833" i="2"/>
  <c r="D1833" i="2"/>
  <c r="I1832" i="2"/>
  <c r="D1832" i="2"/>
  <c r="I1831" i="2"/>
  <c r="D1831" i="2"/>
  <c r="I1830" i="2"/>
  <c r="D1830" i="2"/>
  <c r="I1829" i="2"/>
  <c r="D1829" i="2"/>
  <c r="I1828" i="2"/>
  <c r="D1828" i="2"/>
  <c r="F1828" i="2" s="1"/>
  <c r="I1827" i="2"/>
  <c r="D1827" i="2"/>
  <c r="I1826" i="2"/>
  <c r="D1826" i="2"/>
  <c r="H1826" i="2" s="1"/>
  <c r="I1825" i="2"/>
  <c r="D1825" i="2"/>
  <c r="G1825" i="2" s="1"/>
  <c r="I1824" i="2"/>
  <c r="D1824" i="2"/>
  <c r="I1823" i="2"/>
  <c r="D1823" i="2"/>
  <c r="I1822" i="2"/>
  <c r="D1822" i="2"/>
  <c r="I1821" i="2"/>
  <c r="D1821" i="2"/>
  <c r="I1820" i="2"/>
  <c r="D1820" i="2"/>
  <c r="F1820" i="2" s="1"/>
  <c r="I1819" i="2"/>
  <c r="D1819" i="2"/>
  <c r="H1819" i="2" s="1"/>
  <c r="I1818" i="2"/>
  <c r="D1818" i="2"/>
  <c r="I1817" i="2"/>
  <c r="D1817" i="2"/>
  <c r="I1816" i="2"/>
  <c r="D1816" i="2"/>
  <c r="G1816" i="2" s="1"/>
  <c r="I1815" i="2"/>
  <c r="D1815" i="2"/>
  <c r="G1815" i="2" s="1"/>
  <c r="I1814" i="2"/>
  <c r="D1814" i="2"/>
  <c r="H1814" i="2" s="1"/>
  <c r="I1813" i="2"/>
  <c r="D1813" i="2"/>
  <c r="F1813" i="2" s="1"/>
  <c r="I1812" i="2"/>
  <c r="D1812" i="2"/>
  <c r="F1812" i="2" s="1"/>
  <c r="I1811" i="2"/>
  <c r="D1811" i="2"/>
  <c r="I1810" i="2"/>
  <c r="D1810" i="2"/>
  <c r="H1810" i="2" s="1"/>
  <c r="I1809" i="2"/>
  <c r="D1809" i="2"/>
  <c r="I1808" i="2"/>
  <c r="D1808" i="2"/>
  <c r="G1808" i="2" s="1"/>
  <c r="I1807" i="2"/>
  <c r="D1807" i="2"/>
  <c r="H1807" i="2" s="1"/>
  <c r="I1806" i="2"/>
  <c r="D1806" i="2"/>
  <c r="G1806" i="2" s="1"/>
  <c r="I1805" i="2"/>
  <c r="D1805" i="2"/>
  <c r="I1804" i="2"/>
  <c r="D1804" i="2"/>
  <c r="I1803" i="2"/>
  <c r="D1803" i="2"/>
  <c r="I1802" i="2"/>
  <c r="D1802" i="2"/>
  <c r="H1802" i="2" s="1"/>
  <c r="I1801" i="2"/>
  <c r="D1801" i="2"/>
  <c r="F1801" i="2" s="1"/>
  <c r="I1800" i="2"/>
  <c r="D1800" i="2"/>
  <c r="G1800" i="2" s="1"/>
  <c r="I1799" i="2"/>
  <c r="D1799" i="2"/>
  <c r="G1799" i="2" s="1"/>
  <c r="I1798" i="2"/>
  <c r="D1798" i="2"/>
  <c r="I1797" i="2"/>
  <c r="D1797" i="2"/>
  <c r="I1796" i="2"/>
  <c r="D1796" i="2"/>
  <c r="H1796" i="2" s="1"/>
  <c r="I1795" i="2"/>
  <c r="D1795" i="2"/>
  <c r="H1795" i="2" s="1"/>
  <c r="I1794" i="2"/>
  <c r="D1794" i="2"/>
  <c r="G1794" i="2" s="1"/>
  <c r="I1793" i="2"/>
  <c r="D1793" i="2"/>
  <c r="I1792" i="2"/>
  <c r="D1792" i="2"/>
  <c r="G1792" i="2" s="1"/>
  <c r="I1791" i="2"/>
  <c r="D1791" i="2"/>
  <c r="I1790" i="2"/>
  <c r="D1790" i="2"/>
  <c r="I1789" i="2"/>
  <c r="D1789" i="2"/>
  <c r="G1789" i="2" s="1"/>
  <c r="I1788" i="2"/>
  <c r="D1788" i="2"/>
  <c r="H1788" i="2" s="1"/>
  <c r="I1787" i="2"/>
  <c r="D1787" i="2"/>
  <c r="H1787" i="2" s="1"/>
  <c r="I1786" i="2"/>
  <c r="D1786" i="2"/>
  <c r="H1786" i="2" s="1"/>
  <c r="I1785" i="2"/>
  <c r="D1785" i="2"/>
  <c r="I1784" i="2"/>
  <c r="D1784" i="2"/>
  <c r="I1783" i="2"/>
  <c r="D1783" i="2"/>
  <c r="I1782" i="2"/>
  <c r="D1782" i="2"/>
  <c r="I1781" i="2"/>
  <c r="D1781" i="2"/>
  <c r="F1781" i="2" s="1"/>
  <c r="I1780" i="2"/>
  <c r="D1780" i="2"/>
  <c r="G1780" i="2" s="1"/>
  <c r="I1779" i="2"/>
  <c r="D1779" i="2"/>
  <c r="I1778" i="2"/>
  <c r="D1778" i="2"/>
  <c r="G1778" i="2" s="1"/>
  <c r="I1777" i="2"/>
  <c r="D1777" i="2"/>
  <c r="G1777" i="2" s="1"/>
  <c r="I1776" i="2"/>
  <c r="D1776" i="2"/>
  <c r="I1775" i="2"/>
  <c r="D1775" i="2"/>
  <c r="F1775" i="2" s="1"/>
  <c r="I1774" i="2"/>
  <c r="D1774" i="2"/>
  <c r="G1774" i="2" s="1"/>
  <c r="I1773" i="2"/>
  <c r="D1773" i="2"/>
  <c r="F1773" i="2" s="1"/>
  <c r="I1772" i="2"/>
  <c r="D1772" i="2"/>
  <c r="I1771" i="2"/>
  <c r="D1771" i="2"/>
  <c r="I1770" i="2"/>
  <c r="D1770" i="2"/>
  <c r="I1769" i="2"/>
  <c r="D1769" i="2"/>
  <c r="H1769" i="2" s="1"/>
  <c r="I1768" i="2"/>
  <c r="D1768" i="2"/>
  <c r="G1768" i="2" s="1"/>
  <c r="I1767" i="2"/>
  <c r="D1767" i="2"/>
  <c r="G1767" i="2" s="1"/>
  <c r="I1766" i="2"/>
  <c r="D1766" i="2"/>
  <c r="I1765" i="2"/>
  <c r="D1765" i="2"/>
  <c r="I1764" i="2"/>
  <c r="D1764" i="2"/>
  <c r="H1764" i="2" s="1"/>
  <c r="I1763" i="2"/>
  <c r="D1763" i="2"/>
  <c r="F1763" i="2" s="1"/>
  <c r="I1762" i="2"/>
  <c r="D1762" i="2"/>
  <c r="I1761" i="2"/>
  <c r="D1761" i="2"/>
  <c r="I1760" i="2"/>
  <c r="D1760" i="2"/>
  <c r="F1760" i="2" s="1"/>
  <c r="I1759" i="2"/>
  <c r="D1759" i="2"/>
  <c r="I1758" i="2"/>
  <c r="D1758" i="2"/>
  <c r="H1758" i="2" s="1"/>
  <c r="I1757" i="2"/>
  <c r="D1757" i="2"/>
  <c r="H1757" i="2" s="1"/>
  <c r="I1756" i="2"/>
  <c r="D1756" i="2"/>
  <c r="H1756" i="2" s="1"/>
  <c r="I1755" i="2"/>
  <c r="D1755" i="2"/>
  <c r="I1754" i="2"/>
  <c r="D1754" i="2"/>
  <c r="I1753" i="2"/>
  <c r="D1753" i="2"/>
  <c r="I1752" i="2"/>
  <c r="D1752" i="2"/>
  <c r="F1752" i="2" s="1"/>
  <c r="I1751" i="2"/>
  <c r="D1751" i="2"/>
  <c r="G1751" i="2" s="1"/>
  <c r="I1750" i="2"/>
  <c r="D1750" i="2"/>
  <c r="H1750" i="2" s="1"/>
  <c r="I1749" i="2"/>
  <c r="D1749" i="2"/>
  <c r="I1748" i="2"/>
  <c r="D1748" i="2"/>
  <c r="H1748" i="2" s="1"/>
  <c r="I1747" i="2"/>
  <c r="D1747" i="2"/>
  <c r="F1747" i="2" s="1"/>
  <c r="I1746" i="2"/>
  <c r="D1746" i="2"/>
  <c r="I1745" i="2"/>
  <c r="D1745" i="2"/>
  <c r="G1745" i="2" s="1"/>
  <c r="I1744" i="2"/>
  <c r="D1744" i="2"/>
  <c r="F1744" i="2" s="1"/>
  <c r="I1743" i="2"/>
  <c r="D1743" i="2"/>
  <c r="I1742" i="2"/>
  <c r="D1742" i="2"/>
  <c r="H1742" i="2" s="1"/>
  <c r="I1741" i="2"/>
  <c r="D1741" i="2"/>
  <c r="I1740" i="2"/>
  <c r="D1740" i="2"/>
  <c r="H1740" i="2" s="1"/>
  <c r="I1739" i="2"/>
  <c r="D1739" i="2"/>
  <c r="F1739" i="2" s="1"/>
  <c r="I1738" i="2"/>
  <c r="D1738" i="2"/>
  <c r="I1737" i="2"/>
  <c r="D1737" i="2"/>
  <c r="I1736" i="2"/>
  <c r="D1736" i="2"/>
  <c r="I1735" i="2"/>
  <c r="D1735" i="2"/>
  <c r="I1734" i="2"/>
  <c r="D1734" i="2"/>
  <c r="H1734" i="2" s="1"/>
  <c r="I1733" i="2"/>
  <c r="D1733" i="2"/>
  <c r="I1732" i="2"/>
  <c r="D1732" i="2"/>
  <c r="H1732" i="2" s="1"/>
  <c r="I1731" i="2"/>
  <c r="D1731" i="2"/>
  <c r="I1730" i="2"/>
  <c r="D1730" i="2"/>
  <c r="I1729" i="2"/>
  <c r="D1729" i="2"/>
  <c r="G1729" i="2" s="1"/>
  <c r="I1728" i="2"/>
  <c r="D1728" i="2"/>
  <c r="I1727" i="2"/>
  <c r="D1727" i="2"/>
  <c r="I1726" i="2"/>
  <c r="D1726" i="2"/>
  <c r="H1726" i="2" s="1"/>
  <c r="I1725" i="2"/>
  <c r="D1725" i="2"/>
  <c r="H1725" i="2" s="1"/>
  <c r="I1724" i="2"/>
  <c r="D1724" i="2"/>
  <c r="H1724" i="2" s="1"/>
  <c r="I1723" i="2"/>
  <c r="D1723" i="2"/>
  <c r="F1723" i="2" s="1"/>
  <c r="I1722" i="2"/>
  <c r="D1722" i="2"/>
  <c r="I1721" i="2"/>
  <c r="D1721" i="2"/>
  <c r="I1720" i="2"/>
  <c r="D1720" i="2"/>
  <c r="F1720" i="2" s="1"/>
  <c r="I1719" i="2"/>
  <c r="D1719" i="2"/>
  <c r="G1719" i="2" s="1"/>
  <c r="I1718" i="2"/>
  <c r="D1718" i="2"/>
  <c r="I1717" i="2"/>
  <c r="D1717" i="2"/>
  <c r="F1717" i="2" s="1"/>
  <c r="I1716" i="2"/>
  <c r="E1716" i="2"/>
  <c r="D1716" i="2"/>
  <c r="F1716" i="2" s="1"/>
  <c r="I1715" i="2"/>
  <c r="D1715" i="2"/>
  <c r="G1715" i="2" s="1"/>
  <c r="I1714" i="2"/>
  <c r="D1714" i="2"/>
  <c r="I1713" i="2"/>
  <c r="D1713" i="2"/>
  <c r="H1713" i="2" s="1"/>
  <c r="I1712" i="2"/>
  <c r="D1712" i="2"/>
  <c r="I1711" i="2"/>
  <c r="D1711" i="2"/>
  <c r="G1711" i="2" s="1"/>
  <c r="I1710" i="2"/>
  <c r="D1710" i="2"/>
  <c r="H1710" i="2" s="1"/>
  <c r="I1709" i="2"/>
  <c r="D1709" i="2"/>
  <c r="I1708" i="2"/>
  <c r="D1708" i="2"/>
  <c r="H1708" i="2" s="1"/>
  <c r="I1707" i="2"/>
  <c r="D1707" i="2"/>
  <c r="G1707" i="2" s="1"/>
  <c r="I1706" i="2"/>
  <c r="D1706" i="2"/>
  <c r="I1705" i="2"/>
  <c r="D1705" i="2"/>
  <c r="I1704" i="2"/>
  <c r="D1704" i="2"/>
  <c r="F1704" i="2" s="1"/>
  <c r="I1703" i="2"/>
  <c r="D1703" i="2"/>
  <c r="I1702" i="2"/>
  <c r="D1702" i="2"/>
  <c r="I1701" i="2"/>
  <c r="D1701" i="2"/>
  <c r="I1700" i="2"/>
  <c r="D1700" i="2"/>
  <c r="H1700" i="2" s="1"/>
  <c r="I1699" i="2"/>
  <c r="D1699" i="2"/>
  <c r="I1698" i="2"/>
  <c r="D1698" i="2"/>
  <c r="I1697" i="2"/>
  <c r="D1697" i="2"/>
  <c r="G1697" i="2" s="1"/>
  <c r="I1696" i="2"/>
  <c r="D1696" i="2"/>
  <c r="I1695" i="2"/>
  <c r="D1695" i="2"/>
  <c r="G1695" i="2" s="1"/>
  <c r="I1694" i="2"/>
  <c r="D1694" i="2"/>
  <c r="H1694" i="2" s="1"/>
  <c r="I1693" i="2"/>
  <c r="D1693" i="2"/>
  <c r="G1693" i="2" s="1"/>
  <c r="I1692" i="2"/>
  <c r="D1692" i="2"/>
  <c r="H1692" i="2" s="1"/>
  <c r="I1691" i="2"/>
  <c r="D1691" i="2"/>
  <c r="G1691" i="2" s="1"/>
  <c r="I1690" i="2"/>
  <c r="D1690" i="2"/>
  <c r="I1689" i="2"/>
  <c r="D1689" i="2"/>
  <c r="F1689" i="2" s="1"/>
  <c r="I1688" i="2"/>
  <c r="D1688" i="2"/>
  <c r="F1688" i="2" s="1"/>
  <c r="I1687" i="2"/>
  <c r="D1687" i="2"/>
  <c r="I1686" i="2"/>
  <c r="D1686" i="2"/>
  <c r="H1686" i="2" s="1"/>
  <c r="I1685" i="2"/>
  <c r="D1685" i="2"/>
  <c r="I1684" i="2"/>
  <c r="D1684" i="2"/>
  <c r="H1684" i="2" s="1"/>
  <c r="I1683" i="2"/>
  <c r="D1683" i="2"/>
  <c r="I1682" i="2"/>
  <c r="D1682" i="2"/>
  <c r="I1681" i="2"/>
  <c r="D1681" i="2"/>
  <c r="I1680" i="2"/>
  <c r="D1680" i="2"/>
  <c r="I1679" i="2"/>
  <c r="D1679" i="2"/>
  <c r="G1679" i="2" s="1"/>
  <c r="I1678" i="2"/>
  <c r="D1678" i="2"/>
  <c r="I1677" i="2"/>
  <c r="D1677" i="2"/>
  <c r="G1677" i="2" s="1"/>
  <c r="I1676" i="2"/>
  <c r="D1676" i="2"/>
  <c r="H1676" i="2" s="1"/>
  <c r="I1675" i="2"/>
  <c r="D1675" i="2"/>
  <c r="I1674" i="2"/>
  <c r="D1674" i="2"/>
  <c r="I1673" i="2"/>
  <c r="D1673" i="2"/>
  <c r="I1672" i="2"/>
  <c r="D1672" i="2"/>
  <c r="F1672" i="2" s="1"/>
  <c r="I1671" i="2"/>
  <c r="D1671" i="2"/>
  <c r="I1670" i="2"/>
  <c r="D1670" i="2"/>
  <c r="H1670" i="2" s="1"/>
  <c r="I1669" i="2"/>
  <c r="D1669" i="2"/>
  <c r="I1668" i="2"/>
  <c r="D1668" i="2"/>
  <c r="H1668" i="2" s="1"/>
  <c r="I1667" i="2"/>
  <c r="D1667" i="2"/>
  <c r="G1667" i="2" s="1"/>
  <c r="I1666" i="2"/>
  <c r="D1666" i="2"/>
  <c r="I1665" i="2"/>
  <c r="D1665" i="2"/>
  <c r="F1665" i="2" s="1"/>
  <c r="I1664" i="2"/>
  <c r="D1664" i="2"/>
  <c r="I1663" i="2"/>
  <c r="D1663" i="2"/>
  <c r="G1663" i="2" s="1"/>
  <c r="I1662" i="2"/>
  <c r="D1662" i="2"/>
  <c r="I1661" i="2"/>
  <c r="D1661" i="2"/>
  <c r="G1661" i="2" s="1"/>
  <c r="I1660" i="2"/>
  <c r="D1660" i="2"/>
  <c r="H1660" i="2" s="1"/>
  <c r="I1659" i="2"/>
  <c r="D1659" i="2"/>
  <c r="F1659" i="2" s="1"/>
  <c r="I1658" i="2"/>
  <c r="D1658" i="2"/>
  <c r="I1657" i="2"/>
  <c r="D1657" i="2"/>
  <c r="F1657" i="2" s="1"/>
  <c r="I1656" i="2"/>
  <c r="D1656" i="2"/>
  <c r="F1656" i="2" s="1"/>
  <c r="I1655" i="2"/>
  <c r="D1655" i="2"/>
  <c r="I1654" i="2"/>
  <c r="D1654" i="2"/>
  <c r="H1654" i="2" s="1"/>
  <c r="I1653" i="2"/>
  <c r="D1653" i="2"/>
  <c r="I1652" i="2"/>
  <c r="D1652" i="2"/>
  <c r="H1652" i="2" s="1"/>
  <c r="I1651" i="2"/>
  <c r="D1651" i="2"/>
  <c r="I1650" i="2"/>
  <c r="D1650" i="2"/>
  <c r="I1649" i="2"/>
  <c r="D1649" i="2"/>
  <c r="I1648" i="2"/>
  <c r="D1648" i="2"/>
  <c r="I1647" i="2"/>
  <c r="D1647" i="2"/>
  <c r="G1647" i="2" s="1"/>
  <c r="I1646" i="2"/>
  <c r="D1646" i="2"/>
  <c r="I1645" i="2"/>
  <c r="D1645" i="2"/>
  <c r="G1645" i="2" s="1"/>
  <c r="I1644" i="2"/>
  <c r="D1644" i="2"/>
  <c r="H1644" i="2" s="1"/>
  <c r="I1643" i="2"/>
  <c r="D1643" i="2"/>
  <c r="G1643" i="2" s="1"/>
  <c r="I1642" i="2"/>
  <c r="D1642" i="2"/>
  <c r="I1641" i="2"/>
  <c r="D1641" i="2"/>
  <c r="I1640" i="2"/>
  <c r="D1640" i="2"/>
  <c r="F1640" i="2" s="1"/>
  <c r="I1639" i="2"/>
  <c r="D1639" i="2"/>
  <c r="I1638" i="2"/>
  <c r="D1638" i="2"/>
  <c r="H1638" i="2" s="1"/>
  <c r="I1637" i="2"/>
  <c r="D1637" i="2"/>
  <c r="I1636" i="2"/>
  <c r="D1636" i="2"/>
  <c r="H1636" i="2" s="1"/>
  <c r="I1635" i="2"/>
  <c r="D1635" i="2"/>
  <c r="G1635" i="2" s="1"/>
  <c r="I1634" i="2"/>
  <c r="D1634" i="2"/>
  <c r="I1633" i="2"/>
  <c r="D1633" i="2"/>
  <c r="H1633" i="2" s="1"/>
  <c r="I1632" i="2"/>
  <c r="D1632" i="2"/>
  <c r="I1631" i="2"/>
  <c r="D1631" i="2"/>
  <c r="G1631" i="2" s="1"/>
  <c r="I1630" i="2"/>
  <c r="D1630" i="2"/>
  <c r="H1630" i="2" s="1"/>
  <c r="I1629" i="2"/>
  <c r="D1629" i="2"/>
  <c r="I1628" i="2"/>
  <c r="D1628" i="2"/>
  <c r="H1628" i="2" s="1"/>
  <c r="I1627" i="2"/>
  <c r="D1627" i="2"/>
  <c r="I1626" i="2"/>
  <c r="D1626" i="2"/>
  <c r="I1625" i="2"/>
  <c r="D1625" i="2"/>
  <c r="F1625" i="2" s="1"/>
  <c r="I1624" i="2"/>
  <c r="D1624" i="2"/>
  <c r="F1624" i="2" s="1"/>
  <c r="I1623" i="2"/>
  <c r="D1623" i="2"/>
  <c r="I1622" i="2"/>
  <c r="D1622" i="2"/>
  <c r="H1622" i="2" s="1"/>
  <c r="I1621" i="2"/>
  <c r="D1621" i="2"/>
  <c r="I1620" i="2"/>
  <c r="D1620" i="2"/>
  <c r="H1620" i="2" s="1"/>
  <c r="I1619" i="2"/>
  <c r="D1619" i="2"/>
  <c r="I1618" i="2"/>
  <c r="D1618" i="2"/>
  <c r="I1617" i="2"/>
  <c r="D1617" i="2"/>
  <c r="I1616" i="2"/>
  <c r="D1616" i="2"/>
  <c r="I1615" i="2"/>
  <c r="D1615" i="2"/>
  <c r="G1615" i="2" s="1"/>
  <c r="I1614" i="2"/>
  <c r="D1614" i="2"/>
  <c r="H1614" i="2" s="1"/>
  <c r="I1613" i="2"/>
  <c r="D1613" i="2"/>
  <c r="G1613" i="2" s="1"/>
  <c r="I1612" i="2"/>
  <c r="D1612" i="2"/>
  <c r="H1612" i="2" s="1"/>
  <c r="I1611" i="2"/>
  <c r="D1611" i="2"/>
  <c r="G1611" i="2" s="1"/>
  <c r="I1610" i="2"/>
  <c r="D1610" i="2"/>
  <c r="I1609" i="2"/>
  <c r="D1609" i="2"/>
  <c r="I1608" i="2"/>
  <c r="D1608" i="2"/>
  <c r="F1608" i="2" s="1"/>
  <c r="I1607" i="2"/>
  <c r="D1607" i="2"/>
  <c r="I1606" i="2"/>
  <c r="D1606" i="2"/>
  <c r="H1606" i="2" s="1"/>
  <c r="I1605" i="2"/>
  <c r="D1605" i="2"/>
  <c r="I1604" i="2"/>
  <c r="D1604" i="2"/>
  <c r="H1604" i="2" s="1"/>
  <c r="I1603" i="2"/>
  <c r="D1603" i="2"/>
  <c r="G1603" i="2" s="1"/>
  <c r="I1602" i="2"/>
  <c r="D1602" i="2"/>
  <c r="I1601" i="2"/>
  <c r="D1601" i="2"/>
  <c r="I1600" i="2"/>
  <c r="D1600" i="2"/>
  <c r="I1599" i="2"/>
  <c r="D1599" i="2"/>
  <c r="G1599" i="2" s="1"/>
  <c r="I1598" i="2"/>
  <c r="D1598" i="2"/>
  <c r="H1598" i="2" s="1"/>
  <c r="I1597" i="2"/>
  <c r="D1597" i="2"/>
  <c r="G1597" i="2" s="1"/>
  <c r="I1596" i="2"/>
  <c r="D1596" i="2"/>
  <c r="H1596" i="2" s="1"/>
  <c r="I1595" i="2"/>
  <c r="D1595" i="2"/>
  <c r="I1594" i="2"/>
  <c r="D1594" i="2"/>
  <c r="I1593" i="2"/>
  <c r="D1593" i="2"/>
  <c r="F1593" i="2" s="1"/>
  <c r="I1592" i="2"/>
  <c r="D1592" i="2"/>
  <c r="F1592" i="2" s="1"/>
  <c r="I1591" i="2"/>
  <c r="D1591" i="2"/>
  <c r="I1590" i="2"/>
  <c r="D1590" i="2"/>
  <c r="H1590" i="2" s="1"/>
  <c r="I1589" i="2"/>
  <c r="D1589" i="2"/>
  <c r="I1588" i="2"/>
  <c r="D1588" i="2"/>
  <c r="H1588" i="2" s="1"/>
  <c r="I1587" i="2"/>
  <c r="D1587" i="2"/>
  <c r="G1587" i="2" s="1"/>
  <c r="I1586" i="2"/>
  <c r="D1586" i="2"/>
  <c r="I1585" i="2"/>
  <c r="D1585" i="2"/>
  <c r="I1584" i="2"/>
  <c r="D1584" i="2"/>
  <c r="I1583" i="2"/>
  <c r="D1583" i="2"/>
  <c r="G1583" i="2" s="1"/>
  <c r="I1582" i="2"/>
  <c r="D1582" i="2"/>
  <c r="H1582" i="2" s="1"/>
  <c r="I1581" i="2"/>
  <c r="D1581" i="2"/>
  <c r="G1581" i="2" s="1"/>
  <c r="I1580" i="2"/>
  <c r="D1580" i="2"/>
  <c r="H1580" i="2" s="1"/>
  <c r="I1579" i="2"/>
  <c r="D1579" i="2"/>
  <c r="G1579" i="2" s="1"/>
  <c r="I1578" i="2"/>
  <c r="D1578" i="2"/>
  <c r="I1577" i="2"/>
  <c r="D1577" i="2"/>
  <c r="I1576" i="2"/>
  <c r="D1576" i="2"/>
  <c r="F1576" i="2" s="1"/>
  <c r="I1575" i="2"/>
  <c r="D1575" i="2"/>
  <c r="F1575" i="2" s="1"/>
  <c r="I1574" i="2"/>
  <c r="D1574" i="2"/>
  <c r="F1574" i="2" s="1"/>
  <c r="I1573" i="2"/>
  <c r="E1573" i="2"/>
  <c r="D1573" i="2"/>
  <c r="F1573" i="2" s="1"/>
  <c r="I1572" i="2"/>
  <c r="D1572" i="2"/>
  <c r="I1571" i="2"/>
  <c r="D1571" i="2"/>
  <c r="I1570" i="2"/>
  <c r="D1570" i="2"/>
  <c r="H1570" i="2" s="1"/>
  <c r="I1569" i="2"/>
  <c r="D1569" i="2"/>
  <c r="G1569" i="2" s="1"/>
  <c r="I1568" i="2"/>
  <c r="D1568" i="2"/>
  <c r="I1567" i="2"/>
  <c r="D1567" i="2"/>
  <c r="H1567" i="2" s="1"/>
  <c r="I1566" i="2"/>
  <c r="D1566" i="2"/>
  <c r="I1565" i="2"/>
  <c r="D1565" i="2"/>
  <c r="I1564" i="2"/>
  <c r="D1564" i="2"/>
  <c r="H1564" i="2" s="1"/>
  <c r="I1563" i="2"/>
  <c r="D1563" i="2"/>
  <c r="I1562" i="2"/>
  <c r="D1562" i="2"/>
  <c r="H1562" i="2" s="1"/>
  <c r="I1561" i="2"/>
  <c r="D1561" i="2"/>
  <c r="I1560" i="2"/>
  <c r="D1560" i="2"/>
  <c r="I1559" i="2"/>
  <c r="D1559" i="2"/>
  <c r="H1559" i="2" s="1"/>
  <c r="I1558" i="2"/>
  <c r="D1558" i="2"/>
  <c r="I1557" i="2"/>
  <c r="D1557" i="2"/>
  <c r="G1557" i="2" s="1"/>
  <c r="I1556" i="2"/>
  <c r="D1556" i="2"/>
  <c r="I1555" i="2"/>
  <c r="D1555" i="2"/>
  <c r="H1555" i="2" s="1"/>
  <c r="I1554" i="2"/>
  <c r="D1554" i="2"/>
  <c r="H1554" i="2" s="1"/>
  <c r="I1553" i="2"/>
  <c r="D1553" i="2"/>
  <c r="I1552" i="2"/>
  <c r="D1552" i="2"/>
  <c r="I1551" i="2"/>
  <c r="D1551" i="2"/>
  <c r="F1551" i="2" s="1"/>
  <c r="I1550" i="2"/>
  <c r="D1550" i="2"/>
  <c r="F1550" i="2" s="1"/>
  <c r="I1549" i="2"/>
  <c r="D1549" i="2"/>
  <c r="I1548" i="2"/>
  <c r="D1548" i="2"/>
  <c r="H1548" i="2" s="1"/>
  <c r="I1547" i="2"/>
  <c r="D1547" i="2"/>
  <c r="I1546" i="2"/>
  <c r="D1546" i="2"/>
  <c r="H1546" i="2" s="1"/>
  <c r="I1545" i="2"/>
  <c r="D1545" i="2"/>
  <c r="G1545" i="2" s="1"/>
  <c r="I1544" i="2"/>
  <c r="D1544" i="2"/>
  <c r="I1543" i="2"/>
  <c r="D1543" i="2"/>
  <c r="H1543" i="2" s="1"/>
  <c r="I1542" i="2"/>
  <c r="D1542" i="2"/>
  <c r="I1541" i="2"/>
  <c r="D1541" i="2"/>
  <c r="G1541" i="2" s="1"/>
  <c r="I1540" i="2"/>
  <c r="D1540" i="2"/>
  <c r="I1539" i="2"/>
  <c r="D1539" i="2"/>
  <c r="I1538" i="2"/>
  <c r="D1538" i="2"/>
  <c r="H1538" i="2" s="1"/>
  <c r="I1537" i="2"/>
  <c r="D1537" i="2"/>
  <c r="I1536" i="2"/>
  <c r="D1536" i="2"/>
  <c r="I1535" i="2"/>
  <c r="D1535" i="2"/>
  <c r="H1535" i="2" s="1"/>
  <c r="I1534" i="2"/>
  <c r="D1534" i="2"/>
  <c r="F1534" i="2" s="1"/>
  <c r="I1533" i="2"/>
  <c r="D1533" i="2"/>
  <c r="F1533" i="2" s="1"/>
  <c r="I1532" i="2"/>
  <c r="D1532" i="2"/>
  <c r="H1532" i="2" s="1"/>
  <c r="I1531" i="2"/>
  <c r="D1531" i="2"/>
  <c r="I1530" i="2"/>
  <c r="D1530" i="2"/>
  <c r="H1530" i="2" s="1"/>
  <c r="I1529" i="2"/>
  <c r="D1529" i="2"/>
  <c r="I1528" i="2"/>
  <c r="D1528" i="2"/>
  <c r="I1527" i="2"/>
  <c r="D1527" i="2"/>
  <c r="H1527" i="2" s="1"/>
  <c r="I1526" i="2"/>
  <c r="D1526" i="2"/>
  <c r="F1526" i="2" s="1"/>
  <c r="I1525" i="2"/>
  <c r="D1525" i="2"/>
  <c r="I1524" i="2"/>
  <c r="D1524" i="2"/>
  <c r="I1523" i="2"/>
  <c r="D1523" i="2"/>
  <c r="I1522" i="2"/>
  <c r="D1522" i="2"/>
  <c r="H1522" i="2" s="1"/>
  <c r="I1521" i="2"/>
  <c r="D1521" i="2"/>
  <c r="I1520" i="2"/>
  <c r="D1520" i="2"/>
  <c r="I1519" i="2"/>
  <c r="D1519" i="2"/>
  <c r="H1519" i="2" s="1"/>
  <c r="I1518" i="2"/>
  <c r="D1518" i="2"/>
  <c r="F1518" i="2" s="1"/>
  <c r="I1517" i="2"/>
  <c r="D1517" i="2"/>
  <c r="I1516" i="2"/>
  <c r="D1516" i="2"/>
  <c r="H1516" i="2" s="1"/>
  <c r="I1515" i="2"/>
  <c r="D1515" i="2"/>
  <c r="F1515" i="2" s="1"/>
  <c r="I1514" i="2"/>
  <c r="D1514" i="2"/>
  <c r="H1514" i="2" s="1"/>
  <c r="I1513" i="2"/>
  <c r="D1513" i="2"/>
  <c r="G1513" i="2" s="1"/>
  <c r="I1512" i="2"/>
  <c r="D1512" i="2"/>
  <c r="I1511" i="2"/>
  <c r="D1511" i="2"/>
  <c r="H1511" i="2" s="1"/>
  <c r="I1510" i="2"/>
  <c r="D1510" i="2"/>
  <c r="F1510" i="2" s="1"/>
  <c r="I1509" i="2"/>
  <c r="D1509" i="2"/>
  <c r="G1509" i="2" s="1"/>
  <c r="I1508" i="2"/>
  <c r="D1508" i="2"/>
  <c r="I1507" i="2"/>
  <c r="D1507" i="2"/>
  <c r="I1506" i="2"/>
  <c r="D1506" i="2"/>
  <c r="H1506" i="2" s="1"/>
  <c r="I1505" i="2"/>
  <c r="D1505" i="2"/>
  <c r="I1504" i="2"/>
  <c r="D1504" i="2"/>
  <c r="I1503" i="2"/>
  <c r="D1503" i="2"/>
  <c r="I1502" i="2"/>
  <c r="D1502" i="2"/>
  <c r="I1501" i="2"/>
  <c r="D1501" i="2"/>
  <c r="I1500" i="2"/>
  <c r="D1500" i="2"/>
  <c r="H1500" i="2" s="1"/>
  <c r="I1499" i="2"/>
  <c r="D1499" i="2"/>
  <c r="F1499" i="2" s="1"/>
  <c r="I1498" i="2"/>
  <c r="D1498" i="2"/>
  <c r="H1498" i="2" s="1"/>
  <c r="I1497" i="2"/>
  <c r="D1497" i="2"/>
  <c r="G1497" i="2" s="1"/>
  <c r="I1496" i="2"/>
  <c r="D1496" i="2"/>
  <c r="I1495" i="2"/>
  <c r="D1495" i="2"/>
  <c r="H1495" i="2" s="1"/>
  <c r="I1494" i="2"/>
  <c r="D1494" i="2"/>
  <c r="F1494" i="2" s="1"/>
  <c r="I1493" i="2"/>
  <c r="D1493" i="2"/>
  <c r="G1493" i="2" s="1"/>
  <c r="I1492" i="2"/>
  <c r="D1492" i="2"/>
  <c r="I1491" i="2"/>
  <c r="D1491" i="2"/>
  <c r="I1490" i="2"/>
  <c r="D1490" i="2"/>
  <c r="H1490" i="2" s="1"/>
  <c r="I1489" i="2"/>
  <c r="D1489" i="2"/>
  <c r="I1488" i="2"/>
  <c r="D1488" i="2"/>
  <c r="I1487" i="2"/>
  <c r="D1487" i="2"/>
  <c r="H1487" i="2" s="1"/>
  <c r="I1486" i="2"/>
  <c r="D1486" i="2"/>
  <c r="I1485" i="2"/>
  <c r="D1485" i="2"/>
  <c r="I1484" i="2"/>
  <c r="D1484" i="2"/>
  <c r="H1484" i="2" s="1"/>
  <c r="I1483" i="2"/>
  <c r="D1483" i="2"/>
  <c r="I1482" i="2"/>
  <c r="D1482" i="2"/>
  <c r="H1482" i="2" s="1"/>
  <c r="I1481" i="2"/>
  <c r="D1481" i="2"/>
  <c r="G1481" i="2" s="1"/>
  <c r="I1480" i="2"/>
  <c r="D1480" i="2"/>
  <c r="I1479" i="2"/>
  <c r="D1479" i="2"/>
  <c r="H1479" i="2" s="1"/>
  <c r="I1478" i="2"/>
  <c r="D1478" i="2"/>
  <c r="I1477" i="2"/>
  <c r="D1477" i="2"/>
  <c r="G1477" i="2" s="1"/>
  <c r="I1476" i="2"/>
  <c r="D1476" i="2"/>
  <c r="I1475" i="2"/>
  <c r="D1475" i="2"/>
  <c r="I1474" i="2"/>
  <c r="D1474" i="2"/>
  <c r="H1474" i="2" s="1"/>
  <c r="I1473" i="2"/>
  <c r="D1473" i="2"/>
  <c r="I1472" i="2"/>
  <c r="D1472" i="2"/>
  <c r="I1471" i="2"/>
  <c r="D1471" i="2"/>
  <c r="F1471" i="2" s="1"/>
  <c r="I1470" i="2"/>
  <c r="D1470" i="2"/>
  <c r="F1470" i="2" s="1"/>
  <c r="I1469" i="2"/>
  <c r="D1469" i="2"/>
  <c r="F1469" i="2" s="1"/>
  <c r="I1468" i="2"/>
  <c r="D1468" i="2"/>
  <c r="H1468" i="2" s="1"/>
  <c r="I1467" i="2"/>
  <c r="D1467" i="2"/>
  <c r="I1466" i="2"/>
  <c r="D1466" i="2"/>
  <c r="H1466" i="2" s="1"/>
  <c r="I1465" i="2"/>
  <c r="D1465" i="2"/>
  <c r="G1465" i="2" s="1"/>
  <c r="I1464" i="2"/>
  <c r="D1464" i="2"/>
  <c r="I1463" i="2"/>
  <c r="D1463" i="2"/>
  <c r="I1462" i="2"/>
  <c r="D1462" i="2"/>
  <c r="F1462" i="2" s="1"/>
  <c r="I1461" i="2"/>
  <c r="D1461" i="2"/>
  <c r="I1460" i="2"/>
  <c r="D1460" i="2"/>
  <c r="I1459" i="2"/>
  <c r="D1459" i="2"/>
  <c r="H1459" i="2" s="1"/>
  <c r="I1458" i="2"/>
  <c r="D1458" i="2"/>
  <c r="H1458" i="2" s="1"/>
  <c r="I1457" i="2"/>
  <c r="D1457" i="2"/>
  <c r="I1456" i="2"/>
  <c r="D1456" i="2"/>
  <c r="I1455" i="2"/>
  <c r="D1455" i="2"/>
  <c r="H1455" i="2" s="1"/>
  <c r="I1454" i="2"/>
  <c r="D1454" i="2"/>
  <c r="F1454" i="2" s="1"/>
  <c r="I1453" i="2"/>
  <c r="D1453" i="2"/>
  <c r="F1453" i="2" s="1"/>
  <c r="I1452" i="2"/>
  <c r="D1452" i="2"/>
  <c r="H1452" i="2" s="1"/>
  <c r="I1451" i="2"/>
  <c r="D1451" i="2"/>
  <c r="F1451" i="2" s="1"/>
  <c r="I1450" i="2"/>
  <c r="D1450" i="2"/>
  <c r="H1450" i="2" s="1"/>
  <c r="I1449" i="2"/>
  <c r="D1449" i="2"/>
  <c r="G1449" i="2" s="1"/>
  <c r="I1448" i="2"/>
  <c r="D1448" i="2"/>
  <c r="I1447" i="2"/>
  <c r="D1447" i="2"/>
  <c r="I1446" i="2"/>
  <c r="D1446" i="2"/>
  <c r="F1446" i="2" s="1"/>
  <c r="I1445" i="2"/>
  <c r="D1445" i="2"/>
  <c r="F1445" i="2" s="1"/>
  <c r="I1444" i="2"/>
  <c r="D1444" i="2"/>
  <c r="I1443" i="2"/>
  <c r="D1443" i="2"/>
  <c r="G1443" i="2" s="1"/>
  <c r="I1442" i="2"/>
  <c r="D1442" i="2"/>
  <c r="H1442" i="2" s="1"/>
  <c r="I1441" i="2"/>
  <c r="D1441" i="2"/>
  <c r="I1440" i="2"/>
  <c r="D1440" i="2"/>
  <c r="I1439" i="2"/>
  <c r="D1439" i="2"/>
  <c r="H1439" i="2" s="1"/>
  <c r="I1438" i="2"/>
  <c r="D1438" i="2"/>
  <c r="I1437" i="2"/>
  <c r="D1437" i="2"/>
  <c r="I1436" i="2"/>
  <c r="D1436" i="2"/>
  <c r="H1436" i="2" s="1"/>
  <c r="I1435" i="2"/>
  <c r="D1435" i="2"/>
  <c r="I1434" i="2"/>
  <c r="D1434" i="2"/>
  <c r="H1434" i="2" s="1"/>
  <c r="I1433" i="2"/>
  <c r="D1433" i="2"/>
  <c r="G1433" i="2" s="1"/>
  <c r="I1432" i="2"/>
  <c r="D1432" i="2"/>
  <c r="F1432" i="2" s="1"/>
  <c r="I1431" i="2"/>
  <c r="D1431" i="2"/>
  <c r="I1430" i="2"/>
  <c r="E1430" i="2"/>
  <c r="D1430" i="2"/>
  <c r="F1430" i="2" s="1"/>
  <c r="I1429" i="2"/>
  <c r="D1429" i="2"/>
  <c r="I1428" i="2"/>
  <c r="D1428" i="2"/>
  <c r="I1427" i="2"/>
  <c r="D1427" i="2"/>
  <c r="G1427" i="2" s="1"/>
  <c r="I1426" i="2"/>
  <c r="D1426" i="2"/>
  <c r="I1425" i="2"/>
  <c r="D1425" i="2"/>
  <c r="G1425" i="2" s="1"/>
  <c r="I1424" i="2"/>
  <c r="D1424" i="2"/>
  <c r="H1424" i="2" s="1"/>
  <c r="I1423" i="2"/>
  <c r="D1423" i="2"/>
  <c r="F1423" i="2" s="1"/>
  <c r="I1422" i="2"/>
  <c r="D1422" i="2"/>
  <c r="I1421" i="2"/>
  <c r="D1421" i="2"/>
  <c r="I1420" i="2"/>
  <c r="D1420" i="2"/>
  <c r="F1420" i="2" s="1"/>
  <c r="I1419" i="2"/>
  <c r="D1419" i="2"/>
  <c r="I1418" i="2"/>
  <c r="D1418" i="2"/>
  <c r="H1418" i="2" s="1"/>
  <c r="I1417" i="2"/>
  <c r="D1417" i="2"/>
  <c r="I1416" i="2"/>
  <c r="D1416" i="2"/>
  <c r="H1416" i="2" s="1"/>
  <c r="I1415" i="2"/>
  <c r="D1415" i="2"/>
  <c r="I1414" i="2"/>
  <c r="D1414" i="2"/>
  <c r="I1413" i="2"/>
  <c r="D1413" i="2"/>
  <c r="H1413" i="2" s="1"/>
  <c r="I1412" i="2"/>
  <c r="D1412" i="2"/>
  <c r="I1411" i="2"/>
  <c r="D1411" i="2"/>
  <c r="G1411" i="2" s="1"/>
  <c r="I1410" i="2"/>
  <c r="D1410" i="2"/>
  <c r="H1410" i="2" s="1"/>
  <c r="I1409" i="2"/>
  <c r="D1409" i="2"/>
  <c r="I1408" i="2"/>
  <c r="D1408" i="2"/>
  <c r="H1408" i="2" s="1"/>
  <c r="I1407" i="2"/>
  <c r="D1407" i="2"/>
  <c r="G1407" i="2" s="1"/>
  <c r="I1406" i="2"/>
  <c r="D1406" i="2"/>
  <c r="I1405" i="2"/>
  <c r="D1405" i="2"/>
  <c r="I1404" i="2"/>
  <c r="D1404" i="2"/>
  <c r="I1403" i="2"/>
  <c r="D1403" i="2"/>
  <c r="I1402" i="2"/>
  <c r="D1402" i="2"/>
  <c r="I1401" i="2"/>
  <c r="D1401" i="2"/>
  <c r="I1400" i="2"/>
  <c r="D1400" i="2"/>
  <c r="H1400" i="2" s="1"/>
  <c r="I1399" i="2"/>
  <c r="D1399" i="2"/>
  <c r="I1398" i="2"/>
  <c r="D1398" i="2"/>
  <c r="I1397" i="2"/>
  <c r="D1397" i="2"/>
  <c r="H1397" i="2" s="1"/>
  <c r="I1396" i="2"/>
  <c r="D1396" i="2"/>
  <c r="I1395" i="2"/>
  <c r="D1395" i="2"/>
  <c r="I1394" i="2"/>
  <c r="D1394" i="2"/>
  <c r="H1394" i="2" s="1"/>
  <c r="I1393" i="2"/>
  <c r="D1393" i="2"/>
  <c r="H1393" i="2" s="1"/>
  <c r="I1392" i="2"/>
  <c r="D1392" i="2"/>
  <c r="H1392" i="2" s="1"/>
  <c r="I1391" i="2"/>
  <c r="D1391" i="2"/>
  <c r="G1391" i="2" s="1"/>
  <c r="I1390" i="2"/>
  <c r="D1390" i="2"/>
  <c r="I1389" i="2"/>
  <c r="D1389" i="2"/>
  <c r="F1389" i="2" s="1"/>
  <c r="I1388" i="2"/>
  <c r="D1388" i="2"/>
  <c r="I1387" i="2"/>
  <c r="D1387" i="2"/>
  <c r="I1386" i="2"/>
  <c r="D1386" i="2"/>
  <c r="I1385" i="2"/>
  <c r="D1385" i="2"/>
  <c r="I1384" i="2"/>
  <c r="D1384" i="2"/>
  <c r="H1384" i="2" s="1"/>
  <c r="I1383" i="2"/>
  <c r="D1383" i="2"/>
  <c r="I1382" i="2"/>
  <c r="D1382" i="2"/>
  <c r="I1381" i="2"/>
  <c r="D1381" i="2"/>
  <c r="I1380" i="2"/>
  <c r="D1380" i="2"/>
  <c r="I1379" i="2"/>
  <c r="D1379" i="2"/>
  <c r="I1378" i="2"/>
  <c r="D1378" i="2"/>
  <c r="I1377" i="2"/>
  <c r="D1377" i="2"/>
  <c r="I1376" i="2"/>
  <c r="D1376" i="2"/>
  <c r="H1376" i="2" s="1"/>
  <c r="I1375" i="2"/>
  <c r="D1375" i="2"/>
  <c r="I1374" i="2"/>
  <c r="D1374" i="2"/>
  <c r="I1373" i="2"/>
  <c r="D1373" i="2"/>
  <c r="I1372" i="2"/>
  <c r="D1372" i="2"/>
  <c r="I1371" i="2"/>
  <c r="D1371" i="2"/>
  <c r="I1370" i="2"/>
  <c r="D1370" i="2"/>
  <c r="H1370" i="2" s="1"/>
  <c r="I1369" i="2"/>
  <c r="D1369" i="2"/>
  <c r="I1368" i="2"/>
  <c r="D1368" i="2"/>
  <c r="H1368" i="2" s="1"/>
  <c r="I1367" i="2"/>
  <c r="D1367" i="2"/>
  <c r="I1366" i="2"/>
  <c r="D1366" i="2"/>
  <c r="I1365" i="2"/>
  <c r="D1365" i="2"/>
  <c r="H1365" i="2" s="1"/>
  <c r="I1364" i="2"/>
  <c r="D1364" i="2"/>
  <c r="I1363" i="2"/>
  <c r="D1363" i="2"/>
  <c r="I1362" i="2"/>
  <c r="D1362" i="2"/>
  <c r="H1362" i="2" s="1"/>
  <c r="I1361" i="2"/>
  <c r="D1361" i="2"/>
  <c r="H1361" i="2" s="1"/>
  <c r="I1360" i="2"/>
  <c r="D1360" i="2"/>
  <c r="I1359" i="2"/>
  <c r="D1359" i="2"/>
  <c r="G1359" i="2" s="1"/>
  <c r="I1358" i="2"/>
  <c r="D1358" i="2"/>
  <c r="G1358" i="2" s="1"/>
  <c r="I1357" i="2"/>
  <c r="D1357" i="2"/>
  <c r="I1356" i="2"/>
  <c r="D1356" i="2"/>
  <c r="F1356" i="2" s="1"/>
  <c r="I1355" i="2"/>
  <c r="D1355" i="2"/>
  <c r="I1354" i="2"/>
  <c r="D1354" i="2"/>
  <c r="I1353" i="2"/>
  <c r="D1353" i="2"/>
  <c r="F1353" i="2" s="1"/>
  <c r="I1352" i="2"/>
  <c r="D1352" i="2"/>
  <c r="I1351" i="2"/>
  <c r="D1351" i="2"/>
  <c r="G1351" i="2" s="1"/>
  <c r="I1350" i="2"/>
  <c r="D1350" i="2"/>
  <c r="I1349" i="2"/>
  <c r="D1349" i="2"/>
  <c r="I1348" i="2"/>
  <c r="D1348" i="2"/>
  <c r="F1348" i="2" s="1"/>
  <c r="I1347" i="2"/>
  <c r="D1347" i="2"/>
  <c r="I1346" i="2"/>
  <c r="D1346" i="2"/>
  <c r="I1345" i="2"/>
  <c r="D1345" i="2"/>
  <c r="I1344" i="2"/>
  <c r="D1344" i="2"/>
  <c r="I1343" i="2"/>
  <c r="D1343" i="2"/>
  <c r="I1342" i="2"/>
  <c r="D1342" i="2"/>
  <c r="I1341" i="2"/>
  <c r="D1341" i="2"/>
  <c r="I1340" i="2"/>
  <c r="D1340" i="2"/>
  <c r="I1339" i="2"/>
  <c r="D1339" i="2"/>
  <c r="F1339" i="2" s="1"/>
  <c r="I1338" i="2"/>
  <c r="D1338" i="2"/>
  <c r="I1337" i="2"/>
  <c r="D1337" i="2"/>
  <c r="I1336" i="2"/>
  <c r="D1336" i="2"/>
  <c r="I1335" i="2"/>
  <c r="D1335" i="2"/>
  <c r="I1334" i="2"/>
  <c r="D1334" i="2"/>
  <c r="G1334" i="2" s="1"/>
  <c r="I1333" i="2"/>
  <c r="D1333" i="2"/>
  <c r="G1333" i="2" s="1"/>
  <c r="I1332" i="2"/>
  <c r="D1332" i="2"/>
  <c r="F1332" i="2" s="1"/>
  <c r="I1331" i="2"/>
  <c r="D1331" i="2"/>
  <c r="I1330" i="2"/>
  <c r="D1330" i="2"/>
  <c r="H1330" i="2" s="1"/>
  <c r="I1329" i="2"/>
  <c r="D1329" i="2"/>
  <c r="H1329" i="2" s="1"/>
  <c r="I1328" i="2"/>
  <c r="D1328" i="2"/>
  <c r="I1327" i="2"/>
  <c r="D1327" i="2"/>
  <c r="I1326" i="2"/>
  <c r="D1326" i="2"/>
  <c r="I1325" i="2"/>
  <c r="D1325" i="2"/>
  <c r="F1325" i="2" s="1"/>
  <c r="I1324" i="2"/>
  <c r="D1324" i="2"/>
  <c r="F1324" i="2" s="1"/>
  <c r="I1323" i="2"/>
  <c r="D1323" i="2"/>
  <c r="I1322" i="2"/>
  <c r="D1322" i="2"/>
  <c r="H1322" i="2" s="1"/>
  <c r="I1321" i="2"/>
  <c r="D1321" i="2"/>
  <c r="I1320" i="2"/>
  <c r="D1320" i="2"/>
  <c r="I1319" i="2"/>
  <c r="D1319" i="2"/>
  <c r="I1318" i="2"/>
  <c r="D1318" i="2"/>
  <c r="G1318" i="2" s="1"/>
  <c r="I1317" i="2"/>
  <c r="D1317" i="2"/>
  <c r="I1316" i="2"/>
  <c r="D1316" i="2"/>
  <c r="I1315" i="2"/>
  <c r="D1315" i="2"/>
  <c r="I1314" i="2"/>
  <c r="D1314" i="2"/>
  <c r="I1313" i="2"/>
  <c r="D1313" i="2"/>
  <c r="I1312" i="2"/>
  <c r="D1312" i="2"/>
  <c r="I1311" i="2"/>
  <c r="D1311" i="2"/>
  <c r="F1311" i="2" s="1"/>
  <c r="I1310" i="2"/>
  <c r="D1310" i="2"/>
  <c r="I1309" i="2"/>
  <c r="D1309" i="2"/>
  <c r="I1308" i="2"/>
  <c r="D1308" i="2"/>
  <c r="I1307" i="2"/>
  <c r="D1307" i="2"/>
  <c r="I1306" i="2"/>
  <c r="D1306" i="2"/>
  <c r="H1306" i="2" s="1"/>
  <c r="I1305" i="2"/>
  <c r="D1305" i="2"/>
  <c r="H1305" i="2" s="1"/>
  <c r="I1304" i="2"/>
  <c r="D1304" i="2"/>
  <c r="I1303" i="2"/>
  <c r="D1303" i="2"/>
  <c r="I1302" i="2"/>
  <c r="D1302" i="2"/>
  <c r="G1302" i="2" s="1"/>
  <c r="I1301" i="2"/>
  <c r="D1301" i="2"/>
  <c r="I1300" i="2"/>
  <c r="D1300" i="2"/>
  <c r="I1299" i="2"/>
  <c r="D1299" i="2"/>
  <c r="I1298" i="2"/>
  <c r="D1298" i="2"/>
  <c r="H1298" i="2" s="1"/>
  <c r="I1297" i="2"/>
  <c r="D1297" i="2"/>
  <c r="I1296" i="2"/>
  <c r="D1296" i="2"/>
  <c r="I1295" i="2"/>
  <c r="D1295" i="2"/>
  <c r="G1295" i="2" s="1"/>
  <c r="I1294" i="2"/>
  <c r="D1294" i="2"/>
  <c r="G1294" i="2" s="1"/>
  <c r="I1293" i="2"/>
  <c r="D1293" i="2"/>
  <c r="I1292" i="2"/>
  <c r="D1292" i="2"/>
  <c r="F1292" i="2" s="1"/>
  <c r="I1291" i="2"/>
  <c r="D1291" i="2"/>
  <c r="G1291" i="2" s="1"/>
  <c r="I1290" i="2"/>
  <c r="D1290" i="2"/>
  <c r="I1289" i="2"/>
  <c r="D1289" i="2"/>
  <c r="F1289" i="2" s="1"/>
  <c r="I1288" i="2"/>
  <c r="D1288" i="2"/>
  <c r="H1288" i="2" s="1"/>
  <c r="I1287" i="2"/>
  <c r="E1287" i="2"/>
  <c r="D1287" i="2"/>
  <c r="F1287" i="2" s="1"/>
  <c r="I1286" i="2"/>
  <c r="D1286" i="2"/>
  <c r="I1285" i="2"/>
  <c r="D1285" i="2"/>
  <c r="I1284" i="2"/>
  <c r="D1284" i="2"/>
  <c r="G1284" i="2" s="1"/>
  <c r="I1283" i="2"/>
  <c r="D1283" i="2"/>
  <c r="I1282" i="2"/>
  <c r="D1282" i="2"/>
  <c r="I1281" i="2"/>
  <c r="D1281" i="2"/>
  <c r="I1280" i="2"/>
  <c r="D1280" i="2"/>
  <c r="I1279" i="2"/>
  <c r="D1279" i="2"/>
  <c r="I1278" i="2"/>
  <c r="D1278" i="2"/>
  <c r="I1277" i="2"/>
  <c r="D1277" i="2"/>
  <c r="H1277" i="2" s="1"/>
  <c r="I1276" i="2"/>
  <c r="D1276" i="2"/>
  <c r="G1276" i="2" s="1"/>
  <c r="I1275" i="2"/>
  <c r="D1275" i="2"/>
  <c r="H1275" i="2" s="1"/>
  <c r="I1274" i="2"/>
  <c r="D1274" i="2"/>
  <c r="I1273" i="2"/>
  <c r="D1273" i="2"/>
  <c r="I1272" i="2"/>
  <c r="D1272" i="2"/>
  <c r="H1272" i="2" s="1"/>
  <c r="I1271" i="2"/>
  <c r="D1271" i="2"/>
  <c r="H1271" i="2" s="1"/>
  <c r="I1270" i="2"/>
  <c r="D1270" i="2"/>
  <c r="I1269" i="2"/>
  <c r="D1269" i="2"/>
  <c r="F1269" i="2" s="1"/>
  <c r="I1268" i="2"/>
  <c r="D1268" i="2"/>
  <c r="I1267" i="2"/>
  <c r="D1267" i="2"/>
  <c r="I1266" i="2"/>
  <c r="D1266" i="2"/>
  <c r="I1265" i="2"/>
  <c r="D1265" i="2"/>
  <c r="I1264" i="2"/>
  <c r="D1264" i="2"/>
  <c r="I1263" i="2"/>
  <c r="D1263" i="2"/>
  <c r="I1262" i="2"/>
  <c r="D1262" i="2"/>
  <c r="I1261" i="2"/>
  <c r="D1261" i="2"/>
  <c r="G1261" i="2" s="1"/>
  <c r="I1260" i="2"/>
  <c r="D1260" i="2"/>
  <c r="I1259" i="2"/>
  <c r="D1259" i="2"/>
  <c r="F1259" i="2" s="1"/>
  <c r="I1258" i="2"/>
  <c r="D1258" i="2"/>
  <c r="I1257" i="2"/>
  <c r="D1257" i="2"/>
  <c r="I1256" i="2"/>
  <c r="D1256" i="2"/>
  <c r="H1256" i="2" s="1"/>
  <c r="I1255" i="2"/>
  <c r="D1255" i="2"/>
  <c r="G1255" i="2" s="1"/>
  <c r="I1254" i="2"/>
  <c r="D1254" i="2"/>
  <c r="I1253" i="2"/>
  <c r="D1253" i="2"/>
  <c r="G1253" i="2" s="1"/>
  <c r="I1252" i="2"/>
  <c r="D1252" i="2"/>
  <c r="G1252" i="2" s="1"/>
  <c r="I1251" i="2"/>
  <c r="D1251" i="2"/>
  <c r="H1251" i="2" s="1"/>
  <c r="I1250" i="2"/>
  <c r="D1250" i="2"/>
  <c r="G1250" i="2" s="1"/>
  <c r="I1249" i="2"/>
  <c r="D1249" i="2"/>
  <c r="F1249" i="2" s="1"/>
  <c r="I1248" i="2"/>
  <c r="D1248" i="2"/>
  <c r="I1247" i="2"/>
  <c r="D1247" i="2"/>
  <c r="F1247" i="2" s="1"/>
  <c r="I1246" i="2"/>
  <c r="D1246" i="2"/>
  <c r="I1245" i="2"/>
  <c r="D1245" i="2"/>
  <c r="G1245" i="2" s="1"/>
  <c r="I1244" i="2"/>
  <c r="D1244" i="2"/>
  <c r="I1243" i="2"/>
  <c r="D1243" i="2"/>
  <c r="H1243" i="2" s="1"/>
  <c r="I1242" i="2"/>
  <c r="D1242" i="2"/>
  <c r="I1241" i="2"/>
  <c r="D1241" i="2"/>
  <c r="H1241" i="2" s="1"/>
  <c r="I1240" i="2"/>
  <c r="D1240" i="2"/>
  <c r="I1239" i="2"/>
  <c r="D1239" i="2"/>
  <c r="I1238" i="2"/>
  <c r="D1238" i="2"/>
  <c r="I1237" i="2"/>
  <c r="D1237" i="2"/>
  <c r="I1236" i="2"/>
  <c r="D1236" i="2"/>
  <c r="G1236" i="2" s="1"/>
  <c r="I1235" i="2"/>
  <c r="D1235" i="2"/>
  <c r="H1235" i="2" s="1"/>
  <c r="I1234" i="2"/>
  <c r="D1234" i="2"/>
  <c r="G1234" i="2" s="1"/>
  <c r="I1233" i="2"/>
  <c r="D1233" i="2"/>
  <c r="I1232" i="2"/>
  <c r="D1232" i="2"/>
  <c r="I1231" i="2"/>
  <c r="D1231" i="2"/>
  <c r="I1230" i="2"/>
  <c r="D1230" i="2"/>
  <c r="I1229" i="2"/>
  <c r="D1229" i="2"/>
  <c r="H1229" i="2" s="1"/>
  <c r="I1228" i="2"/>
  <c r="D1228" i="2"/>
  <c r="I1227" i="2"/>
  <c r="D1227" i="2"/>
  <c r="H1227" i="2" s="1"/>
  <c r="I1226" i="2"/>
  <c r="D1226" i="2"/>
  <c r="I1225" i="2"/>
  <c r="D1225" i="2"/>
  <c r="I1224" i="2"/>
  <c r="D1224" i="2"/>
  <c r="I1223" i="2"/>
  <c r="D1223" i="2"/>
  <c r="F1223" i="2" s="1"/>
  <c r="I1222" i="2"/>
  <c r="D1222" i="2"/>
  <c r="I1221" i="2"/>
  <c r="D1221" i="2"/>
  <c r="I1220" i="2"/>
  <c r="D1220" i="2"/>
  <c r="G1220" i="2" s="1"/>
  <c r="I1219" i="2"/>
  <c r="D1219" i="2"/>
  <c r="I1218" i="2"/>
  <c r="D1218" i="2"/>
  <c r="G1218" i="2" s="1"/>
  <c r="I1217" i="2"/>
  <c r="D1217" i="2"/>
  <c r="I1216" i="2"/>
  <c r="D1216" i="2"/>
  <c r="I1215" i="2"/>
  <c r="D1215" i="2"/>
  <c r="I1214" i="2"/>
  <c r="D1214" i="2"/>
  <c r="I1213" i="2"/>
  <c r="D1213" i="2"/>
  <c r="I1212" i="2"/>
  <c r="D1212" i="2"/>
  <c r="G1212" i="2" s="1"/>
  <c r="I1211" i="2"/>
  <c r="D1211" i="2"/>
  <c r="I1210" i="2"/>
  <c r="D1210" i="2"/>
  <c r="G1210" i="2" s="1"/>
  <c r="I1209" i="2"/>
  <c r="D1209" i="2"/>
  <c r="I1208" i="2"/>
  <c r="D1208" i="2"/>
  <c r="H1208" i="2" s="1"/>
  <c r="I1207" i="2"/>
  <c r="D1207" i="2"/>
  <c r="I1206" i="2"/>
  <c r="D1206" i="2"/>
  <c r="I1205" i="2"/>
  <c r="D1205" i="2"/>
  <c r="I1204" i="2"/>
  <c r="D1204" i="2"/>
  <c r="I1203" i="2"/>
  <c r="D1203" i="2"/>
  <c r="H1203" i="2" s="1"/>
  <c r="I1202" i="2"/>
  <c r="D1202" i="2"/>
  <c r="I1201" i="2"/>
  <c r="D1201" i="2"/>
  <c r="I1200" i="2"/>
  <c r="D1200" i="2"/>
  <c r="I1199" i="2"/>
  <c r="D1199" i="2"/>
  <c r="I1198" i="2"/>
  <c r="D1198" i="2"/>
  <c r="I1197" i="2"/>
  <c r="D1197" i="2"/>
  <c r="F1197" i="2" s="1"/>
  <c r="I1196" i="2"/>
  <c r="D1196" i="2"/>
  <c r="I1195" i="2"/>
  <c r="D1195" i="2"/>
  <c r="I1194" i="2"/>
  <c r="D1194" i="2"/>
  <c r="I1193" i="2"/>
  <c r="D1193" i="2"/>
  <c r="I1192" i="2"/>
  <c r="D1192" i="2"/>
  <c r="H1192" i="2" s="1"/>
  <c r="I1191" i="2"/>
  <c r="D1191" i="2"/>
  <c r="I1190" i="2"/>
  <c r="D1190" i="2"/>
  <c r="I1189" i="2"/>
  <c r="D1189" i="2"/>
  <c r="G1189" i="2" s="1"/>
  <c r="I1188" i="2"/>
  <c r="D1188" i="2"/>
  <c r="G1188" i="2" s="1"/>
  <c r="I1187" i="2"/>
  <c r="D1187" i="2"/>
  <c r="H1187" i="2" s="1"/>
  <c r="I1186" i="2"/>
  <c r="D1186" i="2"/>
  <c r="G1186" i="2" s="1"/>
  <c r="I1185" i="2"/>
  <c r="D1185" i="2"/>
  <c r="F1185" i="2" s="1"/>
  <c r="I1184" i="2"/>
  <c r="D1184" i="2"/>
  <c r="I1183" i="2"/>
  <c r="D1183" i="2"/>
  <c r="I1182" i="2"/>
  <c r="D1182" i="2"/>
  <c r="I1181" i="2"/>
  <c r="D1181" i="2"/>
  <c r="G1181" i="2" s="1"/>
  <c r="I1180" i="2"/>
  <c r="D1180" i="2"/>
  <c r="I1179" i="2"/>
  <c r="D1179" i="2"/>
  <c r="I1178" i="2"/>
  <c r="D1178" i="2"/>
  <c r="I1177" i="2"/>
  <c r="D1177" i="2"/>
  <c r="I1176" i="2"/>
  <c r="D1176" i="2"/>
  <c r="I1175" i="2"/>
  <c r="D1175" i="2"/>
  <c r="I1174" i="2"/>
  <c r="D1174" i="2"/>
  <c r="I1173" i="2"/>
  <c r="D1173" i="2"/>
  <c r="I1172" i="2"/>
  <c r="D1172" i="2"/>
  <c r="G1172" i="2" s="1"/>
  <c r="I1171" i="2"/>
  <c r="D1171" i="2"/>
  <c r="I1170" i="2"/>
  <c r="D1170" i="2"/>
  <c r="G1170" i="2" s="1"/>
  <c r="I1169" i="2"/>
  <c r="D1169" i="2"/>
  <c r="H1169" i="2" s="1"/>
  <c r="I1168" i="2"/>
  <c r="D1168" i="2"/>
  <c r="I1167" i="2"/>
  <c r="D1167" i="2"/>
  <c r="G1167" i="2" s="1"/>
  <c r="I1166" i="2"/>
  <c r="D1166" i="2"/>
  <c r="I1165" i="2"/>
  <c r="D1165" i="2"/>
  <c r="G1165" i="2" s="1"/>
  <c r="I1164" i="2"/>
  <c r="D1164" i="2"/>
  <c r="G1164" i="2" s="1"/>
  <c r="I1163" i="2"/>
  <c r="D1163" i="2"/>
  <c r="I1162" i="2"/>
  <c r="D1162" i="2"/>
  <c r="G1162" i="2" s="1"/>
  <c r="I1161" i="2"/>
  <c r="D1161" i="2"/>
  <c r="H1161" i="2" s="1"/>
  <c r="I1160" i="2"/>
  <c r="D1160" i="2"/>
  <c r="G1160" i="2" s="1"/>
  <c r="I1159" i="2"/>
  <c r="D1159" i="2"/>
  <c r="F1159" i="2" s="1"/>
  <c r="I1158" i="2"/>
  <c r="D1158" i="2"/>
  <c r="G1158" i="2" s="1"/>
  <c r="I1157" i="2"/>
  <c r="D1157" i="2"/>
  <c r="I1156" i="2"/>
  <c r="D1156" i="2"/>
  <c r="G1156" i="2" s="1"/>
  <c r="I1155" i="2"/>
  <c r="D1155" i="2"/>
  <c r="G1155" i="2" s="1"/>
  <c r="I1154" i="2"/>
  <c r="D1154" i="2"/>
  <c r="G1154" i="2" s="1"/>
  <c r="I1153" i="2"/>
  <c r="D1153" i="2"/>
  <c r="G1153" i="2" s="1"/>
  <c r="I1152" i="2"/>
  <c r="D1152" i="2"/>
  <c r="I1151" i="2"/>
  <c r="D1151" i="2"/>
  <c r="I1150" i="2"/>
  <c r="D1150" i="2"/>
  <c r="I1149" i="2"/>
  <c r="D1149" i="2"/>
  <c r="G1149" i="2" s="1"/>
  <c r="I1148" i="2"/>
  <c r="D1148" i="2"/>
  <c r="I1147" i="2"/>
  <c r="D1147" i="2"/>
  <c r="I1146" i="2"/>
  <c r="D1146" i="2"/>
  <c r="F1146" i="2" s="1"/>
  <c r="I1145" i="2"/>
  <c r="D1145" i="2"/>
  <c r="I1144" i="2"/>
  <c r="E1144" i="2"/>
  <c r="D1144" i="2"/>
  <c r="F1144" i="2" s="1"/>
  <c r="I1143" i="2"/>
  <c r="D1143" i="2"/>
  <c r="H1143" i="2" s="1"/>
  <c r="I1142" i="2"/>
  <c r="D1142" i="2"/>
  <c r="I1141" i="2"/>
  <c r="D1141" i="2"/>
  <c r="I1140" i="2"/>
  <c r="D1140" i="2"/>
  <c r="I1139" i="2"/>
  <c r="D1139" i="2"/>
  <c r="I1138" i="2"/>
  <c r="D1138" i="2"/>
  <c r="G1138" i="2" s="1"/>
  <c r="I1137" i="2"/>
  <c r="D1137" i="2"/>
  <c r="I1136" i="2"/>
  <c r="D1136" i="2"/>
  <c r="G1136" i="2" s="1"/>
  <c r="I1135" i="2"/>
  <c r="D1135" i="2"/>
  <c r="I1134" i="2"/>
  <c r="D1134" i="2"/>
  <c r="I1133" i="2"/>
  <c r="D1133" i="2"/>
  <c r="H1133" i="2" s="1"/>
  <c r="I1132" i="2"/>
  <c r="D1132" i="2"/>
  <c r="I1131" i="2"/>
  <c r="D1131" i="2"/>
  <c r="I1130" i="2"/>
  <c r="D1130" i="2"/>
  <c r="G1130" i="2" s="1"/>
  <c r="I1129" i="2"/>
  <c r="D1129" i="2"/>
  <c r="F1129" i="2" s="1"/>
  <c r="I1128" i="2"/>
  <c r="D1128" i="2"/>
  <c r="G1128" i="2" s="1"/>
  <c r="I1127" i="2"/>
  <c r="D1127" i="2"/>
  <c r="G1127" i="2" s="1"/>
  <c r="I1126" i="2"/>
  <c r="D1126" i="2"/>
  <c r="G1126" i="2" s="1"/>
  <c r="I1125" i="2"/>
  <c r="D1125" i="2"/>
  <c r="I1124" i="2"/>
  <c r="D1124" i="2"/>
  <c r="G1124" i="2" s="1"/>
  <c r="I1123" i="2"/>
  <c r="D1123" i="2"/>
  <c r="G1123" i="2" s="1"/>
  <c r="I1122" i="2"/>
  <c r="D1122" i="2"/>
  <c r="G1122" i="2" s="1"/>
  <c r="I1121" i="2"/>
  <c r="D1121" i="2"/>
  <c r="H1121" i="2" s="1"/>
  <c r="I1120" i="2"/>
  <c r="D1120" i="2"/>
  <c r="G1120" i="2" s="1"/>
  <c r="I1119" i="2"/>
  <c r="D1119" i="2"/>
  <c r="G1119" i="2" s="1"/>
  <c r="I1118" i="2"/>
  <c r="D1118" i="2"/>
  <c r="I1117" i="2"/>
  <c r="D1117" i="2"/>
  <c r="I1116" i="2"/>
  <c r="D1116" i="2"/>
  <c r="I1115" i="2"/>
  <c r="D1115" i="2"/>
  <c r="I1114" i="2"/>
  <c r="D1114" i="2"/>
  <c r="I1113" i="2"/>
  <c r="D1113" i="2"/>
  <c r="H1113" i="2" s="1"/>
  <c r="I1112" i="2"/>
  <c r="D1112" i="2"/>
  <c r="I1111" i="2"/>
  <c r="D1111" i="2"/>
  <c r="G1111" i="2" s="1"/>
  <c r="I1110" i="2"/>
  <c r="D1110" i="2"/>
  <c r="I1109" i="2"/>
  <c r="D1109" i="2"/>
  <c r="I1108" i="2"/>
  <c r="D1108" i="2"/>
  <c r="I1107" i="2"/>
  <c r="D1107" i="2"/>
  <c r="G1107" i="2" s="1"/>
  <c r="I1106" i="2"/>
  <c r="D1106" i="2"/>
  <c r="G1106" i="2" s="1"/>
  <c r="I1105" i="2"/>
  <c r="D1105" i="2"/>
  <c r="I1104" i="2"/>
  <c r="D1104" i="2"/>
  <c r="G1104" i="2" s="1"/>
  <c r="I1103" i="2"/>
  <c r="D1103" i="2"/>
  <c r="G1103" i="2" s="1"/>
  <c r="I1102" i="2"/>
  <c r="D1102" i="2"/>
  <c r="I1101" i="2"/>
  <c r="D1101" i="2"/>
  <c r="I1100" i="2"/>
  <c r="D1100" i="2"/>
  <c r="I1099" i="2"/>
  <c r="D1099" i="2"/>
  <c r="I1098" i="2"/>
  <c r="D1098" i="2"/>
  <c r="G1098" i="2" s="1"/>
  <c r="I1097" i="2"/>
  <c r="D1097" i="2"/>
  <c r="F1097" i="2" s="1"/>
  <c r="I1096" i="2"/>
  <c r="D1096" i="2"/>
  <c r="G1096" i="2" s="1"/>
  <c r="I1095" i="2"/>
  <c r="D1095" i="2"/>
  <c r="I1094" i="2"/>
  <c r="D1094" i="2"/>
  <c r="G1094" i="2" s="1"/>
  <c r="I1093" i="2"/>
  <c r="D1093" i="2"/>
  <c r="H1093" i="2" s="1"/>
  <c r="I1092" i="2"/>
  <c r="D1092" i="2"/>
  <c r="G1092" i="2" s="1"/>
  <c r="I1091" i="2"/>
  <c r="D1091" i="2"/>
  <c r="G1091" i="2" s="1"/>
  <c r="I1090" i="2"/>
  <c r="D1090" i="2"/>
  <c r="G1090" i="2" s="1"/>
  <c r="I1089" i="2"/>
  <c r="D1089" i="2"/>
  <c r="H1089" i="2" s="1"/>
  <c r="I1088" i="2"/>
  <c r="D1088" i="2"/>
  <c r="G1088" i="2" s="1"/>
  <c r="I1087" i="2"/>
  <c r="D1087" i="2"/>
  <c r="G1087" i="2" s="1"/>
  <c r="I1086" i="2"/>
  <c r="D1086" i="2"/>
  <c r="I1085" i="2"/>
  <c r="D1085" i="2"/>
  <c r="I1084" i="2"/>
  <c r="D1084" i="2"/>
  <c r="I1083" i="2"/>
  <c r="D1083" i="2"/>
  <c r="I1082" i="2"/>
  <c r="D1082" i="2"/>
  <c r="I1081" i="2"/>
  <c r="D1081" i="2"/>
  <c r="H1081" i="2" s="1"/>
  <c r="I1080" i="2"/>
  <c r="D1080" i="2"/>
  <c r="I1079" i="2"/>
  <c r="D1079" i="2"/>
  <c r="G1079" i="2" s="1"/>
  <c r="I1078" i="2"/>
  <c r="D1078" i="2"/>
  <c r="I1077" i="2"/>
  <c r="D1077" i="2"/>
  <c r="I1076" i="2"/>
  <c r="D1076" i="2"/>
  <c r="I1075" i="2"/>
  <c r="D1075" i="2"/>
  <c r="G1075" i="2" s="1"/>
  <c r="I1074" i="2"/>
  <c r="D1074" i="2"/>
  <c r="G1074" i="2" s="1"/>
  <c r="I1073" i="2"/>
  <c r="D1073" i="2"/>
  <c r="I1072" i="2"/>
  <c r="D1072" i="2"/>
  <c r="G1072" i="2" s="1"/>
  <c r="I1071" i="2"/>
  <c r="D1071" i="2"/>
  <c r="G1071" i="2" s="1"/>
  <c r="I1070" i="2"/>
  <c r="D1070" i="2"/>
  <c r="H1070" i="2" s="1"/>
  <c r="I1069" i="2"/>
  <c r="D1069" i="2"/>
  <c r="I1068" i="2"/>
  <c r="D1068" i="2"/>
  <c r="F1068" i="2" s="1"/>
  <c r="I1067" i="2"/>
  <c r="D1067" i="2"/>
  <c r="I1066" i="2"/>
  <c r="D1066" i="2"/>
  <c r="G1066" i="2" s="1"/>
  <c r="I1065" i="2"/>
  <c r="D1065" i="2"/>
  <c r="I1064" i="2"/>
  <c r="D1064" i="2"/>
  <c r="G1064" i="2" s="1"/>
  <c r="I1063" i="2"/>
  <c r="D1063" i="2"/>
  <c r="G1063" i="2" s="1"/>
  <c r="I1062" i="2"/>
  <c r="D1062" i="2"/>
  <c r="H1062" i="2" s="1"/>
  <c r="I1061" i="2"/>
  <c r="D1061" i="2"/>
  <c r="H1061" i="2" s="1"/>
  <c r="I1060" i="2"/>
  <c r="D1060" i="2"/>
  <c r="F1060" i="2" s="1"/>
  <c r="I1059" i="2"/>
  <c r="D1059" i="2"/>
  <c r="I1058" i="2"/>
  <c r="D1058" i="2"/>
  <c r="G1058" i="2" s="1"/>
  <c r="I1057" i="2"/>
  <c r="D1057" i="2"/>
  <c r="I1056" i="2"/>
  <c r="D1056" i="2"/>
  <c r="G1056" i="2" s="1"/>
  <c r="I1055" i="2"/>
  <c r="D1055" i="2"/>
  <c r="G1055" i="2" s="1"/>
  <c r="I1054" i="2"/>
  <c r="D1054" i="2"/>
  <c r="I1053" i="2"/>
  <c r="D1053" i="2"/>
  <c r="I1052" i="2"/>
  <c r="D1052" i="2"/>
  <c r="I1051" i="2"/>
  <c r="D1051" i="2"/>
  <c r="I1050" i="2"/>
  <c r="D1050" i="2"/>
  <c r="H1050" i="2" s="1"/>
  <c r="I1049" i="2"/>
  <c r="D1049" i="2"/>
  <c r="H1049" i="2" s="1"/>
  <c r="I1048" i="2"/>
  <c r="D1048" i="2"/>
  <c r="F1048" i="2" s="1"/>
  <c r="I1047" i="2"/>
  <c r="D1047" i="2"/>
  <c r="I1046" i="2"/>
  <c r="D1046" i="2"/>
  <c r="H1046" i="2" s="1"/>
  <c r="I1045" i="2"/>
  <c r="D1045" i="2"/>
  <c r="H1045" i="2" s="1"/>
  <c r="I1044" i="2"/>
  <c r="D1044" i="2"/>
  <c r="I1043" i="2"/>
  <c r="D1043" i="2"/>
  <c r="G1043" i="2" s="1"/>
  <c r="I1042" i="2"/>
  <c r="D1042" i="2"/>
  <c r="I1041" i="2"/>
  <c r="D1041" i="2"/>
  <c r="H1041" i="2" s="1"/>
  <c r="I1040" i="2"/>
  <c r="D1040" i="2"/>
  <c r="I1039" i="2"/>
  <c r="D1039" i="2"/>
  <c r="G1039" i="2" s="1"/>
  <c r="I1038" i="2"/>
  <c r="D1038" i="2"/>
  <c r="H1038" i="2" s="1"/>
  <c r="I1037" i="2"/>
  <c r="D1037" i="2"/>
  <c r="I1036" i="2"/>
  <c r="D1036" i="2"/>
  <c r="I1035" i="2"/>
  <c r="D1035" i="2"/>
  <c r="G1035" i="2" s="1"/>
  <c r="I1034" i="2"/>
  <c r="D1034" i="2"/>
  <c r="H1034" i="2" s="1"/>
  <c r="I1033" i="2"/>
  <c r="D1033" i="2"/>
  <c r="H1033" i="2" s="1"/>
  <c r="I1032" i="2"/>
  <c r="D1032" i="2"/>
  <c r="I1031" i="2"/>
  <c r="D1031" i="2"/>
  <c r="G1031" i="2" s="1"/>
  <c r="I1030" i="2"/>
  <c r="D1030" i="2"/>
  <c r="I1029" i="2"/>
  <c r="D1029" i="2"/>
  <c r="G1029" i="2" s="1"/>
  <c r="I1028" i="2"/>
  <c r="D1028" i="2"/>
  <c r="F1028" i="2" s="1"/>
  <c r="I1027" i="2"/>
  <c r="D1027" i="2"/>
  <c r="I1026" i="2"/>
  <c r="D1026" i="2"/>
  <c r="H1026" i="2" s="1"/>
  <c r="I1025" i="2"/>
  <c r="D1025" i="2"/>
  <c r="I1024" i="2"/>
  <c r="D1024" i="2"/>
  <c r="I1023" i="2"/>
  <c r="D1023" i="2"/>
  <c r="I1022" i="2"/>
  <c r="D1022" i="2"/>
  <c r="I1021" i="2"/>
  <c r="D1021" i="2"/>
  <c r="F1021" i="2" s="1"/>
  <c r="I1020" i="2"/>
  <c r="D1020" i="2"/>
  <c r="I1019" i="2"/>
  <c r="D1019" i="2"/>
  <c r="I1018" i="2"/>
  <c r="D1018" i="2"/>
  <c r="H1018" i="2" s="1"/>
  <c r="I1017" i="2"/>
  <c r="D1017" i="2"/>
  <c r="I1016" i="2"/>
  <c r="D1016" i="2"/>
  <c r="F1016" i="2" s="1"/>
  <c r="I1015" i="2"/>
  <c r="D1015" i="2"/>
  <c r="I1014" i="2"/>
  <c r="D1014" i="2"/>
  <c r="H1014" i="2" s="1"/>
  <c r="I1013" i="2"/>
  <c r="D1013" i="2"/>
  <c r="I1012" i="2"/>
  <c r="D1012" i="2"/>
  <c r="I1011" i="2"/>
  <c r="D1011" i="2"/>
  <c r="G1011" i="2" s="1"/>
  <c r="I1010" i="2"/>
  <c r="D1010" i="2"/>
  <c r="I1009" i="2"/>
  <c r="D1009" i="2"/>
  <c r="H1009" i="2" s="1"/>
  <c r="I1008" i="2"/>
  <c r="D1008" i="2"/>
  <c r="I1007" i="2"/>
  <c r="D1007" i="2"/>
  <c r="G1007" i="2" s="1"/>
  <c r="I1006" i="2"/>
  <c r="D1006" i="2"/>
  <c r="H1006" i="2" s="1"/>
  <c r="I1005" i="2"/>
  <c r="D1005" i="2"/>
  <c r="I1004" i="2"/>
  <c r="D1004" i="2"/>
  <c r="I1003" i="2"/>
  <c r="D1003" i="2"/>
  <c r="F1003" i="2" s="1"/>
  <c r="I1002" i="2"/>
  <c r="D1002" i="2"/>
  <c r="F1002" i="2" s="1"/>
  <c r="I1001" i="2"/>
  <c r="E1001" i="2"/>
  <c r="D1001" i="2"/>
  <c r="F1001" i="2" s="1"/>
  <c r="K1000" i="2"/>
  <c r="I1000" i="2"/>
  <c r="D1000" i="2"/>
  <c r="K999" i="2"/>
  <c r="I999" i="2"/>
  <c r="D999" i="2"/>
  <c r="K998" i="2"/>
  <c r="I998" i="2"/>
  <c r="D998" i="2"/>
  <c r="K997" i="2"/>
  <c r="I997" i="2"/>
  <c r="D997" i="2"/>
  <c r="K996" i="2"/>
  <c r="I996" i="2"/>
  <c r="D996" i="2"/>
  <c r="H996" i="2" s="1"/>
  <c r="K995" i="2"/>
  <c r="I995" i="2"/>
  <c r="D995" i="2"/>
  <c r="K994" i="2"/>
  <c r="I994" i="2"/>
  <c r="D994" i="2"/>
  <c r="K993" i="2"/>
  <c r="I993" i="2"/>
  <c r="D993" i="2"/>
  <c r="K992" i="2"/>
  <c r="I992" i="2"/>
  <c r="D992" i="2"/>
  <c r="K991" i="2"/>
  <c r="I991" i="2"/>
  <c r="D991" i="2"/>
  <c r="G991" i="2" s="1"/>
  <c r="K990" i="2"/>
  <c r="I990" i="2"/>
  <c r="D990" i="2"/>
  <c r="K989" i="2"/>
  <c r="I989" i="2"/>
  <c r="D989" i="2"/>
  <c r="G989" i="2" s="1"/>
  <c r="K988" i="2"/>
  <c r="I988" i="2"/>
  <c r="D988" i="2"/>
  <c r="K987" i="2"/>
  <c r="I987" i="2"/>
  <c r="D987" i="2"/>
  <c r="G987" i="2" s="1"/>
  <c r="K986" i="2"/>
  <c r="I986" i="2"/>
  <c r="D986" i="2"/>
  <c r="G986" i="2" s="1"/>
  <c r="K985" i="2"/>
  <c r="I985" i="2"/>
  <c r="D985" i="2"/>
  <c r="G985" i="2" s="1"/>
  <c r="K984" i="2"/>
  <c r="I984" i="2"/>
  <c r="D984" i="2"/>
  <c r="H984" i="2" s="1"/>
  <c r="K983" i="2"/>
  <c r="I983" i="2"/>
  <c r="D983" i="2"/>
  <c r="K982" i="2"/>
  <c r="I982" i="2"/>
  <c r="D982" i="2"/>
  <c r="K981" i="2"/>
  <c r="I981" i="2"/>
  <c r="D981" i="2"/>
  <c r="F981" i="2" s="1"/>
  <c r="K980" i="2"/>
  <c r="I980" i="2"/>
  <c r="D980" i="2"/>
  <c r="K979" i="2"/>
  <c r="I979" i="2"/>
  <c r="D979" i="2"/>
  <c r="G979" i="2" s="1"/>
  <c r="K978" i="2"/>
  <c r="I978" i="2"/>
  <c r="D978" i="2"/>
  <c r="H978" i="2" s="1"/>
  <c r="K977" i="2"/>
  <c r="I977" i="2"/>
  <c r="D977" i="2"/>
  <c r="G977" i="2" s="1"/>
  <c r="K976" i="2"/>
  <c r="I976" i="2"/>
  <c r="D976" i="2"/>
  <c r="K975" i="2"/>
  <c r="I975" i="2"/>
  <c r="D975" i="2"/>
  <c r="G975" i="2" s="1"/>
  <c r="K974" i="2"/>
  <c r="I974" i="2"/>
  <c r="D974" i="2"/>
  <c r="K973" i="2"/>
  <c r="I973" i="2"/>
  <c r="D973" i="2"/>
  <c r="G973" i="2" s="1"/>
  <c r="K972" i="2"/>
  <c r="I972" i="2"/>
  <c r="D972" i="2"/>
  <c r="K971" i="2"/>
  <c r="I971" i="2"/>
  <c r="D971" i="2"/>
  <c r="K970" i="2"/>
  <c r="I970" i="2"/>
  <c r="D970" i="2"/>
  <c r="K969" i="2"/>
  <c r="I969" i="2"/>
  <c r="D969" i="2"/>
  <c r="K968" i="2"/>
  <c r="I968" i="2"/>
  <c r="D968" i="2"/>
  <c r="H968" i="2" s="1"/>
  <c r="K967" i="2"/>
  <c r="I967" i="2"/>
  <c r="D967" i="2"/>
  <c r="K966" i="2"/>
  <c r="I966" i="2"/>
  <c r="D966" i="2"/>
  <c r="K965" i="2"/>
  <c r="I965" i="2"/>
  <c r="D965" i="2"/>
  <c r="G965" i="2" s="1"/>
  <c r="K964" i="2"/>
  <c r="I964" i="2"/>
  <c r="D964" i="2"/>
  <c r="K963" i="2"/>
  <c r="I963" i="2"/>
  <c r="D963" i="2"/>
  <c r="K962" i="2"/>
  <c r="I962" i="2"/>
  <c r="D962" i="2"/>
  <c r="H962" i="2" s="1"/>
  <c r="K961" i="2"/>
  <c r="I961" i="2"/>
  <c r="D961" i="2"/>
  <c r="F961" i="2" s="1"/>
  <c r="K960" i="2"/>
  <c r="I960" i="2"/>
  <c r="D960" i="2"/>
  <c r="K959" i="2"/>
  <c r="I959" i="2"/>
  <c r="D959" i="2"/>
  <c r="K958" i="2"/>
  <c r="I958" i="2"/>
  <c r="D958" i="2"/>
  <c r="H958" i="2" s="1"/>
  <c r="K957" i="2"/>
  <c r="I957" i="2"/>
  <c r="D957" i="2"/>
  <c r="K956" i="2"/>
  <c r="I956" i="2"/>
  <c r="D956" i="2"/>
  <c r="K955" i="2"/>
  <c r="I955" i="2"/>
  <c r="D955" i="2"/>
  <c r="F955" i="2" s="1"/>
  <c r="K954" i="2"/>
  <c r="I954" i="2"/>
  <c r="D954" i="2"/>
  <c r="H954" i="2" s="1"/>
  <c r="K953" i="2"/>
  <c r="I953" i="2"/>
  <c r="D953" i="2"/>
  <c r="K952" i="2"/>
  <c r="I952" i="2"/>
  <c r="D952" i="2"/>
  <c r="K951" i="2"/>
  <c r="I951" i="2"/>
  <c r="D951" i="2"/>
  <c r="K950" i="2"/>
  <c r="I950" i="2"/>
  <c r="D950" i="2"/>
  <c r="H950" i="2" s="1"/>
  <c r="K949" i="2"/>
  <c r="I949" i="2"/>
  <c r="D949" i="2"/>
  <c r="K948" i="2"/>
  <c r="I948" i="2"/>
  <c r="D948" i="2"/>
  <c r="K947" i="2"/>
  <c r="I947" i="2"/>
  <c r="D947" i="2"/>
  <c r="F947" i="2" s="1"/>
  <c r="K946" i="2"/>
  <c r="I946" i="2"/>
  <c r="D946" i="2"/>
  <c r="H946" i="2" s="1"/>
  <c r="K945" i="2"/>
  <c r="I945" i="2"/>
  <c r="D945" i="2"/>
  <c r="K944" i="2"/>
  <c r="I944" i="2"/>
  <c r="D944" i="2"/>
  <c r="F944" i="2" s="1"/>
  <c r="K943" i="2"/>
  <c r="I943" i="2"/>
  <c r="D943" i="2"/>
  <c r="K942" i="2"/>
  <c r="I942" i="2"/>
  <c r="D942" i="2"/>
  <c r="H942" i="2" s="1"/>
  <c r="K941" i="2"/>
  <c r="I941" i="2"/>
  <c r="D941" i="2"/>
  <c r="K940" i="2"/>
  <c r="I940" i="2"/>
  <c r="D940" i="2"/>
  <c r="K939" i="2"/>
  <c r="I939" i="2"/>
  <c r="D939" i="2"/>
  <c r="K938" i="2"/>
  <c r="I938" i="2"/>
  <c r="D938" i="2"/>
  <c r="H938" i="2" s="1"/>
  <c r="K937" i="2"/>
  <c r="I937" i="2"/>
  <c r="D937" i="2"/>
  <c r="F937" i="2" s="1"/>
  <c r="K936" i="2"/>
  <c r="I936" i="2"/>
  <c r="D936" i="2"/>
  <c r="F936" i="2" s="1"/>
  <c r="K935" i="2"/>
  <c r="I935" i="2"/>
  <c r="D935" i="2"/>
  <c r="F935" i="2" s="1"/>
  <c r="K934" i="2"/>
  <c r="I934" i="2"/>
  <c r="D934" i="2"/>
  <c r="H934" i="2" s="1"/>
  <c r="K933" i="2"/>
  <c r="I933" i="2"/>
  <c r="D933" i="2"/>
  <c r="H933" i="2" s="1"/>
  <c r="K932" i="2"/>
  <c r="I932" i="2"/>
  <c r="D932" i="2"/>
  <c r="F932" i="2" s="1"/>
  <c r="K931" i="2"/>
  <c r="I931" i="2"/>
  <c r="D931" i="2"/>
  <c r="H931" i="2" s="1"/>
  <c r="K930" i="2"/>
  <c r="I930" i="2"/>
  <c r="D930" i="2"/>
  <c r="G930" i="2" s="1"/>
  <c r="K929" i="2"/>
  <c r="I929" i="2"/>
  <c r="D929" i="2"/>
  <c r="K928" i="2"/>
  <c r="I928" i="2"/>
  <c r="D928" i="2"/>
  <c r="K927" i="2"/>
  <c r="I927" i="2"/>
  <c r="D927" i="2"/>
  <c r="F927" i="2" s="1"/>
  <c r="K926" i="2"/>
  <c r="I926" i="2"/>
  <c r="D926" i="2"/>
  <c r="G926" i="2" s="1"/>
  <c r="K925" i="2"/>
  <c r="I925" i="2"/>
  <c r="D925" i="2"/>
  <c r="K924" i="2"/>
  <c r="I924" i="2"/>
  <c r="D924" i="2"/>
  <c r="F924" i="2" s="1"/>
  <c r="K923" i="2"/>
  <c r="I923" i="2"/>
  <c r="D923" i="2"/>
  <c r="K922" i="2"/>
  <c r="I922" i="2"/>
  <c r="D922" i="2"/>
  <c r="G922" i="2" s="1"/>
  <c r="K921" i="2"/>
  <c r="I921" i="2"/>
  <c r="D921" i="2"/>
  <c r="K920" i="2"/>
  <c r="I920" i="2"/>
  <c r="D920" i="2"/>
  <c r="K919" i="2"/>
  <c r="I919" i="2"/>
  <c r="D919" i="2"/>
  <c r="K918" i="2"/>
  <c r="I918" i="2"/>
  <c r="D918" i="2"/>
  <c r="F918" i="2" s="1"/>
  <c r="K917" i="2"/>
  <c r="I917" i="2"/>
  <c r="D917" i="2"/>
  <c r="K916" i="2"/>
  <c r="I916" i="2"/>
  <c r="D916" i="2"/>
  <c r="K915" i="2"/>
  <c r="I915" i="2"/>
  <c r="D915" i="2"/>
  <c r="K914" i="2"/>
  <c r="I914" i="2"/>
  <c r="D914" i="2"/>
  <c r="F914" i="2" s="1"/>
  <c r="K913" i="2"/>
  <c r="I913" i="2"/>
  <c r="D913" i="2"/>
  <c r="F913" i="2" s="1"/>
  <c r="K912" i="2"/>
  <c r="I912" i="2"/>
  <c r="D912" i="2"/>
  <c r="K911" i="2"/>
  <c r="I911" i="2"/>
  <c r="D911" i="2"/>
  <c r="H911" i="2" s="1"/>
  <c r="K910" i="2"/>
  <c r="I910" i="2"/>
  <c r="D910" i="2"/>
  <c r="F910" i="2" s="1"/>
  <c r="K909" i="2"/>
  <c r="I909" i="2"/>
  <c r="D909" i="2"/>
  <c r="K908" i="2"/>
  <c r="I908" i="2"/>
  <c r="D908" i="2"/>
  <c r="F908" i="2" s="1"/>
  <c r="K907" i="2"/>
  <c r="I907" i="2"/>
  <c r="D907" i="2"/>
  <c r="K906" i="2"/>
  <c r="I906" i="2"/>
  <c r="D906" i="2"/>
  <c r="G906" i="2" s="1"/>
  <c r="K905" i="2"/>
  <c r="I905" i="2"/>
  <c r="D905" i="2"/>
  <c r="K904" i="2"/>
  <c r="I904" i="2"/>
  <c r="D904" i="2"/>
  <c r="F904" i="2" s="1"/>
  <c r="K903" i="2"/>
  <c r="I903" i="2"/>
  <c r="D903" i="2"/>
  <c r="H903" i="2" s="1"/>
  <c r="K902" i="2"/>
  <c r="I902" i="2"/>
  <c r="D902" i="2"/>
  <c r="G902" i="2" s="1"/>
  <c r="K901" i="2"/>
  <c r="I901" i="2"/>
  <c r="D901" i="2"/>
  <c r="K900" i="2"/>
  <c r="I900" i="2"/>
  <c r="D900" i="2"/>
  <c r="F900" i="2" s="1"/>
  <c r="K899" i="2"/>
  <c r="I899" i="2"/>
  <c r="D899" i="2"/>
  <c r="F899" i="2" s="1"/>
  <c r="K898" i="2"/>
  <c r="I898" i="2"/>
  <c r="D898" i="2"/>
  <c r="F898" i="2" s="1"/>
  <c r="K897" i="2"/>
  <c r="I897" i="2"/>
  <c r="D897" i="2"/>
  <c r="K896" i="2"/>
  <c r="I896" i="2"/>
  <c r="D896" i="2"/>
  <c r="K895" i="2"/>
  <c r="I895" i="2"/>
  <c r="D895" i="2"/>
  <c r="K894" i="2"/>
  <c r="I894" i="2"/>
  <c r="D894" i="2"/>
  <c r="K893" i="2"/>
  <c r="I893" i="2"/>
  <c r="D893" i="2"/>
  <c r="K892" i="2"/>
  <c r="I892" i="2"/>
  <c r="D892" i="2"/>
  <c r="H892" i="2" s="1"/>
  <c r="K891" i="2"/>
  <c r="I891" i="2"/>
  <c r="D891" i="2"/>
  <c r="K890" i="2"/>
  <c r="I890" i="2"/>
  <c r="D890" i="2"/>
  <c r="G890" i="2" s="1"/>
  <c r="K889" i="2"/>
  <c r="I889" i="2"/>
  <c r="D889" i="2"/>
  <c r="K888" i="2"/>
  <c r="I888" i="2"/>
  <c r="D888" i="2"/>
  <c r="K887" i="2"/>
  <c r="I887" i="2"/>
  <c r="D887" i="2"/>
  <c r="K886" i="2"/>
  <c r="I886" i="2"/>
  <c r="D886" i="2"/>
  <c r="H886" i="2" s="1"/>
  <c r="K885" i="2"/>
  <c r="I885" i="2"/>
  <c r="D885" i="2"/>
  <c r="K884" i="2"/>
  <c r="I884" i="2"/>
  <c r="D884" i="2"/>
  <c r="G884" i="2" s="1"/>
  <c r="K883" i="2"/>
  <c r="I883" i="2"/>
  <c r="D883" i="2"/>
  <c r="H883" i="2" s="1"/>
  <c r="K882" i="2"/>
  <c r="I882" i="2"/>
  <c r="D882" i="2"/>
  <c r="K881" i="2"/>
  <c r="I881" i="2"/>
  <c r="D881" i="2"/>
  <c r="H881" i="2" s="1"/>
  <c r="K880" i="2"/>
  <c r="I880" i="2"/>
  <c r="D880" i="2"/>
  <c r="G880" i="2" s="1"/>
  <c r="K879" i="2"/>
  <c r="I879" i="2"/>
  <c r="D879" i="2"/>
  <c r="K878" i="2"/>
  <c r="I878" i="2"/>
  <c r="D878" i="2"/>
  <c r="H878" i="2" s="1"/>
  <c r="K877" i="2"/>
  <c r="I877" i="2"/>
  <c r="D877" i="2"/>
  <c r="K876" i="2"/>
  <c r="I876" i="2"/>
  <c r="D876" i="2"/>
  <c r="K875" i="2"/>
  <c r="I875" i="2"/>
  <c r="D875" i="2"/>
  <c r="K874" i="2"/>
  <c r="I874" i="2"/>
  <c r="D874" i="2"/>
  <c r="F874" i="2" s="1"/>
  <c r="K873" i="2"/>
  <c r="I873" i="2"/>
  <c r="D873" i="2"/>
  <c r="G873" i="2" s="1"/>
  <c r="K872" i="2"/>
  <c r="I872" i="2"/>
  <c r="D872" i="2"/>
  <c r="K871" i="2"/>
  <c r="I871" i="2"/>
  <c r="D871" i="2"/>
  <c r="K870" i="2"/>
  <c r="I870" i="2"/>
  <c r="D870" i="2"/>
  <c r="K869" i="2"/>
  <c r="I869" i="2"/>
  <c r="D869" i="2"/>
  <c r="G869" i="2" s="1"/>
  <c r="K868" i="2"/>
  <c r="I868" i="2"/>
  <c r="D868" i="2"/>
  <c r="G868" i="2" s="1"/>
  <c r="K867" i="2"/>
  <c r="I867" i="2"/>
  <c r="D867" i="2"/>
  <c r="K866" i="2"/>
  <c r="I866" i="2"/>
  <c r="D866" i="2"/>
  <c r="G866" i="2" s="1"/>
  <c r="K865" i="2"/>
  <c r="I865" i="2"/>
  <c r="D865" i="2"/>
  <c r="H865" i="2" s="1"/>
  <c r="K864" i="2"/>
  <c r="I864" i="2"/>
  <c r="D864" i="2"/>
  <c r="G864" i="2" s="1"/>
  <c r="K863" i="2"/>
  <c r="I863" i="2"/>
  <c r="D863" i="2"/>
  <c r="K862" i="2"/>
  <c r="I862" i="2"/>
  <c r="D862" i="2"/>
  <c r="F862" i="2" s="1"/>
  <c r="K861" i="2"/>
  <c r="I861" i="2"/>
  <c r="D861" i="2"/>
  <c r="G861" i="2" s="1"/>
  <c r="K860" i="2"/>
  <c r="I860" i="2"/>
  <c r="D860" i="2"/>
  <c r="F860" i="2" s="1"/>
  <c r="K859" i="2"/>
  <c r="I859" i="2"/>
  <c r="D859" i="2"/>
  <c r="K858" i="2"/>
  <c r="I858" i="2"/>
  <c r="E858" i="2"/>
  <c r="D858" i="2"/>
  <c r="F858" i="2" s="1"/>
  <c r="K857" i="2"/>
  <c r="I857" i="2"/>
  <c r="D857" i="2"/>
  <c r="G857" i="2" s="1"/>
  <c r="K856" i="2"/>
  <c r="I856" i="2"/>
  <c r="D856" i="2"/>
  <c r="G856" i="2" s="1"/>
  <c r="K855" i="2"/>
  <c r="I855" i="2"/>
  <c r="D855" i="2"/>
  <c r="K854" i="2"/>
  <c r="I854" i="2"/>
  <c r="D854" i="2"/>
  <c r="H854" i="2" s="1"/>
  <c r="K853" i="2"/>
  <c r="I853" i="2"/>
  <c r="D853" i="2"/>
  <c r="H853" i="2" s="1"/>
  <c r="K852" i="2"/>
  <c r="I852" i="2"/>
  <c r="D852" i="2"/>
  <c r="K851" i="2"/>
  <c r="I851" i="2"/>
  <c r="D851" i="2"/>
  <c r="G851" i="2" s="1"/>
  <c r="K850" i="2"/>
  <c r="I850" i="2"/>
  <c r="D850" i="2"/>
  <c r="G850" i="2" s="1"/>
  <c r="K849" i="2"/>
  <c r="I849" i="2"/>
  <c r="D849" i="2"/>
  <c r="K848" i="2"/>
  <c r="I848" i="2"/>
  <c r="D848" i="2"/>
  <c r="F848" i="2" s="1"/>
  <c r="K847" i="2"/>
  <c r="I847" i="2"/>
  <c r="D847" i="2"/>
  <c r="K846" i="2"/>
  <c r="I846" i="2"/>
  <c r="D846" i="2"/>
  <c r="H846" i="2" s="1"/>
  <c r="K845" i="2"/>
  <c r="I845" i="2"/>
  <c r="D845" i="2"/>
  <c r="G845" i="2" s="1"/>
  <c r="K844" i="2"/>
  <c r="I844" i="2"/>
  <c r="D844" i="2"/>
  <c r="K843" i="2"/>
  <c r="I843" i="2"/>
  <c r="D843" i="2"/>
  <c r="G843" i="2" s="1"/>
  <c r="K842" i="2"/>
  <c r="I842" i="2"/>
  <c r="D842" i="2"/>
  <c r="G842" i="2" s="1"/>
  <c r="K841" i="2"/>
  <c r="I841" i="2"/>
  <c r="D841" i="2"/>
  <c r="G841" i="2" s="1"/>
  <c r="K840" i="2"/>
  <c r="I840" i="2"/>
  <c r="D840" i="2"/>
  <c r="K839" i="2"/>
  <c r="I839" i="2"/>
  <c r="D839" i="2"/>
  <c r="G839" i="2" s="1"/>
  <c r="K838" i="2"/>
  <c r="I838" i="2"/>
  <c r="D838" i="2"/>
  <c r="G838" i="2" s="1"/>
  <c r="K837" i="2"/>
  <c r="I837" i="2"/>
  <c r="D837" i="2"/>
  <c r="K836" i="2"/>
  <c r="I836" i="2"/>
  <c r="D836" i="2"/>
  <c r="K835" i="2"/>
  <c r="I835" i="2"/>
  <c r="D835" i="2"/>
  <c r="G835" i="2" s="1"/>
  <c r="K834" i="2"/>
  <c r="I834" i="2"/>
  <c r="D834" i="2"/>
  <c r="K833" i="2"/>
  <c r="I833" i="2"/>
  <c r="D833" i="2"/>
  <c r="F833" i="2" s="1"/>
  <c r="K832" i="2"/>
  <c r="I832" i="2"/>
  <c r="D832" i="2"/>
  <c r="K831" i="2"/>
  <c r="I831" i="2"/>
  <c r="D831" i="2"/>
  <c r="K830" i="2"/>
  <c r="I830" i="2"/>
  <c r="D830" i="2"/>
  <c r="K829" i="2"/>
  <c r="I829" i="2"/>
  <c r="D829" i="2"/>
  <c r="G829" i="2" s="1"/>
  <c r="K828" i="2"/>
  <c r="I828" i="2"/>
  <c r="D828" i="2"/>
  <c r="H828" i="2" s="1"/>
  <c r="K827" i="2"/>
  <c r="I827" i="2"/>
  <c r="D827" i="2"/>
  <c r="G827" i="2" s="1"/>
  <c r="K826" i="2"/>
  <c r="I826" i="2"/>
  <c r="D826" i="2"/>
  <c r="K825" i="2"/>
  <c r="I825" i="2"/>
  <c r="D825" i="2"/>
  <c r="G825" i="2" s="1"/>
  <c r="K824" i="2"/>
  <c r="I824" i="2"/>
  <c r="D824" i="2"/>
  <c r="K823" i="2"/>
  <c r="I823" i="2"/>
  <c r="D823" i="2"/>
  <c r="G823" i="2" s="1"/>
  <c r="K822" i="2"/>
  <c r="I822" i="2"/>
  <c r="D822" i="2"/>
  <c r="H822" i="2" s="1"/>
  <c r="K821" i="2"/>
  <c r="I821" i="2"/>
  <c r="D821" i="2"/>
  <c r="G821" i="2" s="1"/>
  <c r="K820" i="2"/>
  <c r="I820" i="2"/>
  <c r="D820" i="2"/>
  <c r="H820" i="2" s="1"/>
  <c r="K819" i="2"/>
  <c r="I819" i="2"/>
  <c r="D819" i="2"/>
  <c r="K818" i="2"/>
  <c r="I818" i="2"/>
  <c r="D818" i="2"/>
  <c r="H818" i="2" s="1"/>
  <c r="K817" i="2"/>
  <c r="I817" i="2"/>
  <c r="D817" i="2"/>
  <c r="G817" i="2" s="1"/>
  <c r="K816" i="2"/>
  <c r="I816" i="2"/>
  <c r="D816" i="2"/>
  <c r="G816" i="2" s="1"/>
  <c r="K815" i="2"/>
  <c r="I815" i="2"/>
  <c r="D815" i="2"/>
  <c r="G815" i="2" s="1"/>
  <c r="K814" i="2"/>
  <c r="I814" i="2"/>
  <c r="D814" i="2"/>
  <c r="H814" i="2" s="1"/>
  <c r="K813" i="2"/>
  <c r="I813" i="2"/>
  <c r="D813" i="2"/>
  <c r="G813" i="2" s="1"/>
  <c r="K812" i="2"/>
  <c r="I812" i="2"/>
  <c r="D812" i="2"/>
  <c r="K811" i="2"/>
  <c r="I811" i="2"/>
  <c r="D811" i="2"/>
  <c r="G811" i="2" s="1"/>
  <c r="K810" i="2"/>
  <c r="I810" i="2"/>
  <c r="D810" i="2"/>
  <c r="F810" i="2" s="1"/>
  <c r="K809" i="2"/>
  <c r="I809" i="2"/>
  <c r="D809" i="2"/>
  <c r="G809" i="2" s="1"/>
  <c r="K808" i="2"/>
  <c r="I808" i="2"/>
  <c r="D808" i="2"/>
  <c r="H808" i="2" s="1"/>
  <c r="K807" i="2"/>
  <c r="I807" i="2"/>
  <c r="D807" i="2"/>
  <c r="G807" i="2" s="1"/>
  <c r="K806" i="2"/>
  <c r="I806" i="2"/>
  <c r="D806" i="2"/>
  <c r="H806" i="2" s="1"/>
  <c r="K805" i="2"/>
  <c r="I805" i="2"/>
  <c r="D805" i="2"/>
  <c r="K804" i="2"/>
  <c r="I804" i="2"/>
  <c r="D804" i="2"/>
  <c r="K803" i="2"/>
  <c r="I803" i="2"/>
  <c r="D803" i="2"/>
  <c r="G803" i="2" s="1"/>
  <c r="K802" i="2"/>
  <c r="I802" i="2"/>
  <c r="D802" i="2"/>
  <c r="H802" i="2" s="1"/>
  <c r="K801" i="2"/>
  <c r="I801" i="2"/>
  <c r="D801" i="2"/>
  <c r="K800" i="2"/>
  <c r="I800" i="2"/>
  <c r="D800" i="2"/>
  <c r="H800" i="2" s="1"/>
  <c r="K799" i="2"/>
  <c r="I799" i="2"/>
  <c r="D799" i="2"/>
  <c r="G799" i="2" s="1"/>
  <c r="K798" i="2"/>
  <c r="I798" i="2"/>
  <c r="D798" i="2"/>
  <c r="H798" i="2" s="1"/>
  <c r="K797" i="2"/>
  <c r="I797" i="2"/>
  <c r="D797" i="2"/>
  <c r="G797" i="2" s="1"/>
  <c r="K796" i="2"/>
  <c r="I796" i="2"/>
  <c r="D796" i="2"/>
  <c r="H796" i="2" s="1"/>
  <c r="K795" i="2"/>
  <c r="I795" i="2"/>
  <c r="D795" i="2"/>
  <c r="G795" i="2" s="1"/>
  <c r="K794" i="2"/>
  <c r="I794" i="2"/>
  <c r="D794" i="2"/>
  <c r="K793" i="2"/>
  <c r="I793" i="2"/>
  <c r="D793" i="2"/>
  <c r="G793" i="2" s="1"/>
  <c r="K792" i="2"/>
  <c r="I792" i="2"/>
  <c r="D792" i="2"/>
  <c r="F792" i="2" s="1"/>
  <c r="K791" i="2"/>
  <c r="I791" i="2"/>
  <c r="D791" i="2"/>
  <c r="G791" i="2" s="1"/>
  <c r="K790" i="2"/>
  <c r="I790" i="2"/>
  <c r="D790" i="2"/>
  <c r="G790" i="2" s="1"/>
  <c r="K789" i="2"/>
  <c r="I789" i="2"/>
  <c r="D789" i="2"/>
  <c r="K788" i="2"/>
  <c r="I788" i="2"/>
  <c r="D788" i="2"/>
  <c r="H788" i="2" s="1"/>
  <c r="K787" i="2"/>
  <c r="I787" i="2"/>
  <c r="D787" i="2"/>
  <c r="G787" i="2" s="1"/>
  <c r="K786" i="2"/>
  <c r="I786" i="2"/>
  <c r="D786" i="2"/>
  <c r="H786" i="2" s="1"/>
  <c r="K785" i="2"/>
  <c r="I785" i="2"/>
  <c r="D785" i="2"/>
  <c r="H785" i="2" s="1"/>
  <c r="K784" i="2"/>
  <c r="I784" i="2"/>
  <c r="D784" i="2"/>
  <c r="F784" i="2" s="1"/>
  <c r="K783" i="2"/>
  <c r="I783" i="2"/>
  <c r="D783" i="2"/>
  <c r="K782" i="2"/>
  <c r="I782" i="2"/>
  <c r="D782" i="2"/>
  <c r="H782" i="2" s="1"/>
  <c r="K781" i="2"/>
  <c r="I781" i="2"/>
  <c r="D781" i="2"/>
  <c r="G781" i="2" s="1"/>
  <c r="K780" i="2"/>
  <c r="I780" i="2"/>
  <c r="D780" i="2"/>
  <c r="K779" i="2"/>
  <c r="I779" i="2"/>
  <c r="D779" i="2"/>
  <c r="G779" i="2" s="1"/>
  <c r="K778" i="2"/>
  <c r="I778" i="2"/>
  <c r="D778" i="2"/>
  <c r="K777" i="2"/>
  <c r="I777" i="2"/>
  <c r="D777" i="2"/>
  <c r="G777" i="2" s="1"/>
  <c r="K776" i="2"/>
  <c r="I776" i="2"/>
  <c r="D776" i="2"/>
  <c r="K775" i="2"/>
  <c r="I775" i="2"/>
  <c r="D775" i="2"/>
  <c r="G775" i="2" s="1"/>
  <c r="K774" i="2"/>
  <c r="I774" i="2"/>
  <c r="D774" i="2"/>
  <c r="F774" i="2" s="1"/>
  <c r="K773" i="2"/>
  <c r="I773" i="2"/>
  <c r="D773" i="2"/>
  <c r="F773" i="2" s="1"/>
  <c r="K772" i="2"/>
  <c r="I772" i="2"/>
  <c r="D772" i="2"/>
  <c r="H772" i="2" s="1"/>
  <c r="K771" i="2"/>
  <c r="I771" i="2"/>
  <c r="D771" i="2"/>
  <c r="G771" i="2" s="1"/>
  <c r="K770" i="2"/>
  <c r="I770" i="2"/>
  <c r="D770" i="2"/>
  <c r="H770" i="2" s="1"/>
  <c r="K769" i="2"/>
  <c r="I769" i="2"/>
  <c r="D769" i="2"/>
  <c r="G769" i="2" s="1"/>
  <c r="K768" i="2"/>
  <c r="I768" i="2"/>
  <c r="D768" i="2"/>
  <c r="F768" i="2" s="1"/>
  <c r="K767" i="2"/>
  <c r="I767" i="2"/>
  <c r="D767" i="2"/>
  <c r="G767" i="2" s="1"/>
  <c r="K766" i="2"/>
  <c r="I766" i="2"/>
  <c r="D766" i="2"/>
  <c r="G766" i="2" s="1"/>
  <c r="K765" i="2"/>
  <c r="I765" i="2"/>
  <c r="D765" i="2"/>
  <c r="G765" i="2" s="1"/>
  <c r="K764" i="2"/>
  <c r="I764" i="2"/>
  <c r="D764" i="2"/>
  <c r="F764" i="2" s="1"/>
  <c r="K763" i="2"/>
  <c r="I763" i="2"/>
  <c r="D763" i="2"/>
  <c r="G763" i="2" s="1"/>
  <c r="K762" i="2"/>
  <c r="I762" i="2"/>
  <c r="D762" i="2"/>
  <c r="G762" i="2" s="1"/>
  <c r="K761" i="2"/>
  <c r="I761" i="2"/>
  <c r="D761" i="2"/>
  <c r="G761" i="2" s="1"/>
  <c r="K760" i="2"/>
  <c r="I760" i="2"/>
  <c r="D760" i="2"/>
  <c r="K759" i="2"/>
  <c r="I759" i="2"/>
  <c r="D759" i="2"/>
  <c r="F759" i="2" s="1"/>
  <c r="K758" i="2"/>
  <c r="I758" i="2"/>
  <c r="D758" i="2"/>
  <c r="H758" i="2" s="1"/>
  <c r="K757" i="2"/>
  <c r="I757" i="2"/>
  <c r="D757" i="2"/>
  <c r="H757" i="2" s="1"/>
  <c r="K756" i="2"/>
  <c r="I756" i="2"/>
  <c r="D756" i="2"/>
  <c r="K755" i="2"/>
  <c r="I755" i="2"/>
  <c r="D755" i="2"/>
  <c r="G755" i="2" s="1"/>
  <c r="K754" i="2"/>
  <c r="I754" i="2"/>
  <c r="D754" i="2"/>
  <c r="H754" i="2" s="1"/>
  <c r="K753" i="2"/>
  <c r="I753" i="2"/>
  <c r="D753" i="2"/>
  <c r="G753" i="2" s="1"/>
  <c r="K752" i="2"/>
  <c r="I752" i="2"/>
  <c r="D752" i="2"/>
  <c r="K751" i="2"/>
  <c r="I751" i="2"/>
  <c r="D751" i="2"/>
  <c r="K750" i="2"/>
  <c r="I750" i="2"/>
  <c r="D750" i="2"/>
  <c r="H750" i="2" s="1"/>
  <c r="K749" i="2"/>
  <c r="I749" i="2"/>
  <c r="D749" i="2"/>
  <c r="K748" i="2"/>
  <c r="I748" i="2"/>
  <c r="D748" i="2"/>
  <c r="G748" i="2" s="1"/>
  <c r="K747" i="2"/>
  <c r="I747" i="2"/>
  <c r="D747" i="2"/>
  <c r="K746" i="2"/>
  <c r="I746" i="2"/>
  <c r="D746" i="2"/>
  <c r="H746" i="2" s="1"/>
  <c r="K745" i="2"/>
  <c r="I745" i="2"/>
  <c r="D745" i="2"/>
  <c r="G745" i="2" s="1"/>
  <c r="K744" i="2"/>
  <c r="I744" i="2"/>
  <c r="D744" i="2"/>
  <c r="K743" i="2"/>
  <c r="I743" i="2"/>
  <c r="D743" i="2"/>
  <c r="G743" i="2" s="1"/>
  <c r="K742" i="2"/>
  <c r="I742" i="2"/>
  <c r="D742" i="2"/>
  <c r="H742" i="2" s="1"/>
  <c r="K741" i="2"/>
  <c r="I741" i="2"/>
  <c r="D741" i="2"/>
  <c r="G741" i="2" s="1"/>
  <c r="K740" i="2"/>
  <c r="I740" i="2"/>
  <c r="D740" i="2"/>
  <c r="G740" i="2" s="1"/>
  <c r="K739" i="2"/>
  <c r="I739" i="2"/>
  <c r="D739" i="2"/>
  <c r="H739" i="2" s="1"/>
  <c r="K738" i="2"/>
  <c r="I738" i="2"/>
  <c r="D738" i="2"/>
  <c r="H738" i="2" s="1"/>
  <c r="K737" i="2"/>
  <c r="I737" i="2"/>
  <c r="D737" i="2"/>
  <c r="G737" i="2" s="1"/>
  <c r="K736" i="2"/>
  <c r="I736" i="2"/>
  <c r="D736" i="2"/>
  <c r="G736" i="2" s="1"/>
  <c r="K735" i="2"/>
  <c r="I735" i="2"/>
  <c r="D735" i="2"/>
  <c r="K734" i="2"/>
  <c r="I734" i="2"/>
  <c r="D734" i="2"/>
  <c r="H734" i="2" s="1"/>
  <c r="K733" i="2"/>
  <c r="I733" i="2"/>
  <c r="D733" i="2"/>
  <c r="G733" i="2" s="1"/>
  <c r="K732" i="2"/>
  <c r="I732" i="2"/>
  <c r="D732" i="2"/>
  <c r="G732" i="2" s="1"/>
  <c r="K731" i="2"/>
  <c r="I731" i="2"/>
  <c r="D731" i="2"/>
  <c r="H731" i="2" s="1"/>
  <c r="K730" i="2"/>
  <c r="I730" i="2"/>
  <c r="D730" i="2"/>
  <c r="H730" i="2" s="1"/>
  <c r="K729" i="2"/>
  <c r="I729" i="2"/>
  <c r="D729" i="2"/>
  <c r="G729" i="2" s="1"/>
  <c r="K728" i="2"/>
  <c r="I728" i="2"/>
  <c r="D728" i="2"/>
  <c r="K727" i="2"/>
  <c r="I727" i="2"/>
  <c r="D727" i="2"/>
  <c r="H727" i="2" s="1"/>
  <c r="K726" i="2"/>
  <c r="I726" i="2"/>
  <c r="D726" i="2"/>
  <c r="H726" i="2" s="1"/>
  <c r="K725" i="2"/>
  <c r="I725" i="2"/>
  <c r="D725" i="2"/>
  <c r="G725" i="2" s="1"/>
  <c r="K724" i="2"/>
  <c r="I724" i="2"/>
  <c r="D724" i="2"/>
  <c r="G724" i="2" s="1"/>
  <c r="K723" i="2"/>
  <c r="I723" i="2"/>
  <c r="D723" i="2"/>
  <c r="F723" i="2" s="1"/>
  <c r="K722" i="2"/>
  <c r="I722" i="2"/>
  <c r="D722" i="2"/>
  <c r="H722" i="2" s="1"/>
  <c r="K721" i="2"/>
  <c r="I721" i="2"/>
  <c r="D721" i="2"/>
  <c r="G721" i="2" s="1"/>
  <c r="K720" i="2"/>
  <c r="I720" i="2"/>
  <c r="D720" i="2"/>
  <c r="G720" i="2" s="1"/>
  <c r="K719" i="2"/>
  <c r="I719" i="2"/>
  <c r="D719" i="2"/>
  <c r="K718" i="2"/>
  <c r="I718" i="2"/>
  <c r="D718" i="2"/>
  <c r="H718" i="2" s="1"/>
  <c r="K717" i="2"/>
  <c r="I717" i="2"/>
  <c r="D717" i="2"/>
  <c r="F717" i="2" s="1"/>
  <c r="K716" i="2"/>
  <c r="I716" i="2"/>
  <c r="D716" i="2"/>
  <c r="G716" i="2" s="1"/>
  <c r="K715" i="2"/>
  <c r="I715" i="2"/>
  <c r="E715" i="2"/>
  <c r="D715" i="2"/>
  <c r="F715" i="2" s="1"/>
  <c r="K714" i="2"/>
  <c r="I714" i="2"/>
  <c r="D714" i="2"/>
  <c r="G714" i="2" s="1"/>
  <c r="K713" i="2"/>
  <c r="I713" i="2"/>
  <c r="D713" i="2"/>
  <c r="K712" i="2"/>
  <c r="I712" i="2"/>
  <c r="D712" i="2"/>
  <c r="H712" i="2" s="1"/>
  <c r="K711" i="2"/>
  <c r="I711" i="2"/>
  <c r="D711" i="2"/>
  <c r="H711" i="2" s="1"/>
  <c r="K710" i="2"/>
  <c r="I710" i="2"/>
  <c r="D710" i="2"/>
  <c r="G710" i="2" s="1"/>
  <c r="K709" i="2"/>
  <c r="I709" i="2"/>
  <c r="D709" i="2"/>
  <c r="G709" i="2" s="1"/>
  <c r="K708" i="2"/>
  <c r="I708" i="2"/>
  <c r="D708" i="2"/>
  <c r="G708" i="2" s="1"/>
  <c r="K707" i="2"/>
  <c r="I707" i="2"/>
  <c r="D707" i="2"/>
  <c r="H707" i="2" s="1"/>
  <c r="K706" i="2"/>
  <c r="I706" i="2"/>
  <c r="D706" i="2"/>
  <c r="G706" i="2" s="1"/>
  <c r="K705" i="2"/>
  <c r="I705" i="2"/>
  <c r="D705" i="2"/>
  <c r="G705" i="2" s="1"/>
  <c r="K704" i="2"/>
  <c r="I704" i="2"/>
  <c r="D704" i="2"/>
  <c r="H704" i="2" s="1"/>
  <c r="K703" i="2"/>
  <c r="I703" i="2"/>
  <c r="D703" i="2"/>
  <c r="H703" i="2" s="1"/>
  <c r="K702" i="2"/>
  <c r="I702" i="2"/>
  <c r="D702" i="2"/>
  <c r="G702" i="2" s="1"/>
  <c r="K701" i="2"/>
  <c r="I701" i="2"/>
  <c r="D701" i="2"/>
  <c r="G701" i="2" s="1"/>
  <c r="K700" i="2"/>
  <c r="I700" i="2"/>
  <c r="D700" i="2"/>
  <c r="F700" i="2" s="1"/>
  <c r="K699" i="2"/>
  <c r="I699" i="2"/>
  <c r="D699" i="2"/>
  <c r="H699" i="2" s="1"/>
  <c r="K698" i="2"/>
  <c r="I698" i="2"/>
  <c r="D698" i="2"/>
  <c r="G698" i="2" s="1"/>
  <c r="K697" i="2"/>
  <c r="I697" i="2"/>
  <c r="D697" i="2"/>
  <c r="G697" i="2" s="1"/>
  <c r="K696" i="2"/>
  <c r="I696" i="2"/>
  <c r="D696" i="2"/>
  <c r="F696" i="2" s="1"/>
  <c r="K695" i="2"/>
  <c r="I695" i="2"/>
  <c r="D695" i="2"/>
  <c r="H695" i="2" s="1"/>
  <c r="K694" i="2"/>
  <c r="I694" i="2"/>
  <c r="D694" i="2"/>
  <c r="G694" i="2" s="1"/>
  <c r="K693" i="2"/>
  <c r="I693" i="2"/>
  <c r="D693" i="2"/>
  <c r="G693" i="2" s="1"/>
  <c r="K692" i="2"/>
  <c r="I692" i="2"/>
  <c r="D692" i="2"/>
  <c r="K691" i="2"/>
  <c r="I691" i="2"/>
  <c r="D691" i="2"/>
  <c r="G691" i="2" s="1"/>
  <c r="K690" i="2"/>
  <c r="I690" i="2"/>
  <c r="D690" i="2"/>
  <c r="K689" i="2"/>
  <c r="I689" i="2"/>
  <c r="D689" i="2"/>
  <c r="G689" i="2" s="1"/>
  <c r="K688" i="2"/>
  <c r="I688" i="2"/>
  <c r="D688" i="2"/>
  <c r="H688" i="2" s="1"/>
  <c r="K687" i="2"/>
  <c r="I687" i="2"/>
  <c r="D687" i="2"/>
  <c r="K686" i="2"/>
  <c r="I686" i="2"/>
  <c r="D686" i="2"/>
  <c r="G686" i="2" s="1"/>
  <c r="K685" i="2"/>
  <c r="I685" i="2"/>
  <c r="D685" i="2"/>
  <c r="G685" i="2" s="1"/>
  <c r="K684" i="2"/>
  <c r="I684" i="2"/>
  <c r="D684" i="2"/>
  <c r="K683" i="2"/>
  <c r="I683" i="2"/>
  <c r="D683" i="2"/>
  <c r="G683" i="2" s="1"/>
  <c r="K682" i="2"/>
  <c r="I682" i="2"/>
  <c r="D682" i="2"/>
  <c r="G682" i="2" s="1"/>
  <c r="K681" i="2"/>
  <c r="I681" i="2"/>
  <c r="D681" i="2"/>
  <c r="G681" i="2" s="1"/>
  <c r="K680" i="2"/>
  <c r="I680" i="2"/>
  <c r="D680" i="2"/>
  <c r="G680" i="2" s="1"/>
  <c r="K679" i="2"/>
  <c r="I679" i="2"/>
  <c r="D679" i="2"/>
  <c r="K678" i="2"/>
  <c r="I678" i="2"/>
  <c r="D678" i="2"/>
  <c r="G678" i="2" s="1"/>
  <c r="K677" i="2"/>
  <c r="I677" i="2"/>
  <c r="D677" i="2"/>
  <c r="G677" i="2" s="1"/>
  <c r="K676" i="2"/>
  <c r="I676" i="2"/>
  <c r="D676" i="2"/>
  <c r="K675" i="2"/>
  <c r="I675" i="2"/>
  <c r="D675" i="2"/>
  <c r="G675" i="2" s="1"/>
  <c r="K674" i="2"/>
  <c r="I674" i="2"/>
  <c r="D674" i="2"/>
  <c r="G674" i="2" s="1"/>
  <c r="K673" i="2"/>
  <c r="I673" i="2"/>
  <c r="D673" i="2"/>
  <c r="G673" i="2" s="1"/>
  <c r="K672" i="2"/>
  <c r="I672" i="2"/>
  <c r="D672" i="2"/>
  <c r="K671" i="2"/>
  <c r="I671" i="2"/>
  <c r="D671" i="2"/>
  <c r="K670" i="2"/>
  <c r="I670" i="2"/>
  <c r="D670" i="2"/>
  <c r="G670" i="2" s="1"/>
  <c r="K669" i="2"/>
  <c r="I669" i="2"/>
  <c r="D669" i="2"/>
  <c r="G669" i="2" s="1"/>
  <c r="K668" i="2"/>
  <c r="I668" i="2"/>
  <c r="D668" i="2"/>
  <c r="K667" i="2"/>
  <c r="I667" i="2"/>
  <c r="D667" i="2"/>
  <c r="G667" i="2" s="1"/>
  <c r="K666" i="2"/>
  <c r="I666" i="2"/>
  <c r="D666" i="2"/>
  <c r="K665" i="2"/>
  <c r="I665" i="2"/>
  <c r="D665" i="2"/>
  <c r="G665" i="2" s="1"/>
  <c r="K664" i="2"/>
  <c r="I664" i="2"/>
  <c r="D664" i="2"/>
  <c r="K663" i="2"/>
  <c r="I663" i="2"/>
  <c r="D663" i="2"/>
  <c r="K662" i="2"/>
  <c r="I662" i="2"/>
  <c r="D662" i="2"/>
  <c r="G662" i="2" s="1"/>
  <c r="K661" i="2"/>
  <c r="I661" i="2"/>
  <c r="D661" i="2"/>
  <c r="G661" i="2" s="1"/>
  <c r="K660" i="2"/>
  <c r="I660" i="2"/>
  <c r="D660" i="2"/>
  <c r="K659" i="2"/>
  <c r="I659" i="2"/>
  <c r="D659" i="2"/>
  <c r="G659" i="2" s="1"/>
  <c r="K658" i="2"/>
  <c r="I658" i="2"/>
  <c r="D658" i="2"/>
  <c r="G658" i="2" s="1"/>
  <c r="K657" i="2"/>
  <c r="I657" i="2"/>
  <c r="D657" i="2"/>
  <c r="G657" i="2" s="1"/>
  <c r="K656" i="2"/>
  <c r="I656" i="2"/>
  <c r="D656" i="2"/>
  <c r="H656" i="2" s="1"/>
  <c r="K655" i="2"/>
  <c r="I655" i="2"/>
  <c r="D655" i="2"/>
  <c r="K654" i="2"/>
  <c r="I654" i="2"/>
  <c r="D654" i="2"/>
  <c r="G654" i="2" s="1"/>
  <c r="K653" i="2"/>
  <c r="I653" i="2"/>
  <c r="D653" i="2"/>
  <c r="G653" i="2" s="1"/>
  <c r="K652" i="2"/>
  <c r="I652" i="2"/>
  <c r="D652" i="2"/>
  <c r="K651" i="2"/>
  <c r="I651" i="2"/>
  <c r="D651" i="2"/>
  <c r="G651" i="2" s="1"/>
  <c r="K650" i="2"/>
  <c r="I650" i="2"/>
  <c r="D650" i="2"/>
  <c r="H650" i="2" s="1"/>
  <c r="K649" i="2"/>
  <c r="I649" i="2"/>
  <c r="D649" i="2"/>
  <c r="G649" i="2" s="1"/>
  <c r="K648" i="2"/>
  <c r="I648" i="2"/>
  <c r="D648" i="2"/>
  <c r="H648" i="2" s="1"/>
  <c r="K647" i="2"/>
  <c r="I647" i="2"/>
  <c r="D647" i="2"/>
  <c r="K646" i="2"/>
  <c r="I646" i="2"/>
  <c r="D646" i="2"/>
  <c r="G646" i="2" s="1"/>
  <c r="K645" i="2"/>
  <c r="I645" i="2"/>
  <c r="D645" i="2"/>
  <c r="K644" i="2"/>
  <c r="I644" i="2"/>
  <c r="D644" i="2"/>
  <c r="K643" i="2"/>
  <c r="I643" i="2"/>
  <c r="D643" i="2"/>
  <c r="G643" i="2" s="1"/>
  <c r="K642" i="2"/>
  <c r="I642" i="2"/>
  <c r="D642" i="2"/>
  <c r="G642" i="2" s="1"/>
  <c r="K641" i="2"/>
  <c r="I641" i="2"/>
  <c r="D641" i="2"/>
  <c r="G641" i="2" s="1"/>
  <c r="K640" i="2"/>
  <c r="I640" i="2"/>
  <c r="D640" i="2"/>
  <c r="H640" i="2" s="1"/>
  <c r="K639" i="2"/>
  <c r="I639" i="2"/>
  <c r="D639" i="2"/>
  <c r="G639" i="2" s="1"/>
  <c r="K638" i="2"/>
  <c r="I638" i="2"/>
  <c r="D638" i="2"/>
  <c r="G638" i="2" s="1"/>
  <c r="K637" i="2"/>
  <c r="I637" i="2"/>
  <c r="D637" i="2"/>
  <c r="G637" i="2" s="1"/>
  <c r="K636" i="2"/>
  <c r="I636" i="2"/>
  <c r="D636" i="2"/>
  <c r="H636" i="2" s="1"/>
  <c r="K635" i="2"/>
  <c r="I635" i="2"/>
  <c r="D635" i="2"/>
  <c r="K634" i="2"/>
  <c r="I634" i="2"/>
  <c r="D634" i="2"/>
  <c r="G634" i="2" s="1"/>
  <c r="K633" i="2"/>
  <c r="I633" i="2"/>
  <c r="D633" i="2"/>
  <c r="G633" i="2" s="1"/>
  <c r="K632" i="2"/>
  <c r="I632" i="2"/>
  <c r="D632" i="2"/>
  <c r="H632" i="2" s="1"/>
  <c r="K631" i="2"/>
  <c r="I631" i="2"/>
  <c r="D631" i="2"/>
  <c r="G631" i="2" s="1"/>
  <c r="K630" i="2"/>
  <c r="I630" i="2"/>
  <c r="D630" i="2"/>
  <c r="G630" i="2" s="1"/>
  <c r="K629" i="2"/>
  <c r="I629" i="2"/>
  <c r="D629" i="2"/>
  <c r="K628" i="2"/>
  <c r="I628" i="2"/>
  <c r="D628" i="2"/>
  <c r="G628" i="2" s="1"/>
  <c r="K627" i="2"/>
  <c r="I627" i="2"/>
  <c r="D627" i="2"/>
  <c r="G627" i="2" s="1"/>
  <c r="K626" i="2"/>
  <c r="I626" i="2"/>
  <c r="D626" i="2"/>
  <c r="K625" i="2"/>
  <c r="I625" i="2"/>
  <c r="D625" i="2"/>
  <c r="G625" i="2" s="1"/>
  <c r="K624" i="2"/>
  <c r="I624" i="2"/>
  <c r="D624" i="2"/>
  <c r="F624" i="2" s="1"/>
  <c r="K623" i="2"/>
  <c r="I623" i="2"/>
  <c r="D623" i="2"/>
  <c r="K622" i="2"/>
  <c r="I622" i="2"/>
  <c r="D622" i="2"/>
  <c r="G622" i="2" s="1"/>
  <c r="K621" i="2"/>
  <c r="I621" i="2"/>
  <c r="D621" i="2"/>
  <c r="K620" i="2"/>
  <c r="I620" i="2"/>
  <c r="D620" i="2"/>
  <c r="K619" i="2"/>
  <c r="I619" i="2"/>
  <c r="D619" i="2"/>
  <c r="G619" i="2" s="1"/>
  <c r="K618" i="2"/>
  <c r="I618" i="2"/>
  <c r="D618" i="2"/>
  <c r="G618" i="2" s="1"/>
  <c r="K617" i="2"/>
  <c r="I617" i="2"/>
  <c r="D617" i="2"/>
  <c r="G617" i="2" s="1"/>
  <c r="K616" i="2"/>
  <c r="I616" i="2"/>
  <c r="D616" i="2"/>
  <c r="G616" i="2" s="1"/>
  <c r="K615" i="2"/>
  <c r="I615" i="2"/>
  <c r="D615" i="2"/>
  <c r="G615" i="2" s="1"/>
  <c r="K614" i="2"/>
  <c r="I614" i="2"/>
  <c r="D614" i="2"/>
  <c r="G614" i="2" s="1"/>
  <c r="K613" i="2"/>
  <c r="I613" i="2"/>
  <c r="D613" i="2"/>
  <c r="G613" i="2" s="1"/>
  <c r="K612" i="2"/>
  <c r="I612" i="2"/>
  <c r="D612" i="2"/>
  <c r="F612" i="2" s="1"/>
  <c r="K611" i="2"/>
  <c r="I611" i="2"/>
  <c r="D611" i="2"/>
  <c r="G611" i="2" s="1"/>
  <c r="K610" i="2"/>
  <c r="I610" i="2"/>
  <c r="D610" i="2"/>
  <c r="F610" i="2" s="1"/>
  <c r="K609" i="2"/>
  <c r="I609" i="2"/>
  <c r="D609" i="2"/>
  <c r="G609" i="2" s="1"/>
  <c r="K608" i="2"/>
  <c r="I608" i="2"/>
  <c r="D608" i="2"/>
  <c r="H608" i="2" s="1"/>
  <c r="K607" i="2"/>
  <c r="I607" i="2"/>
  <c r="D607" i="2"/>
  <c r="G607" i="2" s="1"/>
  <c r="K606" i="2"/>
  <c r="I606" i="2"/>
  <c r="D606" i="2"/>
  <c r="G606" i="2" s="1"/>
  <c r="K605" i="2"/>
  <c r="I605" i="2"/>
  <c r="D605" i="2"/>
  <c r="G605" i="2" s="1"/>
  <c r="K604" i="2"/>
  <c r="I604" i="2"/>
  <c r="D604" i="2"/>
  <c r="H604" i="2" s="1"/>
  <c r="K603" i="2"/>
  <c r="I603" i="2"/>
  <c r="D603" i="2"/>
  <c r="G603" i="2" s="1"/>
  <c r="K602" i="2"/>
  <c r="I602" i="2"/>
  <c r="D602" i="2"/>
  <c r="G602" i="2" s="1"/>
  <c r="K601" i="2"/>
  <c r="I601" i="2"/>
  <c r="D601" i="2"/>
  <c r="G601" i="2" s="1"/>
  <c r="K600" i="2"/>
  <c r="I600" i="2"/>
  <c r="D600" i="2"/>
  <c r="H600" i="2" s="1"/>
  <c r="K599" i="2"/>
  <c r="I599" i="2"/>
  <c r="D599" i="2"/>
  <c r="G599" i="2" s="1"/>
  <c r="K598" i="2"/>
  <c r="I598" i="2"/>
  <c r="D598" i="2"/>
  <c r="G598" i="2" s="1"/>
  <c r="K597" i="2"/>
  <c r="I597" i="2"/>
  <c r="D597" i="2"/>
  <c r="K596" i="2"/>
  <c r="I596" i="2"/>
  <c r="D596" i="2"/>
  <c r="G596" i="2" s="1"/>
  <c r="K595" i="2"/>
  <c r="I595" i="2"/>
  <c r="D595" i="2"/>
  <c r="G595" i="2" s="1"/>
  <c r="K594" i="2"/>
  <c r="I594" i="2"/>
  <c r="D594" i="2"/>
  <c r="K593" i="2"/>
  <c r="I593" i="2"/>
  <c r="D593" i="2"/>
  <c r="G593" i="2" s="1"/>
  <c r="K592" i="2"/>
  <c r="I592" i="2"/>
  <c r="D592" i="2"/>
  <c r="G592" i="2" s="1"/>
  <c r="K591" i="2"/>
  <c r="I591" i="2"/>
  <c r="D591" i="2"/>
  <c r="K590" i="2"/>
  <c r="I590" i="2"/>
  <c r="D590" i="2"/>
  <c r="G590" i="2" s="1"/>
  <c r="K589" i="2"/>
  <c r="I589" i="2"/>
  <c r="D589" i="2"/>
  <c r="K588" i="2"/>
  <c r="I588" i="2"/>
  <c r="D588" i="2"/>
  <c r="K587" i="2"/>
  <c r="I587" i="2"/>
  <c r="D587" i="2"/>
  <c r="G587" i="2" s="1"/>
  <c r="K586" i="2"/>
  <c r="I586" i="2"/>
  <c r="D586" i="2"/>
  <c r="K585" i="2"/>
  <c r="I585" i="2"/>
  <c r="D585" i="2"/>
  <c r="G585" i="2" s="1"/>
  <c r="K584" i="2"/>
  <c r="I584" i="2"/>
  <c r="D584" i="2"/>
  <c r="F584" i="2" s="1"/>
  <c r="K583" i="2"/>
  <c r="I583" i="2"/>
  <c r="D583" i="2"/>
  <c r="G583" i="2" s="1"/>
  <c r="K582" i="2"/>
  <c r="I582" i="2"/>
  <c r="D582" i="2"/>
  <c r="G582" i="2" s="1"/>
  <c r="K581" i="2"/>
  <c r="I581" i="2"/>
  <c r="D581" i="2"/>
  <c r="G581" i="2" s="1"/>
  <c r="K580" i="2"/>
  <c r="I580" i="2"/>
  <c r="D580" i="2"/>
  <c r="F580" i="2" s="1"/>
  <c r="K579" i="2"/>
  <c r="I579" i="2"/>
  <c r="D579" i="2"/>
  <c r="G579" i="2" s="1"/>
  <c r="K578" i="2"/>
  <c r="I578" i="2"/>
  <c r="D578" i="2"/>
  <c r="G578" i="2" s="1"/>
  <c r="K577" i="2"/>
  <c r="I577" i="2"/>
  <c r="D577" i="2"/>
  <c r="G577" i="2" s="1"/>
  <c r="K576" i="2"/>
  <c r="I576" i="2"/>
  <c r="D576" i="2"/>
  <c r="H576" i="2" s="1"/>
  <c r="K575" i="2"/>
  <c r="I575" i="2"/>
  <c r="D575" i="2"/>
  <c r="K574" i="2"/>
  <c r="I574" i="2"/>
  <c r="D574" i="2"/>
  <c r="F574" i="2" s="1"/>
  <c r="K573" i="2"/>
  <c r="I573" i="2"/>
  <c r="D573" i="2"/>
  <c r="G573" i="2" s="1"/>
  <c r="K572" i="2"/>
  <c r="I572" i="2"/>
  <c r="E572" i="2"/>
  <c r="D572" i="2"/>
  <c r="F572" i="2" s="1"/>
  <c r="K571" i="2"/>
  <c r="I571" i="2"/>
  <c r="D571" i="2"/>
  <c r="G571" i="2" s="1"/>
  <c r="K570" i="2"/>
  <c r="I570" i="2"/>
  <c r="D570" i="2"/>
  <c r="G570" i="2" s="1"/>
  <c r="K569" i="2"/>
  <c r="I569" i="2"/>
  <c r="D569" i="2"/>
  <c r="H569" i="2" s="1"/>
  <c r="K568" i="2"/>
  <c r="I568" i="2"/>
  <c r="D568" i="2"/>
  <c r="G568" i="2" s="1"/>
  <c r="K567" i="2"/>
  <c r="I567" i="2"/>
  <c r="D567" i="2"/>
  <c r="G567" i="2" s="1"/>
  <c r="K566" i="2"/>
  <c r="I566" i="2"/>
  <c r="D566" i="2"/>
  <c r="K565" i="2"/>
  <c r="I565" i="2"/>
  <c r="D565" i="2"/>
  <c r="H565" i="2" s="1"/>
  <c r="K564" i="2"/>
  <c r="I564" i="2"/>
  <c r="D564" i="2"/>
  <c r="G564" i="2" s="1"/>
  <c r="K563" i="2"/>
  <c r="I563" i="2"/>
  <c r="D563" i="2"/>
  <c r="G563" i="2" s="1"/>
  <c r="K562" i="2"/>
  <c r="I562" i="2"/>
  <c r="D562" i="2"/>
  <c r="G562" i="2" s="1"/>
  <c r="K561" i="2"/>
  <c r="I561" i="2"/>
  <c r="D561" i="2"/>
  <c r="F561" i="2" s="1"/>
  <c r="K560" i="2"/>
  <c r="I560" i="2"/>
  <c r="D560" i="2"/>
  <c r="G560" i="2" s="1"/>
  <c r="K559" i="2"/>
  <c r="I559" i="2"/>
  <c r="D559" i="2"/>
  <c r="G559" i="2" s="1"/>
  <c r="K558" i="2"/>
  <c r="I558" i="2"/>
  <c r="D558" i="2"/>
  <c r="G558" i="2" s="1"/>
  <c r="K557" i="2"/>
  <c r="I557" i="2"/>
  <c r="D557" i="2"/>
  <c r="H557" i="2" s="1"/>
  <c r="K556" i="2"/>
  <c r="I556" i="2"/>
  <c r="D556" i="2"/>
  <c r="G556" i="2" s="1"/>
  <c r="K555" i="2"/>
  <c r="I555" i="2"/>
  <c r="D555" i="2"/>
  <c r="G555" i="2" s="1"/>
  <c r="K554" i="2"/>
  <c r="I554" i="2"/>
  <c r="D554" i="2"/>
  <c r="K553" i="2"/>
  <c r="I553" i="2"/>
  <c r="D553" i="2"/>
  <c r="K552" i="2"/>
  <c r="I552" i="2"/>
  <c r="D552" i="2"/>
  <c r="G552" i="2" s="1"/>
  <c r="K551" i="2"/>
  <c r="I551" i="2"/>
  <c r="D551" i="2"/>
  <c r="K550" i="2"/>
  <c r="I550" i="2"/>
  <c r="D550" i="2"/>
  <c r="G550" i="2" s="1"/>
  <c r="K549" i="2"/>
  <c r="I549" i="2"/>
  <c r="D549" i="2"/>
  <c r="G549" i="2" s="1"/>
  <c r="K548" i="2"/>
  <c r="I548" i="2"/>
  <c r="D548" i="2"/>
  <c r="K547" i="2"/>
  <c r="I547" i="2"/>
  <c r="D547" i="2"/>
  <c r="G547" i="2" s="1"/>
  <c r="K546" i="2"/>
  <c r="I546" i="2"/>
  <c r="D546" i="2"/>
  <c r="K545" i="2"/>
  <c r="I545" i="2"/>
  <c r="D545" i="2"/>
  <c r="K544" i="2"/>
  <c r="I544" i="2"/>
  <c r="D544" i="2"/>
  <c r="G544" i="2" s="1"/>
  <c r="K543" i="2"/>
  <c r="I543" i="2"/>
  <c r="D543" i="2"/>
  <c r="K542" i="2"/>
  <c r="I542" i="2"/>
  <c r="D542" i="2"/>
  <c r="G542" i="2" s="1"/>
  <c r="K541" i="2"/>
  <c r="I541" i="2"/>
  <c r="D541" i="2"/>
  <c r="H541" i="2" s="1"/>
  <c r="K540" i="2"/>
  <c r="I540" i="2"/>
  <c r="D540" i="2"/>
  <c r="K539" i="2"/>
  <c r="I539" i="2"/>
  <c r="D539" i="2"/>
  <c r="G539" i="2" s="1"/>
  <c r="K538" i="2"/>
  <c r="I538" i="2"/>
  <c r="D538" i="2"/>
  <c r="K537" i="2"/>
  <c r="I537" i="2"/>
  <c r="D537" i="2"/>
  <c r="H537" i="2" s="1"/>
  <c r="K536" i="2"/>
  <c r="I536" i="2"/>
  <c r="D536" i="2"/>
  <c r="G536" i="2" s="1"/>
  <c r="K535" i="2"/>
  <c r="I535" i="2"/>
  <c r="D535" i="2"/>
  <c r="G535" i="2" s="1"/>
  <c r="K534" i="2"/>
  <c r="I534" i="2"/>
  <c r="D534" i="2"/>
  <c r="G534" i="2" s="1"/>
  <c r="K533" i="2"/>
  <c r="I533" i="2"/>
  <c r="D533" i="2"/>
  <c r="H533" i="2" s="1"/>
  <c r="K532" i="2"/>
  <c r="I532" i="2"/>
  <c r="D532" i="2"/>
  <c r="G532" i="2" s="1"/>
  <c r="K531" i="2"/>
  <c r="I531" i="2"/>
  <c r="D531" i="2"/>
  <c r="G531" i="2" s="1"/>
  <c r="K530" i="2"/>
  <c r="I530" i="2"/>
  <c r="D530" i="2"/>
  <c r="G530" i="2" s="1"/>
  <c r="K529" i="2"/>
  <c r="I529" i="2"/>
  <c r="D529" i="2"/>
  <c r="H529" i="2" s="1"/>
  <c r="K528" i="2"/>
  <c r="I528" i="2"/>
  <c r="D528" i="2"/>
  <c r="G528" i="2" s="1"/>
  <c r="K527" i="2"/>
  <c r="I527" i="2"/>
  <c r="D527" i="2"/>
  <c r="G527" i="2" s="1"/>
  <c r="K526" i="2"/>
  <c r="I526" i="2"/>
  <c r="D526" i="2"/>
  <c r="G526" i="2" s="1"/>
  <c r="K525" i="2"/>
  <c r="I525" i="2"/>
  <c r="D525" i="2"/>
  <c r="H525" i="2" s="1"/>
  <c r="K524" i="2"/>
  <c r="I524" i="2"/>
  <c r="D524" i="2"/>
  <c r="G524" i="2" s="1"/>
  <c r="K523" i="2"/>
  <c r="I523" i="2"/>
  <c r="D523" i="2"/>
  <c r="G523" i="2" s="1"/>
  <c r="K522" i="2"/>
  <c r="I522" i="2"/>
  <c r="D522" i="2"/>
  <c r="K521" i="2"/>
  <c r="I521" i="2"/>
  <c r="D521" i="2"/>
  <c r="G521" i="2" s="1"/>
  <c r="K520" i="2"/>
  <c r="I520" i="2"/>
  <c r="D520" i="2"/>
  <c r="G520" i="2" s="1"/>
  <c r="K519" i="2"/>
  <c r="I519" i="2"/>
  <c r="D519" i="2"/>
  <c r="K518" i="2"/>
  <c r="I518" i="2"/>
  <c r="D518" i="2"/>
  <c r="K517" i="2"/>
  <c r="I517" i="2"/>
  <c r="D517" i="2"/>
  <c r="K516" i="2"/>
  <c r="I516" i="2"/>
  <c r="D516" i="2"/>
  <c r="K515" i="2"/>
  <c r="I515" i="2"/>
  <c r="D515" i="2"/>
  <c r="G515" i="2" s="1"/>
  <c r="K514" i="2"/>
  <c r="I514" i="2"/>
  <c r="D514" i="2"/>
  <c r="K513" i="2"/>
  <c r="I513" i="2"/>
  <c r="D513" i="2"/>
  <c r="K512" i="2"/>
  <c r="I512" i="2"/>
  <c r="D512" i="2"/>
  <c r="G512" i="2" s="1"/>
  <c r="K511" i="2"/>
  <c r="I511" i="2"/>
  <c r="D511" i="2"/>
  <c r="G511" i="2" s="1"/>
  <c r="K510" i="2"/>
  <c r="I510" i="2"/>
  <c r="D510" i="2"/>
  <c r="G510" i="2" s="1"/>
  <c r="K509" i="2"/>
  <c r="I509" i="2"/>
  <c r="D509" i="2"/>
  <c r="H509" i="2" s="1"/>
  <c r="K508" i="2"/>
  <c r="I508" i="2"/>
  <c r="D508" i="2"/>
  <c r="K507" i="2"/>
  <c r="I507" i="2"/>
  <c r="D507" i="2"/>
  <c r="G507" i="2" s="1"/>
  <c r="K506" i="2"/>
  <c r="I506" i="2"/>
  <c r="D506" i="2"/>
  <c r="H506" i="2" s="1"/>
  <c r="K505" i="2"/>
  <c r="I505" i="2"/>
  <c r="D505" i="2"/>
  <c r="H505" i="2" s="1"/>
  <c r="K504" i="2"/>
  <c r="I504" i="2"/>
  <c r="D504" i="2"/>
  <c r="G504" i="2" s="1"/>
  <c r="K503" i="2"/>
  <c r="I503" i="2"/>
  <c r="D503" i="2"/>
  <c r="G503" i="2" s="1"/>
  <c r="K502" i="2"/>
  <c r="I502" i="2"/>
  <c r="D502" i="2"/>
  <c r="G502" i="2" s="1"/>
  <c r="K501" i="2"/>
  <c r="I501" i="2"/>
  <c r="D501" i="2"/>
  <c r="H501" i="2" s="1"/>
  <c r="K500" i="2"/>
  <c r="I500" i="2"/>
  <c r="D500" i="2"/>
  <c r="G500" i="2" s="1"/>
  <c r="K499" i="2"/>
  <c r="I499" i="2"/>
  <c r="D499" i="2"/>
  <c r="K498" i="2"/>
  <c r="I498" i="2"/>
  <c r="D498" i="2"/>
  <c r="G498" i="2" s="1"/>
  <c r="K497" i="2"/>
  <c r="I497" i="2"/>
  <c r="D497" i="2"/>
  <c r="F497" i="2" s="1"/>
  <c r="K496" i="2"/>
  <c r="I496" i="2"/>
  <c r="D496" i="2"/>
  <c r="G496" i="2" s="1"/>
  <c r="K495" i="2"/>
  <c r="I495" i="2"/>
  <c r="D495" i="2"/>
  <c r="G495" i="2" s="1"/>
  <c r="K494" i="2"/>
  <c r="I494" i="2"/>
  <c r="D494" i="2"/>
  <c r="G494" i="2" s="1"/>
  <c r="K493" i="2"/>
  <c r="I493" i="2"/>
  <c r="D493" i="2"/>
  <c r="H493" i="2" s="1"/>
  <c r="K492" i="2"/>
  <c r="I492" i="2"/>
  <c r="D492" i="2"/>
  <c r="G492" i="2" s="1"/>
  <c r="K491" i="2"/>
  <c r="I491" i="2"/>
  <c r="D491" i="2"/>
  <c r="G491" i="2" s="1"/>
  <c r="K490" i="2"/>
  <c r="I490" i="2"/>
  <c r="D490" i="2"/>
  <c r="K489" i="2"/>
  <c r="I489" i="2"/>
  <c r="D489" i="2"/>
  <c r="G489" i="2" s="1"/>
  <c r="K488" i="2"/>
  <c r="I488" i="2"/>
  <c r="D488" i="2"/>
  <c r="G488" i="2" s="1"/>
  <c r="K487" i="2"/>
  <c r="I487" i="2"/>
  <c r="D487" i="2"/>
  <c r="K486" i="2"/>
  <c r="I486" i="2"/>
  <c r="D486" i="2"/>
  <c r="G486" i="2" s="1"/>
  <c r="K485" i="2"/>
  <c r="I485" i="2"/>
  <c r="D485" i="2"/>
  <c r="K484" i="2"/>
  <c r="I484" i="2"/>
  <c r="D484" i="2"/>
  <c r="K483" i="2"/>
  <c r="I483" i="2"/>
  <c r="D483" i="2"/>
  <c r="G483" i="2" s="1"/>
  <c r="K482" i="2"/>
  <c r="I482" i="2"/>
  <c r="D482" i="2"/>
  <c r="G482" i="2" s="1"/>
  <c r="K481" i="2"/>
  <c r="I481" i="2"/>
  <c r="D481" i="2"/>
  <c r="K480" i="2"/>
  <c r="I480" i="2"/>
  <c r="D480" i="2"/>
  <c r="G480" i="2" s="1"/>
  <c r="K479" i="2"/>
  <c r="I479" i="2"/>
  <c r="D479" i="2"/>
  <c r="G479" i="2" s="1"/>
  <c r="K478" i="2"/>
  <c r="I478" i="2"/>
  <c r="D478" i="2"/>
  <c r="G478" i="2" s="1"/>
  <c r="K477" i="2"/>
  <c r="I477" i="2"/>
  <c r="D477" i="2"/>
  <c r="H477" i="2" s="1"/>
  <c r="K476" i="2"/>
  <c r="I476" i="2"/>
  <c r="D476" i="2"/>
  <c r="G476" i="2" s="1"/>
  <c r="K475" i="2"/>
  <c r="I475" i="2"/>
  <c r="D475" i="2"/>
  <c r="G475" i="2" s="1"/>
  <c r="K474" i="2"/>
  <c r="I474" i="2"/>
  <c r="D474" i="2"/>
  <c r="G474" i="2" s="1"/>
  <c r="K473" i="2"/>
  <c r="I473" i="2"/>
  <c r="D473" i="2"/>
  <c r="G473" i="2" s="1"/>
  <c r="K472" i="2"/>
  <c r="I472" i="2"/>
  <c r="D472" i="2"/>
  <c r="G472" i="2" s="1"/>
  <c r="K471" i="2"/>
  <c r="I471" i="2"/>
  <c r="D471" i="2"/>
  <c r="K470" i="2"/>
  <c r="I470" i="2"/>
  <c r="D470" i="2"/>
  <c r="G470" i="2" s="1"/>
  <c r="K469" i="2"/>
  <c r="I469" i="2"/>
  <c r="D469" i="2"/>
  <c r="H469" i="2" s="1"/>
  <c r="K468" i="2"/>
  <c r="I468" i="2"/>
  <c r="D468" i="2"/>
  <c r="G468" i="2" s="1"/>
  <c r="K467" i="2"/>
  <c r="I467" i="2"/>
  <c r="D467" i="2"/>
  <c r="K466" i="2"/>
  <c r="I466" i="2"/>
  <c r="D466" i="2"/>
  <c r="G466" i="2" s="1"/>
  <c r="K465" i="2"/>
  <c r="I465" i="2"/>
  <c r="D465" i="2"/>
  <c r="G465" i="2" s="1"/>
  <c r="K464" i="2"/>
  <c r="I464" i="2"/>
  <c r="D464" i="2"/>
  <c r="G464" i="2" s="1"/>
  <c r="K463" i="2"/>
  <c r="I463" i="2"/>
  <c r="D463" i="2"/>
  <c r="G463" i="2" s="1"/>
  <c r="K462" i="2"/>
  <c r="I462" i="2"/>
  <c r="D462" i="2"/>
  <c r="G462" i="2" s="1"/>
  <c r="K461" i="2"/>
  <c r="I461" i="2"/>
  <c r="D461" i="2"/>
  <c r="H461" i="2" s="1"/>
  <c r="K460" i="2"/>
  <c r="I460" i="2"/>
  <c r="D460" i="2"/>
  <c r="G460" i="2" s="1"/>
  <c r="K459" i="2"/>
  <c r="I459" i="2"/>
  <c r="D459" i="2"/>
  <c r="G459" i="2" s="1"/>
  <c r="K458" i="2"/>
  <c r="I458" i="2"/>
  <c r="D458" i="2"/>
  <c r="K457" i="2"/>
  <c r="I457" i="2"/>
  <c r="D457" i="2"/>
  <c r="G457" i="2" s="1"/>
  <c r="K456" i="2"/>
  <c r="I456" i="2"/>
  <c r="D456" i="2"/>
  <c r="G456" i="2" s="1"/>
  <c r="K455" i="2"/>
  <c r="I455" i="2"/>
  <c r="D455" i="2"/>
  <c r="K454" i="2"/>
  <c r="I454" i="2"/>
  <c r="D454" i="2"/>
  <c r="G454" i="2" s="1"/>
  <c r="K453" i="2"/>
  <c r="I453" i="2"/>
  <c r="D453" i="2"/>
  <c r="K452" i="2"/>
  <c r="I452" i="2"/>
  <c r="D452" i="2"/>
  <c r="K451" i="2"/>
  <c r="I451" i="2"/>
  <c r="D451" i="2"/>
  <c r="G451" i="2" s="1"/>
  <c r="K450" i="2"/>
  <c r="I450" i="2"/>
  <c r="D450" i="2"/>
  <c r="K449" i="2"/>
  <c r="I449" i="2"/>
  <c r="D449" i="2"/>
  <c r="K448" i="2"/>
  <c r="I448" i="2"/>
  <c r="D448" i="2"/>
  <c r="G448" i="2" s="1"/>
  <c r="K447" i="2"/>
  <c r="I447" i="2"/>
  <c r="D447" i="2"/>
  <c r="H447" i="2" s="1"/>
  <c r="K446" i="2"/>
  <c r="I446" i="2"/>
  <c r="D446" i="2"/>
  <c r="G446" i="2" s="1"/>
  <c r="K445" i="2"/>
  <c r="I445" i="2"/>
  <c r="D445" i="2"/>
  <c r="H445" i="2" s="1"/>
  <c r="K444" i="2"/>
  <c r="I444" i="2"/>
  <c r="D444" i="2"/>
  <c r="G444" i="2" s="1"/>
  <c r="K443" i="2"/>
  <c r="I443" i="2"/>
  <c r="D443" i="2"/>
  <c r="G443" i="2" s="1"/>
  <c r="K442" i="2"/>
  <c r="I442" i="2"/>
  <c r="D442" i="2"/>
  <c r="G442" i="2" s="1"/>
  <c r="K441" i="2"/>
  <c r="I441" i="2"/>
  <c r="D441" i="2"/>
  <c r="G441" i="2" s="1"/>
  <c r="K440" i="2"/>
  <c r="I440" i="2"/>
  <c r="D440" i="2"/>
  <c r="G440" i="2" s="1"/>
  <c r="K439" i="2"/>
  <c r="I439" i="2"/>
  <c r="D439" i="2"/>
  <c r="G439" i="2" s="1"/>
  <c r="K438" i="2"/>
  <c r="I438" i="2"/>
  <c r="D438" i="2"/>
  <c r="F438" i="2" s="1"/>
  <c r="K437" i="2"/>
  <c r="I437" i="2"/>
  <c r="D437" i="2"/>
  <c r="H437" i="2" s="1"/>
  <c r="K436" i="2"/>
  <c r="I436" i="2"/>
  <c r="D436" i="2"/>
  <c r="F436" i="2" s="1"/>
  <c r="K435" i="2"/>
  <c r="I435" i="2"/>
  <c r="D435" i="2"/>
  <c r="G435" i="2" s="1"/>
  <c r="K434" i="2"/>
  <c r="I434" i="2"/>
  <c r="D434" i="2"/>
  <c r="G434" i="2" s="1"/>
  <c r="K433" i="2"/>
  <c r="I433" i="2"/>
  <c r="D433" i="2"/>
  <c r="H433" i="2" s="1"/>
  <c r="K432" i="2"/>
  <c r="I432" i="2"/>
  <c r="D432" i="2"/>
  <c r="K431" i="2"/>
  <c r="I431" i="2"/>
  <c r="D431" i="2"/>
  <c r="F431" i="2" s="1"/>
  <c r="K430" i="2"/>
  <c r="I430" i="2"/>
  <c r="D430" i="2"/>
  <c r="G430" i="2" s="1"/>
  <c r="K429" i="2"/>
  <c r="I429" i="2"/>
  <c r="E429" i="2"/>
  <c r="D429" i="2"/>
  <c r="F429" i="2" s="1"/>
  <c r="K428" i="2"/>
  <c r="I428" i="2"/>
  <c r="D428" i="2"/>
  <c r="G428" i="2" s="1"/>
  <c r="K427" i="2"/>
  <c r="I427" i="2"/>
  <c r="D427" i="2"/>
  <c r="G427" i="2" s="1"/>
  <c r="K426" i="2"/>
  <c r="I426" i="2"/>
  <c r="D426" i="2"/>
  <c r="H426" i="2" s="1"/>
  <c r="K425" i="2"/>
  <c r="I425" i="2"/>
  <c r="D425" i="2"/>
  <c r="G425" i="2" s="1"/>
  <c r="K424" i="2"/>
  <c r="I424" i="2"/>
  <c r="D424" i="2"/>
  <c r="K423" i="2"/>
  <c r="I423" i="2"/>
  <c r="D423" i="2"/>
  <c r="G423" i="2" s="1"/>
  <c r="K422" i="2"/>
  <c r="I422" i="2"/>
  <c r="D422" i="2"/>
  <c r="H422" i="2" s="1"/>
  <c r="K421" i="2"/>
  <c r="I421" i="2"/>
  <c r="D421" i="2"/>
  <c r="G421" i="2" s="1"/>
  <c r="K420" i="2"/>
  <c r="I420" i="2"/>
  <c r="D420" i="2"/>
  <c r="G420" i="2" s="1"/>
  <c r="K419" i="2"/>
  <c r="I419" i="2"/>
  <c r="D419" i="2"/>
  <c r="G419" i="2" s="1"/>
  <c r="K418" i="2"/>
  <c r="I418" i="2"/>
  <c r="D418" i="2"/>
  <c r="F418" i="2" s="1"/>
  <c r="K417" i="2"/>
  <c r="I417" i="2"/>
  <c r="D417" i="2"/>
  <c r="G417" i="2" s="1"/>
  <c r="K416" i="2"/>
  <c r="I416" i="2"/>
  <c r="D416" i="2"/>
  <c r="G416" i="2" s="1"/>
  <c r="K415" i="2"/>
  <c r="I415" i="2"/>
  <c r="D415" i="2"/>
  <c r="K414" i="2"/>
  <c r="I414" i="2"/>
  <c r="D414" i="2"/>
  <c r="G414" i="2" s="1"/>
  <c r="K413" i="2"/>
  <c r="I413" i="2"/>
  <c r="D413" i="2"/>
  <c r="G413" i="2" s="1"/>
  <c r="K412" i="2"/>
  <c r="I412" i="2"/>
  <c r="D412" i="2"/>
  <c r="K411" i="2"/>
  <c r="I411" i="2"/>
  <c r="D411" i="2"/>
  <c r="G411" i="2" s="1"/>
  <c r="K410" i="2"/>
  <c r="I410" i="2"/>
  <c r="D410" i="2"/>
  <c r="G410" i="2" s="1"/>
  <c r="K409" i="2"/>
  <c r="I409" i="2"/>
  <c r="D409" i="2"/>
  <c r="K408" i="2"/>
  <c r="I408" i="2"/>
  <c r="D408" i="2"/>
  <c r="G408" i="2" s="1"/>
  <c r="K407" i="2"/>
  <c r="I407" i="2"/>
  <c r="D407" i="2"/>
  <c r="G407" i="2" s="1"/>
  <c r="K406" i="2"/>
  <c r="I406" i="2"/>
  <c r="D406" i="2"/>
  <c r="K405" i="2"/>
  <c r="I405" i="2"/>
  <c r="D405" i="2"/>
  <c r="G405" i="2" s="1"/>
  <c r="K404" i="2"/>
  <c r="I404" i="2"/>
  <c r="D404" i="2"/>
  <c r="K403" i="2"/>
  <c r="I403" i="2"/>
  <c r="D403" i="2"/>
  <c r="G403" i="2" s="1"/>
  <c r="K402" i="2"/>
  <c r="I402" i="2"/>
  <c r="D402" i="2"/>
  <c r="H402" i="2" s="1"/>
  <c r="K401" i="2"/>
  <c r="I401" i="2"/>
  <c r="D401" i="2"/>
  <c r="H401" i="2" s="1"/>
  <c r="K400" i="2"/>
  <c r="I400" i="2"/>
  <c r="D400" i="2"/>
  <c r="G400" i="2" s="1"/>
  <c r="K399" i="2"/>
  <c r="I399" i="2"/>
  <c r="D399" i="2"/>
  <c r="K398" i="2"/>
  <c r="I398" i="2"/>
  <c r="D398" i="2"/>
  <c r="H398" i="2" s="1"/>
  <c r="K397" i="2"/>
  <c r="I397" i="2"/>
  <c r="D397" i="2"/>
  <c r="G397" i="2" s="1"/>
  <c r="K396" i="2"/>
  <c r="I396" i="2"/>
  <c r="D396" i="2"/>
  <c r="G396" i="2" s="1"/>
  <c r="K395" i="2"/>
  <c r="I395" i="2"/>
  <c r="D395" i="2"/>
  <c r="G395" i="2" s="1"/>
  <c r="K394" i="2"/>
  <c r="I394" i="2"/>
  <c r="D394" i="2"/>
  <c r="H394" i="2" s="1"/>
  <c r="K393" i="2"/>
  <c r="I393" i="2"/>
  <c r="D393" i="2"/>
  <c r="G393" i="2" s="1"/>
  <c r="K392" i="2"/>
  <c r="I392" i="2"/>
  <c r="D392" i="2"/>
  <c r="F392" i="2" s="1"/>
  <c r="K391" i="2"/>
  <c r="I391" i="2"/>
  <c r="D391" i="2"/>
  <c r="G391" i="2" s="1"/>
  <c r="K390" i="2"/>
  <c r="I390" i="2"/>
  <c r="D390" i="2"/>
  <c r="H390" i="2" s="1"/>
  <c r="K389" i="2"/>
  <c r="I389" i="2"/>
  <c r="D389" i="2"/>
  <c r="G389" i="2" s="1"/>
  <c r="K388" i="2"/>
  <c r="I388" i="2"/>
  <c r="D388" i="2"/>
  <c r="G388" i="2" s="1"/>
  <c r="K387" i="2"/>
  <c r="I387" i="2"/>
  <c r="D387" i="2"/>
  <c r="G387" i="2" s="1"/>
  <c r="K386" i="2"/>
  <c r="I386" i="2"/>
  <c r="D386" i="2"/>
  <c r="F386" i="2" s="1"/>
  <c r="K385" i="2"/>
  <c r="I385" i="2"/>
  <c r="D385" i="2"/>
  <c r="G385" i="2" s="1"/>
  <c r="K384" i="2"/>
  <c r="I384" i="2"/>
  <c r="D384" i="2"/>
  <c r="H384" i="2" s="1"/>
  <c r="K383" i="2"/>
  <c r="I383" i="2"/>
  <c r="D383" i="2"/>
  <c r="K382" i="2"/>
  <c r="I382" i="2"/>
  <c r="D382" i="2"/>
  <c r="H382" i="2" s="1"/>
  <c r="K381" i="2"/>
  <c r="I381" i="2"/>
  <c r="D381" i="2"/>
  <c r="K380" i="2"/>
  <c r="I380" i="2"/>
  <c r="D380" i="2"/>
  <c r="F380" i="2" s="1"/>
  <c r="K379" i="2"/>
  <c r="I379" i="2"/>
  <c r="D379" i="2"/>
  <c r="G379" i="2" s="1"/>
  <c r="K378" i="2"/>
  <c r="I378" i="2"/>
  <c r="D378" i="2"/>
  <c r="H378" i="2" s="1"/>
  <c r="K377" i="2"/>
  <c r="I377" i="2"/>
  <c r="D377" i="2"/>
  <c r="G377" i="2" s="1"/>
  <c r="K376" i="2"/>
  <c r="I376" i="2"/>
  <c r="D376" i="2"/>
  <c r="K375" i="2"/>
  <c r="I375" i="2"/>
  <c r="D375" i="2"/>
  <c r="G375" i="2" s="1"/>
  <c r="K374" i="2"/>
  <c r="I374" i="2"/>
  <c r="D374" i="2"/>
  <c r="G374" i="2" s="1"/>
  <c r="K373" i="2"/>
  <c r="I373" i="2"/>
  <c r="D373" i="2"/>
  <c r="K372" i="2"/>
  <c r="I372" i="2"/>
  <c r="D372" i="2"/>
  <c r="G372" i="2" s="1"/>
  <c r="K371" i="2"/>
  <c r="I371" i="2"/>
  <c r="D371" i="2"/>
  <c r="G371" i="2" s="1"/>
  <c r="K370" i="2"/>
  <c r="I370" i="2"/>
  <c r="D370" i="2"/>
  <c r="H370" i="2" s="1"/>
  <c r="K369" i="2"/>
  <c r="I369" i="2"/>
  <c r="D369" i="2"/>
  <c r="G369" i="2" s="1"/>
  <c r="K368" i="2"/>
  <c r="I368" i="2"/>
  <c r="D368" i="2"/>
  <c r="F368" i="2" s="1"/>
  <c r="K367" i="2"/>
  <c r="I367" i="2"/>
  <c r="D367" i="2"/>
  <c r="G367" i="2" s="1"/>
  <c r="K366" i="2"/>
  <c r="I366" i="2"/>
  <c r="D366" i="2"/>
  <c r="H366" i="2" s="1"/>
  <c r="K365" i="2"/>
  <c r="I365" i="2"/>
  <c r="D365" i="2"/>
  <c r="G365" i="2" s="1"/>
  <c r="K364" i="2"/>
  <c r="I364" i="2"/>
  <c r="D364" i="2"/>
  <c r="F364" i="2" s="1"/>
  <c r="K363" i="2"/>
  <c r="I363" i="2"/>
  <c r="D363" i="2"/>
  <c r="G363" i="2" s="1"/>
  <c r="K362" i="2"/>
  <c r="I362" i="2"/>
  <c r="D362" i="2"/>
  <c r="H362" i="2" s="1"/>
  <c r="K361" i="2"/>
  <c r="I361" i="2"/>
  <c r="D361" i="2"/>
  <c r="G361" i="2" s="1"/>
  <c r="K360" i="2"/>
  <c r="I360" i="2"/>
  <c r="D360" i="2"/>
  <c r="K359" i="2"/>
  <c r="I359" i="2"/>
  <c r="D359" i="2"/>
  <c r="G359" i="2" s="1"/>
  <c r="K358" i="2"/>
  <c r="I358" i="2"/>
  <c r="D358" i="2"/>
  <c r="G358" i="2" s="1"/>
  <c r="K357" i="2"/>
  <c r="I357" i="2"/>
  <c r="D357" i="2"/>
  <c r="K356" i="2"/>
  <c r="I356" i="2"/>
  <c r="D356" i="2"/>
  <c r="G356" i="2" s="1"/>
  <c r="K355" i="2"/>
  <c r="I355" i="2"/>
  <c r="D355" i="2"/>
  <c r="G355" i="2" s="1"/>
  <c r="K354" i="2"/>
  <c r="I354" i="2"/>
  <c r="D354" i="2"/>
  <c r="F354" i="2" s="1"/>
  <c r="K353" i="2"/>
  <c r="I353" i="2"/>
  <c r="D353" i="2"/>
  <c r="G353" i="2" s="1"/>
  <c r="K352" i="2"/>
  <c r="I352" i="2"/>
  <c r="D352" i="2"/>
  <c r="K351" i="2"/>
  <c r="I351" i="2"/>
  <c r="D351" i="2"/>
  <c r="G351" i="2" s="1"/>
  <c r="K350" i="2"/>
  <c r="I350" i="2"/>
  <c r="D350" i="2"/>
  <c r="H350" i="2" s="1"/>
  <c r="K349" i="2"/>
  <c r="I349" i="2"/>
  <c r="D349" i="2"/>
  <c r="G349" i="2" s="1"/>
  <c r="K348" i="2"/>
  <c r="I348" i="2"/>
  <c r="D348" i="2"/>
  <c r="F348" i="2" s="1"/>
  <c r="K347" i="2"/>
  <c r="I347" i="2"/>
  <c r="D347" i="2"/>
  <c r="G347" i="2" s="1"/>
  <c r="K346" i="2"/>
  <c r="I346" i="2"/>
  <c r="D346" i="2"/>
  <c r="H346" i="2" s="1"/>
  <c r="K345" i="2"/>
  <c r="I345" i="2"/>
  <c r="D345" i="2"/>
  <c r="G345" i="2" s="1"/>
  <c r="K344" i="2"/>
  <c r="I344" i="2"/>
  <c r="D344" i="2"/>
  <c r="K343" i="2"/>
  <c r="I343" i="2"/>
  <c r="D343" i="2"/>
  <c r="G343" i="2" s="1"/>
  <c r="K342" i="2"/>
  <c r="I342" i="2"/>
  <c r="D342" i="2"/>
  <c r="G342" i="2" s="1"/>
  <c r="K341" i="2"/>
  <c r="I341" i="2"/>
  <c r="D341" i="2"/>
  <c r="K340" i="2"/>
  <c r="I340" i="2"/>
  <c r="D340" i="2"/>
  <c r="G340" i="2" s="1"/>
  <c r="K339" i="2"/>
  <c r="I339" i="2"/>
  <c r="D339" i="2"/>
  <c r="G339" i="2" s="1"/>
  <c r="K338" i="2"/>
  <c r="I338" i="2"/>
  <c r="D338" i="2"/>
  <c r="H338" i="2" s="1"/>
  <c r="K337" i="2"/>
  <c r="I337" i="2"/>
  <c r="D337" i="2"/>
  <c r="G337" i="2" s="1"/>
  <c r="K336" i="2"/>
  <c r="I336" i="2"/>
  <c r="D336" i="2"/>
  <c r="H336" i="2" s="1"/>
  <c r="K335" i="2"/>
  <c r="I335" i="2"/>
  <c r="D335" i="2"/>
  <c r="G335" i="2" s="1"/>
  <c r="K334" i="2"/>
  <c r="I334" i="2"/>
  <c r="D334" i="2"/>
  <c r="H334" i="2" s="1"/>
  <c r="K333" i="2"/>
  <c r="I333" i="2"/>
  <c r="D333" i="2"/>
  <c r="G333" i="2" s="1"/>
  <c r="K332" i="2"/>
  <c r="I332" i="2"/>
  <c r="D332" i="2"/>
  <c r="G332" i="2" s="1"/>
  <c r="K331" i="2"/>
  <c r="I331" i="2"/>
  <c r="D331" i="2"/>
  <c r="G331" i="2" s="1"/>
  <c r="K330" i="2"/>
  <c r="I330" i="2"/>
  <c r="D330" i="2"/>
  <c r="K329" i="2"/>
  <c r="I329" i="2"/>
  <c r="D329" i="2"/>
  <c r="G329" i="2" s="1"/>
  <c r="K328" i="2"/>
  <c r="I328" i="2"/>
  <c r="D328" i="2"/>
  <c r="K327" i="2"/>
  <c r="I327" i="2"/>
  <c r="D327" i="2"/>
  <c r="G327" i="2" s="1"/>
  <c r="K326" i="2"/>
  <c r="I326" i="2"/>
  <c r="D326" i="2"/>
  <c r="G326" i="2" s="1"/>
  <c r="K325" i="2"/>
  <c r="I325" i="2"/>
  <c r="D325" i="2"/>
  <c r="K324" i="2"/>
  <c r="I324" i="2"/>
  <c r="D324" i="2"/>
  <c r="H324" i="2" s="1"/>
  <c r="K323" i="2"/>
  <c r="I323" i="2"/>
  <c r="D323" i="2"/>
  <c r="G323" i="2" s="1"/>
  <c r="K322" i="2"/>
  <c r="I322" i="2"/>
  <c r="D322" i="2"/>
  <c r="F322" i="2" s="1"/>
  <c r="K321" i="2"/>
  <c r="I321" i="2"/>
  <c r="D321" i="2"/>
  <c r="G321" i="2" s="1"/>
  <c r="K320" i="2"/>
  <c r="I320" i="2"/>
  <c r="D320" i="2"/>
  <c r="H320" i="2" s="1"/>
  <c r="K319" i="2"/>
  <c r="I319" i="2"/>
  <c r="D319" i="2"/>
  <c r="K318" i="2"/>
  <c r="I318" i="2"/>
  <c r="D318" i="2"/>
  <c r="H318" i="2" s="1"/>
  <c r="K317" i="2"/>
  <c r="I317" i="2"/>
  <c r="D317" i="2"/>
  <c r="G317" i="2" s="1"/>
  <c r="K316" i="2"/>
  <c r="I316" i="2"/>
  <c r="D316" i="2"/>
  <c r="F316" i="2" s="1"/>
  <c r="K315" i="2"/>
  <c r="I315" i="2"/>
  <c r="D315" i="2"/>
  <c r="G315" i="2" s="1"/>
  <c r="K314" i="2"/>
  <c r="I314" i="2"/>
  <c r="D314" i="2"/>
  <c r="H314" i="2" s="1"/>
  <c r="K313" i="2"/>
  <c r="I313" i="2"/>
  <c r="D313" i="2"/>
  <c r="G313" i="2" s="1"/>
  <c r="K312" i="2"/>
  <c r="I312" i="2"/>
  <c r="D312" i="2"/>
  <c r="K311" i="2"/>
  <c r="I311" i="2"/>
  <c r="D311" i="2"/>
  <c r="G311" i="2" s="1"/>
  <c r="K310" i="2"/>
  <c r="I310" i="2"/>
  <c r="D310" i="2"/>
  <c r="G310" i="2" s="1"/>
  <c r="K309" i="2"/>
  <c r="I309" i="2"/>
  <c r="D309" i="2"/>
  <c r="K308" i="2"/>
  <c r="I308" i="2"/>
  <c r="D308" i="2"/>
  <c r="H308" i="2" s="1"/>
  <c r="K307" i="2"/>
  <c r="I307" i="2"/>
  <c r="D307" i="2"/>
  <c r="G307" i="2" s="1"/>
  <c r="K306" i="2"/>
  <c r="I306" i="2"/>
  <c r="D306" i="2"/>
  <c r="H306" i="2" s="1"/>
  <c r="K305" i="2"/>
  <c r="I305" i="2"/>
  <c r="D305" i="2"/>
  <c r="G305" i="2" s="1"/>
  <c r="K304" i="2"/>
  <c r="I304" i="2"/>
  <c r="D304" i="2"/>
  <c r="H304" i="2" s="1"/>
  <c r="K303" i="2"/>
  <c r="I303" i="2"/>
  <c r="D303" i="2"/>
  <c r="G303" i="2" s="1"/>
  <c r="K302" i="2"/>
  <c r="I302" i="2"/>
  <c r="D302" i="2"/>
  <c r="H302" i="2" s="1"/>
  <c r="K301" i="2"/>
  <c r="I301" i="2"/>
  <c r="D301" i="2"/>
  <c r="G301" i="2" s="1"/>
  <c r="K300" i="2"/>
  <c r="I300" i="2"/>
  <c r="D300" i="2"/>
  <c r="F300" i="2" s="1"/>
  <c r="K299" i="2"/>
  <c r="I299" i="2"/>
  <c r="D299" i="2"/>
  <c r="G299" i="2" s="1"/>
  <c r="K298" i="2"/>
  <c r="I298" i="2"/>
  <c r="D298" i="2"/>
  <c r="H298" i="2" s="1"/>
  <c r="K297" i="2"/>
  <c r="I297" i="2"/>
  <c r="D297" i="2"/>
  <c r="G297" i="2" s="1"/>
  <c r="K296" i="2"/>
  <c r="I296" i="2"/>
  <c r="D296" i="2"/>
  <c r="K295" i="2"/>
  <c r="I295" i="2"/>
  <c r="D295" i="2"/>
  <c r="G295" i="2" s="1"/>
  <c r="K294" i="2"/>
  <c r="I294" i="2"/>
  <c r="D294" i="2"/>
  <c r="G294" i="2" s="1"/>
  <c r="K293" i="2"/>
  <c r="I293" i="2"/>
  <c r="D293" i="2"/>
  <c r="K292" i="2"/>
  <c r="I292" i="2"/>
  <c r="D292" i="2"/>
  <c r="H292" i="2" s="1"/>
  <c r="K291" i="2"/>
  <c r="I291" i="2"/>
  <c r="D291" i="2"/>
  <c r="G291" i="2" s="1"/>
  <c r="K290" i="2"/>
  <c r="I290" i="2"/>
  <c r="D290" i="2"/>
  <c r="H290" i="2" s="1"/>
  <c r="K289" i="2"/>
  <c r="I289" i="2"/>
  <c r="D289" i="2"/>
  <c r="G289" i="2" s="1"/>
  <c r="K288" i="2"/>
  <c r="I288" i="2"/>
  <c r="D288" i="2"/>
  <c r="F288" i="2" s="1"/>
  <c r="K287" i="2"/>
  <c r="I287" i="2"/>
  <c r="D287" i="2"/>
  <c r="K286" i="2"/>
  <c r="I286" i="2"/>
  <c r="E286" i="2"/>
  <c r="D286" i="2"/>
  <c r="F286" i="2" s="1"/>
  <c r="K285" i="2"/>
  <c r="I285" i="2"/>
  <c r="D285" i="2"/>
  <c r="F285" i="2" s="1"/>
  <c r="K284" i="2"/>
  <c r="I284" i="2"/>
  <c r="D284" i="2"/>
  <c r="G284" i="2" s="1"/>
  <c r="K283" i="2"/>
  <c r="I283" i="2"/>
  <c r="D283" i="2"/>
  <c r="F283" i="2" s="1"/>
  <c r="K282" i="2"/>
  <c r="I282" i="2"/>
  <c r="D282" i="2"/>
  <c r="G282" i="2" s="1"/>
  <c r="K281" i="2"/>
  <c r="I281" i="2"/>
  <c r="D281" i="2"/>
  <c r="K280" i="2"/>
  <c r="I280" i="2"/>
  <c r="D280" i="2"/>
  <c r="G280" i="2" s="1"/>
  <c r="K279" i="2"/>
  <c r="I279" i="2"/>
  <c r="D279" i="2"/>
  <c r="G279" i="2" s="1"/>
  <c r="K278" i="2"/>
  <c r="I278" i="2"/>
  <c r="D278" i="2"/>
  <c r="K277" i="2"/>
  <c r="I277" i="2"/>
  <c r="D277" i="2"/>
  <c r="H277" i="2" s="1"/>
  <c r="K276" i="2"/>
  <c r="I276" i="2"/>
  <c r="D276" i="2"/>
  <c r="G276" i="2" s="1"/>
  <c r="K275" i="2"/>
  <c r="I275" i="2"/>
  <c r="D275" i="2"/>
  <c r="F275" i="2" s="1"/>
  <c r="K274" i="2"/>
  <c r="I274" i="2"/>
  <c r="D274" i="2"/>
  <c r="G274" i="2" s="1"/>
  <c r="K273" i="2"/>
  <c r="I273" i="2"/>
  <c r="D273" i="2"/>
  <c r="H273" i="2" s="1"/>
  <c r="K272" i="2"/>
  <c r="I272" i="2"/>
  <c r="D272" i="2"/>
  <c r="G272" i="2" s="1"/>
  <c r="K271" i="2"/>
  <c r="I271" i="2"/>
  <c r="D271" i="2"/>
  <c r="H271" i="2" s="1"/>
  <c r="K270" i="2"/>
  <c r="I270" i="2"/>
  <c r="D270" i="2"/>
  <c r="G270" i="2" s="1"/>
  <c r="K269" i="2"/>
  <c r="I269" i="2"/>
  <c r="D269" i="2"/>
  <c r="F269" i="2" s="1"/>
  <c r="K268" i="2"/>
  <c r="I268" i="2"/>
  <c r="D268" i="2"/>
  <c r="G268" i="2" s="1"/>
  <c r="K267" i="2"/>
  <c r="I267" i="2"/>
  <c r="D267" i="2"/>
  <c r="F267" i="2" s="1"/>
  <c r="K266" i="2"/>
  <c r="I266" i="2"/>
  <c r="D266" i="2"/>
  <c r="G266" i="2" s="1"/>
  <c r="K265" i="2"/>
  <c r="I265" i="2"/>
  <c r="D265" i="2"/>
  <c r="K264" i="2"/>
  <c r="I264" i="2"/>
  <c r="D264" i="2"/>
  <c r="G264" i="2" s="1"/>
  <c r="K263" i="2"/>
  <c r="I263" i="2"/>
  <c r="D263" i="2"/>
  <c r="G263" i="2" s="1"/>
  <c r="K262" i="2"/>
  <c r="I262" i="2"/>
  <c r="D262" i="2"/>
  <c r="K261" i="2"/>
  <c r="I261" i="2"/>
  <c r="D261" i="2"/>
  <c r="H261" i="2" s="1"/>
  <c r="K260" i="2"/>
  <c r="I260" i="2"/>
  <c r="D260" i="2"/>
  <c r="G260" i="2" s="1"/>
  <c r="K259" i="2"/>
  <c r="I259" i="2"/>
  <c r="D259" i="2"/>
  <c r="H259" i="2" s="1"/>
  <c r="K258" i="2"/>
  <c r="I258" i="2"/>
  <c r="D258" i="2"/>
  <c r="G258" i="2" s="1"/>
  <c r="K257" i="2"/>
  <c r="I257" i="2"/>
  <c r="D257" i="2"/>
  <c r="G257" i="2" s="1"/>
  <c r="K256" i="2"/>
  <c r="I256" i="2"/>
  <c r="D256" i="2"/>
  <c r="G256" i="2" s="1"/>
  <c r="K255" i="2"/>
  <c r="I255" i="2"/>
  <c r="D255" i="2"/>
  <c r="H255" i="2" s="1"/>
  <c r="K254" i="2"/>
  <c r="I254" i="2"/>
  <c r="D254" i="2"/>
  <c r="G254" i="2" s="1"/>
  <c r="K253" i="2"/>
  <c r="I253" i="2"/>
  <c r="D253" i="2"/>
  <c r="F253" i="2" s="1"/>
  <c r="K252" i="2"/>
  <c r="I252" i="2"/>
  <c r="D252" i="2"/>
  <c r="G252" i="2" s="1"/>
  <c r="K251" i="2"/>
  <c r="I251" i="2"/>
  <c r="D251" i="2"/>
  <c r="F251" i="2" s="1"/>
  <c r="K250" i="2"/>
  <c r="I250" i="2"/>
  <c r="D250" i="2"/>
  <c r="G250" i="2" s="1"/>
  <c r="K249" i="2"/>
  <c r="I249" i="2"/>
  <c r="D249" i="2"/>
  <c r="K248" i="2"/>
  <c r="I248" i="2"/>
  <c r="D248" i="2"/>
  <c r="G248" i="2" s="1"/>
  <c r="K247" i="2"/>
  <c r="I247" i="2"/>
  <c r="D247" i="2"/>
  <c r="G247" i="2" s="1"/>
  <c r="K246" i="2"/>
  <c r="I246" i="2"/>
  <c r="D246" i="2"/>
  <c r="K245" i="2"/>
  <c r="I245" i="2"/>
  <c r="D245" i="2"/>
  <c r="H245" i="2" s="1"/>
  <c r="K244" i="2"/>
  <c r="I244" i="2"/>
  <c r="D244" i="2"/>
  <c r="G244" i="2" s="1"/>
  <c r="K243" i="2"/>
  <c r="I243" i="2"/>
  <c r="D243" i="2"/>
  <c r="G243" i="2" s="1"/>
  <c r="K242" i="2"/>
  <c r="I242" i="2"/>
  <c r="D242" i="2"/>
  <c r="G242" i="2" s="1"/>
  <c r="K241" i="2"/>
  <c r="I241" i="2"/>
  <c r="D241" i="2"/>
  <c r="H241" i="2" s="1"/>
  <c r="K240" i="2"/>
  <c r="I240" i="2"/>
  <c r="D240" i="2"/>
  <c r="G240" i="2" s="1"/>
  <c r="K239" i="2"/>
  <c r="I239" i="2"/>
  <c r="D239" i="2"/>
  <c r="H239" i="2" s="1"/>
  <c r="K238" i="2"/>
  <c r="I238" i="2"/>
  <c r="D238" i="2"/>
  <c r="G238" i="2" s="1"/>
  <c r="K237" i="2"/>
  <c r="I237" i="2"/>
  <c r="D237" i="2"/>
  <c r="F237" i="2" s="1"/>
  <c r="K236" i="2"/>
  <c r="I236" i="2"/>
  <c r="D236" i="2"/>
  <c r="G236" i="2" s="1"/>
  <c r="K235" i="2"/>
  <c r="I235" i="2"/>
  <c r="D235" i="2"/>
  <c r="F235" i="2" s="1"/>
  <c r="K234" i="2"/>
  <c r="I234" i="2"/>
  <c r="D234" i="2"/>
  <c r="G234" i="2" s="1"/>
  <c r="K233" i="2"/>
  <c r="I233" i="2"/>
  <c r="D233" i="2"/>
  <c r="K232" i="2"/>
  <c r="I232" i="2"/>
  <c r="D232" i="2"/>
  <c r="G232" i="2" s="1"/>
  <c r="K231" i="2"/>
  <c r="I231" i="2"/>
  <c r="D231" i="2"/>
  <c r="G231" i="2" s="1"/>
  <c r="K230" i="2"/>
  <c r="I230" i="2"/>
  <c r="D230" i="2"/>
  <c r="K229" i="2"/>
  <c r="I229" i="2"/>
  <c r="D229" i="2"/>
  <c r="H229" i="2" s="1"/>
  <c r="K228" i="2"/>
  <c r="I228" i="2"/>
  <c r="D228" i="2"/>
  <c r="G228" i="2" s="1"/>
  <c r="K227" i="2"/>
  <c r="I227" i="2"/>
  <c r="D227" i="2"/>
  <c r="H227" i="2" s="1"/>
  <c r="K226" i="2"/>
  <c r="I226" i="2"/>
  <c r="D226" i="2"/>
  <c r="G226" i="2" s="1"/>
  <c r="K225" i="2"/>
  <c r="I225" i="2"/>
  <c r="D225" i="2"/>
  <c r="H225" i="2" s="1"/>
  <c r="K224" i="2"/>
  <c r="I224" i="2"/>
  <c r="D224" i="2"/>
  <c r="G224" i="2" s="1"/>
  <c r="K223" i="2"/>
  <c r="I223" i="2"/>
  <c r="D223" i="2"/>
  <c r="H223" i="2" s="1"/>
  <c r="K222" i="2"/>
  <c r="I222" i="2"/>
  <c r="D222" i="2"/>
  <c r="G222" i="2" s="1"/>
  <c r="K221" i="2"/>
  <c r="I221" i="2"/>
  <c r="D221" i="2"/>
  <c r="F221" i="2" s="1"/>
  <c r="K220" i="2"/>
  <c r="I220" i="2"/>
  <c r="D220" i="2"/>
  <c r="G220" i="2" s="1"/>
  <c r="K219" i="2"/>
  <c r="I219" i="2"/>
  <c r="D219" i="2"/>
  <c r="F219" i="2" s="1"/>
  <c r="K218" i="2"/>
  <c r="I218" i="2"/>
  <c r="D218" i="2"/>
  <c r="G218" i="2" s="1"/>
  <c r="K217" i="2"/>
  <c r="I217" i="2"/>
  <c r="D217" i="2"/>
  <c r="K216" i="2"/>
  <c r="I216" i="2"/>
  <c r="D216" i="2"/>
  <c r="G216" i="2" s="1"/>
  <c r="K215" i="2"/>
  <c r="I215" i="2"/>
  <c r="D215" i="2"/>
  <c r="G215" i="2" s="1"/>
  <c r="K214" i="2"/>
  <c r="I214" i="2"/>
  <c r="D214" i="2"/>
  <c r="K213" i="2"/>
  <c r="I213" i="2"/>
  <c r="D213" i="2"/>
  <c r="G213" i="2" s="1"/>
  <c r="K212" i="2"/>
  <c r="I212" i="2"/>
  <c r="D212" i="2"/>
  <c r="G212" i="2" s="1"/>
  <c r="K211" i="2"/>
  <c r="I211" i="2"/>
  <c r="D211" i="2"/>
  <c r="H211" i="2" s="1"/>
  <c r="K210" i="2"/>
  <c r="I210" i="2"/>
  <c r="D210" i="2"/>
  <c r="G210" i="2" s="1"/>
  <c r="K209" i="2"/>
  <c r="I209" i="2"/>
  <c r="D209" i="2"/>
  <c r="H209" i="2" s="1"/>
  <c r="K208" i="2"/>
  <c r="I208" i="2"/>
  <c r="D208" i="2"/>
  <c r="G208" i="2" s="1"/>
  <c r="K207" i="2"/>
  <c r="I207" i="2"/>
  <c r="D207" i="2"/>
  <c r="H207" i="2" s="1"/>
  <c r="K206" i="2"/>
  <c r="I206" i="2"/>
  <c r="D206" i="2"/>
  <c r="G206" i="2" s="1"/>
  <c r="K205" i="2"/>
  <c r="I205" i="2"/>
  <c r="D205" i="2"/>
  <c r="F205" i="2" s="1"/>
  <c r="K204" i="2"/>
  <c r="I204" i="2"/>
  <c r="D204" i="2"/>
  <c r="G204" i="2" s="1"/>
  <c r="K203" i="2"/>
  <c r="I203" i="2"/>
  <c r="D203" i="2"/>
  <c r="F203" i="2" s="1"/>
  <c r="K202" i="2"/>
  <c r="I202" i="2"/>
  <c r="D202" i="2"/>
  <c r="G202" i="2" s="1"/>
  <c r="K201" i="2"/>
  <c r="I201" i="2"/>
  <c r="D201" i="2"/>
  <c r="K200" i="2"/>
  <c r="I200" i="2"/>
  <c r="D200" i="2"/>
  <c r="K199" i="2"/>
  <c r="I199" i="2"/>
  <c r="D199" i="2"/>
  <c r="G199" i="2" s="1"/>
  <c r="K198" i="2"/>
  <c r="I198" i="2"/>
  <c r="D198" i="2"/>
  <c r="K197" i="2"/>
  <c r="I197" i="2"/>
  <c r="D197" i="2"/>
  <c r="G197" i="2" s="1"/>
  <c r="K196" i="2"/>
  <c r="I196" i="2"/>
  <c r="D196" i="2"/>
  <c r="G196" i="2" s="1"/>
  <c r="K195" i="2"/>
  <c r="I195" i="2"/>
  <c r="D195" i="2"/>
  <c r="F195" i="2" s="1"/>
  <c r="K194" i="2"/>
  <c r="I194" i="2"/>
  <c r="D194" i="2"/>
  <c r="G194" i="2" s="1"/>
  <c r="K193" i="2"/>
  <c r="I193" i="2"/>
  <c r="D193" i="2"/>
  <c r="K192" i="2"/>
  <c r="I192" i="2"/>
  <c r="D192" i="2"/>
  <c r="G192" i="2" s="1"/>
  <c r="K191" i="2"/>
  <c r="I191" i="2"/>
  <c r="D191" i="2"/>
  <c r="H191" i="2" s="1"/>
  <c r="K190" i="2"/>
  <c r="I190" i="2"/>
  <c r="D190" i="2"/>
  <c r="G190" i="2" s="1"/>
  <c r="K189" i="2"/>
  <c r="I189" i="2"/>
  <c r="D189" i="2"/>
  <c r="F189" i="2" s="1"/>
  <c r="K188" i="2"/>
  <c r="I188" i="2"/>
  <c r="D188" i="2"/>
  <c r="G188" i="2" s="1"/>
  <c r="K187" i="2"/>
  <c r="I187" i="2"/>
  <c r="D187" i="2"/>
  <c r="F187" i="2" s="1"/>
  <c r="K186" i="2"/>
  <c r="I186" i="2"/>
  <c r="D186" i="2"/>
  <c r="G186" i="2" s="1"/>
  <c r="K185" i="2"/>
  <c r="I185" i="2"/>
  <c r="D185" i="2"/>
  <c r="K184" i="2"/>
  <c r="I184" i="2"/>
  <c r="D184" i="2"/>
  <c r="G184" i="2" s="1"/>
  <c r="K183" i="2"/>
  <c r="I183" i="2"/>
  <c r="D183" i="2"/>
  <c r="G183" i="2" s="1"/>
  <c r="K182" i="2"/>
  <c r="I182" i="2"/>
  <c r="D182" i="2"/>
  <c r="K181" i="2"/>
  <c r="I181" i="2"/>
  <c r="D181" i="2"/>
  <c r="G181" i="2" s="1"/>
  <c r="K180" i="2"/>
  <c r="I180" i="2"/>
  <c r="D180" i="2"/>
  <c r="G180" i="2" s="1"/>
  <c r="K179" i="2"/>
  <c r="I179" i="2"/>
  <c r="D179" i="2"/>
  <c r="H179" i="2" s="1"/>
  <c r="K178" i="2"/>
  <c r="I178" i="2"/>
  <c r="D178" i="2"/>
  <c r="G178" i="2" s="1"/>
  <c r="K177" i="2"/>
  <c r="I177" i="2"/>
  <c r="D177" i="2"/>
  <c r="G177" i="2" s="1"/>
  <c r="K176" i="2"/>
  <c r="I176" i="2"/>
  <c r="D176" i="2"/>
  <c r="G176" i="2" s="1"/>
  <c r="K175" i="2"/>
  <c r="I175" i="2"/>
  <c r="D175" i="2"/>
  <c r="H175" i="2" s="1"/>
  <c r="K174" i="2"/>
  <c r="I174" i="2"/>
  <c r="D174" i="2"/>
  <c r="G174" i="2" s="1"/>
  <c r="K173" i="2"/>
  <c r="I173" i="2"/>
  <c r="D173" i="2"/>
  <c r="F173" i="2" s="1"/>
  <c r="K172" i="2"/>
  <c r="I172" i="2"/>
  <c r="D172" i="2"/>
  <c r="G172" i="2" s="1"/>
  <c r="K171" i="2"/>
  <c r="I171" i="2"/>
  <c r="D171" i="2"/>
  <c r="F171" i="2" s="1"/>
  <c r="K170" i="2"/>
  <c r="I170" i="2"/>
  <c r="D170" i="2"/>
  <c r="G170" i="2" s="1"/>
  <c r="K169" i="2"/>
  <c r="I169" i="2"/>
  <c r="D169" i="2"/>
  <c r="I168" i="2"/>
  <c r="D168" i="2"/>
  <c r="H168" i="2" s="1"/>
  <c r="I167" i="2"/>
  <c r="D167" i="2"/>
  <c r="G167" i="2" s="1"/>
  <c r="I166" i="2"/>
  <c r="D166" i="2"/>
  <c r="F166" i="2" s="1"/>
  <c r="I165" i="2"/>
  <c r="D165" i="2"/>
  <c r="G165" i="2" s="1"/>
  <c r="I164" i="2"/>
  <c r="D164" i="2"/>
  <c r="H164" i="2" s="1"/>
  <c r="I163" i="2"/>
  <c r="D163" i="2"/>
  <c r="G163" i="2" s="1"/>
  <c r="I162" i="2"/>
  <c r="D162" i="2"/>
  <c r="H162" i="2" s="1"/>
  <c r="I161" i="2"/>
  <c r="D161" i="2"/>
  <c r="G161" i="2" s="1"/>
  <c r="I160" i="2"/>
  <c r="D160" i="2"/>
  <c r="H160" i="2" s="1"/>
  <c r="I159" i="2"/>
  <c r="D159" i="2"/>
  <c r="G159" i="2" s="1"/>
  <c r="I158" i="2"/>
  <c r="D158" i="2"/>
  <c r="F158" i="2" s="1"/>
  <c r="I157" i="2"/>
  <c r="D157" i="2"/>
  <c r="F157" i="2" s="1"/>
  <c r="I156" i="2"/>
  <c r="D156" i="2"/>
  <c r="H156" i="2" s="1"/>
  <c r="I155" i="2"/>
  <c r="D155" i="2"/>
  <c r="G155" i="2" s="1"/>
  <c r="I154" i="2"/>
  <c r="D154" i="2"/>
  <c r="H154" i="2" s="1"/>
  <c r="I153" i="2"/>
  <c r="D153" i="2"/>
  <c r="I152" i="2"/>
  <c r="D152" i="2"/>
  <c r="H152" i="2" s="1"/>
  <c r="I151" i="2"/>
  <c r="D151" i="2"/>
  <c r="G151" i="2" s="1"/>
  <c r="I150" i="2"/>
  <c r="D150" i="2"/>
  <c r="F150" i="2" s="1"/>
  <c r="I149" i="2"/>
  <c r="D149" i="2"/>
  <c r="G149" i="2" s="1"/>
  <c r="I148" i="2"/>
  <c r="D148" i="2"/>
  <c r="H148" i="2" s="1"/>
  <c r="I147" i="2"/>
  <c r="D147" i="2"/>
  <c r="G147" i="2" s="1"/>
  <c r="I146" i="2"/>
  <c r="D146" i="2"/>
  <c r="H146" i="2" s="1"/>
  <c r="I145" i="2"/>
  <c r="D145" i="2"/>
  <c r="F145" i="2" s="1"/>
  <c r="I144" i="2"/>
  <c r="D144" i="2"/>
  <c r="H144" i="2" s="1"/>
  <c r="I143" i="2"/>
  <c r="E143" i="2"/>
  <c r="D143" i="2"/>
  <c r="F143" i="2" s="1"/>
  <c r="I142" i="2"/>
  <c r="D142" i="2"/>
  <c r="H142" i="2" s="1"/>
  <c r="I141" i="2"/>
  <c r="D141" i="2"/>
  <c r="G141" i="2" s="1"/>
  <c r="I140" i="2"/>
  <c r="D140" i="2"/>
  <c r="F140" i="2" s="1"/>
  <c r="I139" i="2"/>
  <c r="D139" i="2"/>
  <c r="G139" i="2" s="1"/>
  <c r="I138" i="2"/>
  <c r="D138" i="2"/>
  <c r="H138" i="2" s="1"/>
  <c r="I137" i="2"/>
  <c r="D137" i="2"/>
  <c r="G137" i="2" s="1"/>
  <c r="I136" i="2"/>
  <c r="D136" i="2"/>
  <c r="H136" i="2" s="1"/>
  <c r="I135" i="2"/>
  <c r="D135" i="2"/>
  <c r="F135" i="2" s="1"/>
  <c r="I134" i="2"/>
  <c r="D134" i="2"/>
  <c r="H134" i="2" s="1"/>
  <c r="I133" i="2"/>
  <c r="D133" i="2"/>
  <c r="G133" i="2" s="1"/>
  <c r="I132" i="2"/>
  <c r="D132" i="2"/>
  <c r="F132" i="2" s="1"/>
  <c r="I131" i="2"/>
  <c r="D131" i="2"/>
  <c r="F131" i="2" s="1"/>
  <c r="I130" i="2"/>
  <c r="D130" i="2"/>
  <c r="H130" i="2" s="1"/>
  <c r="I129" i="2"/>
  <c r="D129" i="2"/>
  <c r="G129" i="2" s="1"/>
  <c r="I128" i="2"/>
  <c r="D128" i="2"/>
  <c r="H128" i="2" s="1"/>
  <c r="I127" i="2"/>
  <c r="D127" i="2"/>
  <c r="I126" i="2"/>
  <c r="D126" i="2"/>
  <c r="H126" i="2" s="1"/>
  <c r="I125" i="2"/>
  <c r="D125" i="2"/>
  <c r="G125" i="2" s="1"/>
  <c r="I124" i="2"/>
  <c r="D124" i="2"/>
  <c r="F124" i="2" s="1"/>
  <c r="I123" i="2"/>
  <c r="D123" i="2"/>
  <c r="G123" i="2" s="1"/>
  <c r="I122" i="2"/>
  <c r="D122" i="2"/>
  <c r="H122" i="2" s="1"/>
  <c r="I121" i="2"/>
  <c r="D121" i="2"/>
  <c r="G121" i="2" s="1"/>
  <c r="I120" i="2"/>
  <c r="D120" i="2"/>
  <c r="H120" i="2" s="1"/>
  <c r="I119" i="2"/>
  <c r="D119" i="2"/>
  <c r="H119" i="2" s="1"/>
  <c r="I118" i="2"/>
  <c r="D118" i="2"/>
  <c r="H118" i="2" s="1"/>
  <c r="I117" i="2"/>
  <c r="D117" i="2"/>
  <c r="G117" i="2" s="1"/>
  <c r="I116" i="2"/>
  <c r="D116" i="2"/>
  <c r="F116" i="2" s="1"/>
  <c r="I115" i="2"/>
  <c r="D115" i="2"/>
  <c r="I114" i="2"/>
  <c r="D114" i="2"/>
  <c r="H114" i="2" s="1"/>
  <c r="I113" i="2"/>
  <c r="D113" i="2"/>
  <c r="G113" i="2" s="1"/>
  <c r="I112" i="2"/>
  <c r="D112" i="2"/>
  <c r="H112" i="2" s="1"/>
  <c r="I111" i="2"/>
  <c r="D111" i="2"/>
  <c r="I110" i="2"/>
  <c r="D110" i="2"/>
  <c r="H110" i="2" s="1"/>
  <c r="I109" i="2"/>
  <c r="D109" i="2"/>
  <c r="G109" i="2" s="1"/>
  <c r="I108" i="2"/>
  <c r="D108" i="2"/>
  <c r="F108" i="2" s="1"/>
  <c r="I107" i="2"/>
  <c r="D107" i="2"/>
  <c r="G107" i="2" s="1"/>
  <c r="I106" i="2"/>
  <c r="D106" i="2"/>
  <c r="H106" i="2" s="1"/>
  <c r="I105" i="2"/>
  <c r="D105" i="2"/>
  <c r="G105" i="2" s="1"/>
  <c r="I104" i="2"/>
  <c r="D104" i="2"/>
  <c r="H104" i="2" s="1"/>
  <c r="I103" i="2"/>
  <c r="D103" i="2"/>
  <c r="F103" i="2" s="1"/>
  <c r="I102" i="2"/>
  <c r="D102" i="2"/>
  <c r="H102" i="2" s="1"/>
  <c r="I101" i="2"/>
  <c r="D101" i="2"/>
  <c r="G101" i="2" s="1"/>
  <c r="I100" i="2"/>
  <c r="D100" i="2"/>
  <c r="F100" i="2" s="1"/>
  <c r="I99" i="2"/>
  <c r="D99" i="2"/>
  <c r="F99" i="2" s="1"/>
  <c r="I98" i="2"/>
  <c r="D98" i="2"/>
  <c r="H98" i="2" s="1"/>
  <c r="I97" i="2"/>
  <c r="D97" i="2"/>
  <c r="G97" i="2" s="1"/>
  <c r="I96" i="2"/>
  <c r="D96" i="2"/>
  <c r="H96" i="2" s="1"/>
  <c r="I95" i="2"/>
  <c r="D95" i="2"/>
  <c r="I94" i="2"/>
  <c r="D94" i="2"/>
  <c r="H94" i="2" s="1"/>
  <c r="I93" i="2"/>
  <c r="D93" i="2"/>
  <c r="G93" i="2" s="1"/>
  <c r="I92" i="2"/>
  <c r="D92" i="2"/>
  <c r="F92" i="2" s="1"/>
  <c r="I91" i="2"/>
  <c r="D91" i="2"/>
  <c r="G91" i="2" s="1"/>
  <c r="I90" i="2"/>
  <c r="D90" i="2"/>
  <c r="H90" i="2" s="1"/>
  <c r="I89" i="2"/>
  <c r="D89" i="2"/>
  <c r="G89" i="2" s="1"/>
  <c r="I88" i="2"/>
  <c r="D88" i="2"/>
  <c r="H88" i="2" s="1"/>
  <c r="I87" i="2"/>
  <c r="D87" i="2"/>
  <c r="H87" i="2" s="1"/>
  <c r="I86" i="2"/>
  <c r="D86" i="2"/>
  <c r="H86" i="2" s="1"/>
  <c r="I85" i="2"/>
  <c r="D85" i="2"/>
  <c r="G85" i="2" s="1"/>
  <c r="I84" i="2"/>
  <c r="D84" i="2"/>
  <c r="F84" i="2" s="1"/>
  <c r="I83" i="2"/>
  <c r="D83" i="2"/>
  <c r="F83" i="2" s="1"/>
  <c r="I82" i="2"/>
  <c r="D82" i="2"/>
  <c r="H82" i="2" s="1"/>
  <c r="I81" i="2"/>
  <c r="D81" i="2"/>
  <c r="G81" i="2" s="1"/>
  <c r="I80" i="2"/>
  <c r="D80" i="2"/>
  <c r="H80" i="2" s="1"/>
  <c r="I79" i="2"/>
  <c r="D79" i="2"/>
  <c r="I78" i="2"/>
  <c r="D78" i="2"/>
  <c r="H78" i="2" s="1"/>
  <c r="I77" i="2"/>
  <c r="D77" i="2"/>
  <c r="G77" i="2" s="1"/>
  <c r="I76" i="2"/>
  <c r="D76" i="2"/>
  <c r="F76" i="2" s="1"/>
  <c r="I75" i="2"/>
  <c r="D75" i="2"/>
  <c r="G75" i="2" s="1"/>
  <c r="I74" i="2"/>
  <c r="D74" i="2"/>
  <c r="H74" i="2" s="1"/>
  <c r="I73" i="2"/>
  <c r="D73" i="2"/>
  <c r="G73" i="2" s="1"/>
  <c r="I72" i="2"/>
  <c r="D72" i="2"/>
  <c r="H72" i="2" s="1"/>
  <c r="I71" i="2"/>
  <c r="D71" i="2"/>
  <c r="F71" i="2" s="1"/>
  <c r="I70" i="2"/>
  <c r="D70" i="2"/>
  <c r="H70" i="2" s="1"/>
  <c r="I69" i="2"/>
  <c r="D69" i="2"/>
  <c r="G69" i="2" s="1"/>
  <c r="I68" i="2"/>
  <c r="D68" i="2"/>
  <c r="F68" i="2" s="1"/>
  <c r="I67" i="2"/>
  <c r="D67" i="2"/>
  <c r="F67" i="2" s="1"/>
  <c r="I66" i="2"/>
  <c r="D66" i="2"/>
  <c r="H66" i="2" s="1"/>
  <c r="I65" i="2"/>
  <c r="D65" i="2"/>
  <c r="G65" i="2" s="1"/>
  <c r="I64" i="2"/>
  <c r="D64" i="2"/>
  <c r="H64" i="2" s="1"/>
  <c r="I63" i="2"/>
  <c r="D63" i="2"/>
  <c r="I62" i="2"/>
  <c r="D62" i="2"/>
  <c r="H62" i="2" s="1"/>
  <c r="I61" i="2"/>
  <c r="D61" i="2"/>
  <c r="G61" i="2" s="1"/>
  <c r="I60" i="2"/>
  <c r="D60" i="2"/>
  <c r="F60" i="2" s="1"/>
  <c r="I59" i="2"/>
  <c r="D59" i="2"/>
  <c r="G59" i="2" s="1"/>
  <c r="I58" i="2"/>
  <c r="D58" i="2"/>
  <c r="H58" i="2" s="1"/>
  <c r="I57" i="2"/>
  <c r="D57" i="2"/>
  <c r="G57" i="2" s="1"/>
  <c r="I56" i="2"/>
  <c r="D56" i="2"/>
  <c r="H56" i="2" s="1"/>
  <c r="I55" i="2"/>
  <c r="D55" i="2"/>
  <c r="H55" i="2" s="1"/>
  <c r="I54" i="2"/>
  <c r="D54" i="2"/>
  <c r="H54" i="2" s="1"/>
  <c r="I53" i="2"/>
  <c r="D53" i="2"/>
  <c r="G53" i="2" s="1"/>
  <c r="I52" i="2"/>
  <c r="D52" i="2"/>
  <c r="F52" i="2" s="1"/>
  <c r="I51" i="2"/>
  <c r="D51" i="2"/>
  <c r="F51" i="2" s="1"/>
  <c r="I50" i="2"/>
  <c r="D50" i="2"/>
  <c r="H50" i="2" s="1"/>
  <c r="I49" i="2"/>
  <c r="D49" i="2"/>
  <c r="G49" i="2" s="1"/>
  <c r="I48" i="2"/>
  <c r="D48" i="2"/>
  <c r="H48" i="2" s="1"/>
  <c r="I47" i="2"/>
  <c r="D47" i="2"/>
  <c r="I46" i="2"/>
  <c r="D46" i="2"/>
  <c r="H46" i="2" s="1"/>
  <c r="I45" i="2"/>
  <c r="D45" i="2"/>
  <c r="G45" i="2" s="1"/>
  <c r="I44" i="2"/>
  <c r="D44" i="2"/>
  <c r="F44" i="2" s="1"/>
  <c r="I43" i="2"/>
  <c r="D43" i="2"/>
  <c r="G43" i="2" s="1"/>
  <c r="I42" i="2"/>
  <c r="D42" i="2"/>
  <c r="H42" i="2" s="1"/>
  <c r="I41" i="2"/>
  <c r="D41" i="2"/>
  <c r="G41" i="2" s="1"/>
  <c r="I40" i="2"/>
  <c r="D40" i="2"/>
  <c r="H40" i="2" s="1"/>
  <c r="I39" i="2"/>
  <c r="D39" i="2"/>
  <c r="F39" i="2" s="1"/>
  <c r="I38" i="2"/>
  <c r="D38" i="2"/>
  <c r="H38" i="2" s="1"/>
  <c r="I37" i="2"/>
  <c r="D37" i="2"/>
  <c r="G37" i="2" s="1"/>
  <c r="I36" i="2"/>
  <c r="D36" i="2"/>
  <c r="F36" i="2" s="1"/>
  <c r="I35" i="2"/>
  <c r="D35" i="2"/>
  <c r="F35" i="2" s="1"/>
  <c r="I34" i="2"/>
  <c r="D34" i="2"/>
  <c r="H34" i="2" s="1"/>
  <c r="I33" i="2"/>
  <c r="D33" i="2"/>
  <c r="G33" i="2" s="1"/>
  <c r="I32" i="2"/>
  <c r="D32" i="2"/>
  <c r="H32" i="2" s="1"/>
  <c r="I31" i="2"/>
  <c r="D31" i="2"/>
  <c r="F31" i="2" s="1"/>
  <c r="I30" i="2"/>
  <c r="D30" i="2"/>
  <c r="H30" i="2" s="1"/>
  <c r="I29" i="2"/>
  <c r="D29" i="2"/>
  <c r="G29" i="2" s="1"/>
  <c r="I28" i="2"/>
  <c r="D28" i="2"/>
  <c r="F28" i="2" s="1"/>
  <c r="I27" i="2"/>
  <c r="D27" i="2"/>
  <c r="G27" i="2" s="1"/>
  <c r="I26" i="2"/>
  <c r="D26" i="2"/>
  <c r="H26" i="2" s="1"/>
  <c r="I25" i="2"/>
  <c r="D25" i="2"/>
  <c r="G25" i="2" s="1"/>
  <c r="I24" i="2"/>
  <c r="D24" i="2"/>
  <c r="H24" i="2" s="1"/>
  <c r="I23" i="2"/>
  <c r="D23" i="2"/>
  <c r="H23" i="2" s="1"/>
  <c r="I22" i="2"/>
  <c r="D22" i="2"/>
  <c r="H22" i="2" s="1"/>
  <c r="I21" i="2"/>
  <c r="D21" i="2"/>
  <c r="G21" i="2" s="1"/>
  <c r="I20" i="2"/>
  <c r="D20" i="2"/>
  <c r="F20" i="2" s="1"/>
  <c r="I19" i="2"/>
  <c r="D19" i="2"/>
  <c r="F19" i="2" s="1"/>
  <c r="I18" i="2"/>
  <c r="D18" i="2"/>
  <c r="H18" i="2" s="1"/>
  <c r="I17" i="2"/>
  <c r="D17" i="2"/>
  <c r="G17" i="2" s="1"/>
  <c r="I16" i="2"/>
  <c r="D16" i="2"/>
  <c r="H16" i="2" s="1"/>
  <c r="I15" i="2"/>
  <c r="D15" i="2"/>
  <c r="F15" i="2" s="1"/>
  <c r="I14" i="2"/>
  <c r="D14" i="2"/>
  <c r="H14" i="2" s="1"/>
  <c r="I13" i="2"/>
  <c r="D13" i="2"/>
  <c r="G13" i="2" s="1"/>
  <c r="I12" i="2"/>
  <c r="D12" i="2"/>
  <c r="F12" i="2" s="1"/>
  <c r="I11" i="2"/>
  <c r="D11" i="2"/>
  <c r="G11" i="2" s="1"/>
  <c r="I10" i="2"/>
  <c r="D10" i="2"/>
  <c r="H10" i="2" s="1"/>
  <c r="I9" i="2"/>
  <c r="D9" i="2"/>
  <c r="G9" i="2" s="1"/>
  <c r="I8" i="2"/>
  <c r="D8" i="2"/>
  <c r="H8" i="2" s="1"/>
  <c r="I7" i="2"/>
  <c r="D7" i="2"/>
  <c r="F7" i="2" s="1"/>
  <c r="I6" i="2"/>
  <c r="D6" i="2"/>
  <c r="H6" i="2" s="1"/>
  <c r="I5" i="2"/>
  <c r="D5" i="2"/>
  <c r="G5" i="2" s="1"/>
  <c r="I4" i="2"/>
  <c r="D4" i="2"/>
  <c r="F4" i="2" s="1"/>
  <c r="I3" i="2"/>
  <c r="D3" i="2"/>
  <c r="F3" i="2" s="1"/>
  <c r="I2" i="2"/>
  <c r="D2" i="2"/>
  <c r="F1000" i="1"/>
  <c r="E1000" i="1"/>
  <c r="B1000" i="1"/>
  <c r="F999" i="1"/>
  <c r="E999" i="1"/>
  <c r="B999" i="1"/>
  <c r="F998" i="1"/>
  <c r="E998" i="1"/>
  <c r="B998" i="1"/>
  <c r="F997" i="1"/>
  <c r="E997" i="1"/>
  <c r="B997" i="1"/>
  <c r="F996" i="1"/>
  <c r="E996" i="1"/>
  <c r="B996" i="1"/>
  <c r="F995" i="1"/>
  <c r="E995" i="1"/>
  <c r="B995" i="1"/>
  <c r="F994" i="1"/>
  <c r="E994" i="1"/>
  <c r="B994" i="1"/>
  <c r="F993" i="1"/>
  <c r="E993" i="1"/>
  <c r="B993" i="1"/>
  <c r="F992" i="1"/>
  <c r="E992" i="1"/>
  <c r="B992" i="1"/>
  <c r="F991" i="1"/>
  <c r="E991" i="1"/>
  <c r="B991" i="1"/>
  <c r="F990" i="1"/>
  <c r="E990" i="1"/>
  <c r="B990" i="1"/>
  <c r="F989" i="1"/>
  <c r="E989" i="1"/>
  <c r="B989" i="1"/>
  <c r="F988" i="1"/>
  <c r="E988" i="1"/>
  <c r="B988" i="1"/>
  <c r="F987" i="1"/>
  <c r="E987" i="1"/>
  <c r="B987" i="1"/>
  <c r="F986" i="1"/>
  <c r="E986" i="1"/>
  <c r="B986" i="1"/>
  <c r="F985" i="1"/>
  <c r="E985" i="1"/>
  <c r="B985" i="1"/>
  <c r="F984" i="1"/>
  <c r="E984" i="1"/>
  <c r="B984" i="1"/>
  <c r="F983" i="1"/>
  <c r="E983" i="1"/>
  <c r="B983" i="1"/>
  <c r="F982" i="1"/>
  <c r="E982" i="1"/>
  <c r="B982" i="1"/>
  <c r="F981" i="1"/>
  <c r="E981" i="1"/>
  <c r="B981" i="1"/>
  <c r="F980" i="1"/>
  <c r="E980" i="1"/>
  <c r="B980" i="1"/>
  <c r="F979" i="1"/>
  <c r="E979" i="1"/>
  <c r="B979" i="1"/>
  <c r="F978" i="1"/>
  <c r="E978" i="1"/>
  <c r="B978" i="1"/>
  <c r="F977" i="1"/>
  <c r="E977" i="1"/>
  <c r="B977" i="1"/>
  <c r="F976" i="1"/>
  <c r="E976" i="1"/>
  <c r="B976" i="1"/>
  <c r="F975" i="1"/>
  <c r="E975" i="1"/>
  <c r="B975" i="1"/>
  <c r="F974" i="1"/>
  <c r="E974" i="1"/>
  <c r="B974" i="1"/>
  <c r="F973" i="1"/>
  <c r="E973" i="1"/>
  <c r="B973" i="1"/>
  <c r="F972" i="1"/>
  <c r="E972" i="1"/>
  <c r="B972" i="1"/>
  <c r="F971" i="1"/>
  <c r="E971" i="1"/>
  <c r="B971" i="1"/>
  <c r="F970" i="1"/>
  <c r="E970" i="1"/>
  <c r="B970" i="1"/>
  <c r="F969" i="1"/>
  <c r="E969" i="1"/>
  <c r="B969" i="1"/>
  <c r="F968" i="1"/>
  <c r="E968" i="1"/>
  <c r="B968" i="1"/>
  <c r="F967" i="1"/>
  <c r="E967" i="1"/>
  <c r="B967" i="1"/>
  <c r="F966" i="1"/>
  <c r="E966" i="1"/>
  <c r="B966" i="1"/>
  <c r="F965" i="1"/>
  <c r="E965" i="1"/>
  <c r="B965" i="1"/>
  <c r="F964" i="1"/>
  <c r="E964" i="1"/>
  <c r="B964" i="1"/>
  <c r="F963" i="1"/>
  <c r="E963" i="1"/>
  <c r="B963" i="1"/>
  <c r="F962" i="1"/>
  <c r="E962" i="1"/>
  <c r="B962" i="1"/>
  <c r="F961" i="1"/>
  <c r="E961" i="1"/>
  <c r="B961" i="1"/>
  <c r="F960" i="1"/>
  <c r="E960" i="1"/>
  <c r="B960" i="1"/>
  <c r="F959" i="1"/>
  <c r="E959" i="1"/>
  <c r="B959" i="1"/>
  <c r="F958" i="1"/>
  <c r="E958" i="1"/>
  <c r="B958" i="1"/>
  <c r="F957" i="1"/>
  <c r="E957" i="1"/>
  <c r="B957" i="1"/>
  <c r="F956" i="1"/>
  <c r="E956" i="1"/>
  <c r="B956" i="1"/>
  <c r="F955" i="1"/>
  <c r="E955" i="1"/>
  <c r="B955" i="1"/>
  <c r="F954" i="1"/>
  <c r="E954" i="1"/>
  <c r="B954" i="1"/>
  <c r="F953" i="1"/>
  <c r="E953" i="1"/>
  <c r="B953" i="1"/>
  <c r="F952" i="1"/>
  <c r="E952" i="1"/>
  <c r="B952" i="1"/>
  <c r="F951" i="1"/>
  <c r="E951" i="1"/>
  <c r="B951" i="1"/>
  <c r="F950" i="1"/>
  <c r="E950" i="1"/>
  <c r="B950" i="1"/>
  <c r="F949" i="1"/>
  <c r="E949" i="1"/>
  <c r="B949" i="1"/>
  <c r="F948" i="1"/>
  <c r="E948" i="1"/>
  <c r="B948" i="1"/>
  <c r="F947" i="1"/>
  <c r="E947" i="1"/>
  <c r="B947" i="1"/>
  <c r="F946" i="1"/>
  <c r="E946" i="1"/>
  <c r="B946" i="1"/>
  <c r="F945" i="1"/>
  <c r="E945" i="1"/>
  <c r="B945" i="1"/>
  <c r="F944" i="1"/>
  <c r="E944" i="1"/>
  <c r="B944" i="1"/>
  <c r="F943" i="1"/>
  <c r="E943" i="1"/>
  <c r="B943" i="1"/>
  <c r="F942" i="1"/>
  <c r="E942" i="1"/>
  <c r="B942" i="1"/>
  <c r="F941" i="1"/>
  <c r="E941" i="1"/>
  <c r="B941" i="1"/>
  <c r="F940" i="1"/>
  <c r="E940" i="1"/>
  <c r="B940" i="1"/>
  <c r="F939" i="1"/>
  <c r="E939" i="1"/>
  <c r="B939" i="1"/>
  <c r="F938" i="1"/>
  <c r="E938" i="1"/>
  <c r="B938" i="1"/>
  <c r="F937" i="1"/>
  <c r="E937" i="1"/>
  <c r="B937" i="1"/>
  <c r="F936" i="1"/>
  <c r="E936" i="1"/>
  <c r="B936" i="1"/>
  <c r="F935" i="1"/>
  <c r="E935" i="1"/>
  <c r="B935" i="1"/>
  <c r="F934" i="1"/>
  <c r="E934" i="1"/>
  <c r="B934" i="1"/>
  <c r="F933" i="1"/>
  <c r="E933" i="1"/>
  <c r="B933" i="1"/>
  <c r="F932" i="1"/>
  <c r="E932" i="1"/>
  <c r="B932" i="1"/>
  <c r="F931" i="1"/>
  <c r="E931" i="1"/>
  <c r="B931" i="1"/>
  <c r="F930" i="1"/>
  <c r="E930" i="1"/>
  <c r="B930" i="1"/>
  <c r="F929" i="1"/>
  <c r="E929" i="1"/>
  <c r="B929" i="1"/>
  <c r="F928" i="1"/>
  <c r="E928" i="1"/>
  <c r="B928" i="1"/>
  <c r="F927" i="1"/>
  <c r="E927" i="1"/>
  <c r="B927" i="1"/>
  <c r="F926" i="1"/>
  <c r="E926" i="1"/>
  <c r="B926" i="1"/>
  <c r="F925" i="1"/>
  <c r="E925" i="1"/>
  <c r="B925" i="1"/>
  <c r="F924" i="1"/>
  <c r="E924" i="1"/>
  <c r="B924" i="1"/>
  <c r="F923" i="1"/>
  <c r="E923" i="1"/>
  <c r="B923" i="1"/>
  <c r="F922" i="1"/>
  <c r="E922" i="1"/>
  <c r="B922" i="1"/>
  <c r="F921" i="1"/>
  <c r="E921" i="1"/>
  <c r="B921" i="1"/>
  <c r="F920" i="1"/>
  <c r="E920" i="1"/>
  <c r="B920" i="1"/>
  <c r="F919" i="1"/>
  <c r="E919" i="1"/>
  <c r="B919" i="1"/>
  <c r="F918" i="1"/>
  <c r="E918" i="1"/>
  <c r="B918" i="1"/>
  <c r="F917" i="1"/>
  <c r="E917" i="1"/>
  <c r="B917" i="1"/>
  <c r="F916" i="1"/>
  <c r="E916" i="1"/>
  <c r="B916" i="1"/>
  <c r="F915" i="1"/>
  <c r="E915" i="1"/>
  <c r="B915" i="1"/>
  <c r="F914" i="1"/>
  <c r="E914" i="1"/>
  <c r="B914" i="1"/>
  <c r="F913" i="1"/>
  <c r="E913" i="1"/>
  <c r="B913" i="1"/>
  <c r="F912" i="1"/>
  <c r="E912" i="1"/>
  <c r="B912" i="1"/>
  <c r="F911" i="1"/>
  <c r="E911" i="1"/>
  <c r="B911" i="1"/>
  <c r="F910" i="1"/>
  <c r="E910" i="1"/>
  <c r="B910" i="1"/>
  <c r="F909" i="1"/>
  <c r="E909" i="1"/>
  <c r="B909" i="1"/>
  <c r="F908" i="1"/>
  <c r="E908" i="1"/>
  <c r="B908" i="1"/>
  <c r="F907" i="1"/>
  <c r="E907" i="1"/>
  <c r="B907" i="1"/>
  <c r="F906" i="1"/>
  <c r="E906" i="1"/>
  <c r="B906" i="1"/>
  <c r="F905" i="1"/>
  <c r="E905" i="1"/>
  <c r="B905" i="1"/>
  <c r="F904" i="1"/>
  <c r="E904" i="1"/>
  <c r="B904" i="1"/>
  <c r="F903" i="1"/>
  <c r="E903" i="1"/>
  <c r="B903" i="1"/>
  <c r="F902" i="1"/>
  <c r="E902" i="1"/>
  <c r="B902" i="1"/>
  <c r="F901" i="1"/>
  <c r="E901" i="1"/>
  <c r="B901" i="1"/>
  <c r="F900" i="1"/>
  <c r="E900" i="1"/>
  <c r="B900" i="1"/>
  <c r="F899" i="1"/>
  <c r="E899" i="1"/>
  <c r="B899" i="1"/>
  <c r="F898" i="1"/>
  <c r="E898" i="1"/>
  <c r="B898" i="1"/>
  <c r="F897" i="1"/>
  <c r="E897" i="1"/>
  <c r="B897" i="1"/>
  <c r="F896" i="1"/>
  <c r="E896" i="1"/>
  <c r="B896" i="1"/>
  <c r="F895" i="1"/>
  <c r="E895" i="1"/>
  <c r="B895" i="1"/>
  <c r="F894" i="1"/>
  <c r="E894" i="1"/>
  <c r="B894" i="1"/>
  <c r="F893" i="1"/>
  <c r="E893" i="1"/>
  <c r="B893" i="1"/>
  <c r="F892" i="1"/>
  <c r="E892" i="1"/>
  <c r="B892" i="1"/>
  <c r="F891" i="1"/>
  <c r="E891" i="1"/>
  <c r="B891" i="1"/>
  <c r="F890" i="1"/>
  <c r="E890" i="1"/>
  <c r="B890" i="1"/>
  <c r="F889" i="1"/>
  <c r="E889" i="1"/>
  <c r="B889" i="1"/>
  <c r="F888" i="1"/>
  <c r="E888" i="1"/>
  <c r="B888" i="1"/>
  <c r="F887" i="1"/>
  <c r="E887" i="1"/>
  <c r="B887" i="1"/>
  <c r="F886" i="1"/>
  <c r="E886" i="1"/>
  <c r="B886" i="1"/>
  <c r="F885" i="1"/>
  <c r="E885" i="1"/>
  <c r="B885" i="1"/>
  <c r="F884" i="1"/>
  <c r="E884" i="1"/>
  <c r="B884" i="1"/>
  <c r="F883" i="1"/>
  <c r="E883" i="1"/>
  <c r="B883" i="1"/>
  <c r="F882" i="1"/>
  <c r="E882" i="1"/>
  <c r="B882" i="1"/>
  <c r="F881" i="1"/>
  <c r="E881" i="1"/>
  <c r="B881" i="1"/>
  <c r="F880" i="1"/>
  <c r="E880" i="1"/>
  <c r="B880" i="1"/>
  <c r="F879" i="1"/>
  <c r="E879" i="1"/>
  <c r="B879" i="1"/>
  <c r="F878" i="1"/>
  <c r="E878" i="1"/>
  <c r="B878" i="1"/>
  <c r="F877" i="1"/>
  <c r="E877" i="1"/>
  <c r="B877" i="1"/>
  <c r="F876" i="1"/>
  <c r="E876" i="1"/>
  <c r="B876" i="1"/>
  <c r="F875" i="1"/>
  <c r="E875" i="1"/>
  <c r="B875" i="1"/>
  <c r="F874" i="1"/>
  <c r="E874" i="1"/>
  <c r="B874" i="1"/>
  <c r="F873" i="1"/>
  <c r="E873" i="1"/>
  <c r="B873" i="1"/>
  <c r="F872" i="1"/>
  <c r="E872" i="1"/>
  <c r="B872" i="1"/>
  <c r="F871" i="1"/>
  <c r="E871" i="1"/>
  <c r="B871" i="1"/>
  <c r="F870" i="1"/>
  <c r="E870" i="1"/>
  <c r="B870" i="1"/>
  <c r="F869" i="1"/>
  <c r="E869" i="1"/>
  <c r="B869" i="1"/>
  <c r="F868" i="1"/>
  <c r="E868" i="1"/>
  <c r="B868" i="1"/>
  <c r="F867" i="1"/>
  <c r="E867" i="1"/>
  <c r="B867" i="1"/>
  <c r="F866" i="1"/>
  <c r="E866" i="1"/>
  <c r="B866" i="1"/>
  <c r="F865" i="1"/>
  <c r="E865" i="1"/>
  <c r="B865" i="1"/>
  <c r="F864" i="1"/>
  <c r="E864" i="1"/>
  <c r="B864" i="1"/>
  <c r="F863" i="1"/>
  <c r="E863" i="1"/>
  <c r="B863" i="1"/>
  <c r="F862" i="1"/>
  <c r="E862" i="1"/>
  <c r="B862" i="1"/>
  <c r="F861" i="1"/>
  <c r="E861" i="1"/>
  <c r="B861" i="1"/>
  <c r="F860" i="1"/>
  <c r="E860" i="1"/>
  <c r="B860" i="1"/>
  <c r="F859" i="1"/>
  <c r="E859" i="1"/>
  <c r="B859" i="1"/>
  <c r="F858" i="1"/>
  <c r="E858" i="1"/>
  <c r="B858" i="1"/>
  <c r="F857" i="1"/>
  <c r="E857" i="1"/>
  <c r="B857" i="1"/>
  <c r="F856" i="1"/>
  <c r="E856" i="1"/>
  <c r="B856" i="1"/>
  <c r="F855" i="1"/>
  <c r="E855" i="1"/>
  <c r="B855" i="1"/>
  <c r="F854" i="1"/>
  <c r="E854" i="1"/>
  <c r="B854" i="1"/>
  <c r="F853" i="1"/>
  <c r="E853" i="1"/>
  <c r="B853" i="1"/>
  <c r="F852" i="1"/>
  <c r="E852" i="1"/>
  <c r="B852" i="1"/>
  <c r="F851" i="1"/>
  <c r="E851" i="1"/>
  <c r="B851" i="1"/>
  <c r="F850" i="1"/>
  <c r="E850" i="1"/>
  <c r="B850" i="1"/>
  <c r="F849" i="1"/>
  <c r="E849" i="1"/>
  <c r="B849" i="1"/>
  <c r="F848" i="1"/>
  <c r="E848" i="1"/>
  <c r="B848" i="1"/>
  <c r="F847" i="1"/>
  <c r="E847" i="1"/>
  <c r="B847" i="1"/>
  <c r="F846" i="1"/>
  <c r="E846" i="1"/>
  <c r="B846" i="1"/>
  <c r="F845" i="1"/>
  <c r="E845" i="1"/>
  <c r="B845" i="1"/>
  <c r="F844" i="1"/>
  <c r="E844" i="1"/>
  <c r="B844" i="1"/>
  <c r="F843" i="1"/>
  <c r="E843" i="1"/>
  <c r="B843" i="1"/>
  <c r="F842" i="1"/>
  <c r="E842" i="1"/>
  <c r="B842" i="1"/>
  <c r="F841" i="1"/>
  <c r="E841" i="1"/>
  <c r="B841" i="1"/>
  <c r="F840" i="1"/>
  <c r="E840" i="1"/>
  <c r="B840" i="1"/>
  <c r="F839" i="1"/>
  <c r="E839" i="1"/>
  <c r="B839" i="1"/>
  <c r="F838" i="1"/>
  <c r="E838" i="1"/>
  <c r="B838" i="1"/>
  <c r="F837" i="1"/>
  <c r="E837" i="1"/>
  <c r="B837" i="1"/>
  <c r="F836" i="1"/>
  <c r="E836" i="1"/>
  <c r="B836" i="1"/>
  <c r="F835" i="1"/>
  <c r="E835" i="1"/>
  <c r="B835" i="1"/>
  <c r="F834" i="1"/>
  <c r="E834" i="1"/>
  <c r="B834" i="1"/>
  <c r="F833" i="1"/>
  <c r="E833" i="1"/>
  <c r="B833" i="1"/>
  <c r="F832" i="1"/>
  <c r="E832" i="1"/>
  <c r="B832" i="1"/>
  <c r="F831" i="1"/>
  <c r="E831" i="1"/>
  <c r="B831" i="1"/>
  <c r="F830" i="1"/>
  <c r="E830" i="1"/>
  <c r="B830" i="1"/>
  <c r="F829" i="1"/>
  <c r="E829" i="1"/>
  <c r="B829" i="1"/>
  <c r="F828" i="1"/>
  <c r="E828" i="1"/>
  <c r="B828" i="1"/>
  <c r="F827" i="1"/>
  <c r="E827" i="1"/>
  <c r="B827" i="1"/>
  <c r="F826" i="1"/>
  <c r="E826" i="1"/>
  <c r="B826" i="1"/>
  <c r="F825" i="1"/>
  <c r="E825" i="1"/>
  <c r="B825" i="1"/>
  <c r="F824" i="1"/>
  <c r="E824" i="1"/>
  <c r="B824" i="1"/>
  <c r="F823" i="1"/>
  <c r="E823" i="1"/>
  <c r="B823" i="1"/>
  <c r="F822" i="1"/>
  <c r="E822" i="1"/>
  <c r="B822" i="1"/>
  <c r="F821" i="1"/>
  <c r="E821" i="1"/>
  <c r="B821" i="1"/>
  <c r="F820" i="1"/>
  <c r="E820" i="1"/>
  <c r="B820" i="1"/>
  <c r="F819" i="1"/>
  <c r="E819" i="1"/>
  <c r="B819" i="1"/>
  <c r="F818" i="1"/>
  <c r="E818" i="1"/>
  <c r="B818" i="1"/>
  <c r="F817" i="1"/>
  <c r="E817" i="1"/>
  <c r="B817" i="1"/>
  <c r="F816" i="1"/>
  <c r="E816" i="1"/>
  <c r="B816" i="1"/>
  <c r="F815" i="1"/>
  <c r="E815" i="1"/>
  <c r="B815" i="1"/>
  <c r="F814" i="1"/>
  <c r="E814" i="1"/>
  <c r="B814" i="1"/>
  <c r="F813" i="1"/>
  <c r="E813" i="1"/>
  <c r="B813" i="1"/>
  <c r="F812" i="1"/>
  <c r="E812" i="1"/>
  <c r="B812" i="1"/>
  <c r="F811" i="1"/>
  <c r="E811" i="1"/>
  <c r="B811" i="1"/>
  <c r="F810" i="1"/>
  <c r="E810" i="1"/>
  <c r="B810" i="1"/>
  <c r="F809" i="1"/>
  <c r="E809" i="1"/>
  <c r="B809" i="1"/>
  <c r="F808" i="1"/>
  <c r="E808" i="1"/>
  <c r="B808" i="1"/>
  <c r="F807" i="1"/>
  <c r="E807" i="1"/>
  <c r="B807" i="1"/>
  <c r="F806" i="1"/>
  <c r="E806" i="1"/>
  <c r="B806" i="1"/>
  <c r="F805" i="1"/>
  <c r="E805" i="1"/>
  <c r="B805" i="1"/>
  <c r="F804" i="1"/>
  <c r="E804" i="1"/>
  <c r="B804" i="1"/>
  <c r="F803" i="1"/>
  <c r="E803" i="1"/>
  <c r="B803" i="1"/>
  <c r="F802" i="1"/>
  <c r="E802" i="1"/>
  <c r="B802" i="1"/>
  <c r="F801" i="1"/>
  <c r="E801" i="1"/>
  <c r="B801" i="1"/>
  <c r="F800" i="1"/>
  <c r="E800" i="1"/>
  <c r="B800" i="1"/>
  <c r="F799" i="1"/>
  <c r="E799" i="1"/>
  <c r="B799" i="1"/>
  <c r="F798" i="1"/>
  <c r="E798" i="1"/>
  <c r="B798" i="1"/>
  <c r="F797" i="1"/>
  <c r="E797" i="1"/>
  <c r="B797" i="1"/>
  <c r="F796" i="1"/>
  <c r="E796" i="1"/>
  <c r="B796" i="1"/>
  <c r="F795" i="1"/>
  <c r="E795" i="1"/>
  <c r="B795" i="1"/>
  <c r="F794" i="1"/>
  <c r="E794" i="1"/>
  <c r="B794" i="1"/>
  <c r="F793" i="1"/>
  <c r="E793" i="1"/>
  <c r="B793" i="1"/>
  <c r="F792" i="1"/>
  <c r="E792" i="1"/>
  <c r="B792" i="1"/>
  <c r="F791" i="1"/>
  <c r="E791" i="1"/>
  <c r="B791" i="1"/>
  <c r="F790" i="1"/>
  <c r="E790" i="1"/>
  <c r="B790" i="1"/>
  <c r="F789" i="1"/>
  <c r="E789" i="1"/>
  <c r="B789" i="1"/>
  <c r="F788" i="1"/>
  <c r="E788" i="1"/>
  <c r="B788" i="1"/>
  <c r="F787" i="1"/>
  <c r="E787" i="1"/>
  <c r="B787" i="1"/>
  <c r="F786" i="1"/>
  <c r="E786" i="1"/>
  <c r="B786" i="1"/>
  <c r="F785" i="1"/>
  <c r="E785" i="1"/>
  <c r="B785" i="1"/>
  <c r="F784" i="1"/>
  <c r="E784" i="1"/>
  <c r="B784" i="1"/>
  <c r="F783" i="1"/>
  <c r="E783" i="1"/>
  <c r="B783" i="1"/>
  <c r="F782" i="1"/>
  <c r="E782" i="1"/>
  <c r="B782" i="1"/>
  <c r="F781" i="1"/>
  <c r="E781" i="1"/>
  <c r="B781" i="1"/>
  <c r="F780" i="1"/>
  <c r="E780" i="1"/>
  <c r="B780" i="1"/>
  <c r="F779" i="1"/>
  <c r="E779" i="1"/>
  <c r="B779" i="1"/>
  <c r="F778" i="1"/>
  <c r="E778" i="1"/>
  <c r="B778" i="1"/>
  <c r="F777" i="1"/>
  <c r="E777" i="1"/>
  <c r="B777" i="1"/>
  <c r="F776" i="1"/>
  <c r="E776" i="1"/>
  <c r="B776" i="1"/>
  <c r="F775" i="1"/>
  <c r="E775" i="1"/>
  <c r="B775" i="1"/>
  <c r="F774" i="1"/>
  <c r="E774" i="1"/>
  <c r="B774" i="1"/>
  <c r="F773" i="1"/>
  <c r="E773" i="1"/>
  <c r="B773" i="1"/>
  <c r="F772" i="1"/>
  <c r="E772" i="1"/>
  <c r="B772" i="1"/>
  <c r="F771" i="1"/>
  <c r="E771" i="1"/>
  <c r="B771" i="1"/>
  <c r="F770" i="1"/>
  <c r="E770" i="1"/>
  <c r="B770" i="1"/>
  <c r="F769" i="1"/>
  <c r="E769" i="1"/>
  <c r="B769" i="1"/>
  <c r="F768" i="1"/>
  <c r="E768" i="1"/>
  <c r="B768" i="1"/>
  <c r="F767" i="1"/>
  <c r="E767" i="1"/>
  <c r="B767" i="1"/>
  <c r="F766" i="1"/>
  <c r="E766" i="1"/>
  <c r="B766" i="1"/>
  <c r="F765" i="1"/>
  <c r="E765" i="1"/>
  <c r="B765" i="1"/>
  <c r="F764" i="1"/>
  <c r="E764" i="1"/>
  <c r="B764" i="1"/>
  <c r="F763" i="1"/>
  <c r="E763" i="1"/>
  <c r="B763" i="1"/>
  <c r="F762" i="1"/>
  <c r="E762" i="1"/>
  <c r="B762" i="1"/>
  <c r="F761" i="1"/>
  <c r="E761" i="1"/>
  <c r="B761" i="1"/>
  <c r="F760" i="1"/>
  <c r="E760" i="1"/>
  <c r="B760" i="1"/>
  <c r="F759" i="1"/>
  <c r="E759" i="1"/>
  <c r="B759" i="1"/>
  <c r="F758" i="1"/>
  <c r="E758" i="1"/>
  <c r="B758" i="1"/>
  <c r="F757" i="1"/>
  <c r="E757" i="1"/>
  <c r="B757" i="1"/>
  <c r="F756" i="1"/>
  <c r="E756" i="1"/>
  <c r="B756" i="1"/>
  <c r="F755" i="1"/>
  <c r="E755" i="1"/>
  <c r="B755" i="1"/>
  <c r="F754" i="1"/>
  <c r="E754" i="1"/>
  <c r="B754" i="1"/>
  <c r="F753" i="1"/>
  <c r="E753" i="1"/>
  <c r="B753" i="1"/>
  <c r="F752" i="1"/>
  <c r="E752" i="1"/>
  <c r="B752" i="1"/>
  <c r="F751" i="1"/>
  <c r="E751" i="1"/>
  <c r="B751" i="1"/>
  <c r="F750" i="1"/>
  <c r="E750" i="1"/>
  <c r="B750" i="1"/>
  <c r="F749" i="1"/>
  <c r="E749" i="1"/>
  <c r="B749" i="1"/>
  <c r="F748" i="1"/>
  <c r="E748" i="1"/>
  <c r="B748" i="1"/>
  <c r="F747" i="1"/>
  <c r="E747" i="1"/>
  <c r="B747" i="1"/>
  <c r="F746" i="1"/>
  <c r="E746" i="1"/>
  <c r="B746" i="1"/>
  <c r="F745" i="1"/>
  <c r="E745" i="1"/>
  <c r="B745" i="1"/>
  <c r="F744" i="1"/>
  <c r="E744" i="1"/>
  <c r="B744" i="1"/>
  <c r="F743" i="1"/>
  <c r="E743" i="1"/>
  <c r="B743" i="1"/>
  <c r="F742" i="1"/>
  <c r="E742" i="1"/>
  <c r="B742" i="1"/>
  <c r="F741" i="1"/>
  <c r="E741" i="1"/>
  <c r="B741" i="1"/>
  <c r="F740" i="1"/>
  <c r="E740" i="1"/>
  <c r="B740" i="1"/>
  <c r="F739" i="1"/>
  <c r="E739" i="1"/>
  <c r="B739" i="1"/>
  <c r="F738" i="1"/>
  <c r="E738" i="1"/>
  <c r="B738" i="1"/>
  <c r="F737" i="1"/>
  <c r="E737" i="1"/>
  <c r="B737" i="1"/>
  <c r="F736" i="1"/>
  <c r="E736" i="1"/>
  <c r="B736" i="1"/>
  <c r="F735" i="1"/>
  <c r="E735" i="1"/>
  <c r="B735" i="1"/>
  <c r="F734" i="1"/>
  <c r="E734" i="1"/>
  <c r="B734" i="1"/>
  <c r="F733" i="1"/>
  <c r="E733" i="1"/>
  <c r="B733" i="1"/>
  <c r="F732" i="1"/>
  <c r="E732" i="1"/>
  <c r="B732" i="1"/>
  <c r="F731" i="1"/>
  <c r="E731" i="1"/>
  <c r="B731" i="1"/>
  <c r="F730" i="1"/>
  <c r="E730" i="1"/>
  <c r="B730" i="1"/>
  <c r="F729" i="1"/>
  <c r="E729" i="1"/>
  <c r="B729" i="1"/>
  <c r="F728" i="1"/>
  <c r="E728" i="1"/>
  <c r="B728" i="1"/>
  <c r="F727" i="1"/>
  <c r="E727" i="1"/>
  <c r="B727" i="1"/>
  <c r="F726" i="1"/>
  <c r="E726" i="1"/>
  <c r="B726" i="1"/>
  <c r="F725" i="1"/>
  <c r="E725" i="1"/>
  <c r="B725" i="1"/>
  <c r="F724" i="1"/>
  <c r="E724" i="1"/>
  <c r="B724" i="1"/>
  <c r="F723" i="1"/>
  <c r="E723" i="1"/>
  <c r="B723" i="1"/>
  <c r="F722" i="1"/>
  <c r="E722" i="1"/>
  <c r="B722" i="1"/>
  <c r="F721" i="1"/>
  <c r="E721" i="1"/>
  <c r="B721" i="1"/>
  <c r="F720" i="1"/>
  <c r="E720" i="1"/>
  <c r="B720" i="1"/>
  <c r="F719" i="1"/>
  <c r="E719" i="1"/>
  <c r="B719" i="1"/>
  <c r="F718" i="1"/>
  <c r="E718" i="1"/>
  <c r="B718" i="1"/>
  <c r="F717" i="1"/>
  <c r="E717" i="1"/>
  <c r="B717" i="1"/>
  <c r="F716" i="1"/>
  <c r="E716" i="1"/>
  <c r="B716" i="1"/>
  <c r="F715" i="1"/>
  <c r="E715" i="1"/>
  <c r="B715" i="1"/>
  <c r="F714" i="1"/>
  <c r="E714" i="1"/>
  <c r="B714" i="1"/>
  <c r="F713" i="1"/>
  <c r="E713" i="1"/>
  <c r="B713" i="1"/>
  <c r="F712" i="1"/>
  <c r="E712" i="1"/>
  <c r="B712" i="1"/>
  <c r="F711" i="1"/>
  <c r="E711" i="1"/>
  <c r="B711" i="1"/>
  <c r="F710" i="1"/>
  <c r="E710" i="1"/>
  <c r="B710" i="1"/>
  <c r="F709" i="1"/>
  <c r="E709" i="1"/>
  <c r="B709" i="1"/>
  <c r="F708" i="1"/>
  <c r="E708" i="1"/>
  <c r="B708" i="1"/>
  <c r="F707" i="1"/>
  <c r="E707" i="1"/>
  <c r="B707" i="1"/>
  <c r="F706" i="1"/>
  <c r="E706" i="1"/>
  <c r="B706" i="1"/>
  <c r="F705" i="1"/>
  <c r="E705" i="1"/>
  <c r="B705" i="1"/>
  <c r="F704" i="1"/>
  <c r="E704" i="1"/>
  <c r="B704" i="1"/>
  <c r="F703" i="1"/>
  <c r="E703" i="1"/>
  <c r="B703" i="1"/>
  <c r="F702" i="1"/>
  <c r="E702" i="1"/>
  <c r="B702" i="1"/>
  <c r="F701" i="1"/>
  <c r="E701" i="1"/>
  <c r="B701" i="1"/>
  <c r="F700" i="1"/>
  <c r="E700" i="1"/>
  <c r="B700" i="1"/>
  <c r="F699" i="1"/>
  <c r="E699" i="1"/>
  <c r="B699" i="1"/>
  <c r="F698" i="1"/>
  <c r="E698" i="1"/>
  <c r="B698" i="1"/>
  <c r="F697" i="1"/>
  <c r="E697" i="1"/>
  <c r="B697" i="1"/>
  <c r="F696" i="1"/>
  <c r="E696" i="1"/>
  <c r="B696" i="1"/>
  <c r="F695" i="1"/>
  <c r="E695" i="1"/>
  <c r="B695" i="1"/>
  <c r="F694" i="1"/>
  <c r="E694" i="1"/>
  <c r="B694" i="1"/>
  <c r="F693" i="1"/>
  <c r="E693" i="1"/>
  <c r="B693" i="1"/>
  <c r="F692" i="1"/>
  <c r="E692" i="1"/>
  <c r="B692" i="1"/>
  <c r="F691" i="1"/>
  <c r="E691" i="1"/>
  <c r="B691" i="1"/>
  <c r="F690" i="1"/>
  <c r="E690" i="1"/>
  <c r="B690" i="1"/>
  <c r="F689" i="1"/>
  <c r="E689" i="1"/>
  <c r="B689" i="1"/>
  <c r="F688" i="1"/>
  <c r="E688" i="1"/>
  <c r="B688" i="1"/>
  <c r="F687" i="1"/>
  <c r="E687" i="1"/>
  <c r="B687" i="1"/>
  <c r="F686" i="1"/>
  <c r="E686" i="1"/>
  <c r="B686" i="1"/>
  <c r="F685" i="1"/>
  <c r="E685" i="1"/>
  <c r="B685" i="1"/>
  <c r="F684" i="1"/>
  <c r="E684" i="1"/>
  <c r="B684" i="1"/>
  <c r="F683" i="1"/>
  <c r="E683" i="1"/>
  <c r="B683" i="1"/>
  <c r="F682" i="1"/>
  <c r="E682" i="1"/>
  <c r="B682" i="1"/>
  <c r="F681" i="1"/>
  <c r="E681" i="1"/>
  <c r="B681" i="1"/>
  <c r="F680" i="1"/>
  <c r="E680" i="1"/>
  <c r="B680" i="1"/>
  <c r="F679" i="1"/>
  <c r="E679" i="1"/>
  <c r="B679" i="1"/>
  <c r="F678" i="1"/>
  <c r="E678" i="1"/>
  <c r="B678" i="1"/>
  <c r="F677" i="1"/>
  <c r="E677" i="1"/>
  <c r="B677" i="1"/>
  <c r="F676" i="1"/>
  <c r="E676" i="1"/>
  <c r="B676" i="1"/>
  <c r="F675" i="1"/>
  <c r="E675" i="1"/>
  <c r="B675" i="1"/>
  <c r="F674" i="1"/>
  <c r="E674" i="1"/>
  <c r="B674" i="1"/>
  <c r="F673" i="1"/>
  <c r="E673" i="1"/>
  <c r="B673" i="1"/>
  <c r="F672" i="1"/>
  <c r="E672" i="1"/>
  <c r="B672" i="1"/>
  <c r="F671" i="1"/>
  <c r="E671" i="1"/>
  <c r="B671" i="1"/>
  <c r="F670" i="1"/>
  <c r="E670" i="1"/>
  <c r="B670" i="1"/>
  <c r="F669" i="1"/>
  <c r="E669" i="1"/>
  <c r="B669" i="1"/>
  <c r="F668" i="1"/>
  <c r="E668" i="1"/>
  <c r="B668" i="1"/>
  <c r="F667" i="1"/>
  <c r="E667" i="1"/>
  <c r="B667" i="1"/>
  <c r="F666" i="1"/>
  <c r="E666" i="1"/>
  <c r="B666" i="1"/>
  <c r="F665" i="1"/>
  <c r="E665" i="1"/>
  <c r="B665" i="1"/>
  <c r="F664" i="1"/>
  <c r="E664" i="1"/>
  <c r="B664" i="1"/>
  <c r="F663" i="1"/>
  <c r="E663" i="1"/>
  <c r="B663" i="1"/>
  <c r="F662" i="1"/>
  <c r="E662" i="1"/>
  <c r="B662" i="1"/>
  <c r="F661" i="1"/>
  <c r="E661" i="1"/>
  <c r="B661" i="1"/>
  <c r="F660" i="1"/>
  <c r="E660" i="1"/>
  <c r="B660" i="1"/>
  <c r="F659" i="1"/>
  <c r="E659" i="1"/>
  <c r="B659" i="1"/>
  <c r="F658" i="1"/>
  <c r="E658" i="1"/>
  <c r="B658" i="1"/>
  <c r="F657" i="1"/>
  <c r="E657" i="1"/>
  <c r="B657" i="1"/>
  <c r="F656" i="1"/>
  <c r="E656" i="1"/>
  <c r="B656" i="1"/>
  <c r="F655" i="1"/>
  <c r="E655" i="1"/>
  <c r="B655" i="1"/>
  <c r="F654" i="1"/>
  <c r="E654" i="1"/>
  <c r="B654" i="1"/>
  <c r="F653" i="1"/>
  <c r="E653" i="1"/>
  <c r="B653" i="1"/>
  <c r="F652" i="1"/>
  <c r="E652" i="1"/>
  <c r="B652" i="1"/>
  <c r="F651" i="1"/>
  <c r="E651" i="1"/>
  <c r="B651" i="1"/>
  <c r="F650" i="1"/>
  <c r="E650" i="1"/>
  <c r="B650" i="1"/>
  <c r="F649" i="1"/>
  <c r="E649" i="1"/>
  <c r="B649" i="1"/>
  <c r="F648" i="1"/>
  <c r="E648" i="1"/>
  <c r="B648" i="1"/>
  <c r="F647" i="1"/>
  <c r="E647" i="1"/>
  <c r="B647" i="1"/>
  <c r="F646" i="1"/>
  <c r="E646" i="1"/>
  <c r="B646" i="1"/>
  <c r="F645" i="1"/>
  <c r="E645" i="1"/>
  <c r="B645" i="1"/>
  <c r="F644" i="1"/>
  <c r="E644" i="1"/>
  <c r="B644" i="1"/>
  <c r="F643" i="1"/>
  <c r="E643" i="1"/>
  <c r="B643" i="1"/>
  <c r="F642" i="1"/>
  <c r="E642" i="1"/>
  <c r="B642" i="1"/>
  <c r="F641" i="1"/>
  <c r="E641" i="1"/>
  <c r="B641" i="1"/>
  <c r="F640" i="1"/>
  <c r="E640" i="1"/>
  <c r="B640" i="1"/>
  <c r="F639" i="1"/>
  <c r="E639" i="1"/>
  <c r="B639" i="1"/>
  <c r="F638" i="1"/>
  <c r="E638" i="1"/>
  <c r="B638" i="1"/>
  <c r="F637" i="1"/>
  <c r="E637" i="1"/>
  <c r="B637" i="1"/>
  <c r="F636" i="1"/>
  <c r="E636" i="1"/>
  <c r="B636" i="1"/>
  <c r="F635" i="1"/>
  <c r="E635" i="1"/>
  <c r="B635" i="1"/>
  <c r="F634" i="1"/>
  <c r="E634" i="1"/>
  <c r="B634" i="1"/>
  <c r="F633" i="1"/>
  <c r="E633" i="1"/>
  <c r="B633" i="1"/>
  <c r="F632" i="1"/>
  <c r="E632" i="1"/>
  <c r="B632" i="1"/>
  <c r="F631" i="1"/>
  <c r="E631" i="1"/>
  <c r="B631" i="1"/>
  <c r="F630" i="1"/>
  <c r="E630" i="1"/>
  <c r="B630" i="1"/>
  <c r="F629" i="1"/>
  <c r="E629" i="1"/>
  <c r="B629" i="1"/>
  <c r="F628" i="1"/>
  <c r="E628" i="1"/>
  <c r="B628" i="1"/>
  <c r="F627" i="1"/>
  <c r="E627" i="1"/>
  <c r="B627" i="1"/>
  <c r="F626" i="1"/>
  <c r="E626" i="1"/>
  <c r="B626" i="1"/>
  <c r="F625" i="1"/>
  <c r="E625" i="1"/>
  <c r="B625" i="1"/>
  <c r="F624" i="1"/>
  <c r="E624" i="1"/>
  <c r="B624" i="1"/>
  <c r="F623" i="1"/>
  <c r="E623" i="1"/>
  <c r="B623" i="1"/>
  <c r="F622" i="1"/>
  <c r="E622" i="1"/>
  <c r="B622" i="1"/>
  <c r="F621" i="1"/>
  <c r="E621" i="1"/>
  <c r="B621" i="1"/>
  <c r="F620" i="1"/>
  <c r="E620" i="1"/>
  <c r="B620" i="1"/>
  <c r="F619" i="1"/>
  <c r="E619" i="1"/>
  <c r="B619" i="1"/>
  <c r="F618" i="1"/>
  <c r="E618" i="1"/>
  <c r="B618" i="1"/>
  <c r="F617" i="1"/>
  <c r="E617" i="1"/>
  <c r="B617" i="1"/>
  <c r="F616" i="1"/>
  <c r="E616" i="1"/>
  <c r="B616" i="1"/>
  <c r="F615" i="1"/>
  <c r="E615" i="1"/>
  <c r="B615" i="1"/>
  <c r="F614" i="1"/>
  <c r="E614" i="1"/>
  <c r="B614" i="1"/>
  <c r="F613" i="1"/>
  <c r="E613" i="1"/>
  <c r="B613" i="1"/>
  <c r="F612" i="1"/>
  <c r="E612" i="1"/>
  <c r="B612" i="1"/>
  <c r="F611" i="1"/>
  <c r="E611" i="1"/>
  <c r="B611" i="1"/>
  <c r="F610" i="1"/>
  <c r="E610" i="1"/>
  <c r="B610" i="1"/>
  <c r="F609" i="1"/>
  <c r="E609" i="1"/>
  <c r="B609" i="1"/>
  <c r="F608" i="1"/>
  <c r="E608" i="1"/>
  <c r="B608" i="1"/>
  <c r="F607" i="1"/>
  <c r="E607" i="1"/>
  <c r="B607" i="1"/>
  <c r="F606" i="1"/>
  <c r="E606" i="1"/>
  <c r="B606" i="1"/>
  <c r="F605" i="1"/>
  <c r="E605" i="1"/>
  <c r="B605" i="1"/>
  <c r="F604" i="1"/>
  <c r="E604" i="1"/>
  <c r="B604" i="1"/>
  <c r="F603" i="1"/>
  <c r="E603" i="1"/>
  <c r="B603" i="1"/>
  <c r="F602" i="1"/>
  <c r="E602" i="1"/>
  <c r="B602" i="1"/>
  <c r="F601" i="1"/>
  <c r="E601" i="1"/>
  <c r="B601" i="1"/>
  <c r="F600" i="1"/>
  <c r="E600" i="1"/>
  <c r="B600" i="1"/>
  <c r="F599" i="1"/>
  <c r="E599" i="1"/>
  <c r="B599" i="1"/>
  <c r="F598" i="1"/>
  <c r="E598" i="1"/>
  <c r="B598" i="1"/>
  <c r="F597" i="1"/>
  <c r="E597" i="1"/>
  <c r="B597" i="1"/>
  <c r="F596" i="1"/>
  <c r="E596" i="1"/>
  <c r="B596" i="1"/>
  <c r="F595" i="1"/>
  <c r="E595" i="1"/>
  <c r="B595" i="1"/>
  <c r="F594" i="1"/>
  <c r="E594" i="1"/>
  <c r="B594" i="1"/>
  <c r="F593" i="1"/>
  <c r="E593" i="1"/>
  <c r="B593" i="1"/>
  <c r="F592" i="1"/>
  <c r="E592" i="1"/>
  <c r="B592" i="1"/>
  <c r="F591" i="1"/>
  <c r="E591" i="1"/>
  <c r="B591" i="1"/>
  <c r="F590" i="1"/>
  <c r="E590" i="1"/>
  <c r="B590" i="1"/>
  <c r="F589" i="1"/>
  <c r="E589" i="1"/>
  <c r="B589" i="1"/>
  <c r="F588" i="1"/>
  <c r="E588" i="1"/>
  <c r="B588" i="1"/>
  <c r="F587" i="1"/>
  <c r="E587" i="1"/>
  <c r="B587" i="1"/>
  <c r="F586" i="1"/>
  <c r="E586" i="1"/>
  <c r="B586" i="1"/>
  <c r="F585" i="1"/>
  <c r="E585" i="1"/>
  <c r="B585" i="1"/>
  <c r="F584" i="1"/>
  <c r="E584" i="1"/>
  <c r="B584" i="1"/>
  <c r="F583" i="1"/>
  <c r="E583" i="1"/>
  <c r="B583" i="1"/>
  <c r="F582" i="1"/>
  <c r="E582" i="1"/>
  <c r="B582" i="1"/>
  <c r="F581" i="1"/>
  <c r="E581" i="1"/>
  <c r="B581" i="1"/>
  <c r="F580" i="1"/>
  <c r="E580" i="1"/>
  <c r="B580" i="1"/>
  <c r="F579" i="1"/>
  <c r="E579" i="1"/>
  <c r="B579" i="1"/>
  <c r="F578" i="1"/>
  <c r="E578" i="1"/>
  <c r="B578" i="1"/>
  <c r="F577" i="1"/>
  <c r="E577" i="1"/>
  <c r="B577" i="1"/>
  <c r="F576" i="1"/>
  <c r="E576" i="1"/>
  <c r="B576" i="1"/>
  <c r="F575" i="1"/>
  <c r="E575" i="1"/>
  <c r="B575" i="1"/>
  <c r="F574" i="1"/>
  <c r="E574" i="1"/>
  <c r="B574" i="1"/>
  <c r="F573" i="1"/>
  <c r="E573" i="1"/>
  <c r="B573" i="1"/>
  <c r="F572" i="1"/>
  <c r="E572" i="1"/>
  <c r="B572" i="1"/>
  <c r="F571" i="1"/>
  <c r="E571" i="1"/>
  <c r="B571" i="1"/>
  <c r="F570" i="1"/>
  <c r="E570" i="1"/>
  <c r="B570" i="1"/>
  <c r="F569" i="1"/>
  <c r="E569" i="1"/>
  <c r="B569" i="1"/>
  <c r="F568" i="1"/>
  <c r="E568" i="1"/>
  <c r="B568" i="1"/>
  <c r="F567" i="1"/>
  <c r="E567" i="1"/>
  <c r="B567" i="1"/>
  <c r="F566" i="1"/>
  <c r="E566" i="1"/>
  <c r="B566" i="1"/>
  <c r="F565" i="1"/>
  <c r="E565" i="1"/>
  <c r="B565" i="1"/>
  <c r="F564" i="1"/>
  <c r="E564" i="1"/>
  <c r="B564" i="1"/>
  <c r="F563" i="1"/>
  <c r="E563" i="1"/>
  <c r="B563" i="1"/>
  <c r="F562" i="1"/>
  <c r="E562" i="1"/>
  <c r="B562" i="1"/>
  <c r="F561" i="1"/>
  <c r="E561" i="1"/>
  <c r="B561" i="1"/>
  <c r="F560" i="1"/>
  <c r="E560" i="1"/>
  <c r="B560" i="1"/>
  <c r="F559" i="1"/>
  <c r="E559" i="1"/>
  <c r="B559" i="1"/>
  <c r="F558" i="1"/>
  <c r="E558" i="1"/>
  <c r="B558" i="1"/>
  <c r="F557" i="1"/>
  <c r="E557" i="1"/>
  <c r="B557" i="1"/>
  <c r="F556" i="1"/>
  <c r="E556" i="1"/>
  <c r="B556" i="1"/>
  <c r="F555" i="1"/>
  <c r="E555" i="1"/>
  <c r="B555" i="1"/>
  <c r="F554" i="1"/>
  <c r="E554" i="1"/>
  <c r="B554" i="1"/>
  <c r="F553" i="1"/>
  <c r="E553" i="1"/>
  <c r="B553" i="1"/>
  <c r="F552" i="1"/>
  <c r="E552" i="1"/>
  <c r="B552" i="1"/>
  <c r="F551" i="1"/>
  <c r="E551" i="1"/>
  <c r="B551" i="1"/>
  <c r="F550" i="1"/>
  <c r="E550" i="1"/>
  <c r="B550" i="1"/>
  <c r="F549" i="1"/>
  <c r="E549" i="1"/>
  <c r="B549" i="1"/>
  <c r="F548" i="1"/>
  <c r="E548" i="1"/>
  <c r="B548" i="1"/>
  <c r="F547" i="1"/>
  <c r="E547" i="1"/>
  <c r="B547" i="1"/>
  <c r="F546" i="1"/>
  <c r="E546" i="1"/>
  <c r="B546" i="1"/>
  <c r="F545" i="1"/>
  <c r="E545" i="1"/>
  <c r="B545" i="1"/>
  <c r="F544" i="1"/>
  <c r="E544" i="1"/>
  <c r="B544" i="1"/>
  <c r="F543" i="1"/>
  <c r="E543" i="1"/>
  <c r="B543" i="1"/>
  <c r="F542" i="1"/>
  <c r="E542" i="1"/>
  <c r="B542" i="1"/>
  <c r="F541" i="1"/>
  <c r="E541" i="1"/>
  <c r="B541" i="1"/>
  <c r="F540" i="1"/>
  <c r="E540" i="1"/>
  <c r="B540" i="1"/>
  <c r="F539" i="1"/>
  <c r="E539" i="1"/>
  <c r="B539" i="1"/>
  <c r="F538" i="1"/>
  <c r="E538" i="1"/>
  <c r="B538" i="1"/>
  <c r="F537" i="1"/>
  <c r="E537" i="1"/>
  <c r="B537" i="1"/>
  <c r="F536" i="1"/>
  <c r="E536" i="1"/>
  <c r="B536" i="1"/>
  <c r="F535" i="1"/>
  <c r="E535" i="1"/>
  <c r="B535" i="1"/>
  <c r="F534" i="1"/>
  <c r="E534" i="1"/>
  <c r="B534" i="1"/>
  <c r="F533" i="1"/>
  <c r="E533" i="1"/>
  <c r="B533" i="1"/>
  <c r="F532" i="1"/>
  <c r="E532" i="1"/>
  <c r="B532" i="1"/>
  <c r="F531" i="1"/>
  <c r="E531" i="1"/>
  <c r="B531" i="1"/>
  <c r="F530" i="1"/>
  <c r="E530" i="1"/>
  <c r="B530" i="1"/>
  <c r="F529" i="1"/>
  <c r="E529" i="1"/>
  <c r="B529" i="1"/>
  <c r="F528" i="1"/>
  <c r="E528" i="1"/>
  <c r="B528" i="1"/>
  <c r="F527" i="1"/>
  <c r="E527" i="1"/>
  <c r="B527" i="1"/>
  <c r="F526" i="1"/>
  <c r="E526" i="1"/>
  <c r="B526" i="1"/>
  <c r="F525" i="1"/>
  <c r="E525" i="1"/>
  <c r="B525" i="1"/>
  <c r="F524" i="1"/>
  <c r="E524" i="1"/>
  <c r="B524" i="1"/>
  <c r="F523" i="1"/>
  <c r="E523" i="1"/>
  <c r="B523" i="1"/>
  <c r="F522" i="1"/>
  <c r="E522" i="1"/>
  <c r="B522" i="1"/>
  <c r="F521" i="1"/>
  <c r="E521" i="1"/>
  <c r="B521" i="1"/>
  <c r="F520" i="1"/>
  <c r="E520" i="1"/>
  <c r="B520" i="1"/>
  <c r="F519" i="1"/>
  <c r="E519" i="1"/>
  <c r="B519" i="1"/>
  <c r="F518" i="1"/>
  <c r="E518" i="1"/>
  <c r="B518" i="1"/>
  <c r="F517" i="1"/>
  <c r="E517" i="1"/>
  <c r="B517" i="1"/>
  <c r="F516" i="1"/>
  <c r="E516" i="1"/>
  <c r="B516" i="1"/>
  <c r="F515" i="1"/>
  <c r="E515" i="1"/>
  <c r="B515" i="1"/>
  <c r="F514" i="1"/>
  <c r="E514" i="1"/>
  <c r="B514" i="1"/>
  <c r="F513" i="1"/>
  <c r="E513" i="1"/>
  <c r="B513" i="1"/>
  <c r="F512" i="1"/>
  <c r="E512" i="1"/>
  <c r="B512" i="1"/>
  <c r="F511" i="1"/>
  <c r="E511" i="1"/>
  <c r="B511" i="1"/>
  <c r="F510" i="1"/>
  <c r="E510" i="1"/>
  <c r="B510" i="1"/>
  <c r="F509" i="1"/>
  <c r="E509" i="1"/>
  <c r="B509" i="1"/>
  <c r="F508" i="1"/>
  <c r="E508" i="1"/>
  <c r="B508" i="1"/>
  <c r="F507" i="1"/>
  <c r="E507" i="1"/>
  <c r="B507" i="1"/>
  <c r="F506" i="1"/>
  <c r="E506" i="1"/>
  <c r="B506" i="1"/>
  <c r="F505" i="1"/>
  <c r="E505" i="1"/>
  <c r="B505" i="1"/>
  <c r="F504" i="1"/>
  <c r="E504" i="1"/>
  <c r="B504" i="1"/>
  <c r="F503" i="1"/>
  <c r="E503" i="1"/>
  <c r="B503" i="1"/>
  <c r="F502" i="1"/>
  <c r="E502" i="1"/>
  <c r="B502" i="1"/>
  <c r="F501" i="1"/>
  <c r="E501" i="1"/>
  <c r="B501" i="1"/>
  <c r="F500" i="1"/>
  <c r="E500" i="1"/>
  <c r="B500" i="1"/>
  <c r="F499" i="1"/>
  <c r="E499" i="1"/>
  <c r="B499" i="1"/>
  <c r="F498" i="1"/>
  <c r="E498" i="1"/>
  <c r="B498" i="1"/>
  <c r="F497" i="1"/>
  <c r="E497" i="1"/>
  <c r="B497" i="1"/>
  <c r="F496" i="1"/>
  <c r="E496" i="1"/>
  <c r="B496" i="1"/>
  <c r="F495" i="1"/>
  <c r="E495" i="1"/>
  <c r="B495" i="1"/>
  <c r="F494" i="1"/>
  <c r="E494" i="1"/>
  <c r="B494" i="1"/>
  <c r="F493" i="1"/>
  <c r="E493" i="1"/>
  <c r="B493" i="1"/>
  <c r="F492" i="1"/>
  <c r="E492" i="1"/>
  <c r="B492" i="1"/>
  <c r="F491" i="1"/>
  <c r="E491" i="1"/>
  <c r="B491" i="1"/>
  <c r="F490" i="1"/>
  <c r="E490" i="1"/>
  <c r="B490" i="1"/>
  <c r="F489" i="1"/>
  <c r="E489" i="1"/>
  <c r="B489" i="1"/>
  <c r="F488" i="1"/>
  <c r="E488" i="1"/>
  <c r="B488" i="1"/>
  <c r="F487" i="1"/>
  <c r="E487" i="1"/>
  <c r="B487" i="1"/>
  <c r="F486" i="1"/>
  <c r="E486" i="1"/>
  <c r="B486" i="1"/>
  <c r="F485" i="1"/>
  <c r="E485" i="1"/>
  <c r="B485" i="1"/>
  <c r="F484" i="1"/>
  <c r="E484" i="1"/>
  <c r="B484" i="1"/>
  <c r="F483" i="1"/>
  <c r="E483" i="1"/>
  <c r="B483" i="1"/>
  <c r="F482" i="1"/>
  <c r="E482" i="1"/>
  <c r="B482" i="1"/>
  <c r="F481" i="1"/>
  <c r="E481" i="1"/>
  <c r="B481" i="1"/>
  <c r="F480" i="1"/>
  <c r="E480" i="1"/>
  <c r="B480" i="1"/>
  <c r="F479" i="1"/>
  <c r="E479" i="1"/>
  <c r="B479" i="1"/>
  <c r="F478" i="1"/>
  <c r="E478" i="1"/>
  <c r="B478" i="1"/>
  <c r="F477" i="1"/>
  <c r="E477" i="1"/>
  <c r="B477" i="1"/>
  <c r="F476" i="1"/>
  <c r="E476" i="1"/>
  <c r="B476" i="1"/>
  <c r="F475" i="1"/>
  <c r="E475" i="1"/>
  <c r="B475" i="1"/>
  <c r="F474" i="1"/>
  <c r="E474" i="1"/>
  <c r="B474" i="1"/>
  <c r="F473" i="1"/>
  <c r="E473" i="1"/>
  <c r="B473" i="1"/>
  <c r="F472" i="1"/>
  <c r="E472" i="1"/>
  <c r="B472" i="1"/>
  <c r="F471" i="1"/>
  <c r="E471" i="1"/>
  <c r="B471" i="1"/>
  <c r="F470" i="1"/>
  <c r="E470" i="1"/>
  <c r="B470" i="1"/>
  <c r="F469" i="1"/>
  <c r="E469" i="1"/>
  <c r="B469" i="1"/>
  <c r="F468" i="1"/>
  <c r="E468" i="1"/>
  <c r="B468" i="1"/>
  <c r="F467" i="1"/>
  <c r="E467" i="1"/>
  <c r="B467" i="1"/>
  <c r="F466" i="1"/>
  <c r="E466" i="1"/>
  <c r="B466" i="1"/>
  <c r="F465" i="1"/>
  <c r="E465" i="1"/>
  <c r="B465" i="1"/>
  <c r="F464" i="1"/>
  <c r="E464" i="1"/>
  <c r="B464" i="1"/>
  <c r="F463" i="1"/>
  <c r="E463" i="1"/>
  <c r="B463" i="1"/>
  <c r="F462" i="1"/>
  <c r="E462" i="1"/>
  <c r="B462" i="1"/>
  <c r="F461" i="1"/>
  <c r="E461" i="1"/>
  <c r="B461" i="1"/>
  <c r="F460" i="1"/>
  <c r="E460" i="1"/>
  <c r="B460" i="1"/>
  <c r="F459" i="1"/>
  <c r="E459" i="1"/>
  <c r="B459" i="1"/>
  <c r="F458" i="1"/>
  <c r="E458" i="1"/>
  <c r="B458" i="1"/>
  <c r="F457" i="1"/>
  <c r="E457" i="1"/>
  <c r="B457" i="1"/>
  <c r="F456" i="1"/>
  <c r="E456" i="1"/>
  <c r="B456" i="1"/>
  <c r="F455" i="1"/>
  <c r="E455" i="1"/>
  <c r="B455" i="1"/>
  <c r="F454" i="1"/>
  <c r="E454" i="1"/>
  <c r="B454" i="1"/>
  <c r="F453" i="1"/>
  <c r="E453" i="1"/>
  <c r="B453" i="1"/>
  <c r="F452" i="1"/>
  <c r="E452" i="1"/>
  <c r="B452" i="1"/>
  <c r="F451" i="1"/>
  <c r="E451" i="1"/>
  <c r="B451" i="1"/>
  <c r="F450" i="1"/>
  <c r="E450" i="1"/>
  <c r="B450" i="1"/>
  <c r="F449" i="1"/>
  <c r="E449" i="1"/>
  <c r="B449" i="1"/>
  <c r="F448" i="1"/>
  <c r="E448" i="1"/>
  <c r="B448" i="1"/>
  <c r="F447" i="1"/>
  <c r="E447" i="1"/>
  <c r="B447" i="1"/>
  <c r="F446" i="1"/>
  <c r="E446" i="1"/>
  <c r="B446" i="1"/>
  <c r="F445" i="1"/>
  <c r="E445" i="1"/>
  <c r="B445" i="1"/>
  <c r="F444" i="1"/>
  <c r="E444" i="1"/>
  <c r="B444" i="1"/>
  <c r="F443" i="1"/>
  <c r="E443" i="1"/>
  <c r="B443" i="1"/>
  <c r="F442" i="1"/>
  <c r="E442" i="1"/>
  <c r="B442" i="1"/>
  <c r="F441" i="1"/>
  <c r="E441" i="1"/>
  <c r="B441" i="1"/>
  <c r="F440" i="1"/>
  <c r="E440" i="1"/>
  <c r="B440" i="1"/>
  <c r="F439" i="1"/>
  <c r="E439" i="1"/>
  <c r="B439" i="1"/>
  <c r="F438" i="1"/>
  <c r="E438" i="1"/>
  <c r="B438" i="1"/>
  <c r="F437" i="1"/>
  <c r="E437" i="1"/>
  <c r="B437" i="1"/>
  <c r="F436" i="1"/>
  <c r="E436" i="1"/>
  <c r="B436" i="1"/>
  <c r="F435" i="1"/>
  <c r="E435" i="1"/>
  <c r="B435" i="1"/>
  <c r="F434" i="1"/>
  <c r="E434" i="1"/>
  <c r="B434" i="1"/>
  <c r="F433" i="1"/>
  <c r="E433" i="1"/>
  <c r="B433" i="1"/>
  <c r="F432" i="1"/>
  <c r="E432" i="1"/>
  <c r="B432" i="1"/>
  <c r="F431" i="1"/>
  <c r="E431" i="1"/>
  <c r="B431" i="1"/>
  <c r="F430" i="1"/>
  <c r="E430" i="1"/>
  <c r="B430" i="1"/>
  <c r="F429" i="1"/>
  <c r="E429" i="1"/>
  <c r="B429" i="1"/>
  <c r="F428" i="1"/>
  <c r="E428" i="1"/>
  <c r="B428" i="1"/>
  <c r="F427" i="1"/>
  <c r="E427" i="1"/>
  <c r="B427" i="1"/>
  <c r="F426" i="1"/>
  <c r="E426" i="1"/>
  <c r="B426" i="1"/>
  <c r="F425" i="1"/>
  <c r="E425" i="1"/>
  <c r="B425" i="1"/>
  <c r="F424" i="1"/>
  <c r="E424" i="1"/>
  <c r="B424" i="1"/>
  <c r="F423" i="1"/>
  <c r="E423" i="1"/>
  <c r="B423" i="1"/>
  <c r="F422" i="1"/>
  <c r="E422" i="1"/>
  <c r="B422" i="1"/>
  <c r="F421" i="1"/>
  <c r="E421" i="1"/>
  <c r="B421" i="1"/>
  <c r="F420" i="1"/>
  <c r="E420" i="1"/>
  <c r="B420" i="1"/>
  <c r="F419" i="1"/>
  <c r="E419" i="1"/>
  <c r="B419" i="1"/>
  <c r="F418" i="1"/>
  <c r="E418" i="1"/>
  <c r="B418" i="1"/>
  <c r="F417" i="1"/>
  <c r="E417" i="1"/>
  <c r="B417" i="1"/>
  <c r="F416" i="1"/>
  <c r="E416" i="1"/>
  <c r="B416" i="1"/>
  <c r="F415" i="1"/>
  <c r="E415" i="1"/>
  <c r="B415" i="1"/>
  <c r="F414" i="1"/>
  <c r="E414" i="1"/>
  <c r="B414" i="1"/>
  <c r="F413" i="1"/>
  <c r="E413" i="1"/>
  <c r="B413" i="1"/>
  <c r="F412" i="1"/>
  <c r="E412" i="1"/>
  <c r="B412" i="1"/>
  <c r="F411" i="1"/>
  <c r="E411" i="1"/>
  <c r="B411" i="1"/>
  <c r="F410" i="1"/>
  <c r="E410" i="1"/>
  <c r="B410" i="1"/>
  <c r="F409" i="1"/>
  <c r="E409" i="1"/>
  <c r="B409" i="1"/>
  <c r="F408" i="1"/>
  <c r="E408" i="1"/>
  <c r="B408" i="1"/>
  <c r="F407" i="1"/>
  <c r="E407" i="1"/>
  <c r="B407" i="1"/>
  <c r="F406" i="1"/>
  <c r="E406" i="1"/>
  <c r="B406" i="1"/>
  <c r="F405" i="1"/>
  <c r="E405" i="1"/>
  <c r="B405" i="1"/>
  <c r="F404" i="1"/>
  <c r="E404" i="1"/>
  <c r="B404" i="1"/>
  <c r="F403" i="1"/>
  <c r="E403" i="1"/>
  <c r="B403" i="1"/>
  <c r="F402" i="1"/>
  <c r="E402" i="1"/>
  <c r="B402" i="1"/>
  <c r="F401" i="1"/>
  <c r="E401" i="1"/>
  <c r="B401" i="1"/>
  <c r="F400" i="1"/>
  <c r="E400" i="1"/>
  <c r="B400" i="1"/>
  <c r="F399" i="1"/>
  <c r="E399" i="1"/>
  <c r="B399" i="1"/>
  <c r="F398" i="1"/>
  <c r="E398" i="1"/>
  <c r="B398" i="1"/>
  <c r="F397" i="1"/>
  <c r="E397" i="1"/>
  <c r="B397" i="1"/>
  <c r="F396" i="1"/>
  <c r="E396" i="1"/>
  <c r="B396" i="1"/>
  <c r="F395" i="1"/>
  <c r="E395" i="1"/>
  <c r="B395" i="1"/>
  <c r="F394" i="1"/>
  <c r="E394" i="1"/>
  <c r="B394" i="1"/>
  <c r="F393" i="1"/>
  <c r="E393" i="1"/>
  <c r="B393" i="1"/>
  <c r="F392" i="1"/>
  <c r="E392" i="1"/>
  <c r="B392" i="1"/>
  <c r="F391" i="1"/>
  <c r="E391" i="1"/>
  <c r="B391" i="1"/>
  <c r="F390" i="1"/>
  <c r="E390" i="1"/>
  <c r="B390" i="1"/>
  <c r="F389" i="1"/>
  <c r="E389" i="1"/>
  <c r="B389" i="1"/>
  <c r="F388" i="1"/>
  <c r="E388" i="1"/>
  <c r="B388" i="1"/>
  <c r="F387" i="1"/>
  <c r="E387" i="1"/>
  <c r="B387" i="1"/>
  <c r="F386" i="1"/>
  <c r="E386" i="1"/>
  <c r="B386" i="1"/>
  <c r="F385" i="1"/>
  <c r="E385" i="1"/>
  <c r="B385" i="1"/>
  <c r="F384" i="1"/>
  <c r="E384" i="1"/>
  <c r="B384" i="1"/>
  <c r="F383" i="1"/>
  <c r="E383" i="1"/>
  <c r="B383" i="1"/>
  <c r="F382" i="1"/>
  <c r="E382" i="1"/>
  <c r="B382" i="1"/>
  <c r="F381" i="1"/>
  <c r="E381" i="1"/>
  <c r="B381" i="1"/>
  <c r="F380" i="1"/>
  <c r="E380" i="1"/>
  <c r="B380" i="1"/>
  <c r="F379" i="1"/>
  <c r="E379" i="1"/>
  <c r="B379" i="1"/>
  <c r="F378" i="1"/>
  <c r="E378" i="1"/>
  <c r="B378" i="1"/>
  <c r="F377" i="1"/>
  <c r="E377" i="1"/>
  <c r="B377" i="1"/>
  <c r="F376" i="1"/>
  <c r="E376" i="1"/>
  <c r="B376" i="1"/>
  <c r="F375" i="1"/>
  <c r="E375" i="1"/>
  <c r="B375" i="1"/>
  <c r="F374" i="1"/>
  <c r="E374" i="1"/>
  <c r="B374" i="1"/>
  <c r="F373" i="1"/>
  <c r="E373" i="1"/>
  <c r="B373" i="1"/>
  <c r="F372" i="1"/>
  <c r="E372" i="1"/>
  <c r="B372" i="1"/>
  <c r="F371" i="1"/>
  <c r="E371" i="1"/>
  <c r="B371" i="1"/>
  <c r="F370" i="1"/>
  <c r="E370" i="1"/>
  <c r="B370" i="1"/>
  <c r="F369" i="1"/>
  <c r="E369" i="1"/>
  <c r="B369" i="1"/>
  <c r="F368" i="1"/>
  <c r="E368" i="1"/>
  <c r="B368" i="1"/>
  <c r="F367" i="1"/>
  <c r="E367" i="1"/>
  <c r="B367" i="1"/>
  <c r="F366" i="1"/>
  <c r="E366" i="1"/>
  <c r="B366" i="1"/>
  <c r="F365" i="1"/>
  <c r="E365" i="1"/>
  <c r="B365" i="1"/>
  <c r="F364" i="1"/>
  <c r="E364" i="1"/>
  <c r="B364" i="1"/>
  <c r="F363" i="1"/>
  <c r="E363" i="1"/>
  <c r="B363" i="1"/>
  <c r="F362" i="1"/>
  <c r="E362" i="1"/>
  <c r="B362" i="1"/>
  <c r="F361" i="1"/>
  <c r="E361" i="1"/>
  <c r="B361" i="1"/>
  <c r="F360" i="1"/>
  <c r="E360" i="1"/>
  <c r="B360" i="1"/>
  <c r="F359" i="1"/>
  <c r="E359" i="1"/>
  <c r="B359" i="1"/>
  <c r="F358" i="1"/>
  <c r="E358" i="1"/>
  <c r="B358" i="1"/>
  <c r="F357" i="1"/>
  <c r="E357" i="1"/>
  <c r="B357" i="1"/>
  <c r="F356" i="1"/>
  <c r="E356" i="1"/>
  <c r="B356" i="1"/>
  <c r="F355" i="1"/>
  <c r="E355" i="1"/>
  <c r="B355" i="1"/>
  <c r="F354" i="1"/>
  <c r="E354" i="1"/>
  <c r="B354" i="1"/>
  <c r="F353" i="1"/>
  <c r="E353" i="1"/>
  <c r="B353" i="1"/>
  <c r="F352" i="1"/>
  <c r="E352" i="1"/>
  <c r="B352" i="1"/>
  <c r="F351" i="1"/>
  <c r="E351" i="1"/>
  <c r="B351" i="1"/>
  <c r="F350" i="1"/>
  <c r="E350" i="1"/>
  <c r="B350" i="1"/>
  <c r="F349" i="1"/>
  <c r="E349" i="1"/>
  <c r="B349" i="1"/>
  <c r="F348" i="1"/>
  <c r="E348" i="1"/>
  <c r="B348" i="1"/>
  <c r="F347" i="1"/>
  <c r="E347" i="1"/>
  <c r="B347" i="1"/>
  <c r="F346" i="1"/>
  <c r="E346" i="1"/>
  <c r="B346" i="1"/>
  <c r="F345" i="1"/>
  <c r="E345" i="1"/>
  <c r="B345" i="1"/>
  <c r="F344" i="1"/>
  <c r="E344" i="1"/>
  <c r="B344" i="1"/>
  <c r="F343" i="1"/>
  <c r="E343" i="1"/>
  <c r="B343" i="1"/>
  <c r="F342" i="1"/>
  <c r="E342" i="1"/>
  <c r="B342" i="1"/>
  <c r="F341" i="1"/>
  <c r="E341" i="1"/>
  <c r="B341" i="1"/>
  <c r="F340" i="1"/>
  <c r="E340" i="1"/>
  <c r="B340" i="1"/>
  <c r="F339" i="1"/>
  <c r="E339" i="1"/>
  <c r="B339" i="1"/>
  <c r="F338" i="1"/>
  <c r="E338" i="1"/>
  <c r="B338" i="1"/>
  <c r="F337" i="1"/>
  <c r="E337" i="1"/>
  <c r="B337" i="1"/>
  <c r="F336" i="1"/>
  <c r="E336" i="1"/>
  <c r="B336" i="1"/>
  <c r="F335" i="1"/>
  <c r="E335" i="1"/>
  <c r="B335" i="1"/>
  <c r="F334" i="1"/>
  <c r="E334" i="1"/>
  <c r="B334" i="1"/>
  <c r="F333" i="1"/>
  <c r="E333" i="1"/>
  <c r="B333" i="1"/>
  <c r="F332" i="1"/>
  <c r="E332" i="1"/>
  <c r="B332" i="1"/>
  <c r="F331" i="1"/>
  <c r="E331" i="1"/>
  <c r="B331" i="1"/>
  <c r="F330" i="1"/>
  <c r="E330" i="1"/>
  <c r="B330" i="1"/>
  <c r="F329" i="1"/>
  <c r="E329" i="1"/>
  <c r="B329" i="1"/>
  <c r="F328" i="1"/>
  <c r="E328" i="1"/>
  <c r="B328" i="1"/>
  <c r="F327" i="1"/>
  <c r="E327" i="1"/>
  <c r="B327" i="1"/>
  <c r="F326" i="1"/>
  <c r="E326" i="1"/>
  <c r="B326" i="1"/>
  <c r="F325" i="1"/>
  <c r="E325" i="1"/>
  <c r="B325" i="1"/>
  <c r="F324" i="1"/>
  <c r="E324" i="1"/>
  <c r="B324" i="1"/>
  <c r="F323" i="1"/>
  <c r="E323" i="1"/>
  <c r="B323" i="1"/>
  <c r="F322" i="1"/>
  <c r="E322" i="1"/>
  <c r="B322" i="1"/>
  <c r="F321" i="1"/>
  <c r="E321" i="1"/>
  <c r="B321" i="1"/>
  <c r="F320" i="1"/>
  <c r="E320" i="1"/>
  <c r="B320" i="1"/>
  <c r="F319" i="1"/>
  <c r="E319" i="1"/>
  <c r="B319" i="1"/>
  <c r="F318" i="1"/>
  <c r="E318" i="1"/>
  <c r="B318" i="1"/>
  <c r="F317" i="1"/>
  <c r="E317" i="1"/>
  <c r="B317" i="1"/>
  <c r="F316" i="1"/>
  <c r="E316" i="1"/>
  <c r="B316" i="1"/>
  <c r="F315" i="1"/>
  <c r="E315" i="1"/>
  <c r="B315" i="1"/>
  <c r="F314" i="1"/>
  <c r="E314" i="1"/>
  <c r="B314" i="1"/>
  <c r="F313" i="1"/>
  <c r="E313" i="1"/>
  <c r="B313" i="1"/>
  <c r="F312" i="1"/>
  <c r="E312" i="1"/>
  <c r="B312" i="1"/>
  <c r="F311" i="1"/>
  <c r="E311" i="1"/>
  <c r="B311" i="1"/>
  <c r="F310" i="1"/>
  <c r="E310" i="1"/>
  <c r="B310" i="1"/>
  <c r="F309" i="1"/>
  <c r="E309" i="1"/>
  <c r="B309" i="1"/>
  <c r="F308" i="1"/>
  <c r="E308" i="1"/>
  <c r="B308" i="1"/>
  <c r="F307" i="1"/>
  <c r="E307" i="1"/>
  <c r="B307" i="1"/>
  <c r="F306" i="1"/>
  <c r="E306" i="1"/>
  <c r="B306" i="1"/>
  <c r="F305" i="1"/>
  <c r="E305" i="1"/>
  <c r="B305" i="1"/>
  <c r="F304" i="1"/>
  <c r="E304" i="1"/>
  <c r="B304" i="1"/>
  <c r="F303" i="1"/>
  <c r="E303" i="1"/>
  <c r="B303" i="1"/>
  <c r="F302" i="1"/>
  <c r="E302" i="1"/>
  <c r="B302" i="1"/>
  <c r="F301" i="1"/>
  <c r="E301" i="1"/>
  <c r="B301" i="1"/>
  <c r="F300" i="1"/>
  <c r="E300" i="1"/>
  <c r="B300" i="1"/>
  <c r="F299" i="1"/>
  <c r="E299" i="1"/>
  <c r="B299" i="1"/>
  <c r="F298" i="1"/>
  <c r="E298" i="1"/>
  <c r="B298" i="1"/>
  <c r="F297" i="1"/>
  <c r="E297" i="1"/>
  <c r="B297" i="1"/>
  <c r="F296" i="1"/>
  <c r="E296" i="1"/>
  <c r="B296" i="1"/>
  <c r="F295" i="1"/>
  <c r="E295" i="1"/>
  <c r="B295" i="1"/>
  <c r="F294" i="1"/>
  <c r="E294" i="1"/>
  <c r="B294" i="1"/>
  <c r="F293" i="1"/>
  <c r="E293" i="1"/>
  <c r="B293" i="1"/>
  <c r="F292" i="1"/>
  <c r="E292" i="1"/>
  <c r="B292" i="1"/>
  <c r="F291" i="1"/>
  <c r="E291" i="1"/>
  <c r="B291" i="1"/>
  <c r="F290" i="1"/>
  <c r="E290" i="1"/>
  <c r="B290" i="1"/>
  <c r="F289" i="1"/>
  <c r="E289" i="1"/>
  <c r="B289" i="1"/>
  <c r="F288" i="1"/>
  <c r="E288" i="1"/>
  <c r="B288" i="1"/>
  <c r="F287" i="1"/>
  <c r="E287" i="1"/>
  <c r="B287" i="1"/>
  <c r="F286" i="1"/>
  <c r="E286" i="1"/>
  <c r="B286" i="1"/>
  <c r="F285" i="1"/>
  <c r="E285" i="1"/>
  <c r="B285" i="1"/>
  <c r="F284" i="1"/>
  <c r="E284" i="1"/>
  <c r="B284" i="1"/>
  <c r="F283" i="1"/>
  <c r="E283" i="1"/>
  <c r="B283" i="1"/>
  <c r="F282" i="1"/>
  <c r="E282" i="1"/>
  <c r="B282" i="1"/>
  <c r="F281" i="1"/>
  <c r="E281" i="1"/>
  <c r="B281" i="1"/>
  <c r="F280" i="1"/>
  <c r="E280" i="1"/>
  <c r="B280" i="1"/>
  <c r="F279" i="1"/>
  <c r="E279" i="1"/>
  <c r="B279" i="1"/>
  <c r="F278" i="1"/>
  <c r="E278" i="1"/>
  <c r="B278" i="1"/>
  <c r="F277" i="1"/>
  <c r="E277" i="1"/>
  <c r="B277" i="1"/>
  <c r="F276" i="1"/>
  <c r="E276" i="1"/>
  <c r="B276" i="1"/>
  <c r="F275" i="1"/>
  <c r="E275" i="1"/>
  <c r="B275" i="1"/>
  <c r="F274" i="1"/>
  <c r="E274" i="1"/>
  <c r="B274" i="1"/>
  <c r="F273" i="1"/>
  <c r="E273" i="1"/>
  <c r="B273" i="1"/>
  <c r="F272" i="1"/>
  <c r="E272" i="1"/>
  <c r="B272" i="1"/>
  <c r="F271" i="1"/>
  <c r="E271" i="1"/>
  <c r="B271" i="1"/>
  <c r="F270" i="1"/>
  <c r="E270" i="1"/>
  <c r="B270" i="1"/>
  <c r="F269" i="1"/>
  <c r="E269" i="1"/>
  <c r="B269" i="1"/>
  <c r="F268" i="1"/>
  <c r="E268" i="1"/>
  <c r="B268" i="1"/>
  <c r="F267" i="1"/>
  <c r="E267" i="1"/>
  <c r="B267" i="1"/>
  <c r="F266" i="1"/>
  <c r="E266" i="1"/>
  <c r="B266" i="1"/>
  <c r="F265" i="1"/>
  <c r="E265" i="1"/>
  <c r="B265" i="1"/>
  <c r="F264" i="1"/>
  <c r="E264" i="1"/>
  <c r="B264" i="1"/>
  <c r="F263" i="1"/>
  <c r="E263" i="1"/>
  <c r="B263" i="1"/>
  <c r="F262" i="1"/>
  <c r="E262" i="1"/>
  <c r="B262" i="1"/>
  <c r="F261" i="1"/>
  <c r="E261" i="1"/>
  <c r="B261" i="1"/>
  <c r="F260" i="1"/>
  <c r="E260" i="1"/>
  <c r="B260" i="1"/>
  <c r="F259" i="1"/>
  <c r="E259" i="1"/>
  <c r="B259" i="1"/>
  <c r="F258" i="1"/>
  <c r="E258" i="1"/>
  <c r="B258" i="1"/>
  <c r="F257" i="1"/>
  <c r="E257" i="1"/>
  <c r="B257" i="1"/>
  <c r="F256" i="1"/>
  <c r="E256" i="1"/>
  <c r="B256" i="1"/>
  <c r="F255" i="1"/>
  <c r="E255" i="1"/>
  <c r="B255" i="1"/>
  <c r="F254" i="1"/>
  <c r="E254" i="1"/>
  <c r="B254" i="1"/>
  <c r="F253" i="1"/>
  <c r="E253" i="1"/>
  <c r="B253" i="1"/>
  <c r="F252" i="1"/>
  <c r="E252" i="1"/>
  <c r="B252" i="1"/>
  <c r="F251" i="1"/>
  <c r="E251" i="1"/>
  <c r="B251" i="1"/>
  <c r="F250" i="1"/>
  <c r="E250" i="1"/>
  <c r="B250" i="1"/>
  <c r="F249" i="1"/>
  <c r="E249" i="1"/>
  <c r="B249" i="1"/>
  <c r="F248" i="1"/>
  <c r="E248" i="1"/>
  <c r="B248" i="1"/>
  <c r="F247" i="1"/>
  <c r="E247" i="1"/>
  <c r="B247" i="1"/>
  <c r="F246" i="1"/>
  <c r="E246" i="1"/>
  <c r="B246" i="1"/>
  <c r="F245" i="1"/>
  <c r="E245" i="1"/>
  <c r="B245" i="1"/>
  <c r="F244" i="1"/>
  <c r="E244" i="1"/>
  <c r="B244" i="1"/>
  <c r="F243" i="1"/>
  <c r="E243" i="1"/>
  <c r="B243" i="1"/>
  <c r="F242" i="1"/>
  <c r="E242" i="1"/>
  <c r="B242" i="1"/>
  <c r="F241" i="1"/>
  <c r="E241" i="1"/>
  <c r="B241" i="1"/>
  <c r="F240" i="1"/>
  <c r="E240" i="1"/>
  <c r="B240" i="1"/>
  <c r="F239" i="1"/>
  <c r="E239" i="1"/>
  <c r="B239" i="1"/>
  <c r="F238" i="1"/>
  <c r="E238" i="1"/>
  <c r="B238" i="1"/>
  <c r="F237" i="1"/>
  <c r="E237" i="1"/>
  <c r="B237" i="1"/>
  <c r="F236" i="1"/>
  <c r="E236" i="1"/>
  <c r="B236" i="1"/>
  <c r="F235" i="1"/>
  <c r="E235" i="1"/>
  <c r="B235" i="1"/>
  <c r="F234" i="1"/>
  <c r="E234" i="1"/>
  <c r="B234" i="1"/>
  <c r="F233" i="1"/>
  <c r="E233" i="1"/>
  <c r="B233" i="1"/>
  <c r="F232" i="1"/>
  <c r="E232" i="1"/>
  <c r="B232" i="1"/>
  <c r="F231" i="1"/>
  <c r="E231" i="1"/>
  <c r="B231" i="1"/>
  <c r="F230" i="1"/>
  <c r="E230" i="1"/>
  <c r="B230" i="1"/>
  <c r="F229" i="1"/>
  <c r="E229" i="1"/>
  <c r="B229" i="1"/>
  <c r="F228" i="1"/>
  <c r="E228" i="1"/>
  <c r="B228" i="1"/>
  <c r="F227" i="1"/>
  <c r="E227" i="1"/>
  <c r="B227" i="1"/>
  <c r="F226" i="1"/>
  <c r="E226" i="1"/>
  <c r="B226" i="1"/>
  <c r="F225" i="1"/>
  <c r="E225" i="1"/>
  <c r="B225" i="1"/>
  <c r="F224" i="1"/>
  <c r="E224" i="1"/>
  <c r="B224" i="1"/>
  <c r="F223" i="1"/>
  <c r="E223" i="1"/>
  <c r="B223" i="1"/>
  <c r="F222" i="1"/>
  <c r="E222" i="1"/>
  <c r="B222" i="1"/>
  <c r="F221" i="1"/>
  <c r="E221" i="1"/>
  <c r="B221" i="1"/>
  <c r="F220" i="1"/>
  <c r="E220" i="1"/>
  <c r="B220" i="1"/>
  <c r="F219" i="1"/>
  <c r="E219" i="1"/>
  <c r="B219" i="1"/>
  <c r="F218" i="1"/>
  <c r="E218" i="1"/>
  <c r="B218" i="1"/>
  <c r="F217" i="1"/>
  <c r="E217" i="1"/>
  <c r="B217" i="1"/>
  <c r="F216" i="1"/>
  <c r="E216" i="1"/>
  <c r="B216" i="1"/>
  <c r="F215" i="1"/>
  <c r="E215" i="1"/>
  <c r="B215" i="1"/>
  <c r="F214" i="1"/>
  <c r="E214" i="1"/>
  <c r="B214" i="1"/>
  <c r="F213" i="1"/>
  <c r="E213" i="1"/>
  <c r="B213" i="1"/>
  <c r="F212" i="1"/>
  <c r="E212" i="1"/>
  <c r="B212" i="1"/>
  <c r="F211" i="1"/>
  <c r="E211" i="1"/>
  <c r="B211" i="1"/>
  <c r="F210" i="1"/>
  <c r="E210" i="1"/>
  <c r="B210" i="1"/>
  <c r="F209" i="1"/>
  <c r="E209" i="1"/>
  <c r="B209" i="1"/>
  <c r="F208" i="1"/>
  <c r="E208" i="1"/>
  <c r="B208" i="1"/>
  <c r="F207" i="1"/>
  <c r="E207" i="1"/>
  <c r="B207" i="1"/>
  <c r="F206" i="1"/>
  <c r="E206" i="1"/>
  <c r="B206" i="1"/>
  <c r="F205" i="1"/>
  <c r="E205" i="1"/>
  <c r="B205" i="1"/>
  <c r="F204" i="1"/>
  <c r="E204" i="1"/>
  <c r="B204" i="1"/>
  <c r="F203" i="1"/>
  <c r="E203" i="1"/>
  <c r="B203" i="1"/>
  <c r="F202" i="1"/>
  <c r="E202" i="1"/>
  <c r="B202" i="1"/>
  <c r="F201" i="1"/>
  <c r="E201" i="1"/>
  <c r="B201" i="1"/>
  <c r="F200" i="1"/>
  <c r="E200" i="1"/>
  <c r="B200" i="1"/>
  <c r="F199" i="1"/>
  <c r="E199" i="1"/>
  <c r="B199" i="1"/>
  <c r="F198" i="1"/>
  <c r="E198" i="1"/>
  <c r="B198" i="1"/>
  <c r="F197" i="1"/>
  <c r="E197" i="1"/>
  <c r="B197" i="1"/>
  <c r="F196" i="1"/>
  <c r="E196" i="1"/>
  <c r="B196" i="1"/>
  <c r="F195" i="1"/>
  <c r="E195" i="1"/>
  <c r="B195" i="1"/>
  <c r="F194" i="1"/>
  <c r="E194" i="1"/>
  <c r="B194" i="1"/>
  <c r="F193" i="1"/>
  <c r="E193" i="1"/>
  <c r="B193" i="1"/>
  <c r="F192" i="1"/>
  <c r="E192" i="1"/>
  <c r="B192" i="1"/>
  <c r="F191" i="1"/>
  <c r="E191" i="1"/>
  <c r="B191" i="1"/>
  <c r="F190" i="1"/>
  <c r="E190" i="1"/>
  <c r="B190" i="1"/>
  <c r="F189" i="1"/>
  <c r="E189" i="1"/>
  <c r="B189" i="1"/>
  <c r="F188" i="1"/>
  <c r="E188" i="1"/>
  <c r="B188" i="1"/>
  <c r="F187" i="1"/>
  <c r="E187" i="1"/>
  <c r="B187" i="1"/>
  <c r="F186" i="1"/>
  <c r="E186" i="1"/>
  <c r="B186" i="1"/>
  <c r="F185" i="1"/>
  <c r="E185" i="1"/>
  <c r="B185" i="1"/>
  <c r="F184" i="1"/>
  <c r="E184" i="1"/>
  <c r="B184" i="1"/>
  <c r="F183" i="1"/>
  <c r="E183" i="1"/>
  <c r="B183" i="1"/>
  <c r="F182" i="1"/>
  <c r="E182" i="1"/>
  <c r="B182" i="1"/>
  <c r="F181" i="1"/>
  <c r="E181" i="1"/>
  <c r="B181" i="1"/>
  <c r="F180" i="1"/>
  <c r="E180" i="1"/>
  <c r="B180" i="1"/>
  <c r="F179" i="1"/>
  <c r="E179" i="1"/>
  <c r="B179" i="1"/>
  <c r="F178" i="1"/>
  <c r="E178" i="1"/>
  <c r="B178" i="1"/>
  <c r="F177" i="1"/>
  <c r="E177" i="1"/>
  <c r="B177" i="1"/>
  <c r="F176" i="1"/>
  <c r="E176" i="1"/>
  <c r="B176" i="1"/>
  <c r="F175" i="1"/>
  <c r="E175" i="1"/>
  <c r="B175" i="1"/>
  <c r="F174" i="1"/>
  <c r="E174" i="1"/>
  <c r="B174" i="1"/>
  <c r="F173" i="1"/>
  <c r="E173" i="1"/>
  <c r="B173" i="1"/>
  <c r="F172" i="1"/>
  <c r="E172" i="1"/>
  <c r="B172" i="1"/>
  <c r="F171" i="1"/>
  <c r="E171" i="1"/>
  <c r="B171" i="1"/>
  <c r="F170" i="1"/>
  <c r="E170" i="1"/>
  <c r="B170" i="1"/>
  <c r="F169" i="1"/>
  <c r="E169" i="1"/>
  <c r="B169" i="1"/>
  <c r="F168" i="1"/>
  <c r="E168" i="1"/>
  <c r="B168" i="1"/>
  <c r="F167" i="1"/>
  <c r="E167" i="1"/>
  <c r="B167" i="1"/>
  <c r="F166" i="1"/>
  <c r="E166" i="1"/>
  <c r="B166" i="1"/>
  <c r="F165" i="1"/>
  <c r="E165" i="1"/>
  <c r="B165" i="1"/>
  <c r="F164" i="1"/>
  <c r="E164" i="1"/>
  <c r="B164" i="1"/>
  <c r="F163" i="1"/>
  <c r="E163" i="1"/>
  <c r="B163" i="1"/>
  <c r="F162" i="1"/>
  <c r="E162" i="1"/>
  <c r="B162" i="1"/>
  <c r="F161" i="1"/>
  <c r="E161" i="1"/>
  <c r="B161" i="1"/>
  <c r="F160" i="1"/>
  <c r="E160" i="1"/>
  <c r="B160" i="1"/>
  <c r="F159" i="1"/>
  <c r="E159" i="1"/>
  <c r="B159" i="1"/>
  <c r="F158" i="1"/>
  <c r="E158" i="1"/>
  <c r="B158" i="1"/>
  <c r="F157" i="1"/>
  <c r="E157" i="1"/>
  <c r="B157" i="1"/>
  <c r="F156" i="1"/>
  <c r="E156" i="1"/>
  <c r="B156" i="1"/>
  <c r="F155" i="1"/>
  <c r="E155" i="1"/>
  <c r="B155" i="1"/>
  <c r="F154" i="1"/>
  <c r="E154" i="1"/>
  <c r="B154" i="1"/>
  <c r="F153" i="1"/>
  <c r="E153" i="1"/>
  <c r="B153" i="1"/>
  <c r="F152" i="1"/>
  <c r="E152" i="1"/>
  <c r="B152" i="1"/>
  <c r="F151" i="1"/>
  <c r="E151" i="1"/>
  <c r="B151" i="1"/>
  <c r="F150" i="1"/>
  <c r="E150" i="1"/>
  <c r="B150" i="1"/>
  <c r="F149" i="1"/>
  <c r="E149" i="1"/>
  <c r="B149" i="1"/>
  <c r="F148" i="1"/>
  <c r="E148" i="1"/>
  <c r="B148" i="1"/>
  <c r="F147" i="1"/>
  <c r="E147" i="1"/>
  <c r="B147" i="1"/>
  <c r="F146" i="1"/>
  <c r="E146" i="1"/>
  <c r="B146" i="1"/>
  <c r="F145" i="1"/>
  <c r="E145" i="1"/>
  <c r="B145" i="1"/>
  <c r="F144" i="1"/>
  <c r="E144" i="1"/>
  <c r="B144" i="1"/>
  <c r="F143" i="1"/>
  <c r="E143" i="1"/>
  <c r="B143" i="1"/>
  <c r="F142" i="1"/>
  <c r="E142" i="1"/>
  <c r="B142" i="1"/>
  <c r="F141" i="1"/>
  <c r="E141" i="1"/>
  <c r="B141" i="1"/>
  <c r="F140" i="1"/>
  <c r="E140" i="1"/>
  <c r="B140" i="1"/>
  <c r="F139" i="1"/>
  <c r="E139" i="1"/>
  <c r="B139" i="1"/>
  <c r="F138" i="1"/>
  <c r="E138" i="1"/>
  <c r="B138" i="1"/>
  <c r="F137" i="1"/>
  <c r="E137" i="1"/>
  <c r="B137" i="1"/>
  <c r="F136" i="1"/>
  <c r="E136" i="1"/>
  <c r="B136" i="1"/>
  <c r="F135" i="1"/>
  <c r="E135" i="1"/>
  <c r="B135" i="1"/>
  <c r="F134" i="1"/>
  <c r="E134" i="1"/>
  <c r="B134" i="1"/>
  <c r="F133" i="1"/>
  <c r="E133" i="1"/>
  <c r="B133" i="1"/>
  <c r="F132" i="1"/>
  <c r="E132" i="1"/>
  <c r="B132" i="1"/>
  <c r="F131" i="1"/>
  <c r="E131" i="1"/>
  <c r="B131" i="1"/>
  <c r="F130" i="1"/>
  <c r="E130" i="1"/>
  <c r="B130" i="1"/>
  <c r="F129" i="1"/>
  <c r="E129" i="1"/>
  <c r="B129" i="1"/>
  <c r="F128" i="1"/>
  <c r="E128" i="1"/>
  <c r="B128" i="1"/>
  <c r="F127" i="1"/>
  <c r="E127" i="1"/>
  <c r="B127" i="1"/>
  <c r="F126" i="1"/>
  <c r="E126" i="1"/>
  <c r="B126" i="1"/>
  <c r="F125" i="1"/>
  <c r="E125" i="1"/>
  <c r="B125" i="1"/>
  <c r="F124" i="1"/>
  <c r="E124" i="1"/>
  <c r="B124" i="1"/>
  <c r="F123" i="1"/>
  <c r="E123" i="1"/>
  <c r="B123" i="1"/>
  <c r="F122" i="1"/>
  <c r="E122" i="1"/>
  <c r="B122" i="1"/>
  <c r="F121" i="1"/>
  <c r="E121" i="1"/>
  <c r="B121" i="1"/>
  <c r="F120" i="1"/>
  <c r="E120" i="1"/>
  <c r="B120" i="1"/>
  <c r="F119" i="1"/>
  <c r="E119" i="1"/>
  <c r="B119" i="1"/>
  <c r="F118" i="1"/>
  <c r="E118" i="1"/>
  <c r="B118" i="1"/>
  <c r="F117" i="1"/>
  <c r="E117" i="1"/>
  <c r="B117" i="1"/>
  <c r="F116" i="1"/>
  <c r="E116" i="1"/>
  <c r="B116" i="1"/>
  <c r="F115" i="1"/>
  <c r="E115" i="1"/>
  <c r="B115" i="1"/>
  <c r="F114" i="1"/>
  <c r="E114" i="1"/>
  <c r="B114" i="1"/>
  <c r="F113" i="1"/>
  <c r="E113" i="1"/>
  <c r="B113" i="1"/>
  <c r="F112" i="1"/>
  <c r="E112" i="1"/>
  <c r="B112" i="1"/>
  <c r="F111" i="1"/>
  <c r="E111" i="1"/>
  <c r="B111" i="1"/>
  <c r="F110" i="1"/>
  <c r="E110" i="1"/>
  <c r="B110" i="1"/>
  <c r="F109" i="1"/>
  <c r="E109" i="1"/>
  <c r="B109" i="1"/>
  <c r="F108" i="1"/>
  <c r="E108" i="1"/>
  <c r="B108" i="1"/>
  <c r="F107" i="1"/>
  <c r="E107" i="1"/>
  <c r="B107" i="1"/>
  <c r="F106" i="1"/>
  <c r="E106" i="1"/>
  <c r="B106" i="1"/>
  <c r="F105" i="1"/>
  <c r="E105" i="1"/>
  <c r="B105" i="1"/>
  <c r="F104" i="1"/>
  <c r="E104" i="1"/>
  <c r="B104" i="1"/>
  <c r="F103" i="1"/>
  <c r="E103" i="1"/>
  <c r="B103" i="1"/>
  <c r="F102" i="1"/>
  <c r="E102" i="1"/>
  <c r="B102" i="1"/>
  <c r="F101" i="1"/>
  <c r="E101" i="1"/>
  <c r="B101" i="1"/>
  <c r="F100" i="1"/>
  <c r="E100" i="1"/>
  <c r="B100" i="1"/>
  <c r="F99" i="1"/>
  <c r="E99" i="1"/>
  <c r="B99" i="1"/>
  <c r="F98" i="1"/>
  <c r="E98" i="1"/>
  <c r="B98" i="1"/>
  <c r="F97" i="1"/>
  <c r="E97" i="1"/>
  <c r="B97" i="1"/>
  <c r="F96" i="1"/>
  <c r="E96" i="1"/>
  <c r="B96" i="1"/>
  <c r="F95" i="1"/>
  <c r="E95" i="1"/>
  <c r="B95" i="1"/>
  <c r="F94" i="1"/>
  <c r="E94" i="1"/>
  <c r="B94" i="1"/>
  <c r="F93" i="1"/>
  <c r="E93" i="1"/>
  <c r="B93" i="1"/>
  <c r="F92" i="1"/>
  <c r="E92" i="1"/>
  <c r="B92" i="1"/>
  <c r="F91" i="1"/>
  <c r="E91" i="1"/>
  <c r="B91" i="1"/>
  <c r="F90" i="1"/>
  <c r="E90" i="1"/>
  <c r="B90" i="1"/>
  <c r="F89" i="1"/>
  <c r="E89" i="1"/>
  <c r="B89" i="1"/>
  <c r="F88" i="1"/>
  <c r="E88" i="1"/>
  <c r="B88" i="1"/>
  <c r="F87" i="1"/>
  <c r="E87" i="1"/>
  <c r="B87" i="1"/>
  <c r="F86" i="1"/>
  <c r="E86" i="1"/>
  <c r="B86" i="1"/>
  <c r="F85" i="1"/>
  <c r="E85" i="1"/>
  <c r="B85" i="1"/>
  <c r="F84" i="1"/>
  <c r="E84" i="1"/>
  <c r="B84" i="1"/>
  <c r="F83" i="1"/>
  <c r="E83" i="1"/>
  <c r="B83" i="1"/>
  <c r="F82" i="1"/>
  <c r="E82" i="1"/>
  <c r="B82" i="1"/>
  <c r="F81" i="1"/>
  <c r="E81" i="1"/>
  <c r="B81" i="1"/>
  <c r="F80" i="1"/>
  <c r="E80" i="1"/>
  <c r="B80" i="1"/>
  <c r="F79" i="1"/>
  <c r="E79" i="1"/>
  <c r="B79" i="1"/>
  <c r="F78" i="1"/>
  <c r="E78" i="1"/>
  <c r="B78" i="1"/>
  <c r="F77" i="1"/>
  <c r="E77" i="1"/>
  <c r="B77" i="1"/>
  <c r="F76" i="1"/>
  <c r="E76" i="1"/>
  <c r="B76" i="1"/>
  <c r="F75" i="1"/>
  <c r="E75" i="1"/>
  <c r="B75" i="1"/>
  <c r="F74" i="1"/>
  <c r="E74" i="1"/>
  <c r="B74" i="1"/>
  <c r="F73" i="1"/>
  <c r="E73" i="1"/>
  <c r="B73" i="1"/>
  <c r="F72" i="1"/>
  <c r="E72" i="1"/>
  <c r="B72" i="1"/>
  <c r="F71" i="1"/>
  <c r="E71" i="1"/>
  <c r="B71" i="1"/>
  <c r="F70" i="1"/>
  <c r="E70" i="1"/>
  <c r="B70" i="1"/>
  <c r="F69" i="1"/>
  <c r="E69" i="1"/>
  <c r="B69" i="1"/>
  <c r="F68" i="1"/>
  <c r="E68" i="1"/>
  <c r="B68" i="1"/>
  <c r="F67" i="1"/>
  <c r="E67" i="1"/>
  <c r="B67" i="1"/>
  <c r="F66" i="1"/>
  <c r="E66" i="1"/>
  <c r="B66" i="1"/>
  <c r="F65" i="1"/>
  <c r="E65" i="1"/>
  <c r="B65" i="1"/>
  <c r="F64" i="1"/>
  <c r="E64" i="1"/>
  <c r="B64" i="1"/>
  <c r="F63" i="1"/>
  <c r="E63" i="1"/>
  <c r="B63" i="1"/>
  <c r="F62" i="1"/>
  <c r="E62" i="1"/>
  <c r="B62" i="1"/>
  <c r="F61" i="1"/>
  <c r="E61" i="1"/>
  <c r="B61" i="1"/>
  <c r="F60" i="1"/>
  <c r="E60" i="1"/>
  <c r="B60" i="1"/>
  <c r="F59" i="1"/>
  <c r="E59" i="1"/>
  <c r="B59" i="1"/>
  <c r="F58" i="1"/>
  <c r="E58" i="1"/>
  <c r="B58" i="1"/>
  <c r="F57" i="1"/>
  <c r="E57" i="1"/>
  <c r="B57" i="1"/>
  <c r="F56" i="1"/>
  <c r="E56" i="1"/>
  <c r="B56" i="1"/>
  <c r="F55" i="1"/>
  <c r="E55" i="1"/>
  <c r="B55" i="1"/>
  <c r="F54" i="1"/>
  <c r="E54" i="1"/>
  <c r="B54" i="1"/>
  <c r="F53" i="1"/>
  <c r="E53" i="1"/>
  <c r="B53" i="1"/>
  <c r="F52" i="1"/>
  <c r="E52" i="1"/>
  <c r="B52" i="1"/>
  <c r="F51" i="1"/>
  <c r="E51" i="1"/>
  <c r="B51" i="1"/>
  <c r="F50" i="1"/>
  <c r="E50" i="1"/>
  <c r="B50" i="1"/>
  <c r="F49" i="1"/>
  <c r="E49" i="1"/>
  <c r="B49" i="1"/>
  <c r="F48" i="1"/>
  <c r="E48" i="1"/>
  <c r="B48" i="1"/>
  <c r="F47" i="1"/>
  <c r="E47" i="1"/>
  <c r="B47" i="1"/>
  <c r="F46" i="1"/>
  <c r="E46" i="1"/>
  <c r="B46" i="1"/>
  <c r="F45" i="1"/>
  <c r="E45" i="1"/>
  <c r="B45" i="1"/>
  <c r="F44" i="1"/>
  <c r="E44" i="1"/>
  <c r="B44" i="1"/>
  <c r="F43" i="1"/>
  <c r="E43" i="1"/>
  <c r="B43" i="1"/>
  <c r="F42" i="1"/>
  <c r="E42" i="1"/>
  <c r="B42" i="1"/>
  <c r="F41" i="1"/>
  <c r="E41" i="1"/>
  <c r="B41" i="1"/>
  <c r="F40" i="1"/>
  <c r="E40" i="1"/>
  <c r="B40" i="1"/>
  <c r="F39" i="1"/>
  <c r="E39" i="1"/>
  <c r="B39" i="1"/>
  <c r="F38" i="1"/>
  <c r="E38" i="1"/>
  <c r="B38" i="1"/>
  <c r="F37" i="1"/>
  <c r="E37" i="1"/>
  <c r="B37" i="1"/>
  <c r="F36" i="1"/>
  <c r="E36" i="1"/>
  <c r="B36" i="1"/>
  <c r="F35" i="1"/>
  <c r="E35" i="1"/>
  <c r="B35" i="1"/>
  <c r="F34" i="1"/>
  <c r="E34" i="1"/>
  <c r="B34" i="1"/>
  <c r="F33" i="1"/>
  <c r="E33" i="1"/>
  <c r="B33" i="1"/>
  <c r="F32" i="1"/>
  <c r="E32" i="1"/>
  <c r="B32" i="1"/>
  <c r="F31" i="1"/>
  <c r="E31" i="1"/>
  <c r="B31" i="1"/>
  <c r="F30" i="1"/>
  <c r="E30" i="1"/>
  <c r="B30" i="1"/>
  <c r="F29" i="1"/>
  <c r="E29" i="1"/>
  <c r="B29" i="1"/>
  <c r="F28" i="1"/>
  <c r="E28" i="1"/>
  <c r="B28" i="1"/>
  <c r="F27" i="1"/>
  <c r="E27" i="1"/>
  <c r="B27" i="1"/>
  <c r="F26" i="1"/>
  <c r="E26" i="1"/>
  <c r="B26" i="1"/>
  <c r="F25" i="1"/>
  <c r="E25" i="1"/>
  <c r="B25" i="1"/>
  <c r="F24" i="1"/>
  <c r="E24" i="1"/>
  <c r="B24" i="1"/>
  <c r="F23" i="1"/>
  <c r="E23" i="1"/>
  <c r="B23" i="1"/>
  <c r="F22" i="1"/>
  <c r="E22" i="1"/>
  <c r="B22" i="1"/>
  <c r="F21" i="1"/>
  <c r="E21" i="1"/>
  <c r="B21" i="1"/>
  <c r="F20" i="1"/>
  <c r="E20" i="1"/>
  <c r="B20" i="1"/>
  <c r="F19" i="1"/>
  <c r="E19" i="1"/>
  <c r="B19" i="1"/>
  <c r="F18" i="1"/>
  <c r="E18" i="1"/>
  <c r="B18" i="1"/>
  <c r="F17" i="1"/>
  <c r="E17" i="1"/>
  <c r="B17" i="1"/>
  <c r="F16" i="1"/>
  <c r="E16" i="1"/>
  <c r="B16" i="1"/>
  <c r="F15" i="1"/>
  <c r="E15" i="1"/>
  <c r="B15" i="1"/>
  <c r="F14" i="1"/>
  <c r="E14" i="1"/>
  <c r="B14" i="1"/>
  <c r="F13" i="1"/>
  <c r="E13" i="1"/>
  <c r="B13" i="1"/>
  <c r="F12" i="1"/>
  <c r="E12" i="1"/>
  <c r="B12" i="1"/>
  <c r="F11" i="1"/>
  <c r="E11" i="1"/>
  <c r="B11" i="1"/>
  <c r="E10" i="1"/>
  <c r="B10" i="1"/>
  <c r="E9" i="1"/>
  <c r="B9" i="1"/>
  <c r="E8" i="1"/>
  <c r="B8" i="1"/>
  <c r="E7" i="1"/>
  <c r="E6" i="1"/>
  <c r="E5" i="1"/>
  <c r="E4" i="1"/>
  <c r="E2" i="1"/>
  <c r="G3481" i="2" l="1"/>
  <c r="F2203" i="2"/>
  <c r="F1093" i="2"/>
  <c r="H5498" i="2"/>
  <c r="F4170" i="2"/>
  <c r="H1913" i="2"/>
  <c r="G3747" i="2"/>
  <c r="H5327" i="2"/>
  <c r="F5690" i="2"/>
  <c r="G2054" i="2"/>
  <c r="F3836" i="2"/>
  <c r="H5237" i="2"/>
  <c r="H479" i="2"/>
  <c r="H838" i="2"/>
  <c r="F851" i="2"/>
  <c r="G3321" i="2"/>
  <c r="H3488" i="2"/>
  <c r="H3551" i="2"/>
  <c r="H624" i="2"/>
  <c r="G1413" i="2"/>
  <c r="H4999" i="2"/>
  <c r="F5870" i="2"/>
  <c r="F606" i="2"/>
  <c r="G1394" i="2"/>
  <c r="F4531" i="2"/>
  <c r="H5513" i="2"/>
  <c r="F5620" i="2"/>
  <c r="F4130" i="2"/>
  <c r="H4317" i="2"/>
  <c r="G5620" i="2"/>
  <c r="F4636" i="2"/>
  <c r="H5534" i="2"/>
  <c r="H177" i="2"/>
  <c r="H851" i="2"/>
  <c r="G3739" i="2"/>
  <c r="H3754" i="2"/>
  <c r="G4664" i="2"/>
  <c r="G4834" i="2"/>
  <c r="G3736" i="2"/>
  <c r="G354" i="2"/>
  <c r="H680" i="2"/>
  <c r="G3157" i="2"/>
  <c r="F5039" i="2"/>
  <c r="H5593" i="2"/>
  <c r="G320" i="2"/>
  <c r="G1494" i="2"/>
  <c r="G2952" i="2"/>
  <c r="G2300" i="2"/>
  <c r="H3576" i="2"/>
  <c r="F3631" i="2"/>
  <c r="F3780" i="2"/>
  <c r="F4681" i="2"/>
  <c r="H5816" i="2"/>
  <c r="H5915" i="2"/>
  <c r="E3" i="1"/>
  <c r="H628" i="2"/>
  <c r="F2067" i="2"/>
  <c r="H313" i="2"/>
  <c r="H421" i="2"/>
  <c r="H550" i="2"/>
  <c r="F563" i="2"/>
  <c r="H835" i="2"/>
  <c r="F873" i="2"/>
  <c r="G2372" i="2"/>
  <c r="G2583" i="2"/>
  <c r="G2834" i="2"/>
  <c r="G3076" i="2"/>
  <c r="H3119" i="2"/>
  <c r="H3565" i="2"/>
  <c r="G3628" i="2"/>
  <c r="G3780" i="2"/>
  <c r="F4886" i="2"/>
  <c r="H5119" i="2"/>
  <c r="G5329" i="2"/>
  <c r="H1541" i="2"/>
  <c r="H2502" i="2"/>
  <c r="H473" i="2"/>
  <c r="H1055" i="2"/>
  <c r="H1443" i="2"/>
  <c r="G2074" i="2"/>
  <c r="H221" i="2"/>
  <c r="F303" i="2"/>
  <c r="F395" i="2"/>
  <c r="H873" i="2"/>
  <c r="H2583" i="2"/>
  <c r="H2834" i="2"/>
  <c r="F3057" i="2"/>
  <c r="F3210" i="2"/>
  <c r="G3301" i="2"/>
  <c r="H4224" i="2"/>
  <c r="G5493" i="2"/>
  <c r="H646" i="2"/>
  <c r="F2074" i="2"/>
  <c r="G3082" i="2"/>
  <c r="F473" i="2"/>
  <c r="F3314" i="2"/>
  <c r="G3570" i="2"/>
  <c r="G3932" i="2"/>
  <c r="F4100" i="2"/>
  <c r="F4210" i="2"/>
  <c r="F4665" i="2"/>
  <c r="F5354" i="2"/>
  <c r="H5856" i="2"/>
  <c r="H2290" i="2"/>
  <c r="H935" i="2"/>
  <c r="F1825" i="2"/>
  <c r="G1986" i="2"/>
  <c r="H2519" i="2"/>
  <c r="H2628" i="2"/>
  <c r="G4210" i="2"/>
  <c r="H5354" i="2"/>
  <c r="G306" i="2"/>
  <c r="G935" i="2"/>
  <c r="F1786" i="2"/>
  <c r="H627" i="2"/>
  <c r="F637" i="2"/>
  <c r="F384" i="2"/>
  <c r="F489" i="2"/>
  <c r="H1155" i="2"/>
  <c r="F1477" i="2"/>
  <c r="G1555" i="2"/>
  <c r="H1697" i="2"/>
  <c r="G2014" i="2"/>
  <c r="G2559" i="2"/>
  <c r="H2566" i="2"/>
  <c r="H2692" i="2"/>
  <c r="F2954" i="2"/>
  <c r="G3129" i="2"/>
  <c r="H3210" i="2"/>
  <c r="F3312" i="2"/>
  <c r="G3445" i="2"/>
  <c r="F3602" i="2"/>
  <c r="F3700" i="2"/>
  <c r="G3740" i="2"/>
  <c r="G3995" i="2"/>
  <c r="F4338" i="2"/>
  <c r="F4584" i="2"/>
  <c r="G4735" i="2"/>
  <c r="G4847" i="2"/>
  <c r="G4882" i="2"/>
  <c r="G5151" i="2"/>
  <c r="F5297" i="2"/>
  <c r="H1127" i="2"/>
  <c r="H317" i="2"/>
  <c r="G384" i="2"/>
  <c r="H489" i="2"/>
  <c r="G1470" i="2"/>
  <c r="G1686" i="2"/>
  <c r="F1799" i="2"/>
  <c r="H2559" i="2"/>
  <c r="H2954" i="2"/>
  <c r="H3312" i="2"/>
  <c r="H3445" i="2"/>
  <c r="G3700" i="2"/>
  <c r="H4338" i="2"/>
  <c r="G209" i="2"/>
  <c r="H639" i="2"/>
  <c r="H300" i="2"/>
  <c r="H322" i="2"/>
  <c r="H356" i="2"/>
  <c r="H377" i="2"/>
  <c r="H428" i="2"/>
  <c r="H430" i="2"/>
  <c r="H563" i="2"/>
  <c r="H682" i="2"/>
  <c r="F828" i="2"/>
  <c r="F1275" i="2"/>
  <c r="F1455" i="2"/>
  <c r="H1509" i="2"/>
  <c r="H1603" i="2"/>
  <c r="G1725" i="2"/>
  <c r="H1799" i="2"/>
  <c r="G1850" i="2"/>
  <c r="G2062" i="2"/>
  <c r="F2190" i="2"/>
  <c r="G2513" i="2"/>
  <c r="G3069" i="2"/>
  <c r="H3076" i="2"/>
  <c r="H3181" i="2"/>
  <c r="F3266" i="2"/>
  <c r="F3481" i="2"/>
  <c r="G3503" i="2"/>
  <c r="F3752" i="2"/>
  <c r="F3755" i="2"/>
  <c r="F3852" i="2"/>
  <c r="G3855" i="2"/>
  <c r="G4015" i="2"/>
  <c r="F4436" i="2"/>
  <c r="G4681" i="2"/>
  <c r="H4771" i="2"/>
  <c r="G5039" i="2"/>
  <c r="F5097" i="2"/>
  <c r="F5329" i="2"/>
  <c r="F5447" i="2"/>
  <c r="F5498" i="2"/>
  <c r="G5501" i="2"/>
  <c r="F5520" i="2"/>
  <c r="F5618" i="2"/>
  <c r="F5755" i="2"/>
  <c r="F393" i="2"/>
  <c r="F627" i="2"/>
  <c r="F2071" i="2"/>
  <c r="F476" i="2"/>
  <c r="G828" i="2"/>
  <c r="G1275" i="2"/>
  <c r="G3852" i="2"/>
  <c r="H3855" i="2"/>
  <c r="H91" i="2"/>
  <c r="G2379" i="2"/>
  <c r="F3007" i="2"/>
  <c r="F3096" i="2"/>
  <c r="G3201" i="2"/>
  <c r="G3368" i="2"/>
  <c r="G3485" i="2"/>
  <c r="F3736" i="2"/>
  <c r="F3739" i="2"/>
  <c r="F4224" i="2"/>
  <c r="F4262" i="2"/>
  <c r="H4301" i="2"/>
  <c r="F4418" i="2"/>
  <c r="F4887" i="2"/>
  <c r="F4986" i="2"/>
  <c r="F5055" i="2"/>
  <c r="G5677" i="2"/>
  <c r="F5910" i="2"/>
  <c r="G5933" i="2"/>
  <c r="F115" i="2"/>
  <c r="H115" i="2"/>
  <c r="H1790" i="2"/>
  <c r="F1790" i="2"/>
  <c r="G1790" i="2"/>
  <c r="G517" i="2"/>
  <c r="H517" i="2"/>
  <c r="G115" i="2"/>
  <c r="G319" i="2"/>
  <c r="H319" i="2"/>
  <c r="G499" i="2"/>
  <c r="H499" i="2"/>
  <c r="F499" i="2"/>
  <c r="H1017" i="2"/>
  <c r="F1017" i="2"/>
  <c r="H1783" i="2"/>
  <c r="G1783" i="2"/>
  <c r="F2231" i="2"/>
  <c r="H2231" i="2"/>
  <c r="H193" i="2"/>
  <c r="G193" i="2"/>
  <c r="F193" i="2"/>
  <c r="G404" i="2"/>
  <c r="H404" i="2"/>
  <c r="H1175" i="2"/>
  <c r="F1175" i="2"/>
  <c r="G1175" i="2"/>
  <c r="H2142" i="2"/>
  <c r="F2142" i="2"/>
  <c r="F2220" i="2"/>
  <c r="H2220" i="2"/>
  <c r="F2127" i="2"/>
  <c r="H2127" i="2"/>
  <c r="G200" i="2"/>
  <c r="H200" i="2"/>
  <c r="H735" i="2"/>
  <c r="G735" i="2"/>
  <c r="G1627" i="2"/>
  <c r="H1627" i="2"/>
  <c r="F1627" i="2"/>
  <c r="H1741" i="2"/>
  <c r="F1741" i="2"/>
  <c r="G1741" i="2"/>
  <c r="G1898" i="2"/>
  <c r="H1898" i="2"/>
  <c r="G2202" i="2"/>
  <c r="H2202" i="2"/>
  <c r="F2367" i="2"/>
  <c r="G2367" i="2"/>
  <c r="F1542" i="2"/>
  <c r="G1542" i="2"/>
  <c r="G543" i="2"/>
  <c r="F543" i="2"/>
  <c r="H543" i="2"/>
  <c r="G1839" i="2"/>
  <c r="H1839" i="2"/>
  <c r="H2059" i="2"/>
  <c r="G2059" i="2"/>
  <c r="F2183" i="2"/>
  <c r="G2183" i="2"/>
  <c r="F352" i="2"/>
  <c r="G352" i="2"/>
  <c r="G538" i="2"/>
  <c r="F538" i="2"/>
  <c r="G1441" i="2"/>
  <c r="F1441" i="2"/>
  <c r="G1793" i="2"/>
  <c r="H1793" i="2"/>
  <c r="H2332" i="2"/>
  <c r="G2332" i="2"/>
  <c r="H3066" i="2"/>
  <c r="G3073" i="2"/>
  <c r="F3183" i="2"/>
  <c r="H5970" i="2"/>
  <c r="G2960" i="2"/>
  <c r="F442" i="2"/>
  <c r="F444" i="2"/>
  <c r="F482" i="2"/>
  <c r="H497" i="2"/>
  <c r="H630" i="2"/>
  <c r="H733" i="2"/>
  <c r="H748" i="2"/>
  <c r="F753" i="2"/>
  <c r="F798" i="2"/>
  <c r="G913" i="2"/>
  <c r="F1123" i="2"/>
  <c r="H1149" i="2"/>
  <c r="G1365" i="2"/>
  <c r="G1638" i="2"/>
  <c r="G1974" i="2"/>
  <c r="G2161" i="2"/>
  <c r="G2180" i="2"/>
  <c r="F2371" i="2"/>
  <c r="G2460" i="2"/>
  <c r="H2471" i="2"/>
  <c r="H2482" i="2"/>
  <c r="G2527" i="2"/>
  <c r="F2592" i="2"/>
  <c r="G2817" i="2"/>
  <c r="H2867" i="2"/>
  <c r="H3258" i="2"/>
  <c r="F3289" i="2"/>
  <c r="H3296" i="2"/>
  <c r="H3352" i="2"/>
  <c r="H3415" i="2"/>
  <c r="F3442" i="2"/>
  <c r="F3680" i="2"/>
  <c r="F3683" i="2"/>
  <c r="F3824" i="2"/>
  <c r="F3880" i="2"/>
  <c r="G3899" i="2"/>
  <c r="G4011" i="2"/>
  <c r="H4100" i="2"/>
  <c r="F4200" i="2"/>
  <c r="G4255" i="2"/>
  <c r="H4322" i="2"/>
  <c r="G4418" i="2"/>
  <c r="H4599" i="2"/>
  <c r="G4842" i="2"/>
  <c r="F4856" i="2"/>
  <c r="G4913" i="2"/>
  <c r="G4959" i="2"/>
  <c r="G5055" i="2"/>
  <c r="F5074" i="2"/>
  <c r="G5135" i="2"/>
  <c r="G5447" i="2"/>
  <c r="H5690" i="2"/>
  <c r="F5792" i="2"/>
  <c r="H442" i="2"/>
  <c r="H444" i="2"/>
  <c r="G798" i="2"/>
  <c r="H913" i="2"/>
  <c r="F1127" i="2"/>
  <c r="F1497" i="2"/>
  <c r="G2371" i="2"/>
  <c r="H2460" i="2"/>
  <c r="G3442" i="2"/>
  <c r="G3680" i="2"/>
  <c r="G3683" i="2"/>
  <c r="H4200" i="2"/>
  <c r="H4842" i="2"/>
  <c r="H5074" i="2"/>
  <c r="G5792" i="2"/>
  <c r="H2674" i="2"/>
  <c r="H3215" i="2"/>
  <c r="G3296" i="2"/>
  <c r="F3306" i="2"/>
  <c r="G322" i="2"/>
  <c r="H393" i="2"/>
  <c r="H395" i="2"/>
  <c r="H405" i="2"/>
  <c r="F680" i="2"/>
  <c r="F682" i="2"/>
  <c r="F736" i="2"/>
  <c r="F835" i="2"/>
  <c r="G947" i="2"/>
  <c r="G1093" i="2"/>
  <c r="F1413" i="2"/>
  <c r="G1487" i="2"/>
  <c r="F1541" i="2"/>
  <c r="G1559" i="2"/>
  <c r="F1697" i="2"/>
  <c r="F1907" i="2"/>
  <c r="G2155" i="2"/>
  <c r="G2203" i="2"/>
  <c r="F2300" i="2"/>
  <c r="H2311" i="2"/>
  <c r="H2476" i="2"/>
  <c r="G2487" i="2"/>
  <c r="F3025" i="2"/>
  <c r="G3085" i="2"/>
  <c r="H3200" i="2"/>
  <c r="F3207" i="2"/>
  <c r="F3368" i="2"/>
  <c r="F3401" i="2"/>
  <c r="G3424" i="2"/>
  <c r="H3525" i="2"/>
  <c r="H3722" i="2"/>
  <c r="G3920" i="2"/>
  <c r="F4144" i="2"/>
  <c r="F4242" i="2"/>
  <c r="G4271" i="2"/>
  <c r="H4294" i="2"/>
  <c r="F4320" i="2"/>
  <c r="F4362" i="2"/>
  <c r="F4438" i="2"/>
  <c r="F4571" i="2"/>
  <c r="H4665" i="2"/>
  <c r="G4737" i="2"/>
  <c r="F4740" i="2"/>
  <c r="F4922" i="2"/>
  <c r="H5133" i="2"/>
  <c r="H5151" i="2"/>
  <c r="G5484" i="2"/>
  <c r="G5723" i="2"/>
  <c r="H4242" i="2"/>
  <c r="G4362" i="2"/>
  <c r="G4571" i="2"/>
  <c r="H4922" i="2"/>
  <c r="H39" i="2"/>
  <c r="H117" i="2"/>
  <c r="H222" i="2"/>
  <c r="F301" i="2"/>
  <c r="F639" i="2"/>
  <c r="F706" i="2"/>
  <c r="G883" i="2"/>
  <c r="F1155" i="2"/>
  <c r="F1189" i="2"/>
  <c r="G1356" i="2"/>
  <c r="G1633" i="2"/>
  <c r="H1667" i="2"/>
  <c r="H1930" i="2"/>
  <c r="F2115" i="2"/>
  <c r="H2167" i="2"/>
  <c r="H2526" i="2"/>
  <c r="H2788" i="2"/>
  <c r="H2827" i="2"/>
  <c r="G3136" i="2"/>
  <c r="H3354" i="2"/>
  <c r="H3391" i="2"/>
  <c r="F3488" i="2"/>
  <c r="F3560" i="2"/>
  <c r="F3659" i="2"/>
  <c r="H3743" i="2"/>
  <c r="F3826" i="2"/>
  <c r="G3882" i="2"/>
  <c r="F4088" i="2"/>
  <c r="F4160" i="2"/>
  <c r="F4310" i="2"/>
  <c r="H4470" i="2"/>
  <c r="F4882" i="2"/>
  <c r="H5137" i="2"/>
  <c r="G5274" i="2"/>
  <c r="G5783" i="2"/>
  <c r="G5915" i="2"/>
  <c r="F5922" i="2"/>
  <c r="G508" i="2"/>
  <c r="F508" i="2"/>
  <c r="G1651" i="2"/>
  <c r="H1651" i="2"/>
  <c r="H4867" i="2"/>
  <c r="F4867" i="2"/>
  <c r="G788" i="2"/>
  <c r="F931" i="2"/>
  <c r="G4471" i="2"/>
  <c r="H4471" i="2"/>
  <c r="F4471" i="2"/>
  <c r="G4804" i="2"/>
  <c r="H4804" i="2"/>
  <c r="F4804" i="2"/>
  <c r="H7" i="2"/>
  <c r="G60" i="2"/>
  <c r="G135" i="2"/>
  <c r="H176" i="2"/>
  <c r="H208" i="2"/>
  <c r="G259" i="2"/>
  <c r="H264" i="2"/>
  <c r="G273" i="2"/>
  <c r="H275" i="2"/>
  <c r="H330" i="2"/>
  <c r="G330" i="2"/>
  <c r="H368" i="2"/>
  <c r="G370" i="2"/>
  <c r="G383" i="2"/>
  <c r="H383" i="2"/>
  <c r="F383" i="2"/>
  <c r="G399" i="2"/>
  <c r="F399" i="2"/>
  <c r="H549" i="2"/>
  <c r="H649" i="2"/>
  <c r="G801" i="2"/>
  <c r="H801" i="2"/>
  <c r="F801" i="2"/>
  <c r="G931" i="2"/>
  <c r="H977" i="2"/>
  <c r="H1125" i="2"/>
  <c r="G1125" i="2"/>
  <c r="F1780" i="2"/>
  <c r="F1915" i="2"/>
  <c r="G1919" i="2"/>
  <c r="F1919" i="2"/>
  <c r="H2006" i="2"/>
  <c r="G2055" i="2"/>
  <c r="F2055" i="2"/>
  <c r="F2259" i="2"/>
  <c r="H2270" i="2"/>
  <c r="H2286" i="2"/>
  <c r="G2286" i="2"/>
  <c r="G2308" i="2"/>
  <c r="H2308" i="2"/>
  <c r="H2331" i="2"/>
  <c r="G2331" i="2"/>
  <c r="F2331" i="2"/>
  <c r="H2410" i="2"/>
  <c r="H2510" i="2"/>
  <c r="F2510" i="2"/>
  <c r="G2570" i="2"/>
  <c r="H2570" i="2"/>
  <c r="G2582" i="2"/>
  <c r="H2582" i="2"/>
  <c r="F2582" i="2"/>
  <c r="G3645" i="2"/>
  <c r="H3645" i="2"/>
  <c r="G3946" i="2"/>
  <c r="H3946" i="2"/>
  <c r="G368" i="2"/>
  <c r="G506" i="2"/>
  <c r="F506" i="2"/>
  <c r="H508" i="2"/>
  <c r="G1735" i="2"/>
  <c r="F1735" i="2"/>
  <c r="G1812" i="2"/>
  <c r="H1812" i="2"/>
  <c r="G2051" i="2"/>
  <c r="H71" i="2"/>
  <c r="H19" i="2"/>
  <c r="H53" i="2"/>
  <c r="G124" i="2"/>
  <c r="H135" i="2"/>
  <c r="H206" i="2"/>
  <c r="F317" i="2"/>
  <c r="F319" i="2"/>
  <c r="H399" i="2"/>
  <c r="H441" i="2"/>
  <c r="G450" i="2"/>
  <c r="H450" i="2"/>
  <c r="F450" i="2"/>
  <c r="G485" i="2"/>
  <c r="H485" i="2"/>
  <c r="G497" i="2"/>
  <c r="F511" i="2"/>
  <c r="G624" i="2"/>
  <c r="F628" i="2"/>
  <c r="F630" i="2"/>
  <c r="F714" i="2"/>
  <c r="F1125" i="2"/>
  <c r="H1240" i="2"/>
  <c r="G1240" i="2"/>
  <c r="H1471" i="2"/>
  <c r="G1471" i="2"/>
  <c r="H1493" i="2"/>
  <c r="G1519" i="2"/>
  <c r="G1523" i="2"/>
  <c r="H1523" i="2"/>
  <c r="F1523" i="2"/>
  <c r="G1773" i="2"/>
  <c r="F1805" i="2"/>
  <c r="G1805" i="2"/>
  <c r="G2259" i="2"/>
  <c r="F2286" i="2"/>
  <c r="H2552" i="2"/>
  <c r="F2552" i="2"/>
  <c r="H2932" i="2"/>
  <c r="F2932" i="2"/>
  <c r="G3832" i="2"/>
  <c r="H3832" i="2"/>
  <c r="G3888" i="2"/>
  <c r="H3888" i="2"/>
  <c r="F3888" i="2"/>
  <c r="G4555" i="2"/>
  <c r="H4555" i="2"/>
  <c r="F4631" i="2"/>
  <c r="G4631" i="2"/>
  <c r="H5113" i="2"/>
  <c r="G5113" i="2"/>
  <c r="F5113" i="2"/>
  <c r="G5201" i="2"/>
  <c r="H5201" i="2"/>
  <c r="G3568" i="2"/>
  <c r="H3568" i="2"/>
  <c r="G514" i="2"/>
  <c r="H514" i="2"/>
  <c r="G760" i="2"/>
  <c r="H760" i="2"/>
  <c r="G776" i="2"/>
  <c r="H776" i="2"/>
  <c r="F776" i="2"/>
  <c r="G1323" i="2"/>
  <c r="H1323" i="2"/>
  <c r="G2124" i="2"/>
  <c r="H2124" i="2"/>
  <c r="H2396" i="2"/>
  <c r="G2396" i="2"/>
  <c r="G3287" i="2"/>
  <c r="H3287" i="2"/>
  <c r="F3287" i="2"/>
  <c r="F3642" i="2"/>
  <c r="H3642" i="2"/>
  <c r="G3642" i="2"/>
  <c r="F4178" i="2"/>
  <c r="H4178" i="2"/>
  <c r="G4178" i="2"/>
  <c r="H4354" i="2"/>
  <c r="G4354" i="2"/>
  <c r="F4354" i="2"/>
  <c r="F4865" i="2"/>
  <c r="H4865" i="2"/>
  <c r="G4865" i="2"/>
  <c r="G5536" i="2"/>
  <c r="H5536" i="2"/>
  <c r="F5536" i="2"/>
  <c r="G3407" i="2"/>
  <c r="F3407" i="2"/>
  <c r="H3407" i="2"/>
  <c r="G7" i="2"/>
  <c r="G71" i="2"/>
  <c r="F370" i="2"/>
  <c r="G401" i="2"/>
  <c r="F401" i="2"/>
  <c r="H2126" i="2"/>
  <c r="G381" i="2"/>
  <c r="H381" i="2"/>
  <c r="F381" i="2"/>
  <c r="G51" i="2"/>
  <c r="H103" i="2"/>
  <c r="F155" i="2"/>
  <c r="G179" i="2"/>
  <c r="H219" i="2"/>
  <c r="H247" i="2"/>
  <c r="F270" i="2"/>
  <c r="F272" i="2"/>
  <c r="H301" i="2"/>
  <c r="H303" i="2"/>
  <c r="F333" i="2"/>
  <c r="F335" i="2"/>
  <c r="H342" i="2"/>
  <c r="H352" i="2"/>
  <c r="H354" i="2"/>
  <c r="G848" i="2"/>
  <c r="H850" i="2"/>
  <c r="F854" i="2"/>
  <c r="H866" i="2"/>
  <c r="G1095" i="2"/>
  <c r="H1095" i="2"/>
  <c r="F1095" i="2"/>
  <c r="G1209" i="2"/>
  <c r="H1209" i="2"/>
  <c r="F1316" i="2"/>
  <c r="G1316" i="2"/>
  <c r="H1378" i="2"/>
  <c r="G1378" i="2"/>
  <c r="H1665" i="2"/>
  <c r="G1665" i="2"/>
  <c r="F1691" i="2"/>
  <c r="H1702" i="2"/>
  <c r="G1702" i="2"/>
  <c r="F1751" i="2"/>
  <c r="G1763" i="2"/>
  <c r="H1763" i="2"/>
  <c r="F1860" i="2"/>
  <c r="G1860" i="2"/>
  <c r="H2030" i="2"/>
  <c r="G2030" i="2"/>
  <c r="F2030" i="2"/>
  <c r="F2201" i="2"/>
  <c r="H2230" i="2"/>
  <c r="G2230" i="2"/>
  <c r="F2396" i="2"/>
  <c r="F2545" i="2"/>
  <c r="G2545" i="2"/>
  <c r="G2724" i="2"/>
  <c r="H2724" i="2"/>
  <c r="F3421" i="2"/>
  <c r="G3421" i="2"/>
  <c r="G3624" i="2"/>
  <c r="H3624" i="2"/>
  <c r="F3624" i="2"/>
  <c r="G3730" i="2"/>
  <c r="H3730" i="2"/>
  <c r="G4548" i="2"/>
  <c r="H4548" i="2"/>
  <c r="H2390" i="2"/>
  <c r="G2390" i="2"/>
  <c r="F2390" i="2"/>
  <c r="G1598" i="2"/>
  <c r="G3063" i="2"/>
  <c r="H3063" i="2"/>
  <c r="H3145" i="2"/>
  <c r="G3145" i="2"/>
  <c r="F4277" i="2"/>
  <c r="G4277" i="2"/>
  <c r="G4440" i="2"/>
  <c r="F4440" i="2"/>
  <c r="H51" i="2"/>
  <c r="H155" i="2"/>
  <c r="H270" i="2"/>
  <c r="H272" i="2"/>
  <c r="H333" i="2"/>
  <c r="H335" i="2"/>
  <c r="G589" i="2"/>
  <c r="H589" i="2"/>
  <c r="H848" i="2"/>
  <c r="G854" i="2"/>
  <c r="H1069" i="2"/>
  <c r="G1069" i="2"/>
  <c r="H1293" i="2"/>
  <c r="G1293" i="2"/>
  <c r="F2086" i="2"/>
  <c r="H2086" i="2"/>
  <c r="G2086" i="2"/>
  <c r="G2201" i="2"/>
  <c r="H2542" i="2"/>
  <c r="F2542" i="2"/>
  <c r="G3159" i="2"/>
  <c r="H3159" i="2"/>
  <c r="G3280" i="2"/>
  <c r="H3280" i="2"/>
  <c r="H3586" i="2"/>
  <c r="F3586" i="2"/>
  <c r="H3707" i="2"/>
  <c r="F3707" i="2"/>
  <c r="F4052" i="2"/>
  <c r="G4052" i="2"/>
  <c r="H4114" i="2"/>
  <c r="G4114" i="2"/>
  <c r="F4114" i="2"/>
  <c r="G4126" i="2"/>
  <c r="H4126" i="2"/>
  <c r="G4862" i="2"/>
  <c r="H4862" i="2"/>
  <c r="F4862" i="2"/>
  <c r="F332" i="2"/>
  <c r="H332" i="2"/>
  <c r="H2584" i="2"/>
  <c r="F2584" i="2"/>
  <c r="G4463" i="2"/>
  <c r="F4463" i="2"/>
  <c r="H4692" i="2"/>
  <c r="F4692" i="2"/>
  <c r="H4745" i="2"/>
  <c r="G4745" i="2"/>
  <c r="G275" i="2"/>
  <c r="H2887" i="2"/>
  <c r="F2887" i="2"/>
  <c r="F3373" i="2"/>
  <c r="G3373" i="2"/>
  <c r="H3373" i="2"/>
  <c r="H5889" i="2"/>
  <c r="G5889" i="2"/>
  <c r="H85" i="2"/>
  <c r="H163" i="2"/>
  <c r="H170" i="2"/>
  <c r="H224" i="2"/>
  <c r="G300" i="2"/>
  <c r="F306" i="2"/>
  <c r="H329" i="2"/>
  <c r="G338" i="2"/>
  <c r="F338" i="2"/>
  <c r="G392" i="2"/>
  <c r="H392" i="2"/>
  <c r="G398" i="2"/>
  <c r="H451" i="2"/>
  <c r="F479" i="2"/>
  <c r="H486" i="2"/>
  <c r="F589" i="2"/>
  <c r="F1069" i="2"/>
  <c r="H1179" i="2"/>
  <c r="G1179" i="2"/>
  <c r="H1261" i="2"/>
  <c r="G1269" i="2"/>
  <c r="H1269" i="2"/>
  <c r="G1272" i="2"/>
  <c r="G1375" i="2"/>
  <c r="H1375" i="2"/>
  <c r="F1375" i="2"/>
  <c r="H1662" i="2"/>
  <c r="G1662" i="2"/>
  <c r="G1982" i="2"/>
  <c r="H2001" i="2"/>
  <c r="G2001" i="2"/>
  <c r="F2015" i="2"/>
  <c r="H2027" i="2"/>
  <c r="G2027" i="2"/>
  <c r="F2027" i="2"/>
  <c r="H2177" i="2"/>
  <c r="H2180" i="2"/>
  <c r="H2183" i="2"/>
  <c r="H2516" i="2"/>
  <c r="G2516" i="2"/>
  <c r="G2542" i="2"/>
  <c r="H2906" i="2"/>
  <c r="F2906" i="2"/>
  <c r="G3586" i="2"/>
  <c r="H3594" i="2"/>
  <c r="F3594" i="2"/>
  <c r="G4288" i="2"/>
  <c r="H4288" i="2"/>
  <c r="F4288" i="2"/>
  <c r="H4841" i="2"/>
  <c r="F4841" i="2"/>
  <c r="F2599" i="2"/>
  <c r="H2599" i="2"/>
  <c r="H3137" i="2"/>
  <c r="F3137" i="2"/>
  <c r="G3264" i="2"/>
  <c r="H3264" i="2"/>
  <c r="F3370" i="2"/>
  <c r="G3370" i="2"/>
  <c r="H3424" i="2"/>
  <c r="F3490" i="2"/>
  <c r="G3490" i="2"/>
  <c r="H3575" i="2"/>
  <c r="G3575" i="2"/>
  <c r="F3704" i="2"/>
  <c r="H3704" i="2"/>
  <c r="F3715" i="2"/>
  <c r="G3715" i="2"/>
  <c r="H3768" i="2"/>
  <c r="F3768" i="2"/>
  <c r="F3848" i="2"/>
  <c r="H3848" i="2"/>
  <c r="G4384" i="2"/>
  <c r="H4384" i="2"/>
  <c r="G4426" i="2"/>
  <c r="F4426" i="2"/>
  <c r="G4627" i="2"/>
  <c r="H4627" i="2"/>
  <c r="F4627" i="2"/>
  <c r="G4689" i="2"/>
  <c r="F4689" i="2"/>
  <c r="H4930" i="2"/>
  <c r="G4930" i="2"/>
  <c r="H5185" i="2"/>
  <c r="G5185" i="2"/>
  <c r="F5185" i="2"/>
  <c r="F5461" i="2"/>
  <c r="H5461" i="2"/>
  <c r="G5461" i="2"/>
  <c r="G5636" i="2"/>
  <c r="H5636" i="2"/>
  <c r="F5671" i="2"/>
  <c r="G5671" i="2"/>
  <c r="F5927" i="2"/>
  <c r="G5927" i="2"/>
  <c r="H5403" i="2"/>
  <c r="G5403" i="2"/>
  <c r="F5588" i="2"/>
  <c r="H5588" i="2"/>
  <c r="G5588" i="2"/>
  <c r="G5633" i="2"/>
  <c r="H5633" i="2"/>
  <c r="F2271" i="2"/>
  <c r="H2271" i="2"/>
  <c r="F2455" i="2"/>
  <c r="H2455" i="2"/>
  <c r="H2487" i="2"/>
  <c r="H3088" i="2"/>
  <c r="F3088" i="2"/>
  <c r="H3393" i="2"/>
  <c r="F3393" i="2"/>
  <c r="H3506" i="2"/>
  <c r="F3506" i="2"/>
  <c r="H3543" i="2"/>
  <c r="F3543" i="2"/>
  <c r="H3617" i="2"/>
  <c r="G3617" i="2"/>
  <c r="F3799" i="2"/>
  <c r="H3799" i="2"/>
  <c r="G3962" i="2"/>
  <c r="F3962" i="2"/>
  <c r="G4270" i="2"/>
  <c r="F4270" i="2"/>
  <c r="G4521" i="2"/>
  <c r="F4521" i="2"/>
  <c r="G4585" i="2"/>
  <c r="H4585" i="2"/>
  <c r="F4585" i="2"/>
  <c r="H4970" i="2"/>
  <c r="F4970" i="2"/>
  <c r="H5047" i="2"/>
  <c r="G5047" i="2"/>
  <c r="G5257" i="2"/>
  <c r="H5257" i="2"/>
  <c r="F5633" i="2"/>
  <c r="G5676" i="2"/>
  <c r="H5676" i="2"/>
  <c r="F5676" i="2"/>
  <c r="H5773" i="2"/>
  <c r="G5773" i="2"/>
  <c r="H5887" i="2"/>
  <c r="G5887" i="2"/>
  <c r="G336" i="2"/>
  <c r="G362" i="2"/>
  <c r="H407" i="2"/>
  <c r="H448" i="2"/>
  <c r="F638" i="2"/>
  <c r="H705" i="2"/>
  <c r="G774" i="2"/>
  <c r="G814" i="2"/>
  <c r="F1165" i="2"/>
  <c r="F1365" i="2"/>
  <c r="F1725" i="2"/>
  <c r="F1774" i="2"/>
  <c r="F1816" i="2"/>
  <c r="F1850" i="2"/>
  <c r="F1903" i="2"/>
  <c r="F1913" i="2"/>
  <c r="F1930" i="2"/>
  <c r="F2007" i="2"/>
  <c r="F2014" i="2"/>
  <c r="F2041" i="2"/>
  <c r="F2059" i="2"/>
  <c r="F2062" i="2"/>
  <c r="G2075" i="2"/>
  <c r="G2127" i="2"/>
  <c r="H2153" i="2"/>
  <c r="G2153" i="2"/>
  <c r="H2160" i="2"/>
  <c r="F2160" i="2"/>
  <c r="F3298" i="2"/>
  <c r="H3298" i="2"/>
  <c r="G3447" i="2"/>
  <c r="F3447" i="2"/>
  <c r="H3495" i="2"/>
  <c r="F3495" i="2"/>
  <c r="G3536" i="2"/>
  <c r="F3536" i="2"/>
  <c r="G3584" i="2"/>
  <c r="H3584" i="2"/>
  <c r="F3584" i="2"/>
  <c r="H3635" i="2"/>
  <c r="G3635" i="2"/>
  <c r="F3635" i="2"/>
  <c r="F3728" i="2"/>
  <c r="H3728" i="2"/>
  <c r="G3728" i="2"/>
  <c r="F3792" i="2"/>
  <c r="G3792" i="2"/>
  <c r="H4123" i="2"/>
  <c r="F4123" i="2"/>
  <c r="G4328" i="2"/>
  <c r="H4328" i="2"/>
  <c r="G4515" i="2"/>
  <c r="H4515" i="2"/>
  <c r="F5234" i="2"/>
  <c r="H5234" i="2"/>
  <c r="G5346" i="2"/>
  <c r="H5346" i="2"/>
  <c r="G5364" i="2"/>
  <c r="H5364" i="2"/>
  <c r="F5364" i="2"/>
  <c r="F5553" i="2"/>
  <c r="H5553" i="2"/>
  <c r="H5746" i="2"/>
  <c r="F5872" i="2"/>
  <c r="F5887" i="2"/>
  <c r="H2432" i="2"/>
  <c r="F2432" i="2"/>
  <c r="G3072" i="2"/>
  <c r="H3072" i="2"/>
  <c r="H3479" i="2"/>
  <c r="G3479" i="2"/>
  <c r="G3695" i="2"/>
  <c r="H3792" i="2"/>
  <c r="F4039" i="2"/>
  <c r="F4212" i="2"/>
  <c r="G4583" i="2"/>
  <c r="F4583" i="2"/>
  <c r="G4751" i="2"/>
  <c r="H4751" i="2"/>
  <c r="F4782" i="2"/>
  <c r="G4782" i="2"/>
  <c r="F4924" i="2"/>
  <c r="F4994" i="2"/>
  <c r="H5066" i="2"/>
  <c r="G5066" i="2"/>
  <c r="H5167" i="2"/>
  <c r="F5346" i="2"/>
  <c r="G5608" i="2"/>
  <c r="F5608" i="2"/>
  <c r="G5872" i="2"/>
  <c r="F581" i="2"/>
  <c r="F583" i="2"/>
  <c r="F613" i="2"/>
  <c r="H653" i="2"/>
  <c r="H686" i="2"/>
  <c r="H691" i="2"/>
  <c r="G696" i="2"/>
  <c r="H698" i="2"/>
  <c r="F766" i="2"/>
  <c r="G768" i="2"/>
  <c r="F770" i="2"/>
  <c r="H817" i="2"/>
  <c r="F890" i="2"/>
  <c r="H902" i="2"/>
  <c r="G978" i="2"/>
  <c r="F1045" i="2"/>
  <c r="F1070" i="2"/>
  <c r="G1133" i="2"/>
  <c r="G1203" i="2"/>
  <c r="F1245" i="2"/>
  <c r="F1359" i="2"/>
  <c r="F1611" i="2"/>
  <c r="H1715" i="2"/>
  <c r="H1768" i="2"/>
  <c r="H1836" i="2"/>
  <c r="F1999" i="2"/>
  <c r="F2002" i="2"/>
  <c r="G2142" i="2"/>
  <c r="H2164" i="2"/>
  <c r="G2231" i="2"/>
  <c r="H2258" i="2"/>
  <c r="H2355" i="2"/>
  <c r="F2355" i="2"/>
  <c r="H2551" i="2"/>
  <c r="H2644" i="2"/>
  <c r="H2820" i="2"/>
  <c r="F2838" i="2"/>
  <c r="F2888" i="2"/>
  <c r="G2919" i="2"/>
  <c r="H2960" i="2"/>
  <c r="G2976" i="2"/>
  <c r="H2976" i="2"/>
  <c r="H3082" i="2"/>
  <c r="H3113" i="2"/>
  <c r="G3113" i="2"/>
  <c r="H3173" i="2"/>
  <c r="H3177" i="2"/>
  <c r="F3177" i="2"/>
  <c r="F3281" i="2"/>
  <c r="F3383" i="2"/>
  <c r="G3401" i="2"/>
  <c r="F3479" i="2"/>
  <c r="F3511" i="2"/>
  <c r="G3522" i="2"/>
  <c r="G3615" i="2"/>
  <c r="H3632" i="2"/>
  <c r="G3632" i="2"/>
  <c r="F3632" i="2"/>
  <c r="H3808" i="2"/>
  <c r="G3808" i="2"/>
  <c r="F3808" i="2"/>
  <c r="H3944" i="2"/>
  <c r="F4519" i="2"/>
  <c r="G4825" i="2"/>
  <c r="F4825" i="2"/>
  <c r="H4874" i="2"/>
  <c r="G4874" i="2"/>
  <c r="G5708" i="2"/>
  <c r="H5708" i="2"/>
  <c r="H581" i="2"/>
  <c r="H583" i="2"/>
  <c r="H613" i="2"/>
  <c r="H696" i="2"/>
  <c r="H766" i="2"/>
  <c r="H768" i="2"/>
  <c r="G770" i="2"/>
  <c r="H890" i="2"/>
  <c r="G1045" i="2"/>
  <c r="H1245" i="2"/>
  <c r="H1359" i="2"/>
  <c r="H2002" i="2"/>
  <c r="F2119" i="2"/>
  <c r="H2119" i="2"/>
  <c r="H2340" i="2"/>
  <c r="F2340" i="2"/>
  <c r="H3522" i="2"/>
  <c r="H3615" i="2"/>
  <c r="F3675" i="2"/>
  <c r="G3843" i="2"/>
  <c r="F3843" i="2"/>
  <c r="F4094" i="2"/>
  <c r="G4098" i="2"/>
  <c r="F4098" i="2"/>
  <c r="F4146" i="2"/>
  <c r="G4261" i="2"/>
  <c r="F4294" i="2"/>
  <c r="G4301" i="2"/>
  <c r="G4319" i="2"/>
  <c r="F4322" i="2"/>
  <c r="F4489" i="2"/>
  <c r="H4519" i="2"/>
  <c r="F4652" i="2"/>
  <c r="G4652" i="2"/>
  <c r="H4825" i="2"/>
  <c r="F4874" i="2"/>
  <c r="G4937" i="2"/>
  <c r="H4937" i="2"/>
  <c r="F5153" i="2"/>
  <c r="G5153" i="2"/>
  <c r="G5196" i="2"/>
  <c r="F5196" i="2"/>
  <c r="H5290" i="2"/>
  <c r="H5325" i="2"/>
  <c r="G5840" i="2"/>
  <c r="F5941" i="2"/>
  <c r="F5968" i="2"/>
  <c r="F5982" i="2"/>
  <c r="G5968" i="2"/>
  <c r="H5771" i="2"/>
  <c r="F5800" i="2"/>
  <c r="H5864" i="2"/>
  <c r="H5063" i="2"/>
  <c r="G5137" i="2"/>
  <c r="G5327" i="2"/>
  <c r="F5493" i="2"/>
  <c r="F5525" i="2"/>
  <c r="F5532" i="2"/>
  <c r="G5550" i="2"/>
  <c r="H5577" i="2"/>
  <c r="H5628" i="2"/>
  <c r="F5816" i="2"/>
  <c r="F5888" i="2"/>
  <c r="F5940" i="2"/>
  <c r="H5955" i="2"/>
  <c r="G1345" i="2"/>
  <c r="H1345" i="2"/>
  <c r="F1345" i="2"/>
  <c r="G1473" i="2"/>
  <c r="H1473" i="2"/>
  <c r="G1521" i="2"/>
  <c r="H1521" i="2"/>
  <c r="G1617" i="2"/>
  <c r="H1617" i="2"/>
  <c r="F1617" i="2"/>
  <c r="G1749" i="2"/>
  <c r="H1749" i="2"/>
  <c r="F1749" i="2"/>
  <c r="F1770" i="2"/>
  <c r="H1770" i="2"/>
  <c r="G1822" i="2"/>
  <c r="F1822" i="2"/>
  <c r="F1829" i="2"/>
  <c r="H1829" i="2"/>
  <c r="G1833" i="2"/>
  <c r="H1833" i="2"/>
  <c r="H1873" i="2"/>
  <c r="G1873" i="2"/>
  <c r="H2066" i="2"/>
  <c r="G2066" i="2"/>
  <c r="F2066" i="2"/>
  <c r="G2147" i="2"/>
  <c r="F2147" i="2"/>
  <c r="F2175" i="2"/>
  <c r="H2175" i="2"/>
  <c r="G2175" i="2"/>
  <c r="H2209" i="2"/>
  <c r="G2209" i="2"/>
  <c r="F2209" i="2"/>
  <c r="H2257" i="2"/>
  <c r="G2257" i="2"/>
  <c r="F2263" i="2"/>
  <c r="H2263" i="2"/>
  <c r="F2500" i="2"/>
  <c r="H2500" i="2"/>
  <c r="G2500" i="2"/>
  <c r="H2518" i="2"/>
  <c r="F2518" i="2"/>
  <c r="G3288" i="2"/>
  <c r="H3288" i="2"/>
  <c r="F3288" i="2"/>
  <c r="H3345" i="2"/>
  <c r="G3345" i="2"/>
  <c r="F3345" i="2"/>
  <c r="F4172" i="2"/>
  <c r="G4172" i="2"/>
  <c r="G4312" i="2"/>
  <c r="H4312" i="2"/>
  <c r="G5082" i="2"/>
  <c r="H5082" i="2"/>
  <c r="F5082" i="2"/>
  <c r="H5204" i="2"/>
  <c r="F5204" i="2"/>
  <c r="G424" i="2"/>
  <c r="H424" i="2"/>
  <c r="G471" i="2"/>
  <c r="H471" i="2"/>
  <c r="G690" i="2"/>
  <c r="H690" i="2"/>
  <c r="H893" i="2"/>
  <c r="G893" i="2"/>
  <c r="F893" i="2"/>
  <c r="H949" i="2"/>
  <c r="F949" i="2"/>
  <c r="H998" i="2"/>
  <c r="G998" i="2"/>
  <c r="H1280" i="2"/>
  <c r="G1280" i="2"/>
  <c r="F65" i="2"/>
  <c r="G205" i="2"/>
  <c r="G304" i="2"/>
  <c r="H359" i="2"/>
  <c r="G402" i="2"/>
  <c r="H732" i="2"/>
  <c r="G783" i="2"/>
  <c r="H783" i="2"/>
  <c r="G824" i="2"/>
  <c r="H824" i="2"/>
  <c r="F824" i="2"/>
  <c r="G889" i="2"/>
  <c r="H889" i="2"/>
  <c r="F998" i="2"/>
  <c r="H1357" i="2"/>
  <c r="G1357" i="2"/>
  <c r="F1439" i="2"/>
  <c r="F1507" i="2"/>
  <c r="H1507" i="2"/>
  <c r="G1507" i="2"/>
  <c r="F1521" i="2"/>
  <c r="G1760" i="2"/>
  <c r="G1770" i="2"/>
  <c r="H1822" i="2"/>
  <c r="G1858" i="2"/>
  <c r="G2046" i="2"/>
  <c r="G2234" i="2"/>
  <c r="H2234" i="2"/>
  <c r="F2257" i="2"/>
  <c r="H3018" i="2"/>
  <c r="F3018" i="2"/>
  <c r="H3208" i="2"/>
  <c r="G3208" i="2"/>
  <c r="H3241" i="2"/>
  <c r="G3241" i="2"/>
  <c r="H3696" i="2"/>
  <c r="G3696" i="2"/>
  <c r="F3696" i="2"/>
  <c r="F3731" i="2"/>
  <c r="G3731" i="2"/>
  <c r="F3911" i="2"/>
  <c r="G3911" i="2"/>
  <c r="H3911" i="2"/>
  <c r="G586" i="2"/>
  <c r="F586" i="2"/>
  <c r="F917" i="2"/>
  <c r="H917" i="2"/>
  <c r="G1445" i="2"/>
  <c r="H1445" i="2"/>
  <c r="H5" i="2"/>
  <c r="H41" i="2"/>
  <c r="F55" i="2"/>
  <c r="H105" i="2"/>
  <c r="F119" i="2"/>
  <c r="G150" i="2"/>
  <c r="F227" i="2"/>
  <c r="H257" i="2"/>
  <c r="G348" i="2"/>
  <c r="H375" i="2"/>
  <c r="F424" i="2"/>
  <c r="F471" i="2"/>
  <c r="F570" i="2"/>
  <c r="F577" i="2"/>
  <c r="H1068" i="2"/>
  <c r="G1137" i="2"/>
  <c r="H1137" i="2"/>
  <c r="F1291" i="2"/>
  <c r="G55" i="2"/>
  <c r="H65" i="2"/>
  <c r="G83" i="2"/>
  <c r="G92" i="2"/>
  <c r="G119" i="2"/>
  <c r="H129" i="2"/>
  <c r="H161" i="2"/>
  <c r="G164" i="2"/>
  <c r="H203" i="2"/>
  <c r="H205" i="2"/>
  <c r="G227" i="2"/>
  <c r="H232" i="2"/>
  <c r="F241" i="2"/>
  <c r="H243" i="2"/>
  <c r="G267" i="2"/>
  <c r="G269" i="2"/>
  <c r="G316" i="2"/>
  <c r="H364" i="2"/>
  <c r="G380" i="2"/>
  <c r="F435" i="2"/>
  <c r="H454" i="2"/>
  <c r="H464" i="2"/>
  <c r="F530" i="2"/>
  <c r="F535" i="2"/>
  <c r="F537" i="2"/>
  <c r="G561" i="2"/>
  <c r="H570" i="2"/>
  <c r="G575" i="2"/>
  <c r="F575" i="2"/>
  <c r="G713" i="2"/>
  <c r="F713" i="2"/>
  <c r="G792" i="2"/>
  <c r="G804" i="2"/>
  <c r="F804" i="2"/>
  <c r="G819" i="2"/>
  <c r="F819" i="2"/>
  <c r="F844" i="2"/>
  <c r="H844" i="2"/>
  <c r="F903" i="2"/>
  <c r="F1057" i="2"/>
  <c r="H1057" i="2"/>
  <c r="H1291" i="2"/>
  <c r="G1298" i="2"/>
  <c r="F1357" i="2"/>
  <c r="G1381" i="2"/>
  <c r="F1381" i="2"/>
  <c r="F1407" i="2"/>
  <c r="G1439" i="2"/>
  <c r="F1719" i="2"/>
  <c r="G1743" i="2"/>
  <c r="H1743" i="2"/>
  <c r="F1743" i="2"/>
  <c r="H1809" i="2"/>
  <c r="G1809" i="2"/>
  <c r="H1830" i="2"/>
  <c r="G1830" i="2"/>
  <c r="F1830" i="2"/>
  <c r="F1841" i="2"/>
  <c r="H1841" i="2"/>
  <c r="G1878" i="2"/>
  <c r="H1878" i="2"/>
  <c r="F1878" i="2"/>
  <c r="H1945" i="2"/>
  <c r="G1945" i="2"/>
  <c r="G1993" i="2"/>
  <c r="G2110" i="2"/>
  <c r="H2110" i="2"/>
  <c r="G2172" i="2"/>
  <c r="H2238" i="2"/>
  <c r="G2242" i="2"/>
  <c r="H2242" i="2"/>
  <c r="H2329" i="2"/>
  <c r="G2329" i="2"/>
  <c r="F2329" i="2"/>
  <c r="H2358" i="2"/>
  <c r="G2358" i="2"/>
  <c r="F2358" i="2"/>
  <c r="G2399" i="2"/>
  <c r="G2414" i="2"/>
  <c r="F2489" i="2"/>
  <c r="G2489" i="2"/>
  <c r="G2623" i="2"/>
  <c r="H2676" i="2"/>
  <c r="F3061" i="2"/>
  <c r="H3061" i="2"/>
  <c r="F3241" i="2"/>
  <c r="G3581" i="2"/>
  <c r="H3581" i="2"/>
  <c r="H3731" i="2"/>
  <c r="G432" i="2"/>
  <c r="H432" i="2"/>
  <c r="G645" i="2"/>
  <c r="H645" i="2"/>
  <c r="G785" i="2"/>
  <c r="F785" i="2"/>
  <c r="F129" i="2"/>
  <c r="G203" i="2"/>
  <c r="H250" i="2"/>
  <c r="H396" i="2"/>
  <c r="G445" i="2"/>
  <c r="F464" i="2"/>
  <c r="G546" i="2"/>
  <c r="F546" i="2"/>
  <c r="F615" i="2"/>
  <c r="G650" i="2"/>
  <c r="F650" i="2"/>
  <c r="G747" i="2"/>
  <c r="H747" i="2"/>
  <c r="G846" i="2"/>
  <c r="G39" i="2"/>
  <c r="H59" i="2"/>
  <c r="H83" i="2"/>
  <c r="G103" i="2"/>
  <c r="H123" i="2"/>
  <c r="F209" i="2"/>
  <c r="G219" i="2"/>
  <c r="G221" i="2"/>
  <c r="G241" i="2"/>
  <c r="H267" i="2"/>
  <c r="H269" i="2"/>
  <c r="H282" i="2"/>
  <c r="H316" i="2"/>
  <c r="H380" i="2"/>
  <c r="H435" i="2"/>
  <c r="H535" i="2"/>
  <c r="G537" i="2"/>
  <c r="H561" i="2"/>
  <c r="G621" i="2"/>
  <c r="F621" i="2"/>
  <c r="G666" i="2"/>
  <c r="F666" i="2"/>
  <c r="H720" i="2"/>
  <c r="F788" i="2"/>
  <c r="H790" i="2"/>
  <c r="H804" i="2"/>
  <c r="G903" i="2"/>
  <c r="F968" i="2"/>
  <c r="F978" i="2"/>
  <c r="H1005" i="2"/>
  <c r="F1005" i="2"/>
  <c r="F1149" i="2"/>
  <c r="H1321" i="2"/>
  <c r="G1321" i="2"/>
  <c r="F1321" i="2"/>
  <c r="H1381" i="2"/>
  <c r="H1407" i="2"/>
  <c r="H1425" i="2"/>
  <c r="G1511" i="2"/>
  <c r="G1529" i="2"/>
  <c r="F1529" i="2"/>
  <c r="F1566" i="2"/>
  <c r="G1566" i="2"/>
  <c r="G1622" i="2"/>
  <c r="G1629" i="2"/>
  <c r="H1629" i="2"/>
  <c r="G1750" i="2"/>
  <c r="H1823" i="2"/>
  <c r="G1823" i="2"/>
  <c r="G1841" i="2"/>
  <c r="F1945" i="2"/>
  <c r="H1961" i="2"/>
  <c r="G1961" i="2"/>
  <c r="F2095" i="2"/>
  <c r="G2169" i="2"/>
  <c r="H2169" i="2"/>
  <c r="F2319" i="2"/>
  <c r="H2319" i="2"/>
  <c r="H2326" i="2"/>
  <c r="F2326" i="2"/>
  <c r="H2362" i="2"/>
  <c r="F2457" i="2"/>
  <c r="G2457" i="2"/>
  <c r="H2616" i="2"/>
  <c r="F2616" i="2"/>
  <c r="H2968" i="2"/>
  <c r="G2968" i="2"/>
  <c r="F2968" i="2"/>
  <c r="G3061" i="2"/>
  <c r="F3458" i="2"/>
  <c r="H3458" i="2"/>
  <c r="G566" i="2"/>
  <c r="H566" i="2"/>
  <c r="H644" i="2"/>
  <c r="F644" i="2"/>
  <c r="H897" i="2"/>
  <c r="G897" i="2"/>
  <c r="G1051" i="2"/>
  <c r="F1051" i="2"/>
  <c r="H1475" i="2"/>
  <c r="G1475" i="2"/>
  <c r="H1827" i="2"/>
  <c r="G1827" i="2"/>
  <c r="G1905" i="2"/>
  <c r="H1905" i="2"/>
  <c r="H1914" i="2"/>
  <c r="G1914" i="2"/>
  <c r="F1914" i="2"/>
  <c r="H1921" i="2"/>
  <c r="G1921" i="2"/>
  <c r="F1921" i="2"/>
  <c r="F2287" i="2"/>
  <c r="H2287" i="2"/>
  <c r="F2316" i="2"/>
  <c r="H2316" i="2"/>
  <c r="F2359" i="2"/>
  <c r="H2359" i="2"/>
  <c r="F2609" i="2"/>
  <c r="G2609" i="2"/>
  <c r="H3265" i="2"/>
  <c r="G3265" i="2"/>
  <c r="F3265" i="2"/>
  <c r="H3320" i="2"/>
  <c r="F3320" i="2"/>
  <c r="H3980" i="2"/>
  <c r="G3980" i="2"/>
  <c r="F3980" i="2"/>
  <c r="G4010" i="2"/>
  <c r="H4010" i="2"/>
  <c r="H4207" i="2"/>
  <c r="G4207" i="2"/>
  <c r="G4286" i="2"/>
  <c r="H4286" i="2"/>
  <c r="F4286" i="2"/>
  <c r="H4346" i="2"/>
  <c r="G4346" i="2"/>
  <c r="F4346" i="2"/>
  <c r="G4499" i="2"/>
  <c r="F4499" i="2"/>
  <c r="G4503" i="2"/>
  <c r="H4503" i="2"/>
  <c r="H4657" i="2"/>
  <c r="G4657" i="2"/>
  <c r="F4657" i="2"/>
  <c r="G4789" i="2"/>
  <c r="F4789" i="2"/>
  <c r="G4977" i="2"/>
  <c r="H4977" i="2"/>
  <c r="F33" i="2"/>
  <c r="H73" i="2"/>
  <c r="F87" i="2"/>
  <c r="F97" i="2"/>
  <c r="H137" i="2"/>
  <c r="H174" i="2"/>
  <c r="G195" i="2"/>
  <c r="H197" i="2"/>
  <c r="F238" i="2"/>
  <c r="F240" i="2"/>
  <c r="H256" i="2"/>
  <c r="F290" i="2"/>
  <c r="H297" i="2"/>
  <c r="H374" i="2"/>
  <c r="H389" i="2"/>
  <c r="H410" i="2"/>
  <c r="F425" i="2"/>
  <c r="F427" i="2"/>
  <c r="G438" i="2"/>
  <c r="H438" i="2"/>
  <c r="H465" i="2"/>
  <c r="F465" i="2"/>
  <c r="F474" i="2"/>
  <c r="G518" i="2"/>
  <c r="H518" i="2"/>
  <c r="G540" i="2"/>
  <c r="F540" i="2"/>
  <c r="G557" i="2"/>
  <c r="H592" i="2"/>
  <c r="F605" i="2"/>
  <c r="G610" i="2"/>
  <c r="H610" i="2"/>
  <c r="G635" i="2"/>
  <c r="F635" i="2"/>
  <c r="G644" i="2"/>
  <c r="G664" i="2"/>
  <c r="H664" i="2"/>
  <c r="F664" i="2"/>
  <c r="H672" i="2"/>
  <c r="G672" i="2"/>
  <c r="F708" i="2"/>
  <c r="F710" i="2"/>
  <c r="F712" i="2"/>
  <c r="F716" i="2"/>
  <c r="H716" i="2"/>
  <c r="G784" i="2"/>
  <c r="F897" i="2"/>
  <c r="F909" i="2"/>
  <c r="H909" i="2"/>
  <c r="G997" i="2"/>
  <c r="H997" i="2"/>
  <c r="G1021" i="2"/>
  <c r="G1259" i="2"/>
  <c r="G1315" i="2"/>
  <c r="H1315" i="2"/>
  <c r="F1315" i="2"/>
  <c r="G1332" i="2"/>
  <c r="H1386" i="2"/>
  <c r="G1386" i="2"/>
  <c r="F1465" i="2"/>
  <c r="H1597" i="2"/>
  <c r="F1649" i="2"/>
  <c r="H1649" i="2"/>
  <c r="H1677" i="2"/>
  <c r="G1710" i="2"/>
  <c r="G1727" i="2"/>
  <c r="H1727" i="2"/>
  <c r="F1727" i="2"/>
  <c r="G1744" i="2"/>
  <c r="G1765" i="2"/>
  <c r="H1765" i="2"/>
  <c r="H1813" i="2"/>
  <c r="G1824" i="2"/>
  <c r="F1824" i="2"/>
  <c r="F1895" i="2"/>
  <c r="F1905" i="2"/>
  <c r="G1918" i="2"/>
  <c r="H1918" i="2"/>
  <c r="G1969" i="2"/>
  <c r="G2287" i="2"/>
  <c r="G2316" i="2"/>
  <c r="H2578" i="2"/>
  <c r="F2933" i="2"/>
  <c r="G2933" i="2"/>
  <c r="H3016" i="2"/>
  <c r="G3016" i="2"/>
  <c r="F3016" i="2"/>
  <c r="G3377" i="2"/>
  <c r="F3381" i="2"/>
  <c r="H3381" i="2"/>
  <c r="G3381" i="2"/>
  <c r="G553" i="2"/>
  <c r="H553" i="2"/>
  <c r="F553" i="2"/>
  <c r="F727" i="2"/>
  <c r="G727" i="2"/>
  <c r="H612" i="2"/>
  <c r="G612" i="2"/>
  <c r="H33" i="2"/>
  <c r="G87" i="2"/>
  <c r="H97" i="2"/>
  <c r="H181" i="2"/>
  <c r="H186" i="2"/>
  <c r="H195" i="2"/>
  <c r="F206" i="2"/>
  <c r="F208" i="2"/>
  <c r="H238" i="2"/>
  <c r="H240" i="2"/>
  <c r="H254" i="2"/>
  <c r="G290" i="2"/>
  <c r="H425" i="2"/>
  <c r="H427" i="2"/>
  <c r="G436" i="2"/>
  <c r="H436" i="2"/>
  <c r="G453" i="2"/>
  <c r="H453" i="2"/>
  <c r="H708" i="2"/>
  <c r="H710" i="2"/>
  <c r="G712" i="2"/>
  <c r="F895" i="2"/>
  <c r="G895" i="2"/>
  <c r="H1021" i="2"/>
  <c r="F1025" i="2"/>
  <c r="H1025" i="2"/>
  <c r="G1025" i="2"/>
  <c r="F1235" i="2"/>
  <c r="G1256" i="2"/>
  <c r="H1259" i="2"/>
  <c r="G1322" i="2"/>
  <c r="H1325" i="2"/>
  <c r="H1491" i="2"/>
  <c r="G1491" i="2"/>
  <c r="F1491" i="2"/>
  <c r="G1567" i="2"/>
  <c r="G1649" i="2"/>
  <c r="G1759" i="2"/>
  <c r="F1759" i="2"/>
  <c r="F1821" i="2"/>
  <c r="G1821" i="2"/>
  <c r="G1922" i="2"/>
  <c r="H1922" i="2"/>
  <c r="G2140" i="2"/>
  <c r="F2140" i="2"/>
  <c r="H2174" i="2"/>
  <c r="G2174" i="2"/>
  <c r="F2174" i="2"/>
  <c r="H2420" i="2"/>
  <c r="G2420" i="2"/>
  <c r="H2428" i="2"/>
  <c r="G2428" i="2"/>
  <c r="F2428" i="2"/>
  <c r="H2861" i="2"/>
  <c r="F2861" i="2"/>
  <c r="H3708" i="2"/>
  <c r="F3708" i="2"/>
  <c r="F3847" i="2"/>
  <c r="H3847" i="2"/>
  <c r="H3868" i="2"/>
  <c r="F3868" i="2"/>
  <c r="G467" i="2"/>
  <c r="F467" i="2"/>
  <c r="G728" i="2"/>
  <c r="H728" i="2"/>
  <c r="G447" i="2"/>
  <c r="F447" i="2"/>
  <c r="G647" i="2"/>
  <c r="F647" i="2"/>
  <c r="F826" i="2"/>
  <c r="H826" i="2"/>
  <c r="G1015" i="2"/>
  <c r="H1015" i="2"/>
  <c r="G1157" i="2"/>
  <c r="H1157" i="2"/>
  <c r="G1213" i="2"/>
  <c r="F1213" i="2"/>
  <c r="H1402" i="2"/>
  <c r="G1402" i="2"/>
  <c r="G1459" i="2"/>
  <c r="F1459" i="2"/>
  <c r="F1502" i="2"/>
  <c r="G1502" i="2"/>
  <c r="H1539" i="2"/>
  <c r="G1539" i="2"/>
  <c r="F1539" i="2"/>
  <c r="G1553" i="2"/>
  <c r="H1553" i="2"/>
  <c r="F1553" i="2"/>
  <c r="H1646" i="2"/>
  <c r="G1646" i="2"/>
  <c r="H1718" i="2"/>
  <c r="G1718" i="2"/>
  <c r="H2017" i="2"/>
  <c r="F2017" i="2"/>
  <c r="H2364" i="2"/>
  <c r="G2364" i="2"/>
  <c r="F2374" i="2"/>
  <c r="H2374" i="2"/>
  <c r="G2374" i="2"/>
  <c r="F2398" i="2"/>
  <c r="H2398" i="2"/>
  <c r="H2938" i="2"/>
  <c r="G2938" i="2"/>
  <c r="G2945" i="2"/>
  <c r="G3914" i="2"/>
  <c r="F3914" i="2"/>
  <c r="H3947" i="2"/>
  <c r="G3947" i="2"/>
  <c r="G4042" i="2"/>
  <c r="F4042" i="2"/>
  <c r="H4057" i="2"/>
  <c r="F4057" i="2"/>
  <c r="H4138" i="2"/>
  <c r="G4138" i="2"/>
  <c r="F4138" i="2"/>
  <c r="H4164" i="2"/>
  <c r="F4164" i="2"/>
  <c r="F2495" i="2"/>
  <c r="H2495" i="2"/>
  <c r="H2560" i="2"/>
  <c r="F2560" i="2"/>
  <c r="G2602" i="2"/>
  <c r="H2602" i="2"/>
  <c r="F3178" i="2"/>
  <c r="H3178" i="2"/>
  <c r="G3557" i="2"/>
  <c r="H3557" i="2"/>
  <c r="F3783" i="2"/>
  <c r="H3783" i="2"/>
  <c r="F3787" i="2"/>
  <c r="H3787" i="2"/>
  <c r="G3787" i="2"/>
  <c r="H3908" i="2"/>
  <c r="F3908" i="2"/>
  <c r="G3960" i="2"/>
  <c r="H3960" i="2"/>
  <c r="F3960" i="2"/>
  <c r="G4106" i="2"/>
  <c r="H4106" i="2"/>
  <c r="F4106" i="2"/>
  <c r="G4216" i="2"/>
  <c r="F4216" i="2"/>
  <c r="F2124" i="2"/>
  <c r="F2126" i="2"/>
  <c r="G2228" i="2"/>
  <c r="G2236" i="2"/>
  <c r="H2294" i="2"/>
  <c r="F2308" i="2"/>
  <c r="F2366" i="2"/>
  <c r="G2388" i="2"/>
  <c r="F2422" i="2"/>
  <c r="G2431" i="2"/>
  <c r="F2456" i="2"/>
  <c r="H2488" i="2"/>
  <c r="F2488" i="2"/>
  <c r="F2492" i="2"/>
  <c r="H2492" i="2"/>
  <c r="G2495" i="2"/>
  <c r="F2528" i="2"/>
  <c r="G2540" i="2"/>
  <c r="H2540" i="2"/>
  <c r="F2614" i="2"/>
  <c r="H2936" i="2"/>
  <c r="G2936" i="2"/>
  <c r="F2986" i="2"/>
  <c r="G2986" i="2"/>
  <c r="H3117" i="2"/>
  <c r="H3124" i="2"/>
  <c r="G3128" i="2"/>
  <c r="F3128" i="2"/>
  <c r="H3213" i="2"/>
  <c r="F3216" i="2"/>
  <c r="F3224" i="2"/>
  <c r="H3224" i="2"/>
  <c r="H3497" i="2"/>
  <c r="F3497" i="2"/>
  <c r="G3908" i="2"/>
  <c r="F3983" i="2"/>
  <c r="H3983" i="2"/>
  <c r="G3983" i="2"/>
  <c r="G4158" i="2"/>
  <c r="F4158" i="2"/>
  <c r="F4285" i="2"/>
  <c r="G4285" i="2"/>
  <c r="F514" i="2"/>
  <c r="F531" i="2"/>
  <c r="H564" i="2"/>
  <c r="F573" i="2"/>
  <c r="G584" i="2"/>
  <c r="H593" i="2"/>
  <c r="H614" i="2"/>
  <c r="G688" i="2"/>
  <c r="F733" i="2"/>
  <c r="F735" i="2"/>
  <c r="F762" i="2"/>
  <c r="F814" i="2"/>
  <c r="H906" i="2"/>
  <c r="H930" i="2"/>
  <c r="H986" i="2"/>
  <c r="F1055" i="2"/>
  <c r="F1091" i="2"/>
  <c r="F1133" i="2"/>
  <c r="G1192" i="2"/>
  <c r="F1203" i="2"/>
  <c r="H1351" i="2"/>
  <c r="G1370" i="2"/>
  <c r="F1433" i="2"/>
  <c r="F1443" i="2"/>
  <c r="F1449" i="2"/>
  <c r="F1493" i="2"/>
  <c r="F1509" i="2"/>
  <c r="F1519" i="2"/>
  <c r="F1545" i="2"/>
  <c r="F1555" i="2"/>
  <c r="H1587" i="2"/>
  <c r="F1633" i="2"/>
  <c r="H1643" i="2"/>
  <c r="G1720" i="2"/>
  <c r="H1729" i="2"/>
  <c r="F1839" i="2"/>
  <c r="G1845" i="2"/>
  <c r="H1929" i="2"/>
  <c r="F1967" i="2"/>
  <c r="F1974" i="2"/>
  <c r="F1991" i="2"/>
  <c r="H1998" i="2"/>
  <c r="F2001" i="2"/>
  <c r="F2006" i="2"/>
  <c r="H2025" i="2"/>
  <c r="G2034" i="2"/>
  <c r="F2051" i="2"/>
  <c r="F2054" i="2"/>
  <c r="F2075" i="2"/>
  <c r="H2078" i="2"/>
  <c r="F2161" i="2"/>
  <c r="G2164" i="2"/>
  <c r="G2167" i="2"/>
  <c r="H2196" i="2"/>
  <c r="G2211" i="2"/>
  <c r="H2218" i="2"/>
  <c r="F2225" i="2"/>
  <c r="H2236" i="2"/>
  <c r="G2271" i="2"/>
  <c r="H2274" i="2"/>
  <c r="F2291" i="2"/>
  <c r="H2305" i="2"/>
  <c r="G2311" i="2"/>
  <c r="H2314" i="2"/>
  <c r="F2332" i="2"/>
  <c r="G2366" i="2"/>
  <c r="F2372" i="2"/>
  <c r="G2422" i="2"/>
  <c r="H2431" i="2"/>
  <c r="H2442" i="2"/>
  <c r="G2450" i="2"/>
  <c r="H2450" i="2"/>
  <c r="G2492" i="2"/>
  <c r="F2516" i="2"/>
  <c r="G2519" i="2"/>
  <c r="G2526" i="2"/>
  <c r="H2588" i="2"/>
  <c r="F2588" i="2"/>
  <c r="G2614" i="2"/>
  <c r="G2772" i="2"/>
  <c r="H2772" i="2"/>
  <c r="F2936" i="2"/>
  <c r="G3040" i="2"/>
  <c r="F3103" i="2"/>
  <c r="H3114" i="2"/>
  <c r="H3168" i="2"/>
  <c r="G3168" i="2"/>
  <c r="G3224" i="2"/>
  <c r="G3258" i="2"/>
  <c r="H3261" i="2"/>
  <c r="G3327" i="2"/>
  <c r="F3327" i="2"/>
  <c r="G3359" i="2"/>
  <c r="H3359" i="2"/>
  <c r="G3497" i="2"/>
  <c r="H3647" i="2"/>
  <c r="G3647" i="2"/>
  <c r="G4151" i="2"/>
  <c r="F4151" i="2"/>
  <c r="G4410" i="2"/>
  <c r="F4410" i="2"/>
  <c r="G4432" i="2"/>
  <c r="F4432" i="2"/>
  <c r="G4535" i="2"/>
  <c r="F4535" i="2"/>
  <c r="F4684" i="2"/>
  <c r="H4684" i="2"/>
  <c r="G4684" i="2"/>
  <c r="H4860" i="2"/>
  <c r="G4860" i="2"/>
  <c r="G5492" i="2"/>
  <c r="H5492" i="2"/>
  <c r="F5492" i="2"/>
  <c r="H5524" i="2"/>
  <c r="G5524" i="2"/>
  <c r="F5524" i="2"/>
  <c r="H5572" i="2"/>
  <c r="G5572" i="2"/>
  <c r="F5572" i="2"/>
  <c r="F5740" i="2"/>
  <c r="G5740" i="2"/>
  <c r="G5807" i="2"/>
  <c r="F5807" i="2"/>
  <c r="H5007" i="2"/>
  <c r="G5007" i="2"/>
  <c r="F5007" i="2"/>
  <c r="H5653" i="2"/>
  <c r="G5653" i="2"/>
  <c r="G2510" i="2"/>
  <c r="G2604" i="2"/>
  <c r="H2604" i="2"/>
  <c r="F2615" i="2"/>
  <c r="G2615" i="2"/>
  <c r="F3093" i="2"/>
  <c r="G3093" i="2"/>
  <c r="G3520" i="2"/>
  <c r="F3520" i="2"/>
  <c r="G3544" i="2"/>
  <c r="H3544" i="2"/>
  <c r="H3569" i="2"/>
  <c r="G3569" i="2"/>
  <c r="H3699" i="2"/>
  <c r="F3699" i="2"/>
  <c r="F3759" i="2"/>
  <c r="G3759" i="2"/>
  <c r="F3803" i="2"/>
  <c r="H3803" i="2"/>
  <c r="G3803" i="2"/>
  <c r="G4064" i="2"/>
  <c r="H4064" i="2"/>
  <c r="F4064" i="2"/>
  <c r="G4628" i="2"/>
  <c r="F4628" i="2"/>
  <c r="H4628" i="2"/>
  <c r="H4723" i="2"/>
  <c r="F4723" i="2"/>
  <c r="F5269" i="2"/>
  <c r="G5269" i="2"/>
  <c r="F5373" i="2"/>
  <c r="H5373" i="2"/>
  <c r="H5451" i="2"/>
  <c r="G5451" i="2"/>
  <c r="H5569" i="2"/>
  <c r="G5569" i="2"/>
  <c r="F5569" i="2"/>
  <c r="G2514" i="2"/>
  <c r="H2514" i="2"/>
  <c r="G2538" i="2"/>
  <c r="H2538" i="2"/>
  <c r="F2850" i="2"/>
  <c r="G2850" i="2"/>
  <c r="F3429" i="2"/>
  <c r="H3429" i="2"/>
  <c r="G3429" i="2"/>
  <c r="G3472" i="2"/>
  <c r="H3472" i="2"/>
  <c r="H3513" i="2"/>
  <c r="F3513" i="2"/>
  <c r="G3605" i="2"/>
  <c r="H3605" i="2"/>
  <c r="H4049" i="2"/>
  <c r="F4049" i="2"/>
  <c r="G4186" i="2"/>
  <c r="H4186" i="2"/>
  <c r="F4186" i="2"/>
  <c r="H4700" i="2"/>
  <c r="G4700" i="2"/>
  <c r="F4900" i="2"/>
  <c r="G4900" i="2"/>
  <c r="H4929" i="2"/>
  <c r="G4929" i="2"/>
  <c r="F4929" i="2"/>
  <c r="F5930" i="2"/>
  <c r="G5930" i="2"/>
  <c r="H3843" i="2"/>
  <c r="H3920" i="2"/>
  <c r="G3928" i="2"/>
  <c r="H3928" i="2"/>
  <c r="F3935" i="2"/>
  <c r="H3935" i="2"/>
  <c r="G4230" i="2"/>
  <c r="F4230" i="2"/>
  <c r="G4376" i="2"/>
  <c r="F4376" i="2"/>
  <c r="G4483" i="2"/>
  <c r="F4483" i="2"/>
  <c r="H4716" i="2"/>
  <c r="G4716" i="2"/>
  <c r="H4763" i="2"/>
  <c r="F4763" i="2"/>
  <c r="F4801" i="2"/>
  <c r="G4801" i="2"/>
  <c r="F5010" i="2"/>
  <c r="H5010" i="2"/>
  <c r="G5810" i="2"/>
  <c r="H5880" i="2"/>
  <c r="G5880" i="2"/>
  <c r="F5880" i="2"/>
  <c r="H5913" i="2"/>
  <c r="G5913" i="2"/>
  <c r="F5913" i="2"/>
  <c r="G3495" i="2"/>
  <c r="G3511" i="2"/>
  <c r="H3560" i="2"/>
  <c r="G3602" i="2"/>
  <c r="G3631" i="2"/>
  <c r="G3675" i="2"/>
  <c r="G3866" i="2"/>
  <c r="H3866" i="2"/>
  <c r="H3898" i="2"/>
  <c r="F3898" i="2"/>
  <c r="H4073" i="2"/>
  <c r="F4073" i="2"/>
  <c r="G4234" i="2"/>
  <c r="F4234" i="2"/>
  <c r="F4381" i="2"/>
  <c r="G4381" i="2"/>
  <c r="H4472" i="2"/>
  <c r="F4472" i="2"/>
  <c r="H4713" i="2"/>
  <c r="G4713" i="2"/>
  <c r="H4756" i="2"/>
  <c r="G4756" i="2"/>
  <c r="F4756" i="2"/>
  <c r="G4866" i="2"/>
  <c r="H4866" i="2"/>
  <c r="F4866" i="2"/>
  <c r="H4967" i="2"/>
  <c r="F4967" i="2"/>
  <c r="H5034" i="2"/>
  <c r="G5034" i="2"/>
  <c r="F5034" i="2"/>
  <c r="H5073" i="2"/>
  <c r="G5073" i="2"/>
  <c r="G5482" i="2"/>
  <c r="H5482" i="2"/>
  <c r="F5867" i="2"/>
  <c r="H5867" i="2"/>
  <c r="H5906" i="2"/>
  <c r="G5906" i="2"/>
  <c r="H3013" i="2"/>
  <c r="G3045" i="2"/>
  <c r="F3048" i="2"/>
  <c r="F3065" i="2"/>
  <c r="H3087" i="2"/>
  <c r="H3090" i="2"/>
  <c r="G3125" i="2"/>
  <c r="H3141" i="2"/>
  <c r="G3165" i="2"/>
  <c r="G3185" i="2"/>
  <c r="F3200" i="2"/>
  <c r="G3202" i="2"/>
  <c r="F3249" i="2"/>
  <c r="F3279" i="2"/>
  <c r="G3349" i="2"/>
  <c r="F3352" i="2"/>
  <c r="F3354" i="2"/>
  <c r="F3392" i="2"/>
  <c r="F3449" i="2"/>
  <c r="F3551" i="2"/>
  <c r="G3567" i="2"/>
  <c r="G3651" i="2"/>
  <c r="H3654" i="2"/>
  <c r="F3684" i="2"/>
  <c r="G3691" i="2"/>
  <c r="G3763" i="2"/>
  <c r="G3844" i="2"/>
  <c r="H3850" i="2"/>
  <c r="G3859" i="2"/>
  <c r="F3866" i="2"/>
  <c r="F3936" i="2"/>
  <c r="G3939" i="2"/>
  <c r="G3970" i="2"/>
  <c r="F4104" i="2"/>
  <c r="F4118" i="2"/>
  <c r="G4190" i="2"/>
  <c r="F4190" i="2"/>
  <c r="H4234" i="2"/>
  <c r="G4344" i="2"/>
  <c r="F4344" i="2"/>
  <c r="F4466" i="2"/>
  <c r="G4466" i="2"/>
  <c r="H4496" i="2"/>
  <c r="G4496" i="2"/>
  <c r="H4575" i="2"/>
  <c r="H4647" i="2"/>
  <c r="F4647" i="2"/>
  <c r="F4702" i="2"/>
  <c r="H4702" i="2"/>
  <c r="H4772" i="2"/>
  <c r="G4772" i="2"/>
  <c r="F5073" i="2"/>
  <c r="H5317" i="2"/>
  <c r="G5448" i="2"/>
  <c r="H5448" i="2"/>
  <c r="F5448" i="2"/>
  <c r="G5790" i="2"/>
  <c r="H5790" i="2"/>
  <c r="H2966" i="2"/>
  <c r="H2972" i="2"/>
  <c r="H3045" i="2"/>
  <c r="G3065" i="2"/>
  <c r="F3097" i="2"/>
  <c r="F3136" i="2"/>
  <c r="H3138" i="2"/>
  <c r="H3176" i="2"/>
  <c r="G3236" i="2"/>
  <c r="G3249" i="2"/>
  <c r="H3413" i="2"/>
  <c r="G3449" i="2"/>
  <c r="H3463" i="2"/>
  <c r="H3509" i="2"/>
  <c r="H3567" i="2"/>
  <c r="H3573" i="2"/>
  <c r="F3576" i="2"/>
  <c r="H3626" i="2"/>
  <c r="H3651" i="2"/>
  <c r="F3669" i="2"/>
  <c r="H3691" i="2"/>
  <c r="F3720" i="2"/>
  <c r="F3723" i="2"/>
  <c r="H3738" i="2"/>
  <c r="F3740" i="2"/>
  <c r="G3743" i="2"/>
  <c r="G3807" i="2"/>
  <c r="F3832" i="2"/>
  <c r="F3835" i="2"/>
  <c r="H3936" i="2"/>
  <c r="G3967" i="2"/>
  <c r="H3970" i="2"/>
  <c r="G3987" i="2"/>
  <c r="F4008" i="2"/>
  <c r="F4033" i="2"/>
  <c r="H4077" i="2"/>
  <c r="H4122" i="2"/>
  <c r="G4125" i="2"/>
  <c r="H4145" i="2"/>
  <c r="G4222" i="2"/>
  <c r="F4222" i="2"/>
  <c r="F4238" i="2"/>
  <c r="F4252" i="2"/>
  <c r="H4269" i="2"/>
  <c r="H4434" i="2"/>
  <c r="G4485" i="2"/>
  <c r="F4485" i="2"/>
  <c r="F4529" i="2"/>
  <c r="H4529" i="2"/>
  <c r="G4529" i="2"/>
  <c r="G4603" i="2"/>
  <c r="H4603" i="2"/>
  <c r="F4603" i="2"/>
  <c r="G4615" i="2"/>
  <c r="H4615" i="2"/>
  <c r="H4623" i="2"/>
  <c r="G4623" i="2"/>
  <c r="G4668" i="2"/>
  <c r="F4668" i="2"/>
  <c r="F4772" i="2"/>
  <c r="H4803" i="2"/>
  <c r="F4803" i="2"/>
  <c r="F4884" i="2"/>
  <c r="G4884" i="2"/>
  <c r="G4945" i="2"/>
  <c r="F4945" i="2"/>
  <c r="F5095" i="2"/>
  <c r="H5252" i="2"/>
  <c r="G5252" i="2"/>
  <c r="F5252" i="2"/>
  <c r="H5434" i="2"/>
  <c r="G5434" i="2"/>
  <c r="F5479" i="2"/>
  <c r="H5479" i="2"/>
  <c r="G5479" i="2"/>
  <c r="H5882" i="2"/>
  <c r="G5882" i="2"/>
  <c r="H2527" i="2"/>
  <c r="H4026" i="2"/>
  <c r="F4026" i="2"/>
  <c r="G4280" i="2"/>
  <c r="F4280" i="2"/>
  <c r="G4330" i="2"/>
  <c r="H4330" i="2"/>
  <c r="F4330" i="2"/>
  <c r="H4559" i="2"/>
  <c r="G4559" i="2"/>
  <c r="H4703" i="2"/>
  <c r="F4703" i="2"/>
  <c r="H4806" i="2"/>
  <c r="G4806" i="2"/>
  <c r="G4831" i="2"/>
  <c r="F4831" i="2"/>
  <c r="G4851" i="2"/>
  <c r="H4851" i="2"/>
  <c r="F4851" i="2"/>
  <c r="H4878" i="2"/>
  <c r="G4878" i="2"/>
  <c r="H4907" i="2"/>
  <c r="F4907" i="2"/>
  <c r="F5245" i="2"/>
  <c r="H5245" i="2"/>
  <c r="H5707" i="2"/>
  <c r="F5707" i="2"/>
  <c r="H5861" i="2"/>
  <c r="G5861" i="2"/>
  <c r="F5861" i="2"/>
  <c r="G3839" i="2"/>
  <c r="F3851" i="2"/>
  <c r="F3864" i="2"/>
  <c r="F3882" i="2"/>
  <c r="F3892" i="2"/>
  <c r="F4232" i="2"/>
  <c r="F4287" i="2"/>
  <c r="G4303" i="2"/>
  <c r="G4386" i="2"/>
  <c r="H4386" i="2"/>
  <c r="F4386" i="2"/>
  <c r="G4394" i="2"/>
  <c r="F4394" i="2"/>
  <c r="F4559" i="2"/>
  <c r="G4580" i="2"/>
  <c r="H4580" i="2"/>
  <c r="G4600" i="2"/>
  <c r="H4620" i="2"/>
  <c r="F4620" i="2"/>
  <c r="G4663" i="2"/>
  <c r="F4663" i="2"/>
  <c r="F4806" i="2"/>
  <c r="H4828" i="2"/>
  <c r="F4828" i="2"/>
  <c r="H4831" i="2"/>
  <c r="F4878" i="2"/>
  <c r="G4935" i="2"/>
  <c r="G5057" i="2"/>
  <c r="H5057" i="2"/>
  <c r="H5089" i="2"/>
  <c r="G5089" i="2"/>
  <c r="G5472" i="2"/>
  <c r="H5472" i="2"/>
  <c r="F5472" i="2"/>
  <c r="G5626" i="2"/>
  <c r="F5626" i="2"/>
  <c r="G5943" i="2"/>
  <c r="G5976" i="2"/>
  <c r="H5976" i="2"/>
  <c r="H4498" i="2"/>
  <c r="F4501" i="2"/>
  <c r="F4504" i="2"/>
  <c r="F4527" i="2"/>
  <c r="G4576" i="2"/>
  <c r="F4587" i="2"/>
  <c r="F4601" i="2"/>
  <c r="F4691" i="2"/>
  <c r="F4707" i="2"/>
  <c r="F4731" i="2"/>
  <c r="F4767" i="2"/>
  <c r="G4911" i="2"/>
  <c r="H4978" i="2"/>
  <c r="F4999" i="2"/>
  <c r="F5018" i="2"/>
  <c r="G5071" i="2"/>
  <c r="H5093" i="2"/>
  <c r="F5114" i="2"/>
  <c r="F5167" i="2"/>
  <c r="F5263" i="2"/>
  <c r="H5322" i="2"/>
  <c r="F5505" i="2"/>
  <c r="F5576" i="2"/>
  <c r="F5614" i="2"/>
  <c r="H5788" i="2"/>
  <c r="G5797" i="2"/>
  <c r="F4408" i="2"/>
  <c r="F4457" i="2"/>
  <c r="H4477" i="2"/>
  <c r="F4508" i="2"/>
  <c r="F4515" i="2"/>
  <c r="H4524" i="2"/>
  <c r="G4527" i="2"/>
  <c r="F4548" i="2"/>
  <c r="F4555" i="2"/>
  <c r="F4599" i="2"/>
  <c r="H4601" i="2"/>
  <c r="H4691" i="2"/>
  <c r="F4721" i="2"/>
  <c r="F4744" i="2"/>
  <c r="F4747" i="2"/>
  <c r="F4764" i="2"/>
  <c r="F4771" i="2"/>
  <c r="G4799" i="2"/>
  <c r="G4807" i="2"/>
  <c r="G4810" i="2"/>
  <c r="G4840" i="2"/>
  <c r="G4849" i="2"/>
  <c r="H4885" i="2"/>
  <c r="F4895" i="2"/>
  <c r="G4898" i="2"/>
  <c r="H4908" i="2"/>
  <c r="H4911" i="2"/>
  <c r="F4943" i="2"/>
  <c r="G5002" i="2"/>
  <c r="H5015" i="2"/>
  <c r="G5018" i="2"/>
  <c r="H5025" i="2"/>
  <c r="G5114" i="2"/>
  <c r="G5221" i="2"/>
  <c r="F5260" i="2"/>
  <c r="G5263" i="2"/>
  <c r="F5274" i="2"/>
  <c r="H5356" i="2"/>
  <c r="F5386" i="2"/>
  <c r="H5576" i="2"/>
  <c r="G5596" i="2"/>
  <c r="G5614" i="2"/>
  <c r="F5640" i="2"/>
  <c r="F5708" i="2"/>
  <c r="F5723" i="2"/>
  <c r="F5791" i="2"/>
  <c r="H5834" i="2"/>
  <c r="F5868" i="2"/>
  <c r="H5896" i="2"/>
  <c r="G5941" i="2"/>
  <c r="G4871" i="2"/>
  <c r="G4883" i="2"/>
  <c r="F4959" i="2"/>
  <c r="H5033" i="2"/>
  <c r="F5063" i="2"/>
  <c r="F5066" i="2"/>
  <c r="F5193" i="2"/>
  <c r="G5237" i="2"/>
  <c r="F5436" i="2"/>
  <c r="H5471" i="2"/>
  <c r="F5484" i="2"/>
  <c r="G5487" i="2"/>
  <c r="F5506" i="2"/>
  <c r="F5513" i="2"/>
  <c r="F5550" i="2"/>
  <c r="G5553" i="2"/>
  <c r="G5556" i="2"/>
  <c r="G5612" i="2"/>
  <c r="F5628" i="2"/>
  <c r="F5677" i="2"/>
  <c r="H5691" i="2"/>
  <c r="H5727" i="2"/>
  <c r="G5742" i="2"/>
  <c r="G5786" i="2"/>
  <c r="F5845" i="2"/>
  <c r="G5985" i="2"/>
  <c r="H1053" i="2"/>
  <c r="G1053" i="2"/>
  <c r="F1486" i="2"/>
  <c r="G1486" i="2"/>
  <c r="H1571" i="2"/>
  <c r="G1571" i="2"/>
  <c r="F1571" i="2"/>
  <c r="F3284" i="2"/>
  <c r="G3284" i="2"/>
  <c r="G3621" i="2"/>
  <c r="H3621" i="2"/>
  <c r="H3996" i="2"/>
  <c r="G3996" i="2"/>
  <c r="F3996" i="2"/>
  <c r="H4131" i="2"/>
  <c r="F4131" i="2"/>
  <c r="F4213" i="2"/>
  <c r="G4213" i="2"/>
  <c r="F5772" i="2"/>
  <c r="H5772" i="2"/>
  <c r="G5772" i="2"/>
  <c r="F17" i="2"/>
  <c r="H25" i="2"/>
  <c r="G235" i="2"/>
  <c r="G237" i="2"/>
  <c r="H327" i="2"/>
  <c r="F351" i="2"/>
  <c r="H372" i="2"/>
  <c r="F492" i="2"/>
  <c r="F525" i="2"/>
  <c r="F527" i="2"/>
  <c r="F560" i="2"/>
  <c r="F618" i="2"/>
  <c r="F673" i="2"/>
  <c r="F816" i="2"/>
  <c r="F1073" i="2"/>
  <c r="H1073" i="2"/>
  <c r="G1073" i="2"/>
  <c r="F1105" i="2"/>
  <c r="H1105" i="2"/>
  <c r="G1105" i="2"/>
  <c r="G1163" i="2"/>
  <c r="H1163" i="2"/>
  <c r="F1163" i="2"/>
  <c r="H1766" i="2"/>
  <c r="G1766" i="2"/>
  <c r="H1779" i="2"/>
  <c r="F1779" i="2"/>
  <c r="H1954" i="2"/>
  <c r="G1954" i="2"/>
  <c r="F1954" i="2"/>
  <c r="H2058" i="2"/>
  <c r="G2058" i="2"/>
  <c r="F2063" i="2"/>
  <c r="H2233" i="2"/>
  <c r="G2233" i="2"/>
  <c r="F2233" i="2"/>
  <c r="G3160" i="2"/>
  <c r="H3160" i="2"/>
  <c r="F3220" i="2"/>
  <c r="G3220" i="2"/>
  <c r="G3" i="2"/>
  <c r="H11" i="2"/>
  <c r="H17" i="2"/>
  <c r="F23" i="2"/>
  <c r="G28" i="2"/>
  <c r="H37" i="2"/>
  <c r="F49" i="2"/>
  <c r="H57" i="2"/>
  <c r="H69" i="2"/>
  <c r="F81" i="2"/>
  <c r="H89" i="2"/>
  <c r="H101" i="2"/>
  <c r="F113" i="2"/>
  <c r="H121" i="2"/>
  <c r="H133" i="2"/>
  <c r="G148" i="2"/>
  <c r="H157" i="2"/>
  <c r="G171" i="2"/>
  <c r="G173" i="2"/>
  <c r="H190" i="2"/>
  <c r="H192" i="2"/>
  <c r="H202" i="2"/>
  <c r="G211" i="2"/>
  <c r="H213" i="2"/>
  <c r="F225" i="2"/>
  <c r="H231" i="2"/>
  <c r="H235" i="2"/>
  <c r="H237" i="2"/>
  <c r="G251" i="2"/>
  <c r="G253" i="2"/>
  <c r="H343" i="2"/>
  <c r="H349" i="2"/>
  <c r="H351" i="2"/>
  <c r="H361" i="2"/>
  <c r="F365" i="2"/>
  <c r="F367" i="2"/>
  <c r="G386" i="2"/>
  <c r="F390" i="2"/>
  <c r="H411" i="2"/>
  <c r="G418" i="2"/>
  <c r="F422" i="2"/>
  <c r="F433" i="2"/>
  <c r="F461" i="2"/>
  <c r="H468" i="2"/>
  <c r="H470" i="2"/>
  <c r="H496" i="2"/>
  <c r="F503" i="2"/>
  <c r="F505" i="2"/>
  <c r="F521" i="2"/>
  <c r="G525" i="2"/>
  <c r="F529" i="2"/>
  <c r="H532" i="2"/>
  <c r="H534" i="2"/>
  <c r="H560" i="2"/>
  <c r="F567" i="2"/>
  <c r="F569" i="2"/>
  <c r="H578" i="2"/>
  <c r="G580" i="2"/>
  <c r="F596" i="2"/>
  <c r="G600" i="2"/>
  <c r="F604" i="2"/>
  <c r="H607" i="2"/>
  <c r="H609" i="2"/>
  <c r="H618" i="2"/>
  <c r="F634" i="2"/>
  <c r="F636" i="2"/>
  <c r="H643" i="2"/>
  <c r="H661" i="2"/>
  <c r="F665" i="2"/>
  <c r="H667" i="2"/>
  <c r="H675" i="2"/>
  <c r="F681" i="2"/>
  <c r="H685" i="2"/>
  <c r="H701" i="2"/>
  <c r="F709" i="2"/>
  <c r="H721" i="2"/>
  <c r="H723" i="2"/>
  <c r="F737" i="2"/>
  <c r="F739" i="2"/>
  <c r="F743" i="2"/>
  <c r="G759" i="2"/>
  <c r="F772" i="2"/>
  <c r="F777" i="2"/>
  <c r="F782" i="2"/>
  <c r="H787" i="2"/>
  <c r="F793" i="2"/>
  <c r="H816" i="2"/>
  <c r="H869" i="2"/>
  <c r="H974" i="2"/>
  <c r="G974" i="2"/>
  <c r="F974" i="2"/>
  <c r="G981" i="2"/>
  <c r="H981" i="2"/>
  <c r="H1077" i="2"/>
  <c r="F1077" i="2"/>
  <c r="F1085" i="2"/>
  <c r="H1085" i="2"/>
  <c r="H1109" i="2"/>
  <c r="F1109" i="2"/>
  <c r="F1117" i="2"/>
  <c r="H1117" i="2"/>
  <c r="F1167" i="2"/>
  <c r="H1167" i="2"/>
  <c r="H1224" i="2"/>
  <c r="G1224" i="2"/>
  <c r="G1409" i="2"/>
  <c r="H1409" i="2"/>
  <c r="G1561" i="2"/>
  <c r="F1561" i="2"/>
  <c r="G1619" i="2"/>
  <c r="H1619" i="2"/>
  <c r="F1766" i="2"/>
  <c r="G1882" i="2"/>
  <c r="H1882" i="2"/>
  <c r="F1882" i="2"/>
  <c r="F2058" i="2"/>
  <c r="G2474" i="2"/>
  <c r="H2474" i="2"/>
  <c r="H2550" i="2"/>
  <c r="F2550" i="2"/>
  <c r="G2550" i="2"/>
  <c r="F832" i="2"/>
  <c r="H832" i="2"/>
  <c r="G834" i="2"/>
  <c r="H834" i="2"/>
  <c r="G2254" i="2"/>
  <c r="F2254" i="2"/>
  <c r="G4148" i="2"/>
  <c r="H4148" i="2"/>
  <c r="F4148" i="2"/>
  <c r="G42" i="2"/>
  <c r="G138" i="2"/>
  <c r="H184" i="2"/>
  <c r="F211" i="2"/>
  <c r="H295" i="2"/>
  <c r="H345" i="2"/>
  <c r="F496" i="2"/>
  <c r="H587" i="2"/>
  <c r="F602" i="2"/>
  <c r="H669" i="2"/>
  <c r="H677" i="2"/>
  <c r="F701" i="2"/>
  <c r="F821" i="2"/>
  <c r="G1227" i="2"/>
  <c r="H81" i="2"/>
  <c r="H171" i="2"/>
  <c r="G225" i="2"/>
  <c r="H251" i="2"/>
  <c r="H253" i="2"/>
  <c r="H365" i="2"/>
  <c r="H367" i="2"/>
  <c r="H386" i="2"/>
  <c r="G390" i="2"/>
  <c r="H418" i="2"/>
  <c r="G422" i="2"/>
  <c r="G433" i="2"/>
  <c r="G461" i="2"/>
  <c r="H503" i="2"/>
  <c r="G505" i="2"/>
  <c r="H521" i="2"/>
  <c r="G529" i="2"/>
  <c r="H567" i="2"/>
  <c r="G569" i="2"/>
  <c r="H580" i="2"/>
  <c r="H596" i="2"/>
  <c r="G604" i="2"/>
  <c r="G636" i="2"/>
  <c r="F645" i="2"/>
  <c r="F657" i="2"/>
  <c r="H659" i="2"/>
  <c r="F672" i="2"/>
  <c r="H683" i="2"/>
  <c r="F689" i="2"/>
  <c r="H693" i="2"/>
  <c r="F732" i="2"/>
  <c r="H737" i="2"/>
  <c r="G739" i="2"/>
  <c r="F741" i="2"/>
  <c r="H743" i="2"/>
  <c r="F755" i="2"/>
  <c r="H759" i="2"/>
  <c r="F769" i="2"/>
  <c r="G772" i="2"/>
  <c r="G782" i="2"/>
  <c r="F818" i="2"/>
  <c r="F820" i="2"/>
  <c r="F846" i="2"/>
  <c r="F856" i="2"/>
  <c r="H856" i="2"/>
  <c r="H867" i="2"/>
  <c r="G867" i="2"/>
  <c r="G876" i="2"/>
  <c r="H876" i="2"/>
  <c r="F876" i="2"/>
  <c r="H959" i="2"/>
  <c r="G959" i="2"/>
  <c r="H964" i="2"/>
  <c r="G964" i="2"/>
  <c r="F964" i="2"/>
  <c r="H994" i="2"/>
  <c r="G994" i="2"/>
  <c r="F994" i="2"/>
  <c r="G1047" i="2"/>
  <c r="H1047" i="2"/>
  <c r="G1085" i="2"/>
  <c r="G1117" i="2"/>
  <c r="H1349" i="2"/>
  <c r="G1349" i="2"/>
  <c r="G1399" i="2"/>
  <c r="H1399" i="2"/>
  <c r="F1558" i="2"/>
  <c r="G1558" i="2"/>
  <c r="H1934" i="2"/>
  <c r="G1934" i="2"/>
  <c r="H2299" i="2"/>
  <c r="G2299" i="2"/>
  <c r="F2299" i="2"/>
  <c r="H2454" i="2"/>
  <c r="G2454" i="2"/>
  <c r="F2454" i="2"/>
  <c r="F2463" i="2"/>
  <c r="G2463" i="2"/>
  <c r="H2463" i="2"/>
  <c r="G3055" i="2"/>
  <c r="F3055" i="2"/>
  <c r="F349" i="2"/>
  <c r="F607" i="2"/>
  <c r="F609" i="2"/>
  <c r="G723" i="2"/>
  <c r="G832" i="2"/>
  <c r="G971" i="2"/>
  <c r="H971" i="2"/>
  <c r="H43" i="2"/>
  <c r="G67" i="2"/>
  <c r="H107" i="2"/>
  <c r="G131" i="2"/>
  <c r="F161" i="2"/>
  <c r="G166" i="2"/>
  <c r="G187" i="2"/>
  <c r="H218" i="2"/>
  <c r="F243" i="2"/>
  <c r="F257" i="2"/>
  <c r="H263" i="2"/>
  <c r="G283" i="2"/>
  <c r="G285" i="2"/>
  <c r="G298" i="2"/>
  <c r="G314" i="2"/>
  <c r="H414" i="2"/>
  <c r="F498" i="2"/>
  <c r="F562" i="2"/>
  <c r="H755" i="2"/>
  <c r="H769" i="2"/>
  <c r="G820" i="2"/>
  <c r="G879" i="2"/>
  <c r="F879" i="2"/>
  <c r="H901" i="2"/>
  <c r="G901" i="2"/>
  <c r="F901" i="2"/>
  <c r="H921" i="2"/>
  <c r="G921" i="2"/>
  <c r="F921" i="2"/>
  <c r="H957" i="2"/>
  <c r="G957" i="2"/>
  <c r="F972" i="2"/>
  <c r="H972" i="2"/>
  <c r="G972" i="2"/>
  <c r="G1019" i="2"/>
  <c r="F1019" i="2"/>
  <c r="H1141" i="2"/>
  <c r="G1141" i="2"/>
  <c r="G1221" i="2"/>
  <c r="H1221" i="2"/>
  <c r="F1221" i="2"/>
  <c r="H1313" i="2"/>
  <c r="G1313" i="2"/>
  <c r="G1431" i="2"/>
  <c r="H1431" i="2"/>
  <c r="F1438" i="2"/>
  <c r="G1438" i="2"/>
  <c r="G1525" i="2"/>
  <c r="H1525" i="2"/>
  <c r="F1525" i="2"/>
  <c r="G1595" i="2"/>
  <c r="H1595" i="2"/>
  <c r="F1595" i="2"/>
  <c r="H1865" i="2"/>
  <c r="G1865" i="2"/>
  <c r="H2212" i="2"/>
  <c r="G2212" i="2"/>
  <c r="F2212" i="2"/>
  <c r="F2292" i="2"/>
  <c r="H2292" i="2"/>
  <c r="G2292" i="2"/>
  <c r="F2423" i="2"/>
  <c r="G2423" i="2"/>
  <c r="H2423" i="2"/>
  <c r="G2862" i="2"/>
  <c r="H2862" i="2"/>
  <c r="G2983" i="2"/>
  <c r="F2983" i="2"/>
  <c r="H3002" i="2"/>
  <c r="G3002" i="2"/>
  <c r="F3002" i="2"/>
  <c r="G875" i="2"/>
  <c r="H875" i="2"/>
  <c r="F925" i="2"/>
  <c r="H925" i="2"/>
  <c r="G925" i="2"/>
  <c r="G1237" i="2"/>
  <c r="H1237" i="2"/>
  <c r="F1782" i="2"/>
  <c r="G1782" i="2"/>
  <c r="H3986" i="2"/>
  <c r="F3986" i="2"/>
  <c r="G3986" i="2"/>
  <c r="H4223" i="2"/>
  <c r="G4223" i="2"/>
  <c r="F4223" i="2"/>
  <c r="G4925" i="2"/>
  <c r="H4925" i="2"/>
  <c r="G157" i="2"/>
  <c r="F190" i="2"/>
  <c r="F192" i="2"/>
  <c r="H311" i="2"/>
  <c r="H547" i="2"/>
  <c r="F600" i="2"/>
  <c r="H616" i="2"/>
  <c r="F632" i="2"/>
  <c r="H725" i="2"/>
  <c r="H799" i="2"/>
  <c r="G1059" i="2"/>
  <c r="H1059" i="2"/>
  <c r="G23" i="2"/>
  <c r="H49" i="2"/>
  <c r="H113" i="2"/>
  <c r="H173" i="2"/>
  <c r="H9" i="2"/>
  <c r="G26" i="2"/>
  <c r="G35" i="2"/>
  <c r="H75" i="2"/>
  <c r="G99" i="2"/>
  <c r="H139" i="2"/>
  <c r="F177" i="2"/>
  <c r="G189" i="2"/>
  <c r="G12" i="2"/>
  <c r="H21" i="2"/>
  <c r="H35" i="2"/>
  <c r="G58" i="2"/>
  <c r="H67" i="2"/>
  <c r="G90" i="2"/>
  <c r="H99" i="2"/>
  <c r="G122" i="2"/>
  <c r="H131" i="2"/>
  <c r="H149" i="2"/>
  <c r="F179" i="2"/>
  <c r="H183" i="2"/>
  <c r="H187" i="2"/>
  <c r="H189" i="2"/>
  <c r="H216" i="2"/>
  <c r="F222" i="2"/>
  <c r="F224" i="2"/>
  <c r="H234" i="2"/>
  <c r="F259" i="2"/>
  <c r="F273" i="2"/>
  <c r="H279" i="2"/>
  <c r="H283" i="2"/>
  <c r="H285" i="2"/>
  <c r="H294" i="2"/>
  <c r="F304" i="2"/>
  <c r="H310" i="2"/>
  <c r="F320" i="2"/>
  <c r="H326" i="2"/>
  <c r="F336" i="2"/>
  <c r="G346" i="2"/>
  <c r="H348" i="2"/>
  <c r="G364" i="2"/>
  <c r="F389" i="2"/>
  <c r="F396" i="2"/>
  <c r="F398" i="2"/>
  <c r="F421" i="2"/>
  <c r="F428" i="2"/>
  <c r="F432" i="2"/>
  <c r="F439" i="2"/>
  <c r="F441" i="2"/>
  <c r="H457" i="2"/>
  <c r="H467" i="2"/>
  <c r="H474" i="2"/>
  <c r="H476" i="2"/>
  <c r="H480" i="2"/>
  <c r="H482" i="2"/>
  <c r="F493" i="2"/>
  <c r="F495" i="2"/>
  <c r="F500" i="2"/>
  <c r="F502" i="2"/>
  <c r="G509" i="2"/>
  <c r="H511" i="2"/>
  <c r="H515" i="2"/>
  <c r="F524" i="2"/>
  <c r="F528" i="2"/>
  <c r="H531" i="2"/>
  <c r="H538" i="2"/>
  <c r="H540" i="2"/>
  <c r="H544" i="2"/>
  <c r="H546" i="2"/>
  <c r="F557" i="2"/>
  <c r="F559" i="2"/>
  <c r="F564" i="2"/>
  <c r="F566" i="2"/>
  <c r="H573" i="2"/>
  <c r="H575" i="2"/>
  <c r="H577" i="2"/>
  <c r="H584" i="2"/>
  <c r="H586" i="2"/>
  <c r="H590" i="2"/>
  <c r="F599" i="2"/>
  <c r="F603" i="2"/>
  <c r="H606" i="2"/>
  <c r="H615" i="2"/>
  <c r="H617" i="2"/>
  <c r="H621" i="2"/>
  <c r="F631" i="2"/>
  <c r="F633" i="2"/>
  <c r="G640" i="2"/>
  <c r="F642" i="2"/>
  <c r="H647" i="2"/>
  <c r="F656" i="2"/>
  <c r="F674" i="2"/>
  <c r="H678" i="2"/>
  <c r="F688" i="2"/>
  <c r="G700" i="2"/>
  <c r="H706" i="2"/>
  <c r="F728" i="2"/>
  <c r="G764" i="2"/>
  <c r="F771" i="2"/>
  <c r="H774" i="2"/>
  <c r="F786" i="2"/>
  <c r="G802" i="2"/>
  <c r="F806" i="2"/>
  <c r="G822" i="2"/>
  <c r="H842" i="2"/>
  <c r="H861" i="2"/>
  <c r="G870" i="2"/>
  <c r="H870" i="2"/>
  <c r="H879" i="2"/>
  <c r="H899" i="2"/>
  <c r="G899" i="2"/>
  <c r="H955" i="2"/>
  <c r="G955" i="2"/>
  <c r="F957" i="2"/>
  <c r="H992" i="2"/>
  <c r="G992" i="2"/>
  <c r="F992" i="2"/>
  <c r="F1033" i="2"/>
  <c r="H1037" i="2"/>
  <c r="F1037" i="2"/>
  <c r="G1099" i="2"/>
  <c r="H1099" i="2"/>
  <c r="F1141" i="2"/>
  <c r="G1151" i="2"/>
  <c r="H1151" i="2"/>
  <c r="F1151" i="2"/>
  <c r="F1211" i="2"/>
  <c r="H1211" i="2"/>
  <c r="H1279" i="2"/>
  <c r="F1279" i="2"/>
  <c r="F1282" i="2"/>
  <c r="G1282" i="2"/>
  <c r="F1313" i="2"/>
  <c r="G1343" i="2"/>
  <c r="H1343" i="2"/>
  <c r="F1343" i="2"/>
  <c r="F1431" i="2"/>
  <c r="H1447" i="2"/>
  <c r="G1447" i="2"/>
  <c r="F1513" i="2"/>
  <c r="H1693" i="2"/>
  <c r="G1733" i="2"/>
  <c r="H1733" i="2"/>
  <c r="F1733" i="2"/>
  <c r="G1862" i="2"/>
  <c r="H1862" i="2"/>
  <c r="F1865" i="2"/>
  <c r="G1902" i="2"/>
  <c r="H1902" i="2"/>
  <c r="F1902" i="2"/>
  <c r="H2168" i="2"/>
  <c r="G2168" i="2"/>
  <c r="F2168" i="2"/>
  <c r="G862" i="2"/>
  <c r="H862" i="2"/>
  <c r="F1024" i="2"/>
  <c r="G1024" i="2"/>
  <c r="F4197" i="2"/>
  <c r="G4197" i="2"/>
  <c r="G4276" i="2"/>
  <c r="F4276" i="2"/>
  <c r="H4276" i="2"/>
  <c r="F5799" i="2"/>
  <c r="G5799" i="2"/>
  <c r="H5799" i="2"/>
  <c r="G74" i="2"/>
  <c r="F468" i="2"/>
  <c r="F470" i="2"/>
  <c r="H512" i="2"/>
  <c r="F556" i="2"/>
  <c r="F578" i="2"/>
  <c r="H439" i="2"/>
  <c r="G493" i="2"/>
  <c r="H500" i="2"/>
  <c r="H502" i="2"/>
  <c r="H528" i="2"/>
  <c r="H603" i="2"/>
  <c r="H633" i="2"/>
  <c r="H642" i="2"/>
  <c r="G656" i="2"/>
  <c r="H674" i="2"/>
  <c r="H771" i="2"/>
  <c r="G786" i="2"/>
  <c r="G806" i="2"/>
  <c r="F817" i="2"/>
  <c r="H840" i="2"/>
  <c r="G840" i="2"/>
  <c r="G859" i="2"/>
  <c r="H859" i="2"/>
  <c r="F870" i="2"/>
  <c r="G882" i="2"/>
  <c r="H882" i="2"/>
  <c r="F882" i="2"/>
  <c r="G887" i="2"/>
  <c r="F887" i="2"/>
  <c r="G943" i="2"/>
  <c r="F943" i="2"/>
  <c r="H970" i="2"/>
  <c r="F970" i="2"/>
  <c r="F1009" i="2"/>
  <c r="H1013" i="2"/>
  <c r="G1013" i="2"/>
  <c r="F1013" i="2"/>
  <c r="G1023" i="2"/>
  <c r="H1023" i="2"/>
  <c r="F1023" i="2"/>
  <c r="H1030" i="2"/>
  <c r="G1030" i="2"/>
  <c r="H1075" i="2"/>
  <c r="H1107" i="2"/>
  <c r="G1211" i="2"/>
  <c r="G1279" i="2"/>
  <c r="H1585" i="2"/>
  <c r="G1585" i="2"/>
  <c r="F1585" i="2"/>
  <c r="G1683" i="2"/>
  <c r="H1683" i="2"/>
  <c r="G1849" i="2"/>
  <c r="H1849" i="2"/>
  <c r="F1849" i="2"/>
  <c r="H1899" i="2"/>
  <c r="G1899" i="2"/>
  <c r="F941" i="2"/>
  <c r="H941" i="2"/>
  <c r="G941" i="2"/>
  <c r="G963" i="2"/>
  <c r="H963" i="2"/>
  <c r="G1383" i="2"/>
  <c r="H1383" i="2"/>
  <c r="G1415" i="2"/>
  <c r="H1415" i="2"/>
  <c r="G1659" i="2"/>
  <c r="H1659" i="2"/>
  <c r="F1885" i="2"/>
  <c r="H1885" i="2"/>
  <c r="G1885" i="2"/>
  <c r="G2353" i="2"/>
  <c r="F2353" i="2"/>
  <c r="G3431" i="2"/>
  <c r="H3431" i="2"/>
  <c r="F3431" i="2"/>
  <c r="F4742" i="2"/>
  <c r="H4742" i="2"/>
  <c r="H5761" i="2"/>
  <c r="F5761" i="2"/>
  <c r="G106" i="2"/>
  <c r="H165" i="2"/>
  <c r="H215" i="2"/>
  <c r="H280" i="2"/>
  <c r="G477" i="2"/>
  <c r="H483" i="2"/>
  <c r="F532" i="2"/>
  <c r="F534" i="2"/>
  <c r="G541" i="2"/>
  <c r="F641" i="2"/>
  <c r="H961" i="2"/>
  <c r="G961" i="2"/>
  <c r="F1053" i="2"/>
  <c r="G10" i="2"/>
  <c r="G19" i="2"/>
  <c r="H27" i="2"/>
  <c r="G44" i="2"/>
  <c r="G76" i="2"/>
  <c r="G108" i="2"/>
  <c r="G140" i="2"/>
  <c r="H147" i="2"/>
  <c r="H159" i="2"/>
  <c r="F174" i="2"/>
  <c r="F176" i="2"/>
  <c r="H199" i="2"/>
  <c r="H248" i="2"/>
  <c r="F254" i="2"/>
  <c r="F256" i="2"/>
  <c r="H266" i="2"/>
  <c r="H340" i="2"/>
  <c r="H358" i="2"/>
  <c r="G378" i="2"/>
  <c r="F404" i="2"/>
  <c r="H408" i="2"/>
  <c r="F658" i="2"/>
  <c r="F690" i="2"/>
  <c r="H694" i="2"/>
  <c r="F705" i="2"/>
  <c r="F740" i="2"/>
  <c r="F838" i="2"/>
  <c r="F866" i="2"/>
  <c r="H887" i="2"/>
  <c r="H943" i="2"/>
  <c r="F990" i="2"/>
  <c r="H990" i="2"/>
  <c r="G990" i="2"/>
  <c r="G1145" i="2"/>
  <c r="H1145" i="2"/>
  <c r="F1145" i="2"/>
  <c r="G1307" i="2"/>
  <c r="H1307" i="2"/>
  <c r="F1307" i="2"/>
  <c r="H1333" i="2"/>
  <c r="F1333" i="2"/>
  <c r="F1340" i="2"/>
  <c r="G1340" i="2"/>
  <c r="G1418" i="2"/>
  <c r="G1429" i="2"/>
  <c r="H1429" i="2"/>
  <c r="F1429" i="2"/>
  <c r="G1489" i="2"/>
  <c r="H1489" i="2"/>
  <c r="F1489" i="2"/>
  <c r="G1505" i="2"/>
  <c r="H1505" i="2"/>
  <c r="F1505" i="2"/>
  <c r="H1785" i="2"/>
  <c r="F1785" i="2"/>
  <c r="F2577" i="2"/>
  <c r="G2577" i="2"/>
  <c r="F2585" i="2"/>
  <c r="G2585" i="2"/>
  <c r="H2606" i="2"/>
  <c r="F2606" i="2"/>
  <c r="G2606" i="2"/>
  <c r="H2284" i="2"/>
  <c r="G2284" i="2"/>
  <c r="F2383" i="2"/>
  <c r="H2383" i="2"/>
  <c r="H2574" i="2"/>
  <c r="F2574" i="2"/>
  <c r="F2819" i="2"/>
  <c r="G2819" i="2"/>
  <c r="H2900" i="2"/>
  <c r="G2900" i="2"/>
  <c r="G3010" i="2"/>
  <c r="H3010" i="2"/>
  <c r="F3042" i="2"/>
  <c r="G3042" i="2"/>
  <c r="F3122" i="2"/>
  <c r="G3122" i="2"/>
  <c r="G3231" i="2"/>
  <c r="H3231" i="2"/>
  <c r="H3640" i="2"/>
  <c r="G3640" i="2"/>
  <c r="F3640" i="2"/>
  <c r="G3650" i="2"/>
  <c r="F3650" i="2"/>
  <c r="F1191" i="2"/>
  <c r="H1191" i="2"/>
  <c r="H1264" i="2"/>
  <c r="G1264" i="2"/>
  <c r="G1367" i="2"/>
  <c r="H1367" i="2"/>
  <c r="G1457" i="2"/>
  <c r="H1457" i="2"/>
  <c r="F1736" i="2"/>
  <c r="G1736" i="2"/>
  <c r="H1842" i="2"/>
  <c r="G1842" i="2"/>
  <c r="F2284" i="2"/>
  <c r="F2303" i="2"/>
  <c r="H2303" i="2"/>
  <c r="H2339" i="2"/>
  <c r="G2339" i="2"/>
  <c r="F2339" i="2"/>
  <c r="F2377" i="2"/>
  <c r="H2377" i="2"/>
  <c r="H2486" i="2"/>
  <c r="G2486" i="2"/>
  <c r="F2486" i="2"/>
  <c r="H2520" i="2"/>
  <c r="F2520" i="2"/>
  <c r="F2564" i="2"/>
  <c r="G2564" i="2"/>
  <c r="G2574" i="2"/>
  <c r="G2804" i="2"/>
  <c r="H2804" i="2"/>
  <c r="H2856" i="2"/>
  <c r="F2856" i="2"/>
  <c r="F2980" i="2"/>
  <c r="H2980" i="2"/>
  <c r="G2980" i="2"/>
  <c r="H2984" i="2"/>
  <c r="G2984" i="2"/>
  <c r="F2984" i="2"/>
  <c r="H3042" i="2"/>
  <c r="F3101" i="2"/>
  <c r="G3101" i="2"/>
  <c r="H3122" i="2"/>
  <c r="H3192" i="2"/>
  <c r="F3192" i="2"/>
  <c r="H3217" i="2"/>
  <c r="G3217" i="2"/>
  <c r="F3217" i="2"/>
  <c r="F3384" i="2"/>
  <c r="H3384" i="2"/>
  <c r="G3384" i="2"/>
  <c r="G4090" i="2"/>
  <c r="F4090" i="2"/>
  <c r="H4090" i="2"/>
  <c r="H4632" i="2"/>
  <c r="G4632" i="2"/>
  <c r="G4743" i="2"/>
  <c r="H4743" i="2"/>
  <c r="F4743" i="2"/>
  <c r="H4839" i="2"/>
  <c r="G4839" i="2"/>
  <c r="F4839" i="2"/>
  <c r="G4949" i="2"/>
  <c r="H4949" i="2"/>
  <c r="G909" i="2"/>
  <c r="G917" i="2"/>
  <c r="F965" i="2"/>
  <c r="F986" i="2"/>
  <c r="F996" i="2"/>
  <c r="F1041" i="2"/>
  <c r="F1071" i="2"/>
  <c r="F1079" i="2"/>
  <c r="F1089" i="2"/>
  <c r="G1097" i="2"/>
  <c r="F1103" i="2"/>
  <c r="F1111" i="2"/>
  <c r="F1121" i="2"/>
  <c r="G1129" i="2"/>
  <c r="F1181" i="2"/>
  <c r="H1195" i="2"/>
  <c r="G1195" i="2"/>
  <c r="G1251" i="2"/>
  <c r="F1255" i="2"/>
  <c r="H1255" i="2"/>
  <c r="G1277" i="2"/>
  <c r="F1277" i="2"/>
  <c r="F1305" i="2"/>
  <c r="G1311" i="2"/>
  <c r="H1311" i="2"/>
  <c r="G1331" i="2"/>
  <c r="H1331" i="2"/>
  <c r="F1391" i="2"/>
  <c r="F1397" i="2"/>
  <c r="G1423" i="2"/>
  <c r="H1423" i="2"/>
  <c r="H1426" i="2"/>
  <c r="G1426" i="2"/>
  <c r="G1454" i="2"/>
  <c r="F1457" i="2"/>
  <c r="H1463" i="2"/>
  <c r="G1463" i="2"/>
  <c r="G1479" i="2"/>
  <c r="G1537" i="2"/>
  <c r="H1537" i="2"/>
  <c r="F1537" i="2"/>
  <c r="F1579" i="2"/>
  <c r="G1582" i="2"/>
  <c r="G1606" i="2"/>
  <c r="H1613" i="2"/>
  <c r="G1761" i="2"/>
  <c r="H1761" i="2"/>
  <c r="H1804" i="2"/>
  <c r="G1804" i="2"/>
  <c r="F1804" i="2"/>
  <c r="G1820" i="2"/>
  <c r="H1857" i="2"/>
  <c r="G1857" i="2"/>
  <c r="H1889" i="2"/>
  <c r="G1889" i="2"/>
  <c r="G1926" i="2"/>
  <c r="H1926" i="2"/>
  <c r="H2094" i="2"/>
  <c r="G2094" i="2"/>
  <c r="F2094" i="2"/>
  <c r="F2151" i="2"/>
  <c r="H2151" i="2"/>
  <c r="F2191" i="2"/>
  <c r="H2191" i="2"/>
  <c r="G2191" i="2"/>
  <c r="H2260" i="2"/>
  <c r="G2260" i="2"/>
  <c r="F2260" i="2"/>
  <c r="G2303" i="2"/>
  <c r="H2330" i="2"/>
  <c r="G2377" i="2"/>
  <c r="G2418" i="2"/>
  <c r="H2418" i="2"/>
  <c r="H2564" i="2"/>
  <c r="F2590" i="2"/>
  <c r="G2590" i="2"/>
  <c r="G2856" i="2"/>
  <c r="H3378" i="2"/>
  <c r="F3378" i="2"/>
  <c r="G3426" i="2"/>
  <c r="F3426" i="2"/>
  <c r="H3426" i="2"/>
  <c r="G3592" i="2"/>
  <c r="F3592" i="2"/>
  <c r="H3609" i="2"/>
  <c r="G3609" i="2"/>
  <c r="F3609" i="2"/>
  <c r="H1071" i="2"/>
  <c r="H1079" i="2"/>
  <c r="H1097" i="2"/>
  <c r="H1103" i="2"/>
  <c r="H1111" i="2"/>
  <c r="H1129" i="2"/>
  <c r="H1181" i="2"/>
  <c r="H1219" i="2"/>
  <c r="F1219" i="2"/>
  <c r="G1305" i="2"/>
  <c r="H1341" i="2"/>
  <c r="F1341" i="2"/>
  <c r="H1391" i="2"/>
  <c r="G1397" i="2"/>
  <c r="H1579" i="2"/>
  <c r="H1681" i="2"/>
  <c r="G1681" i="2"/>
  <c r="G1709" i="2"/>
  <c r="H1709" i="2"/>
  <c r="H1834" i="2"/>
  <c r="G1834" i="2"/>
  <c r="G1840" i="2"/>
  <c r="F1840" i="2"/>
  <c r="H1985" i="2"/>
  <c r="G1985" i="2"/>
  <c r="F1985" i="2"/>
  <c r="H2018" i="2"/>
  <c r="G2018" i="2"/>
  <c r="F2391" i="2"/>
  <c r="G2391" i="2"/>
  <c r="H2548" i="2"/>
  <c r="G2548" i="2"/>
  <c r="F2548" i="2"/>
  <c r="G2958" i="2"/>
  <c r="H2958" i="2"/>
  <c r="H2977" i="2"/>
  <c r="G2977" i="2"/>
  <c r="G3079" i="2"/>
  <c r="F3079" i="2"/>
  <c r="F3189" i="2"/>
  <c r="H3189" i="2"/>
  <c r="G3189" i="2"/>
  <c r="H3193" i="2"/>
  <c r="F3193" i="2"/>
  <c r="G3193" i="2"/>
  <c r="G3256" i="2"/>
  <c r="H3256" i="2"/>
  <c r="F3256" i="2"/>
  <c r="F3357" i="2"/>
  <c r="G3357" i="2"/>
  <c r="G3456" i="2"/>
  <c r="F3456" i="2"/>
  <c r="H3456" i="2"/>
  <c r="G1229" i="2"/>
  <c r="F1229" i="2"/>
  <c r="H1295" i="2"/>
  <c r="F1308" i="2"/>
  <c r="G1308" i="2"/>
  <c r="H1314" i="2"/>
  <c r="G1314" i="2"/>
  <c r="G1325" i="2"/>
  <c r="G1341" i="2"/>
  <c r="G1347" i="2"/>
  <c r="F1347" i="2"/>
  <c r="G1362" i="2"/>
  <c r="G1410" i="2"/>
  <c r="H1503" i="2"/>
  <c r="G1503" i="2"/>
  <c r="F1503" i="2"/>
  <c r="G1527" i="2"/>
  <c r="G1534" i="2"/>
  <c r="H1551" i="2"/>
  <c r="G1551" i="2"/>
  <c r="F1681" i="2"/>
  <c r="G1731" i="2"/>
  <c r="H1731" i="2"/>
  <c r="F1731" i="2"/>
  <c r="H1777" i="2"/>
  <c r="F1795" i="2"/>
  <c r="G1801" i="2"/>
  <c r="F1834" i="2"/>
  <c r="H1854" i="2"/>
  <c r="F1854" i="2"/>
  <c r="H1880" i="2"/>
  <c r="H1910" i="2"/>
  <c r="G1910" i="2"/>
  <c r="G1942" i="2"/>
  <c r="G1962" i="2"/>
  <c r="H1962" i="2"/>
  <c r="H1978" i="2"/>
  <c r="F2018" i="2"/>
  <c r="G2047" i="2"/>
  <c r="F2047" i="2"/>
  <c r="H2091" i="2"/>
  <c r="G2091" i="2"/>
  <c r="F2091" i="2"/>
  <c r="G2119" i="2"/>
  <c r="H2129" i="2"/>
  <c r="G2129" i="2"/>
  <c r="G2132" i="2"/>
  <c r="H2132" i="2"/>
  <c r="F2132" i="2"/>
  <c r="H2148" i="2"/>
  <c r="G2148" i="2"/>
  <c r="F2148" i="2"/>
  <c r="H2199" i="2"/>
  <c r="H2241" i="2"/>
  <c r="H2252" i="2"/>
  <c r="G2252" i="2"/>
  <c r="F2252" i="2"/>
  <c r="F2375" i="2"/>
  <c r="H2375" i="2"/>
  <c r="G2375" i="2"/>
  <c r="H2391" i="2"/>
  <c r="G2506" i="2"/>
  <c r="H2506" i="2"/>
  <c r="F2535" i="2"/>
  <c r="H2535" i="2"/>
  <c r="H2620" i="2"/>
  <c r="F2620" i="2"/>
  <c r="G2832" i="2"/>
  <c r="F2832" i="2"/>
  <c r="G2846" i="2"/>
  <c r="H2846" i="2"/>
  <c r="F2879" i="2"/>
  <c r="H2879" i="2"/>
  <c r="G2879" i="2"/>
  <c r="G2974" i="2"/>
  <c r="H2974" i="2"/>
  <c r="H3008" i="2"/>
  <c r="F3008" i="2"/>
  <c r="F3120" i="2"/>
  <c r="H3120" i="2"/>
  <c r="G3120" i="2"/>
  <c r="F3133" i="2"/>
  <c r="G3133" i="2"/>
  <c r="F3242" i="2"/>
  <c r="H3242" i="2"/>
  <c r="G3242" i="2"/>
  <c r="G3360" i="2"/>
  <c r="H3360" i="2"/>
  <c r="H3593" i="2"/>
  <c r="G3593" i="2"/>
  <c r="F3593" i="2"/>
  <c r="G3794" i="2"/>
  <c r="H3794" i="2"/>
  <c r="F3794" i="2"/>
  <c r="G3810" i="2"/>
  <c r="H3810" i="2"/>
  <c r="H947" i="2"/>
  <c r="G949" i="2"/>
  <c r="G968" i="2"/>
  <c r="G1281" i="2"/>
  <c r="F1281" i="2"/>
  <c r="G1335" i="2"/>
  <c r="F1335" i="2"/>
  <c r="G1461" i="2"/>
  <c r="F1461" i="2"/>
  <c r="G1675" i="2"/>
  <c r="H1675" i="2"/>
  <c r="H1678" i="2"/>
  <c r="G1678" i="2"/>
  <c r="F1728" i="2"/>
  <c r="G1728" i="2"/>
  <c r="G1795" i="2"/>
  <c r="G1832" i="2"/>
  <c r="H1832" i="2"/>
  <c r="H2099" i="2"/>
  <c r="G2099" i="2"/>
  <c r="G2145" i="2"/>
  <c r="F2145" i="2"/>
  <c r="H2204" i="2"/>
  <c r="G2204" i="2"/>
  <c r="F2204" i="2"/>
  <c r="G2412" i="2"/>
  <c r="H2412" i="2"/>
  <c r="G2438" i="2"/>
  <c r="H2438" i="2"/>
  <c r="H2496" i="2"/>
  <c r="F2496" i="2"/>
  <c r="H2612" i="2"/>
  <c r="F2612" i="2"/>
  <c r="H2868" i="2"/>
  <c r="F2868" i="2"/>
  <c r="G2910" i="2"/>
  <c r="H2910" i="2"/>
  <c r="F2949" i="2"/>
  <c r="G2949" i="2"/>
  <c r="H2993" i="2"/>
  <c r="G2993" i="2"/>
  <c r="F3029" i="2"/>
  <c r="H3029" i="2"/>
  <c r="H3033" i="2"/>
  <c r="G3033" i="2"/>
  <c r="F3033" i="2"/>
  <c r="H3064" i="2"/>
  <c r="F3064" i="2"/>
  <c r="F3130" i="2"/>
  <c r="G3130" i="2"/>
  <c r="F3237" i="2"/>
  <c r="G3237" i="2"/>
  <c r="H3386" i="2"/>
  <c r="F3386" i="2"/>
  <c r="G3386" i="2"/>
  <c r="H3400" i="2"/>
  <c r="G3400" i="2"/>
  <c r="F3400" i="2"/>
  <c r="F3410" i="2"/>
  <c r="H3410" i="2"/>
  <c r="G3410" i="2"/>
  <c r="H3788" i="2"/>
  <c r="F3788" i="2"/>
  <c r="G3788" i="2"/>
  <c r="F883" i="2"/>
  <c r="F889" i="2"/>
  <c r="F902" i="2"/>
  <c r="F906" i="2"/>
  <c r="F985" i="2"/>
  <c r="F997" i="2"/>
  <c r="H1029" i="2"/>
  <c r="F1049" i="2"/>
  <c r="G1057" i="2"/>
  <c r="F1157" i="2"/>
  <c r="G1197" i="2"/>
  <c r="H1197" i="2"/>
  <c r="H1207" i="2"/>
  <c r="G1207" i="2"/>
  <c r="G1243" i="2"/>
  <c r="H1281" i="2"/>
  <c r="F1323" i="2"/>
  <c r="G1329" i="2"/>
  <c r="H1335" i="2"/>
  <c r="F1351" i="2"/>
  <c r="H1461" i="2"/>
  <c r="H1601" i="2"/>
  <c r="G1601" i="2"/>
  <c r="F1601" i="2"/>
  <c r="F1675" i="2"/>
  <c r="G1699" i="2"/>
  <c r="H1699" i="2"/>
  <c r="G1717" i="2"/>
  <c r="H1717" i="2"/>
  <c r="G1747" i="2"/>
  <c r="H1747" i="2"/>
  <c r="G1752" i="2"/>
  <c r="F1793" i="2"/>
  <c r="F1809" i="2"/>
  <c r="F1832" i="2"/>
  <c r="H1871" i="2"/>
  <c r="H2011" i="2"/>
  <c r="G2011" i="2"/>
  <c r="F2011" i="2"/>
  <c r="G2026" i="2"/>
  <c r="H2035" i="2"/>
  <c r="G2035" i="2"/>
  <c r="G2041" i="2"/>
  <c r="H2081" i="2"/>
  <c r="F2081" i="2"/>
  <c r="F2099" i="2"/>
  <c r="F2228" i="2"/>
  <c r="H2265" i="2"/>
  <c r="G2326" i="2"/>
  <c r="H2356" i="2"/>
  <c r="G2356" i="2"/>
  <c r="F2356" i="2"/>
  <c r="H2367" i="2"/>
  <c r="H2556" i="2"/>
  <c r="G2556" i="2"/>
  <c r="F2556" i="2"/>
  <c r="H2580" i="2"/>
  <c r="F2580" i="2"/>
  <c r="G2612" i="2"/>
  <c r="G2708" i="2"/>
  <c r="H2708" i="2"/>
  <c r="G2858" i="2"/>
  <c r="H2858" i="2"/>
  <c r="H2865" i="2"/>
  <c r="G2865" i="2"/>
  <c r="H3058" i="2"/>
  <c r="G3058" i="2"/>
  <c r="H3130" i="2"/>
  <c r="H3237" i="2"/>
  <c r="G3247" i="2"/>
  <c r="H3247" i="2"/>
  <c r="F3247" i="2"/>
  <c r="H3724" i="2"/>
  <c r="F3724" i="2"/>
  <c r="G3776" i="2"/>
  <c r="F3776" i="2"/>
  <c r="H3776" i="2"/>
  <c r="F2907" i="2"/>
  <c r="H2907" i="2"/>
  <c r="G3023" i="2"/>
  <c r="H3023" i="2"/>
  <c r="G3039" i="2"/>
  <c r="F3039" i="2"/>
  <c r="H3104" i="2"/>
  <c r="G3104" i="2"/>
  <c r="F3154" i="2"/>
  <c r="G3154" i="2"/>
  <c r="H3186" i="2"/>
  <c r="G3186" i="2"/>
  <c r="F3196" i="2"/>
  <c r="H3196" i="2"/>
  <c r="H3240" i="2"/>
  <c r="G3240" i="2"/>
  <c r="G3375" i="2"/>
  <c r="F3375" i="2"/>
  <c r="H3514" i="2"/>
  <c r="G3514" i="2"/>
  <c r="H3546" i="2"/>
  <c r="G3546" i="2"/>
  <c r="G3562" i="2"/>
  <c r="F3562" i="2"/>
  <c r="F3663" i="2"/>
  <c r="H3663" i="2"/>
  <c r="G3663" i="2"/>
  <c r="G3667" i="2"/>
  <c r="F3667" i="2"/>
  <c r="G3674" i="2"/>
  <c r="H3674" i="2"/>
  <c r="F3674" i="2"/>
  <c r="H3692" i="2"/>
  <c r="F3692" i="2"/>
  <c r="F3791" i="2"/>
  <c r="G3791" i="2"/>
  <c r="G3904" i="2"/>
  <c r="H3904" i="2"/>
  <c r="F3904" i="2"/>
  <c r="H3930" i="2"/>
  <c r="G3930" i="2"/>
  <c r="F3930" i="2"/>
  <c r="G4046" i="2"/>
  <c r="F4046" i="2"/>
  <c r="G4096" i="2"/>
  <c r="F4096" i="2"/>
  <c r="G4112" i="2"/>
  <c r="F4112" i="2"/>
  <c r="H4112" i="2"/>
  <c r="G5784" i="2"/>
  <c r="H5784" i="2"/>
  <c r="F5843" i="2"/>
  <c r="H5843" i="2"/>
  <c r="H2399" i="2"/>
  <c r="G2518" i="2"/>
  <c r="G2588" i="2"/>
  <c r="H2623" i="2"/>
  <c r="F2876" i="2"/>
  <c r="H2876" i="2"/>
  <c r="H2952" i="2"/>
  <c r="H2969" i="2"/>
  <c r="F2969" i="2"/>
  <c r="H2986" i="2"/>
  <c r="H3049" i="2"/>
  <c r="G3049" i="2"/>
  <c r="G3111" i="2"/>
  <c r="H3111" i="2"/>
  <c r="H3125" i="2"/>
  <c r="H3128" i="2"/>
  <c r="G3152" i="2"/>
  <c r="F3152" i="2"/>
  <c r="H3161" i="2"/>
  <c r="F3161" i="2"/>
  <c r="G3177" i="2"/>
  <c r="H3202" i="2"/>
  <c r="F3268" i="2"/>
  <c r="G3268" i="2"/>
  <c r="G3303" i="2"/>
  <c r="F3303" i="2"/>
  <c r="G3393" i="2"/>
  <c r="F3477" i="2"/>
  <c r="H3477" i="2"/>
  <c r="G3477" i="2"/>
  <c r="G3506" i="2"/>
  <c r="G3600" i="2"/>
  <c r="H3600" i="2"/>
  <c r="H3660" i="2"/>
  <c r="G3660" i="2"/>
  <c r="F3660" i="2"/>
  <c r="H3744" i="2"/>
  <c r="F3744" i="2"/>
  <c r="H3804" i="2"/>
  <c r="F3804" i="2"/>
  <c r="G3818" i="2"/>
  <c r="F3818" i="2"/>
  <c r="H3856" i="2"/>
  <c r="F3856" i="2"/>
  <c r="H3964" i="2"/>
  <c r="F3964" i="2"/>
  <c r="H4487" i="2"/>
  <c r="F4487" i="2"/>
  <c r="G4487" i="2"/>
  <c r="F4644" i="2"/>
  <c r="G4644" i="2"/>
  <c r="F2964" i="2"/>
  <c r="H2964" i="2"/>
  <c r="G2967" i="2"/>
  <c r="F2967" i="2"/>
  <c r="H3017" i="2"/>
  <c r="G3017" i="2"/>
  <c r="F3068" i="2"/>
  <c r="H3068" i="2"/>
  <c r="F3140" i="2"/>
  <c r="G3140" i="2"/>
  <c r="G3250" i="2"/>
  <c r="F3250" i="2"/>
  <c r="F3282" i="2"/>
  <c r="H3282" i="2"/>
  <c r="G3282" i="2"/>
  <c r="F3341" i="2"/>
  <c r="H3341" i="2"/>
  <c r="G3341" i="2"/>
  <c r="H3361" i="2"/>
  <c r="F3361" i="2"/>
  <c r="F3397" i="2"/>
  <c r="H3397" i="2"/>
  <c r="G3397" i="2"/>
  <c r="H3474" i="2"/>
  <c r="G3474" i="2"/>
  <c r="G3504" i="2"/>
  <c r="H3504" i="2"/>
  <c r="H3553" i="2"/>
  <c r="G3553" i="2"/>
  <c r="F3553" i="2"/>
  <c r="G3578" i="2"/>
  <c r="F3578" i="2"/>
  <c r="H3668" i="2"/>
  <c r="G3668" i="2"/>
  <c r="F3668" i="2"/>
  <c r="H3748" i="2"/>
  <c r="F3748" i="2"/>
  <c r="G3762" i="2"/>
  <c r="F3762" i="2"/>
  <c r="G3811" i="2"/>
  <c r="F3811" i="2"/>
  <c r="H3978" i="2"/>
  <c r="F3978" i="2"/>
  <c r="G3978" i="2"/>
  <c r="F4491" i="2"/>
  <c r="G4491" i="2"/>
  <c r="G4551" i="2"/>
  <c r="H4551" i="2"/>
  <c r="G4567" i="2"/>
  <c r="H4567" i="2"/>
  <c r="F4567" i="2"/>
  <c r="G4591" i="2"/>
  <c r="H4591" i="2"/>
  <c r="H1213" i="2"/>
  <c r="G1235" i="2"/>
  <c r="H1441" i="2"/>
  <c r="G1455" i="2"/>
  <c r="F1475" i="2"/>
  <c r="H1477" i="2"/>
  <c r="F1487" i="2"/>
  <c r="G1518" i="2"/>
  <c r="F1535" i="2"/>
  <c r="F1557" i="2"/>
  <c r="F1569" i="2"/>
  <c r="G1574" i="2"/>
  <c r="H1611" i="2"/>
  <c r="G1614" i="2"/>
  <c r="H1635" i="2"/>
  <c r="H1645" i="2"/>
  <c r="G1654" i="2"/>
  <c r="H1691" i="2"/>
  <c r="G1694" i="2"/>
  <c r="F1707" i="2"/>
  <c r="F1713" i="2"/>
  <c r="G1734" i="2"/>
  <c r="H1745" i="2"/>
  <c r="F1757" i="2"/>
  <c r="H1759" i="2"/>
  <c r="G1775" i="2"/>
  <c r="F1778" i="2"/>
  <c r="G1786" i="2"/>
  <c r="F1794" i="2"/>
  <c r="G1796" i="2"/>
  <c r="F1802" i="2"/>
  <c r="F1810" i="2"/>
  <c r="H1815" i="2"/>
  <c r="F1826" i="2"/>
  <c r="G1828" i="2"/>
  <c r="G1852" i="2"/>
  <c r="F1866" i="2"/>
  <c r="H1869" i="2"/>
  <c r="F1872" i="2"/>
  <c r="F1881" i="2"/>
  <c r="F1938" i="2"/>
  <c r="G1946" i="2"/>
  <c r="F1953" i="2"/>
  <c r="F1955" i="2"/>
  <c r="F1958" i="2"/>
  <c r="F1979" i="2"/>
  <c r="F2009" i="2"/>
  <c r="F2022" i="2"/>
  <c r="G2057" i="2"/>
  <c r="F2070" i="2"/>
  <c r="H2139" i="2"/>
  <c r="G2143" i="2"/>
  <c r="F2198" i="2"/>
  <c r="G2276" i="2"/>
  <c r="G2279" i="2"/>
  <c r="H2282" i="2"/>
  <c r="F2302" i="2"/>
  <c r="G2321" i="2"/>
  <c r="G2327" i="2"/>
  <c r="F2337" i="2"/>
  <c r="G2361" i="2"/>
  <c r="F2392" i="2"/>
  <c r="H2407" i="2"/>
  <c r="F2424" i="2"/>
  <c r="G2436" i="2"/>
  <c r="F2446" i="2"/>
  <c r="F2452" i="2"/>
  <c r="G2462" i="2"/>
  <c r="F2464" i="2"/>
  <c r="F2478" i="2"/>
  <c r="G2481" i="2"/>
  <c r="F2484" i="2"/>
  <c r="F2524" i="2"/>
  <c r="H2591" i="2"/>
  <c r="H2642" i="2"/>
  <c r="H2660" i="2"/>
  <c r="H2740" i="2"/>
  <c r="F2824" i="2"/>
  <c r="G2831" i="2"/>
  <c r="H2836" i="2"/>
  <c r="H2857" i="2"/>
  <c r="G2857" i="2"/>
  <c r="G2898" i="2"/>
  <c r="G2912" i="2"/>
  <c r="G2961" i="2"/>
  <c r="G2964" i="2"/>
  <c r="G2997" i="2"/>
  <c r="G3000" i="2"/>
  <c r="H3009" i="2"/>
  <c r="G3009" i="2"/>
  <c r="F3012" i="2"/>
  <c r="G3012" i="2"/>
  <c r="H3024" i="2"/>
  <c r="G3037" i="2"/>
  <c r="G3080" i="2"/>
  <c r="G3135" i="2"/>
  <c r="H3135" i="2"/>
  <c r="H3140" i="2"/>
  <c r="H3162" i="2"/>
  <c r="G3162" i="2"/>
  <c r="G3172" i="2"/>
  <c r="H3250" i="2"/>
  <c r="F3319" i="2"/>
  <c r="G3325" i="2"/>
  <c r="F3335" i="2"/>
  <c r="H3338" i="2"/>
  <c r="G3338" i="2"/>
  <c r="G3361" i="2"/>
  <c r="H3417" i="2"/>
  <c r="G3417" i="2"/>
  <c r="F3417" i="2"/>
  <c r="F3433" i="2"/>
  <c r="F3440" i="2"/>
  <c r="F3461" i="2"/>
  <c r="G3461" i="2"/>
  <c r="F3474" i="2"/>
  <c r="H3501" i="2"/>
  <c r="F3504" i="2"/>
  <c r="F3535" i="2"/>
  <c r="H3578" i="2"/>
  <c r="F3591" i="2"/>
  <c r="G3672" i="2"/>
  <c r="H3672" i="2"/>
  <c r="F3687" i="2"/>
  <c r="G3687" i="2"/>
  <c r="H3712" i="2"/>
  <c r="F3712" i="2"/>
  <c r="G3802" i="2"/>
  <c r="H3802" i="2"/>
  <c r="F3802" i="2"/>
  <c r="H3811" i="2"/>
  <c r="H3819" i="2"/>
  <c r="G3819" i="2"/>
  <c r="F3819" i="2"/>
  <c r="G3867" i="2"/>
  <c r="F3867" i="2"/>
  <c r="G3874" i="2"/>
  <c r="F3874" i="2"/>
  <c r="F3895" i="2"/>
  <c r="G3895" i="2"/>
  <c r="F3915" i="2"/>
  <c r="G3915" i="2"/>
  <c r="H3938" i="2"/>
  <c r="G3938" i="2"/>
  <c r="F3938" i="2"/>
  <c r="H3971" i="2"/>
  <c r="G3971" i="2"/>
  <c r="H4002" i="2"/>
  <c r="G4002" i="2"/>
  <c r="F4002" i="2"/>
  <c r="G4318" i="2"/>
  <c r="H4318" i="2"/>
  <c r="F4318" i="2"/>
  <c r="G1535" i="2"/>
  <c r="H1557" i="2"/>
  <c r="H1569" i="2"/>
  <c r="H1707" i="2"/>
  <c r="G1713" i="2"/>
  <c r="G1757" i="2"/>
  <c r="F1765" i="2"/>
  <c r="H1767" i="2"/>
  <c r="H1778" i="2"/>
  <c r="H1794" i="2"/>
  <c r="G1802" i="2"/>
  <c r="H1808" i="2"/>
  <c r="G1810" i="2"/>
  <c r="G1826" i="2"/>
  <c r="H1828" i="2"/>
  <c r="F1833" i="2"/>
  <c r="H1852" i="2"/>
  <c r="H1866" i="2"/>
  <c r="H1872" i="2"/>
  <c r="G1881" i="2"/>
  <c r="H1894" i="2"/>
  <c r="F1911" i="2"/>
  <c r="F1927" i="2"/>
  <c r="G1938" i="2"/>
  <c r="H1953" i="2"/>
  <c r="H1958" i="2"/>
  <c r="F1961" i="2"/>
  <c r="H2009" i="2"/>
  <c r="G2022" i="2"/>
  <c r="H2057" i="2"/>
  <c r="H2143" i="2"/>
  <c r="F2155" i="2"/>
  <c r="F2172" i="2"/>
  <c r="G2198" i="2"/>
  <c r="F2211" i="2"/>
  <c r="G2220" i="2"/>
  <c r="H2250" i="2"/>
  <c r="H2276" i="2"/>
  <c r="H2279" i="2"/>
  <c r="G2302" i="2"/>
  <c r="H2327" i="2"/>
  <c r="G2337" i="2"/>
  <c r="G2359" i="2"/>
  <c r="H2361" i="2"/>
  <c r="F2364" i="2"/>
  <c r="H2378" i="2"/>
  <c r="F2388" i="2"/>
  <c r="G2398" i="2"/>
  <c r="F2400" i="2"/>
  <c r="F2414" i="2"/>
  <c r="F2420" i="2"/>
  <c r="H2436" i="2"/>
  <c r="G2446" i="2"/>
  <c r="G2452" i="2"/>
  <c r="H2462" i="2"/>
  <c r="G2478" i="2"/>
  <c r="G2484" i="2"/>
  <c r="G2521" i="2"/>
  <c r="G2524" i="2"/>
  <c r="G2551" i="2"/>
  <c r="F2624" i="2"/>
  <c r="H2756" i="2"/>
  <c r="H2831" i="2"/>
  <c r="F2857" i="2"/>
  <c r="G2895" i="2"/>
  <c r="H2898" i="2"/>
  <c r="F2909" i="2"/>
  <c r="F2937" i="2"/>
  <c r="G2970" i="2"/>
  <c r="F2976" i="2"/>
  <c r="H2982" i="2"/>
  <c r="F2994" i="2"/>
  <c r="H2997" i="2"/>
  <c r="H3000" i="2"/>
  <c r="F3009" i="2"/>
  <c r="H3031" i="2"/>
  <c r="F3072" i="2"/>
  <c r="F3074" i="2"/>
  <c r="H3080" i="2"/>
  <c r="H3089" i="2"/>
  <c r="G3089" i="2"/>
  <c r="F3089" i="2"/>
  <c r="F3106" i="2"/>
  <c r="G3109" i="2"/>
  <c r="F3112" i="2"/>
  <c r="F3132" i="2"/>
  <c r="H3132" i="2"/>
  <c r="F3143" i="2"/>
  <c r="F3146" i="2"/>
  <c r="H3153" i="2"/>
  <c r="G3153" i="2"/>
  <c r="G3169" i="2"/>
  <c r="H3191" i="2"/>
  <c r="F3245" i="2"/>
  <c r="H3245" i="2"/>
  <c r="G3245" i="2"/>
  <c r="F3264" i="2"/>
  <c r="F3313" i="2"/>
  <c r="H3319" i="2"/>
  <c r="H3325" i="2"/>
  <c r="H3335" i="2"/>
  <c r="F3338" i="2"/>
  <c r="G3433" i="2"/>
  <c r="H3440" i="2"/>
  <c r="H3461" i="2"/>
  <c r="G3493" i="2"/>
  <c r="H3498" i="2"/>
  <c r="F3498" i="2"/>
  <c r="F3529" i="2"/>
  <c r="G3535" i="2"/>
  <c r="G3538" i="2"/>
  <c r="F3538" i="2"/>
  <c r="G3591" i="2"/>
  <c r="G3712" i="2"/>
  <c r="G3770" i="2"/>
  <c r="F3770" i="2"/>
  <c r="H3796" i="2"/>
  <c r="G3796" i="2"/>
  <c r="H3867" i="2"/>
  <c r="H3915" i="2"/>
  <c r="F4124" i="2"/>
  <c r="H4124" i="2"/>
  <c r="G4124" i="2"/>
  <c r="H4175" i="2"/>
  <c r="G4175" i="2"/>
  <c r="F4175" i="2"/>
  <c r="H4450" i="2"/>
  <c r="F4450" i="2"/>
  <c r="G4450" i="2"/>
  <c r="F1473" i="2"/>
  <c r="F1481" i="2"/>
  <c r="G1495" i="2"/>
  <c r="G1543" i="2"/>
  <c r="G1550" i="2"/>
  <c r="F1567" i="2"/>
  <c r="H1581" i="2"/>
  <c r="G1590" i="2"/>
  <c r="G1630" i="2"/>
  <c r="F1643" i="2"/>
  <c r="H1661" i="2"/>
  <c r="G1670" i="2"/>
  <c r="H2848" i="2"/>
  <c r="F2848" i="2"/>
  <c r="H2940" i="2"/>
  <c r="G2940" i="2"/>
  <c r="H2970" i="2"/>
  <c r="H2985" i="2"/>
  <c r="F2985" i="2"/>
  <c r="H3106" i="2"/>
  <c r="H3109" i="2"/>
  <c r="G3146" i="2"/>
  <c r="F3204" i="2"/>
  <c r="G3204" i="2"/>
  <c r="G3226" i="2"/>
  <c r="F3226" i="2"/>
  <c r="H3233" i="2"/>
  <c r="G3233" i="2"/>
  <c r="F3277" i="2"/>
  <c r="H3277" i="2"/>
  <c r="G3277" i="2"/>
  <c r="H3465" i="2"/>
  <c r="G3465" i="2"/>
  <c r="H3493" i="2"/>
  <c r="H3505" i="2"/>
  <c r="F3505" i="2"/>
  <c r="G3529" i="2"/>
  <c r="H3561" i="2"/>
  <c r="F3561" i="2"/>
  <c r="G3666" i="2"/>
  <c r="F3666" i="2"/>
  <c r="F3703" i="2"/>
  <c r="H3703" i="2"/>
  <c r="H3716" i="2"/>
  <c r="F3716" i="2"/>
  <c r="G3746" i="2"/>
  <c r="H3746" i="2"/>
  <c r="F3746" i="2"/>
  <c r="H3756" i="2"/>
  <c r="F3756" i="2"/>
  <c r="G3784" i="2"/>
  <c r="F3784" i="2"/>
  <c r="G3800" i="2"/>
  <c r="F3800" i="2"/>
  <c r="H3812" i="2"/>
  <c r="G3812" i="2"/>
  <c r="F3812" i="2"/>
  <c r="G3858" i="2"/>
  <c r="F3858" i="2"/>
  <c r="H3875" i="2"/>
  <c r="G3875" i="2"/>
  <c r="F3875" i="2"/>
  <c r="F3952" i="2"/>
  <c r="H3952" i="2"/>
  <c r="G3952" i="2"/>
  <c r="H4298" i="2"/>
  <c r="G4298" i="2"/>
  <c r="G4370" i="2"/>
  <c r="H4370" i="2"/>
  <c r="G4374" i="2"/>
  <c r="F4374" i="2"/>
  <c r="G3968" i="2"/>
  <c r="H3968" i="2"/>
  <c r="F3999" i="2"/>
  <c r="H3999" i="2"/>
  <c r="G4086" i="2"/>
  <c r="H4086" i="2"/>
  <c r="F4086" i="2"/>
  <c r="F4093" i="2"/>
  <c r="G4093" i="2"/>
  <c r="F4141" i="2"/>
  <c r="G4141" i="2"/>
  <c r="H4182" i="2"/>
  <c r="F4182" i="2"/>
  <c r="F4245" i="2"/>
  <c r="G4245" i="2"/>
  <c r="H4282" i="2"/>
  <c r="G4282" i="2"/>
  <c r="F4484" i="2"/>
  <c r="G4484" i="2"/>
  <c r="G4540" i="2"/>
  <c r="H4540" i="2"/>
  <c r="G4607" i="2"/>
  <c r="F4607" i="2"/>
  <c r="G4651" i="2"/>
  <c r="F4651" i="2"/>
  <c r="H4775" i="2"/>
  <c r="G4775" i="2"/>
  <c r="G4779" i="2"/>
  <c r="F4779" i="2"/>
  <c r="H4779" i="2"/>
  <c r="H5606" i="2"/>
  <c r="F5606" i="2"/>
  <c r="G3684" i="2"/>
  <c r="H3715" i="2"/>
  <c r="H3747" i="2"/>
  <c r="G3851" i="2"/>
  <c r="F3943" i="2"/>
  <c r="G3943" i="2"/>
  <c r="F3975" i="2"/>
  <c r="G3975" i="2"/>
  <c r="F4037" i="2"/>
  <c r="H4037" i="2"/>
  <c r="H4065" i="2"/>
  <c r="F4065" i="2"/>
  <c r="H4115" i="2"/>
  <c r="F4115" i="2"/>
  <c r="H4250" i="2"/>
  <c r="G4250" i="2"/>
  <c r="F4250" i="2"/>
  <c r="H4402" i="2"/>
  <c r="F4402" i="2"/>
  <c r="G4604" i="2"/>
  <c r="H4604" i="2"/>
  <c r="H4641" i="2"/>
  <c r="F4641" i="2"/>
  <c r="F4750" i="2"/>
  <c r="H4750" i="2"/>
  <c r="G4750" i="2"/>
  <c r="G4753" i="2"/>
  <c r="F4753" i="2"/>
  <c r="H4753" i="2"/>
  <c r="F4861" i="2"/>
  <c r="G4861" i="2"/>
  <c r="H4861" i="2"/>
  <c r="G5295" i="2"/>
  <c r="H5295" i="2"/>
  <c r="H5603" i="2"/>
  <c r="G5603" i="2"/>
  <c r="H5693" i="2"/>
  <c r="F5693" i="2"/>
  <c r="G3026" i="2"/>
  <c r="F3032" i="2"/>
  <c r="G3053" i="2"/>
  <c r="H3056" i="2"/>
  <c r="G3092" i="2"/>
  <c r="H3095" i="2"/>
  <c r="F3113" i="2"/>
  <c r="F3119" i="2"/>
  <c r="F3129" i="2"/>
  <c r="G3156" i="2"/>
  <c r="F3159" i="2"/>
  <c r="F3168" i="2"/>
  <c r="F3170" i="2"/>
  <c r="G3173" i="2"/>
  <c r="F3176" i="2"/>
  <c r="G3178" i="2"/>
  <c r="G3181" i="2"/>
  <c r="F3201" i="2"/>
  <c r="G3229" i="2"/>
  <c r="F3280" i="2"/>
  <c r="G3285" i="2"/>
  <c r="G3305" i="2"/>
  <c r="F3369" i="2"/>
  <c r="F3415" i="2"/>
  <c r="F3463" i="2"/>
  <c r="G3469" i="2"/>
  <c r="F3472" i="2"/>
  <c r="F3496" i="2"/>
  <c r="H3512" i="2"/>
  <c r="G3521" i="2"/>
  <c r="H3533" i="2"/>
  <c r="H3541" i="2"/>
  <c r="F3544" i="2"/>
  <c r="F3569" i="2"/>
  <c r="F3575" i="2"/>
  <c r="F3583" i="2"/>
  <c r="F3625" i="2"/>
  <c r="F3628" i="2"/>
  <c r="F3676" i="2"/>
  <c r="F3722" i="2"/>
  <c r="F3730" i="2"/>
  <c r="F3732" i="2"/>
  <c r="F3754" i="2"/>
  <c r="F3763" i="2"/>
  <c r="F3779" i="2"/>
  <c r="G3815" i="2"/>
  <c r="F3844" i="2"/>
  <c r="G3847" i="2"/>
  <c r="F3859" i="2"/>
  <c r="G3871" i="2"/>
  <c r="F3932" i="2"/>
  <c r="G3935" i="2"/>
  <c r="H3940" i="2"/>
  <c r="F3940" i="2"/>
  <c r="H3943" i="2"/>
  <c r="H3972" i="2"/>
  <c r="F3972" i="2"/>
  <c r="H3975" i="2"/>
  <c r="F3984" i="2"/>
  <c r="G3994" i="2"/>
  <c r="F3994" i="2"/>
  <c r="F4007" i="2"/>
  <c r="G4007" i="2"/>
  <c r="H4012" i="2"/>
  <c r="G4012" i="2"/>
  <c r="G4129" i="2"/>
  <c r="F4129" i="2"/>
  <c r="H4163" i="2"/>
  <c r="F4163" i="2"/>
  <c r="G4198" i="2"/>
  <c r="F4198" i="2"/>
  <c r="F4221" i="2"/>
  <c r="H4221" i="2"/>
  <c r="G4221" i="2"/>
  <c r="G4264" i="2"/>
  <c r="H4264" i="2"/>
  <c r="F4264" i="2"/>
  <c r="G4302" i="2"/>
  <c r="H4302" i="2"/>
  <c r="F4302" i="2"/>
  <c r="G4360" i="2"/>
  <c r="H4360" i="2"/>
  <c r="G4392" i="2"/>
  <c r="H4392" i="2"/>
  <c r="G4402" i="2"/>
  <c r="F4458" i="2"/>
  <c r="H4458" i="2"/>
  <c r="F4465" i="2"/>
  <c r="G4465" i="2"/>
  <c r="G4505" i="2"/>
  <c r="H4505" i="2"/>
  <c r="F4558" i="2"/>
  <c r="H4558" i="2"/>
  <c r="G4558" i="2"/>
  <c r="G4596" i="2"/>
  <c r="H4596" i="2"/>
  <c r="G4625" i="2"/>
  <c r="H4625" i="2"/>
  <c r="G4641" i="2"/>
  <c r="H4724" i="2"/>
  <c r="G4724" i="2"/>
  <c r="G5424" i="2"/>
  <c r="H5424" i="2"/>
  <c r="F5424" i="2"/>
  <c r="H5512" i="2"/>
  <c r="G5512" i="2"/>
  <c r="F5512" i="2"/>
  <c r="F3991" i="2"/>
  <c r="H3991" i="2"/>
  <c r="H4004" i="2"/>
  <c r="F4004" i="2"/>
  <c r="H4038" i="2"/>
  <c r="G4038" i="2"/>
  <c r="G4066" i="2"/>
  <c r="F4066" i="2"/>
  <c r="F4143" i="2"/>
  <c r="H4143" i="2"/>
  <c r="G4143" i="2"/>
  <c r="F4205" i="2"/>
  <c r="H4205" i="2"/>
  <c r="G4240" i="2"/>
  <c r="F4240" i="2"/>
  <c r="H4247" i="2"/>
  <c r="F4247" i="2"/>
  <c r="G4254" i="2"/>
  <c r="H4254" i="2"/>
  <c r="F4254" i="2"/>
  <c r="H4306" i="2"/>
  <c r="G4306" i="2"/>
  <c r="F4306" i="2"/>
  <c r="G4424" i="2"/>
  <c r="H4424" i="2"/>
  <c r="F4659" i="2"/>
  <c r="G4659" i="2"/>
  <c r="G4708" i="2"/>
  <c r="F4708" i="2"/>
  <c r="G4711" i="2"/>
  <c r="H4711" i="2"/>
  <c r="F4711" i="2"/>
  <c r="H4728" i="2"/>
  <c r="F4728" i="2"/>
  <c r="G5049" i="2"/>
  <c r="H5049" i="2"/>
  <c r="H5090" i="2"/>
  <c r="G5090" i="2"/>
  <c r="F5090" i="2"/>
  <c r="F5413" i="2"/>
  <c r="G5413" i="2"/>
  <c r="H5413" i="2"/>
  <c r="H3963" i="2"/>
  <c r="G3963" i="2"/>
  <c r="H3988" i="2"/>
  <c r="G3988" i="2"/>
  <c r="G3991" i="2"/>
  <c r="G4004" i="2"/>
  <c r="F4010" i="2"/>
  <c r="H4066" i="2"/>
  <c r="G4070" i="2"/>
  <c r="F4070" i="2"/>
  <c r="G4110" i="2"/>
  <c r="H4110" i="2"/>
  <c r="F4110" i="2"/>
  <c r="H4137" i="2"/>
  <c r="F4137" i="2"/>
  <c r="F4150" i="2"/>
  <c r="H4150" i="2"/>
  <c r="H4191" i="2"/>
  <c r="G4191" i="2"/>
  <c r="H4218" i="2"/>
  <c r="G4218" i="2"/>
  <c r="H4258" i="2"/>
  <c r="G4258" i="2"/>
  <c r="H4274" i="2"/>
  <c r="G4274" i="2"/>
  <c r="F4274" i="2"/>
  <c r="F4293" i="2"/>
  <c r="H4293" i="2"/>
  <c r="G4300" i="2"/>
  <c r="H4300" i="2"/>
  <c r="F4300" i="2"/>
  <c r="G4368" i="2"/>
  <c r="H4368" i="2"/>
  <c r="F4368" i="2"/>
  <c r="G4372" i="2"/>
  <c r="F4372" i="2"/>
  <c r="G4448" i="2"/>
  <c r="H4448" i="2"/>
  <c r="F4448" i="2"/>
  <c r="G4556" i="2"/>
  <c r="F4556" i="2"/>
  <c r="G4569" i="2"/>
  <c r="F4569" i="2"/>
  <c r="H4705" i="2"/>
  <c r="F4705" i="2"/>
  <c r="H4708" i="2"/>
  <c r="G4715" i="2"/>
  <c r="F4715" i="2"/>
  <c r="G4732" i="2"/>
  <c r="F4732" i="2"/>
  <c r="G5009" i="2"/>
  <c r="F5009" i="2"/>
  <c r="H5009" i="2"/>
  <c r="H5175" i="2"/>
  <c r="F5175" i="2"/>
  <c r="H5183" i="2"/>
  <c r="G5183" i="2"/>
  <c r="F5183" i="2"/>
  <c r="H5214" i="2"/>
  <c r="F5214" i="2"/>
  <c r="G5214" i="2"/>
  <c r="F4060" i="2"/>
  <c r="G4060" i="2"/>
  <c r="H4081" i="2"/>
  <c r="F4081" i="2"/>
  <c r="H4154" i="2"/>
  <c r="F4154" i="2"/>
  <c r="G4206" i="2"/>
  <c r="F4206" i="2"/>
  <c r="F4445" i="2"/>
  <c r="G4445" i="2"/>
  <c r="F4547" i="2"/>
  <c r="G4547" i="2"/>
  <c r="G4609" i="2"/>
  <c r="F4609" i="2"/>
  <c r="G4639" i="2"/>
  <c r="H4639" i="2"/>
  <c r="F4639" i="2"/>
  <c r="G4739" i="2"/>
  <c r="F4739" i="2"/>
  <c r="H4748" i="2"/>
  <c r="F4748" i="2"/>
  <c r="H4755" i="2"/>
  <c r="G4755" i="2"/>
  <c r="F4755" i="2"/>
  <c r="H4983" i="2"/>
  <c r="F4983" i="2"/>
  <c r="G4983" i="2"/>
  <c r="G5130" i="2"/>
  <c r="H5130" i="2"/>
  <c r="H4262" i="2"/>
  <c r="H4270" i="2"/>
  <c r="H4285" i="2"/>
  <c r="G4287" i="2"/>
  <c r="H4489" i="2"/>
  <c r="G4821" i="2"/>
  <c r="H4821" i="2"/>
  <c r="G4863" i="2"/>
  <c r="F4863" i="2"/>
  <c r="F4897" i="2"/>
  <c r="G4897" i="2"/>
  <c r="H4938" i="2"/>
  <c r="F4938" i="2"/>
  <c r="G5105" i="2"/>
  <c r="F5105" i="2"/>
  <c r="H5202" i="2"/>
  <c r="F5202" i="2"/>
  <c r="H5378" i="2"/>
  <c r="F5378" i="2"/>
  <c r="G5378" i="2"/>
  <c r="G5548" i="2"/>
  <c r="F5548" i="2"/>
  <c r="H5548" i="2"/>
  <c r="F5710" i="2"/>
  <c r="H5710" i="2"/>
  <c r="G5710" i="2"/>
  <c r="G5758" i="2"/>
  <c r="H5758" i="2"/>
  <c r="F5780" i="2"/>
  <c r="G5780" i="2"/>
  <c r="H4212" i="2"/>
  <c r="H4320" i="2"/>
  <c r="H4432" i="2"/>
  <c r="H4457" i="2"/>
  <c r="H4463" i="2"/>
  <c r="H4499" i="2"/>
  <c r="H4508" i="2"/>
  <c r="G4531" i="2"/>
  <c r="G4636" i="2"/>
  <c r="G4692" i="2"/>
  <c r="H4731" i="2"/>
  <c r="H4747" i="2"/>
  <c r="H4764" i="2"/>
  <c r="G4767" i="2"/>
  <c r="F4818" i="2"/>
  <c r="G4818" i="2"/>
  <c r="G4855" i="2"/>
  <c r="F4855" i="2"/>
  <c r="H4876" i="2"/>
  <c r="G4876" i="2"/>
  <c r="G4953" i="2"/>
  <c r="H4953" i="2"/>
  <c r="H5023" i="2"/>
  <c r="G5023" i="2"/>
  <c r="F5023" i="2"/>
  <c r="F5410" i="2"/>
  <c r="G5410" i="2"/>
  <c r="H5463" i="2"/>
  <c r="G5463" i="2"/>
  <c r="F5463" i="2"/>
  <c r="F5579" i="2"/>
  <c r="H5579" i="2"/>
  <c r="G5579" i="2"/>
  <c r="F5847" i="2"/>
  <c r="G5847" i="2"/>
  <c r="G4811" i="2"/>
  <c r="H4811" i="2"/>
  <c r="H4879" i="2"/>
  <c r="G4879" i="2"/>
  <c r="H4891" i="2"/>
  <c r="G4891" i="2"/>
  <c r="F4905" i="2"/>
  <c r="H4905" i="2"/>
  <c r="G4905" i="2"/>
  <c r="H4927" i="2"/>
  <c r="F4927" i="2"/>
  <c r="H4946" i="2"/>
  <c r="G4946" i="2"/>
  <c r="H4991" i="2"/>
  <c r="F4991" i="2"/>
  <c r="G5001" i="2"/>
  <c r="H5001" i="2"/>
  <c r="G5017" i="2"/>
  <c r="H5017" i="2"/>
  <c r="F5453" i="2"/>
  <c r="G5453" i="2"/>
  <c r="H5453" i="2"/>
  <c r="G5538" i="2"/>
  <c r="F5538" i="2"/>
  <c r="H5538" i="2"/>
  <c r="G5726" i="2"/>
  <c r="H5726" i="2"/>
  <c r="F5726" i="2"/>
  <c r="F5808" i="2"/>
  <c r="G5808" i="2"/>
  <c r="H4954" i="2"/>
  <c r="F4954" i="2"/>
  <c r="G4961" i="2"/>
  <c r="H4961" i="2"/>
  <c r="G4975" i="2"/>
  <c r="H4975" i="2"/>
  <c r="F4975" i="2"/>
  <c r="G4985" i="2"/>
  <c r="H4985" i="2"/>
  <c r="H5031" i="2"/>
  <c r="F5031" i="2"/>
  <c r="G5031" i="2"/>
  <c r="F5103" i="2"/>
  <c r="H5103" i="2"/>
  <c r="G5103" i="2"/>
  <c r="G5141" i="2"/>
  <c r="H5141" i="2"/>
  <c r="H5169" i="2"/>
  <c r="F5169" i="2"/>
  <c r="H5194" i="2"/>
  <c r="G5194" i="2"/>
  <c r="F5194" i="2"/>
  <c r="H5258" i="2"/>
  <c r="F5258" i="2"/>
  <c r="H5529" i="2"/>
  <c r="F5529" i="2"/>
  <c r="F5716" i="2"/>
  <c r="G5716" i="2"/>
  <c r="G5738" i="2"/>
  <c r="F5738" i="2"/>
  <c r="H5774" i="2"/>
  <c r="G5774" i="2"/>
  <c r="F5774" i="2"/>
  <c r="H4015" i="2"/>
  <c r="H4130" i="2"/>
  <c r="H4146" i="2"/>
  <c r="H4190" i="2"/>
  <c r="H4238" i="2"/>
  <c r="H4252" i="2"/>
  <c r="H4410" i="2"/>
  <c r="H4483" i="2"/>
  <c r="H4535" i="2"/>
  <c r="H4631" i="2"/>
  <c r="G4723" i="2"/>
  <c r="G4777" i="2"/>
  <c r="F4780" i="2"/>
  <c r="F4783" i="2"/>
  <c r="H4790" i="2"/>
  <c r="G4790" i="2"/>
  <c r="G4809" i="2"/>
  <c r="F4809" i="2"/>
  <c r="H4834" i="2"/>
  <c r="G4853" i="2"/>
  <c r="H4853" i="2"/>
  <c r="G4906" i="2"/>
  <c r="F4906" i="2"/>
  <c r="H5159" i="2"/>
  <c r="F5159" i="2"/>
  <c r="G5169" i="2"/>
  <c r="F5241" i="2"/>
  <c r="H5241" i="2"/>
  <c r="G5241" i="2"/>
  <c r="G5352" i="2"/>
  <c r="H5352" i="2"/>
  <c r="F5352" i="2"/>
  <c r="H5358" i="2"/>
  <c r="G5358" i="2"/>
  <c r="F5358" i="2"/>
  <c r="H5526" i="2"/>
  <c r="F5526" i="2"/>
  <c r="G5529" i="2"/>
  <c r="H5601" i="2"/>
  <c r="G5601" i="2"/>
  <c r="F5601" i="2"/>
  <c r="H5716" i="2"/>
  <c r="H5823" i="2"/>
  <c r="F5823" i="2"/>
  <c r="G5823" i="2"/>
  <c r="G4783" i="2"/>
  <c r="G4844" i="2"/>
  <c r="H4844" i="2"/>
  <c r="G4889" i="2"/>
  <c r="H4889" i="2"/>
  <c r="G4962" i="2"/>
  <c r="H4962" i="2"/>
  <c r="G5087" i="2"/>
  <c r="H5087" i="2"/>
  <c r="H5121" i="2"/>
  <c r="G5121" i="2"/>
  <c r="F5121" i="2"/>
  <c r="H5146" i="2"/>
  <c r="G5146" i="2"/>
  <c r="F5146" i="2"/>
  <c r="H5298" i="2"/>
  <c r="G5298" i="2"/>
  <c r="F5298" i="2"/>
  <c r="G5408" i="2"/>
  <c r="H5408" i="2"/>
  <c r="F5408" i="2"/>
  <c r="H5581" i="2"/>
  <c r="F5581" i="2"/>
  <c r="H5668" i="2"/>
  <c r="G5668" i="2"/>
  <c r="F5668" i="2"/>
  <c r="F5884" i="2"/>
  <c r="G5884" i="2"/>
  <c r="H4900" i="2"/>
  <c r="G4924" i="2"/>
  <c r="H4945" i="2"/>
  <c r="G4967" i="2"/>
  <c r="G4994" i="2"/>
  <c r="H5095" i="2"/>
  <c r="H5153" i="2"/>
  <c r="G5436" i="2"/>
  <c r="G5456" i="2"/>
  <c r="F5456" i="2"/>
  <c r="H5545" i="2"/>
  <c r="F5545" i="2"/>
  <c r="H5556" i="2"/>
  <c r="H5618" i="2"/>
  <c r="F5651" i="2"/>
  <c r="H5651" i="2"/>
  <c r="G5660" i="2"/>
  <c r="F5660" i="2"/>
  <c r="G5820" i="2"/>
  <c r="F5820" i="2"/>
  <c r="H5837" i="2"/>
  <c r="F5837" i="2"/>
  <c r="F5309" i="2"/>
  <c r="G5309" i="2"/>
  <c r="G5604" i="2"/>
  <c r="H5604" i="2"/>
  <c r="H5645" i="2"/>
  <c r="F5645" i="2"/>
  <c r="G4993" i="2"/>
  <c r="F5015" i="2"/>
  <c r="H5041" i="2"/>
  <c r="F5050" i="2"/>
  <c r="H5058" i="2"/>
  <c r="G5058" i="2"/>
  <c r="H5109" i="2"/>
  <c r="H5149" i="2"/>
  <c r="H5157" i="2"/>
  <c r="H5173" i="2"/>
  <c r="F5209" i="2"/>
  <c r="H5212" i="2"/>
  <c r="G5239" i="2"/>
  <c r="F5244" i="2"/>
  <c r="G5265" i="2"/>
  <c r="F5278" i="2"/>
  <c r="H5306" i="2"/>
  <c r="F5306" i="2"/>
  <c r="F5394" i="2"/>
  <c r="F5445" i="2"/>
  <c r="G5445" i="2"/>
  <c r="G5469" i="2"/>
  <c r="G5503" i="2"/>
  <c r="F5515" i="2"/>
  <c r="H5515" i="2"/>
  <c r="G5522" i="2"/>
  <c r="F5522" i="2"/>
  <c r="F5555" i="2"/>
  <c r="F5557" i="2"/>
  <c r="F5564" i="2"/>
  <c r="H5592" i="2"/>
  <c r="G5592" i="2"/>
  <c r="F5604" i="2"/>
  <c r="G5645" i="2"/>
  <c r="F5658" i="2"/>
  <c r="F5674" i="2"/>
  <c r="F5729" i="2"/>
  <c r="F5732" i="2"/>
  <c r="G5735" i="2"/>
  <c r="F5745" i="2"/>
  <c r="F5812" i="2"/>
  <c r="F5815" i="2"/>
  <c r="G5824" i="2"/>
  <c r="G5835" i="2"/>
  <c r="F5855" i="2"/>
  <c r="H5904" i="2"/>
  <c r="H5928" i="2"/>
  <c r="F5928" i="2"/>
  <c r="H4902" i="2"/>
  <c r="G4902" i="2"/>
  <c r="G4969" i="2"/>
  <c r="H4969" i="2"/>
  <c r="H4993" i="2"/>
  <c r="F5002" i="2"/>
  <c r="H5026" i="2"/>
  <c r="G5050" i="2"/>
  <c r="F5058" i="2"/>
  <c r="H5189" i="2"/>
  <c r="G5234" i="2"/>
  <c r="H5239" i="2"/>
  <c r="H5265" i="2"/>
  <c r="G5278" i="2"/>
  <c r="H5286" i="2"/>
  <c r="G5286" i="2"/>
  <c r="F5293" i="2"/>
  <c r="G5293" i="2"/>
  <c r="G5306" i="2"/>
  <c r="H5344" i="2"/>
  <c r="G5356" i="2"/>
  <c r="G5418" i="2"/>
  <c r="H5435" i="2"/>
  <c r="G5435" i="2"/>
  <c r="H5445" i="2"/>
  <c r="H5469" i="2"/>
  <c r="H5503" i="2"/>
  <c r="H5555" i="2"/>
  <c r="G5557" i="2"/>
  <c r="G5564" i="2"/>
  <c r="H5649" i="2"/>
  <c r="H5658" i="2"/>
  <c r="G5729" i="2"/>
  <c r="H5732" i="2"/>
  <c r="F5753" i="2"/>
  <c r="G5753" i="2"/>
  <c r="G5812" i="2"/>
  <c r="G5815" i="2"/>
  <c r="H5835" i="2"/>
  <c r="G5842" i="2"/>
  <c r="F5842" i="2"/>
  <c r="F5858" i="2"/>
  <c r="G5858" i="2"/>
  <c r="H5894" i="2"/>
  <c r="F5925" i="2"/>
  <c r="G5925" i="2"/>
  <c r="G5928" i="2"/>
  <c r="G5042" i="2"/>
  <c r="H5042" i="2"/>
  <c r="H5186" i="2"/>
  <c r="F5186" i="2"/>
  <c r="G5415" i="2"/>
  <c r="H5415" i="2"/>
  <c r="F5489" i="2"/>
  <c r="H5489" i="2"/>
  <c r="F5583" i="2"/>
  <c r="G5583" i="2"/>
  <c r="G5722" i="2"/>
  <c r="H5722" i="2"/>
  <c r="H5724" i="2"/>
  <c r="G5724" i="2"/>
  <c r="F5839" i="2"/>
  <c r="G5839" i="2"/>
  <c r="H5898" i="2"/>
  <c r="F5898" i="2"/>
  <c r="F5939" i="2"/>
  <c r="H5939" i="2"/>
  <c r="H4951" i="2"/>
  <c r="G4951" i="2"/>
  <c r="H5013" i="2"/>
  <c r="H5065" i="2"/>
  <c r="F5071" i="2"/>
  <c r="H5125" i="2"/>
  <c r="F5135" i="2"/>
  <c r="F5242" i="2"/>
  <c r="G5245" i="2"/>
  <c r="G5322" i="2"/>
  <c r="G5325" i="2"/>
  <c r="G5388" i="2"/>
  <c r="G5395" i="2"/>
  <c r="G5464" i="2"/>
  <c r="H5464" i="2"/>
  <c r="G5467" i="2"/>
  <c r="G5489" i="2"/>
  <c r="G5534" i="2"/>
  <c r="H5583" i="2"/>
  <c r="F5596" i="2"/>
  <c r="F5612" i="2"/>
  <c r="F5653" i="2"/>
  <c r="H5656" i="2"/>
  <c r="H5675" i="2"/>
  <c r="F5722" i="2"/>
  <c r="F5771" i="2"/>
  <c r="F5773" i="2"/>
  <c r="G5791" i="2"/>
  <c r="H5800" i="2"/>
  <c r="H5810" i="2"/>
  <c r="G5856" i="2"/>
  <c r="G5888" i="2"/>
  <c r="G5898" i="2"/>
  <c r="G5936" i="2"/>
  <c r="F5936" i="2"/>
  <c r="F5950" i="2"/>
  <c r="F5992" i="2"/>
  <c r="F5948" i="2"/>
  <c r="H5950" i="2"/>
  <c r="F5974" i="2"/>
  <c r="F5989" i="2"/>
  <c r="G5992" i="2"/>
  <c r="G5948" i="2"/>
  <c r="F5964" i="2"/>
  <c r="F5972" i="2"/>
  <c r="G5996" i="2"/>
  <c r="G5961" i="2"/>
  <c r="G5964" i="2"/>
  <c r="G5972" i="2"/>
  <c r="H5996" i="2"/>
  <c r="G5955" i="2"/>
  <c r="F5970" i="2"/>
  <c r="H5987" i="2"/>
  <c r="H5943" i="2"/>
  <c r="G5959" i="2"/>
  <c r="G5965" i="2"/>
  <c r="H5978" i="2"/>
  <c r="F5985" i="2"/>
  <c r="H63" i="2"/>
  <c r="F63" i="2"/>
  <c r="G63" i="2"/>
  <c r="H95" i="2"/>
  <c r="G95" i="2"/>
  <c r="F95" i="2"/>
  <c r="F127" i="2"/>
  <c r="H127" i="2"/>
  <c r="G127" i="2"/>
  <c r="G182" i="2"/>
  <c r="H182" i="2"/>
  <c r="F182" i="2"/>
  <c r="F233" i="2"/>
  <c r="G233" i="2"/>
  <c r="H233" i="2"/>
  <c r="G278" i="2"/>
  <c r="H278" i="2"/>
  <c r="F278" i="2"/>
  <c r="G293" i="2"/>
  <c r="H293" i="2"/>
  <c r="F293" i="2"/>
  <c r="G309" i="2"/>
  <c r="H309" i="2"/>
  <c r="F309" i="2"/>
  <c r="G325" i="2"/>
  <c r="F325" i="2"/>
  <c r="H325" i="2"/>
  <c r="G655" i="2"/>
  <c r="H655" i="2"/>
  <c r="G687" i="2"/>
  <c r="H687" i="2"/>
  <c r="G262" i="2"/>
  <c r="F262" i="2"/>
  <c r="H262" i="2"/>
  <c r="G679" i="2"/>
  <c r="H679" i="2"/>
  <c r="H15" i="2"/>
  <c r="G15" i="2"/>
  <c r="F169" i="2"/>
  <c r="H169" i="2"/>
  <c r="G169" i="2"/>
  <c r="H249" i="2"/>
  <c r="G249" i="2"/>
  <c r="F249" i="2"/>
  <c r="G341" i="2"/>
  <c r="H341" i="2"/>
  <c r="F341" i="2"/>
  <c r="G409" i="2"/>
  <c r="H409" i="2"/>
  <c r="F409" i="2"/>
  <c r="G490" i="2"/>
  <c r="H490" i="2"/>
  <c r="F490" i="2"/>
  <c r="G554" i="2"/>
  <c r="H554" i="2"/>
  <c r="F554" i="2"/>
  <c r="H719" i="2"/>
  <c r="G719" i="2"/>
  <c r="F719" i="2"/>
  <c r="H481" i="2"/>
  <c r="G481" i="2"/>
  <c r="F481" i="2"/>
  <c r="G516" i="2"/>
  <c r="H516" i="2"/>
  <c r="F516" i="2"/>
  <c r="G198" i="2"/>
  <c r="H198" i="2"/>
  <c r="F198" i="2"/>
  <c r="F265" i="2"/>
  <c r="H265" i="2"/>
  <c r="G265" i="2"/>
  <c r="G357" i="2"/>
  <c r="F357" i="2"/>
  <c r="H357" i="2"/>
  <c r="G452" i="2"/>
  <c r="H452" i="2"/>
  <c r="F452" i="2"/>
  <c r="G519" i="2"/>
  <c r="H519" i="2"/>
  <c r="F519" i="2"/>
  <c r="G594" i="2"/>
  <c r="H594" i="2"/>
  <c r="F594" i="2"/>
  <c r="G623" i="2"/>
  <c r="H623" i="2"/>
  <c r="F623" i="2"/>
  <c r="G591" i="2"/>
  <c r="H591" i="2"/>
  <c r="F591" i="2"/>
  <c r="H47" i="2"/>
  <c r="G47" i="2"/>
  <c r="H185" i="2"/>
  <c r="G185" i="2"/>
  <c r="F185" i="2"/>
  <c r="H281" i="2"/>
  <c r="G281" i="2"/>
  <c r="F281" i="2"/>
  <c r="F287" i="2"/>
  <c r="G287" i="2"/>
  <c r="H287" i="2"/>
  <c r="F296" i="2"/>
  <c r="G296" i="2"/>
  <c r="H296" i="2"/>
  <c r="F312" i="2"/>
  <c r="H312" i="2"/>
  <c r="G312" i="2"/>
  <c r="F328" i="2"/>
  <c r="H328" i="2"/>
  <c r="G328" i="2"/>
  <c r="G373" i="2"/>
  <c r="F373" i="2"/>
  <c r="H373" i="2"/>
  <c r="G484" i="2"/>
  <c r="H484" i="2"/>
  <c r="F484" i="2"/>
  <c r="H513" i="2"/>
  <c r="G513" i="2"/>
  <c r="F513" i="2"/>
  <c r="G548" i="2"/>
  <c r="H548" i="2"/>
  <c r="F548" i="2"/>
  <c r="H588" i="2"/>
  <c r="G588" i="2"/>
  <c r="F588" i="2"/>
  <c r="G629" i="2"/>
  <c r="H629" i="2"/>
  <c r="F629" i="2"/>
  <c r="G458" i="2"/>
  <c r="H458" i="2"/>
  <c r="F458" i="2"/>
  <c r="F47" i="2"/>
  <c r="F79" i="2"/>
  <c r="H79" i="2"/>
  <c r="G79" i="2"/>
  <c r="H111" i="2"/>
  <c r="G111" i="2"/>
  <c r="F111" i="2"/>
  <c r="G214" i="2"/>
  <c r="F214" i="2"/>
  <c r="H214" i="2"/>
  <c r="H344" i="2"/>
  <c r="F344" i="2"/>
  <c r="G344" i="2"/>
  <c r="G412" i="2"/>
  <c r="F412" i="2"/>
  <c r="H412" i="2"/>
  <c r="H668" i="2"/>
  <c r="G668" i="2"/>
  <c r="F668" i="2"/>
  <c r="H676" i="2"/>
  <c r="G676" i="2"/>
  <c r="F676" i="2"/>
  <c r="H751" i="2"/>
  <c r="G751" i="2"/>
  <c r="F751" i="2"/>
  <c r="H545" i="2"/>
  <c r="G545" i="2"/>
  <c r="F545" i="2"/>
  <c r="H153" i="2"/>
  <c r="G153" i="2"/>
  <c r="F153" i="2"/>
  <c r="F201" i="2"/>
  <c r="H201" i="2"/>
  <c r="G201" i="2"/>
  <c r="G230" i="2"/>
  <c r="F230" i="2"/>
  <c r="H230" i="2"/>
  <c r="F360" i="2"/>
  <c r="H360" i="2"/>
  <c r="G360" i="2"/>
  <c r="G455" i="2"/>
  <c r="H455" i="2"/>
  <c r="F455" i="2"/>
  <c r="G522" i="2"/>
  <c r="H522" i="2"/>
  <c r="F522" i="2"/>
  <c r="G597" i="2"/>
  <c r="H597" i="2"/>
  <c r="F597" i="2"/>
  <c r="H660" i="2"/>
  <c r="G660" i="2"/>
  <c r="F660" i="2"/>
  <c r="H684" i="2"/>
  <c r="G684" i="2"/>
  <c r="F684" i="2"/>
  <c r="G744" i="2"/>
  <c r="H744" i="2"/>
  <c r="F744" i="2"/>
  <c r="F217" i="2"/>
  <c r="H217" i="2"/>
  <c r="G217" i="2"/>
  <c r="H620" i="2"/>
  <c r="G620" i="2"/>
  <c r="F620" i="2"/>
  <c r="G663" i="2"/>
  <c r="H663" i="2"/>
  <c r="H31" i="2"/>
  <c r="G31" i="2"/>
  <c r="G246" i="2"/>
  <c r="H246" i="2"/>
  <c r="F246" i="2"/>
  <c r="F376" i="2"/>
  <c r="H376" i="2"/>
  <c r="G376" i="2"/>
  <c r="H406" i="2"/>
  <c r="G406" i="2"/>
  <c r="F406" i="2"/>
  <c r="G415" i="2"/>
  <c r="F415" i="2"/>
  <c r="H415" i="2"/>
  <c r="H449" i="2"/>
  <c r="G449" i="2"/>
  <c r="F449" i="2"/>
  <c r="G487" i="2"/>
  <c r="H487" i="2"/>
  <c r="F487" i="2"/>
  <c r="G551" i="2"/>
  <c r="H551" i="2"/>
  <c r="F551" i="2"/>
  <c r="G626" i="2"/>
  <c r="H626" i="2"/>
  <c r="F626" i="2"/>
  <c r="H652" i="2"/>
  <c r="G652" i="2"/>
  <c r="F652" i="2"/>
  <c r="G671" i="2"/>
  <c r="H671" i="2"/>
  <c r="H692" i="2"/>
  <c r="G692" i="2"/>
  <c r="F692" i="2"/>
  <c r="G749" i="2"/>
  <c r="H749" i="2"/>
  <c r="F749" i="2"/>
  <c r="G756" i="2"/>
  <c r="H756" i="2"/>
  <c r="F756" i="2"/>
  <c r="H794" i="2"/>
  <c r="G794" i="2"/>
  <c r="H877" i="2"/>
  <c r="G877" i="2"/>
  <c r="G915" i="2"/>
  <c r="F915" i="2"/>
  <c r="G919" i="2"/>
  <c r="F919" i="2"/>
  <c r="H951" i="2"/>
  <c r="G951" i="2"/>
  <c r="G1225" i="2"/>
  <c r="F1225" i="2"/>
  <c r="H1225" i="2"/>
  <c r="H1508" i="2"/>
  <c r="G1508" i="2"/>
  <c r="H1874" i="2"/>
  <c r="G1874" i="2"/>
  <c r="F1874" i="2"/>
  <c r="G1943" i="2"/>
  <c r="F1943" i="2"/>
  <c r="H1994" i="2"/>
  <c r="G1994" i="2"/>
  <c r="F1994" i="2"/>
  <c r="G2210" i="2"/>
  <c r="H2210" i="2"/>
  <c r="H2782" i="2"/>
  <c r="G2782" i="2"/>
  <c r="F2782" i="2"/>
  <c r="G2786" i="2"/>
  <c r="H2786" i="2"/>
  <c r="F2809" i="2"/>
  <c r="H2809" i="2"/>
  <c r="G2809" i="2"/>
  <c r="H2852" i="2"/>
  <c r="G2852" i="2"/>
  <c r="F2852" i="2"/>
  <c r="H2992" i="2"/>
  <c r="G2992" i="2"/>
  <c r="F2992" i="2"/>
  <c r="F3021" i="2"/>
  <c r="H3021" i="2"/>
  <c r="G3021" i="2"/>
  <c r="H3050" i="2"/>
  <c r="G3050" i="2"/>
  <c r="F3050" i="2"/>
  <c r="H3105" i="2"/>
  <c r="G3105" i="2"/>
  <c r="F3105" i="2"/>
  <c r="G3127" i="2"/>
  <c r="H3127" i="2"/>
  <c r="F3127" i="2"/>
  <c r="G3295" i="2"/>
  <c r="H3295" i="2"/>
  <c r="F3295" i="2"/>
  <c r="F3309" i="2"/>
  <c r="H3309" i="2"/>
  <c r="G3309" i="2"/>
  <c r="H3330" i="2"/>
  <c r="G3330" i="2"/>
  <c r="F3330" i="2"/>
  <c r="H3519" i="2"/>
  <c r="G3519" i="2"/>
  <c r="F3519" i="2"/>
  <c r="H3610" i="2"/>
  <c r="G3610" i="2"/>
  <c r="F3610" i="2"/>
  <c r="G3842" i="2"/>
  <c r="H3842" i="2"/>
  <c r="F3842" i="2"/>
  <c r="H3923" i="2"/>
  <c r="G3923" i="2"/>
  <c r="F3959" i="2"/>
  <c r="H3959" i="2"/>
  <c r="G3959" i="2"/>
  <c r="H4019" i="2"/>
  <c r="G4019" i="2"/>
  <c r="G4040" i="2"/>
  <c r="H4040" i="2"/>
  <c r="F4040" i="2"/>
  <c r="H4089" i="2"/>
  <c r="G4089" i="2"/>
  <c r="F4089" i="2"/>
  <c r="F4165" i="2"/>
  <c r="H4165" i="2"/>
  <c r="G4292" i="2"/>
  <c r="H4292" i="2"/>
  <c r="G4382" i="2"/>
  <c r="H4382" i="2"/>
  <c r="F4382" i="2"/>
  <c r="H4595" i="2"/>
  <c r="G4595" i="2"/>
  <c r="F4595" i="2"/>
  <c r="H5379" i="2"/>
  <c r="G5379" i="2"/>
  <c r="H5701" i="2"/>
  <c r="G5701" i="2"/>
  <c r="H5768" i="2"/>
  <c r="G5768" i="2"/>
  <c r="F5768" i="2"/>
  <c r="F5899" i="2"/>
  <c r="H5899" i="2"/>
  <c r="G5899" i="2"/>
  <c r="H5932" i="2"/>
  <c r="G5932" i="2"/>
  <c r="F5932" i="2"/>
  <c r="G632" i="2"/>
  <c r="H635" i="2"/>
  <c r="H638" i="2"/>
  <c r="H641" i="2"/>
  <c r="H658" i="2"/>
  <c r="H666" i="2"/>
  <c r="H700" i="2"/>
  <c r="H767" i="2"/>
  <c r="H784" i="2"/>
  <c r="G789" i="2"/>
  <c r="H789" i="2"/>
  <c r="H792" i="2"/>
  <c r="F794" i="2"/>
  <c r="F800" i="2"/>
  <c r="F803" i="2"/>
  <c r="F808" i="2"/>
  <c r="G812" i="2"/>
  <c r="F812" i="2"/>
  <c r="G837" i="2"/>
  <c r="F837" i="2"/>
  <c r="G855" i="2"/>
  <c r="H855" i="2"/>
  <c r="F855" i="2"/>
  <c r="G872" i="2"/>
  <c r="H872" i="2"/>
  <c r="F877" i="2"/>
  <c r="G888" i="2"/>
  <c r="H888" i="2"/>
  <c r="H895" i="2"/>
  <c r="H915" i="2"/>
  <c r="H919" i="2"/>
  <c r="H923" i="2"/>
  <c r="G923" i="2"/>
  <c r="G929" i="2"/>
  <c r="F929" i="2"/>
  <c r="G939" i="2"/>
  <c r="F939" i="2"/>
  <c r="G945" i="2"/>
  <c r="F945" i="2"/>
  <c r="F951" i="2"/>
  <c r="G988" i="2"/>
  <c r="F988" i="2"/>
  <c r="H1065" i="2"/>
  <c r="G1065" i="2"/>
  <c r="F1065" i="2"/>
  <c r="H1435" i="2"/>
  <c r="G1435" i="2"/>
  <c r="F1435" i="2"/>
  <c r="H1818" i="2"/>
  <c r="G1818" i="2"/>
  <c r="F1818" i="2"/>
  <c r="F204" i="2"/>
  <c r="F220" i="2"/>
  <c r="F223" i="2"/>
  <c r="F236" i="2"/>
  <c r="F239" i="2"/>
  <c r="F268" i="2"/>
  <c r="F284" i="2"/>
  <c r="F299" i="2"/>
  <c r="F302" i="2"/>
  <c r="F315" i="2"/>
  <c r="F318" i="2"/>
  <c r="F331" i="2"/>
  <c r="F334" i="2"/>
  <c r="F347" i="2"/>
  <c r="F350" i="2"/>
  <c r="F363" i="2"/>
  <c r="F366" i="2"/>
  <c r="F379" i="2"/>
  <c r="F382" i="2"/>
  <c r="F394" i="2"/>
  <c r="F397" i="2"/>
  <c r="F400" i="2"/>
  <c r="F403" i="2"/>
  <c r="F426" i="2"/>
  <c r="F437" i="2"/>
  <c r="F440" i="2"/>
  <c r="F443" i="2"/>
  <c r="F446" i="2"/>
  <c r="F469" i="2"/>
  <c r="F472" i="2"/>
  <c r="F475" i="2"/>
  <c r="F478" i="2"/>
  <c r="F501" i="2"/>
  <c r="F504" i="2"/>
  <c r="F507" i="2"/>
  <c r="F510" i="2"/>
  <c r="F533" i="2"/>
  <c r="F536" i="2"/>
  <c r="F539" i="2"/>
  <c r="F542" i="2"/>
  <c r="F565" i="2"/>
  <c r="F568" i="2"/>
  <c r="F571" i="2"/>
  <c r="F576" i="2"/>
  <c r="F579" i="2"/>
  <c r="F582" i="2"/>
  <c r="F585" i="2"/>
  <c r="F608" i="2"/>
  <c r="F611" i="2"/>
  <c r="F614" i="2"/>
  <c r="F617" i="2"/>
  <c r="F640" i="2"/>
  <c r="F643" i="2"/>
  <c r="F646" i="2"/>
  <c r="F649" i="2"/>
  <c r="F697" i="2"/>
  <c r="F702" i="2"/>
  <c r="F704" i="2"/>
  <c r="F724" i="2"/>
  <c r="F729" i="2"/>
  <c r="F731" i="2"/>
  <c r="F760" i="2"/>
  <c r="F789" i="2"/>
  <c r="G800" i="2"/>
  <c r="H803" i="2"/>
  <c r="G808" i="2"/>
  <c r="H810" i="2"/>
  <c r="G810" i="2"/>
  <c r="H812" i="2"/>
  <c r="F822" i="2"/>
  <c r="H837" i="2"/>
  <c r="F850" i="2"/>
  <c r="F859" i="2"/>
  <c r="F861" i="2"/>
  <c r="G865" i="2"/>
  <c r="F865" i="2"/>
  <c r="G874" i="2"/>
  <c r="H874" i="2"/>
  <c r="F881" i="2"/>
  <c r="G892" i="2"/>
  <c r="F892" i="2"/>
  <c r="F923" i="2"/>
  <c r="H927" i="2"/>
  <c r="G927" i="2"/>
  <c r="H929" i="2"/>
  <c r="G933" i="2"/>
  <c r="F933" i="2"/>
  <c r="H937" i="2"/>
  <c r="G937" i="2"/>
  <c r="H939" i="2"/>
  <c r="H945" i="2"/>
  <c r="H976" i="2"/>
  <c r="G976" i="2"/>
  <c r="F976" i="2"/>
  <c r="G980" i="2"/>
  <c r="F980" i="2"/>
  <c r="H988" i="2"/>
  <c r="H1000" i="2"/>
  <c r="G1000" i="2"/>
  <c r="F1000" i="2"/>
  <c r="H1022" i="2"/>
  <c r="F1022" i="2"/>
  <c r="H1147" i="2"/>
  <c r="F1147" i="2"/>
  <c r="G1147" i="2"/>
  <c r="G1309" i="2"/>
  <c r="F1309" i="2"/>
  <c r="H1309" i="2"/>
  <c r="H1421" i="2"/>
  <c r="G1421" i="2"/>
  <c r="F1421" i="2"/>
  <c r="H1563" i="2"/>
  <c r="G1563" i="2"/>
  <c r="F1563" i="2"/>
  <c r="F172" i="2"/>
  <c r="F175" i="2"/>
  <c r="F188" i="2"/>
  <c r="F191" i="2"/>
  <c r="F207" i="2"/>
  <c r="F255" i="2"/>
  <c r="F271" i="2"/>
  <c r="F11" i="2"/>
  <c r="F45" i="2"/>
  <c r="F59" i="2"/>
  <c r="F77" i="2"/>
  <c r="F93" i="2"/>
  <c r="F109" i="2"/>
  <c r="F123" i="2"/>
  <c r="F141" i="2"/>
  <c r="F151" i="2"/>
  <c r="F165" i="2"/>
  <c r="H172" i="2"/>
  <c r="F178" i="2"/>
  <c r="F181" i="2"/>
  <c r="H188" i="2"/>
  <c r="G191" i="2"/>
  <c r="F197" i="2"/>
  <c r="G207" i="2"/>
  <c r="F210" i="2"/>
  <c r="F213" i="2"/>
  <c r="H220" i="2"/>
  <c r="G223" i="2"/>
  <c r="F226" i="2"/>
  <c r="F229" i="2"/>
  <c r="H236" i="2"/>
  <c r="G239" i="2"/>
  <c r="F242" i="2"/>
  <c r="F245" i="2"/>
  <c r="H252" i="2"/>
  <c r="G255" i="2"/>
  <c r="F258" i="2"/>
  <c r="F261" i="2"/>
  <c r="H268" i="2"/>
  <c r="G271" i="2"/>
  <c r="F274" i="2"/>
  <c r="F277" i="2"/>
  <c r="H284" i="2"/>
  <c r="F289" i="2"/>
  <c r="F292" i="2"/>
  <c r="H299" i="2"/>
  <c r="G302" i="2"/>
  <c r="F305" i="2"/>
  <c r="F308" i="2"/>
  <c r="H315" i="2"/>
  <c r="G318" i="2"/>
  <c r="F321" i="2"/>
  <c r="F324" i="2"/>
  <c r="H331" i="2"/>
  <c r="G334" i="2"/>
  <c r="F337" i="2"/>
  <c r="F340" i="2"/>
  <c r="H347" i="2"/>
  <c r="G350" i="2"/>
  <c r="F353" i="2"/>
  <c r="F356" i="2"/>
  <c r="H363" i="2"/>
  <c r="G366" i="2"/>
  <c r="F369" i="2"/>
  <c r="F372" i="2"/>
  <c r="H379" i="2"/>
  <c r="G382" i="2"/>
  <c r="F385" i="2"/>
  <c r="F388" i="2"/>
  <c r="F391" i="2"/>
  <c r="G394" i="2"/>
  <c r="H397" i="2"/>
  <c r="H400" i="2"/>
  <c r="H403" i="2"/>
  <c r="F414" i="2"/>
  <c r="F417" i="2"/>
  <c r="F420" i="2"/>
  <c r="F423" i="2"/>
  <c r="G426" i="2"/>
  <c r="F434" i="2"/>
  <c r="G437" i="2"/>
  <c r="H440" i="2"/>
  <c r="H443" i="2"/>
  <c r="H446" i="2"/>
  <c r="F457" i="2"/>
  <c r="F460" i="2"/>
  <c r="F463" i="2"/>
  <c r="F466" i="2"/>
  <c r="G469" i="2"/>
  <c r="H472" i="2"/>
  <c r="H475" i="2"/>
  <c r="H478" i="2"/>
  <c r="G501" i="2"/>
  <c r="H504" i="2"/>
  <c r="H507" i="2"/>
  <c r="H510" i="2"/>
  <c r="G533" i="2"/>
  <c r="H536" i="2"/>
  <c r="H539" i="2"/>
  <c r="H542" i="2"/>
  <c r="G565" i="2"/>
  <c r="H568" i="2"/>
  <c r="H571" i="2"/>
  <c r="G576" i="2"/>
  <c r="H579" i="2"/>
  <c r="H582" i="2"/>
  <c r="H585" i="2"/>
  <c r="G608" i="2"/>
  <c r="H611" i="2"/>
  <c r="H697" i="2"/>
  <c r="H702" i="2"/>
  <c r="G704" i="2"/>
  <c r="H724" i="2"/>
  <c r="H729" i="2"/>
  <c r="G731" i="2"/>
  <c r="G805" i="2"/>
  <c r="H805" i="2"/>
  <c r="H830" i="2"/>
  <c r="G830" i="2"/>
  <c r="G847" i="2"/>
  <c r="H847" i="2"/>
  <c r="H852" i="2"/>
  <c r="G852" i="2"/>
  <c r="H863" i="2"/>
  <c r="G863" i="2"/>
  <c r="G881" i="2"/>
  <c r="H885" i="2"/>
  <c r="G885" i="2"/>
  <c r="G910" i="2"/>
  <c r="H910" i="2"/>
  <c r="H966" i="2"/>
  <c r="G966" i="2"/>
  <c r="F966" i="2"/>
  <c r="H980" i="2"/>
  <c r="H982" i="2"/>
  <c r="G982" i="2"/>
  <c r="F982" i="2"/>
  <c r="F1020" i="2"/>
  <c r="H1020" i="2"/>
  <c r="G1083" i="2"/>
  <c r="H1083" i="2"/>
  <c r="F1083" i="2"/>
  <c r="G1115" i="2"/>
  <c r="H1115" i="2"/>
  <c r="F1115" i="2"/>
  <c r="G1139" i="2"/>
  <c r="H1139" i="2"/>
  <c r="F1139" i="2"/>
  <c r="G1387" i="2"/>
  <c r="H1387" i="2"/>
  <c r="F1387" i="2"/>
  <c r="H1721" i="2"/>
  <c r="G1721" i="2"/>
  <c r="F1721" i="2"/>
  <c r="F252" i="2"/>
  <c r="F13" i="2"/>
  <c r="F27" i="2"/>
  <c r="F29" i="2"/>
  <c r="F43" i="2"/>
  <c r="F61" i="2"/>
  <c r="F75" i="2"/>
  <c r="F91" i="2"/>
  <c r="F107" i="2"/>
  <c r="F125" i="2"/>
  <c r="F139" i="2"/>
  <c r="F149" i="2"/>
  <c r="F167" i="2"/>
  <c r="G175" i="2"/>
  <c r="F194" i="2"/>
  <c r="H204" i="2"/>
  <c r="G2" i="2"/>
  <c r="G4" i="2"/>
  <c r="F9" i="2"/>
  <c r="H13" i="2"/>
  <c r="G18" i="2"/>
  <c r="G20" i="2"/>
  <c r="F25" i="2"/>
  <c r="H29" i="2"/>
  <c r="G34" i="2"/>
  <c r="G36" i="2"/>
  <c r="F41" i="2"/>
  <c r="H45" i="2"/>
  <c r="G50" i="2"/>
  <c r="G52" i="2"/>
  <c r="F57" i="2"/>
  <c r="H61" i="2"/>
  <c r="G66" i="2"/>
  <c r="G68" i="2"/>
  <c r="F73" i="2"/>
  <c r="H77" i="2"/>
  <c r="G82" i="2"/>
  <c r="G84" i="2"/>
  <c r="F89" i="2"/>
  <c r="H93" i="2"/>
  <c r="G98" i="2"/>
  <c r="G100" i="2"/>
  <c r="F105" i="2"/>
  <c r="H109" i="2"/>
  <c r="G114" i="2"/>
  <c r="G116" i="2"/>
  <c r="F121" i="2"/>
  <c r="H125" i="2"/>
  <c r="G130" i="2"/>
  <c r="G132" i="2"/>
  <c r="F137" i="2"/>
  <c r="H141" i="2"/>
  <c r="F147" i="2"/>
  <c r="H151" i="2"/>
  <c r="G156" i="2"/>
  <c r="G158" i="2"/>
  <c r="F163" i="2"/>
  <c r="H167" i="2"/>
  <c r="H178" i="2"/>
  <c r="F184" i="2"/>
  <c r="H194" i="2"/>
  <c r="F200" i="2"/>
  <c r="H210" i="2"/>
  <c r="F216" i="2"/>
  <c r="H226" i="2"/>
  <c r="G229" i="2"/>
  <c r="F232" i="2"/>
  <c r="H242" i="2"/>
  <c r="G245" i="2"/>
  <c r="F248" i="2"/>
  <c r="H258" i="2"/>
  <c r="G261" i="2"/>
  <c r="F264" i="2"/>
  <c r="H274" i="2"/>
  <c r="G277" i="2"/>
  <c r="F280" i="2"/>
  <c r="H289" i="2"/>
  <c r="G292" i="2"/>
  <c r="F295" i="2"/>
  <c r="F298" i="2"/>
  <c r="H305" i="2"/>
  <c r="G308" i="2"/>
  <c r="F311" i="2"/>
  <c r="F314" i="2"/>
  <c r="H321" i="2"/>
  <c r="G324" i="2"/>
  <c r="F327" i="2"/>
  <c r="F330" i="2"/>
  <c r="H337" i="2"/>
  <c r="F343" i="2"/>
  <c r="F346" i="2"/>
  <c r="H353" i="2"/>
  <c r="F359" i="2"/>
  <c r="F362" i="2"/>
  <c r="H369" i="2"/>
  <c r="F375" i="2"/>
  <c r="F378" i="2"/>
  <c r="H385" i="2"/>
  <c r="H388" i="2"/>
  <c r="H391" i="2"/>
  <c r="F402" i="2"/>
  <c r="F405" i="2"/>
  <c r="F408" i="2"/>
  <c r="F411" i="2"/>
  <c r="H417" i="2"/>
  <c r="H420" i="2"/>
  <c r="H423" i="2"/>
  <c r="H434" i="2"/>
  <c r="F445" i="2"/>
  <c r="F448" i="2"/>
  <c r="F451" i="2"/>
  <c r="F454" i="2"/>
  <c r="H460" i="2"/>
  <c r="H463" i="2"/>
  <c r="H466" i="2"/>
  <c r="F477" i="2"/>
  <c r="F480" i="2"/>
  <c r="F483" i="2"/>
  <c r="F486" i="2"/>
  <c r="H492" i="2"/>
  <c r="H495" i="2"/>
  <c r="H498" i="2"/>
  <c r="F509" i="2"/>
  <c r="F512" i="2"/>
  <c r="F515" i="2"/>
  <c r="F518" i="2"/>
  <c r="H524" i="2"/>
  <c r="H527" i="2"/>
  <c r="H530" i="2"/>
  <c r="F541" i="2"/>
  <c r="F544" i="2"/>
  <c r="F547" i="2"/>
  <c r="F550" i="2"/>
  <c r="H556" i="2"/>
  <c r="H559" i="2"/>
  <c r="H562" i="2"/>
  <c r="F587" i="2"/>
  <c r="F590" i="2"/>
  <c r="F593" i="2"/>
  <c r="H599" i="2"/>
  <c r="H602" i="2"/>
  <c r="H605" i="2"/>
  <c r="F616" i="2"/>
  <c r="F619" i="2"/>
  <c r="F622" i="2"/>
  <c r="F625" i="2"/>
  <c r="H631" i="2"/>
  <c r="H634" i="2"/>
  <c r="H637" i="2"/>
  <c r="F648" i="2"/>
  <c r="F651" i="2"/>
  <c r="F654" i="2"/>
  <c r="H657" i="2"/>
  <c r="F662" i="2"/>
  <c r="H665" i="2"/>
  <c r="F670" i="2"/>
  <c r="H673" i="2"/>
  <c r="F678" i="2"/>
  <c r="H681" i="2"/>
  <c r="F686" i="2"/>
  <c r="H689" i="2"/>
  <c r="F694" i="2"/>
  <c r="H709" i="2"/>
  <c r="H714" i="2"/>
  <c r="F721" i="2"/>
  <c r="H736" i="2"/>
  <c r="H741" i="2"/>
  <c r="F748" i="2"/>
  <c r="H753" i="2"/>
  <c r="H762" i="2"/>
  <c r="H764" i="2"/>
  <c r="F802" i="2"/>
  <c r="F805" i="2"/>
  <c r="H819" i="2"/>
  <c r="G826" i="2"/>
  <c r="F830" i="2"/>
  <c r="F834" i="2"/>
  <c r="F847" i="2"/>
  <c r="F852" i="2"/>
  <c r="F863" i="2"/>
  <c r="F867" i="2"/>
  <c r="F869" i="2"/>
  <c r="G878" i="2"/>
  <c r="F878" i="2"/>
  <c r="F885" i="2"/>
  <c r="G894" i="2"/>
  <c r="H894" i="2"/>
  <c r="F894" i="2"/>
  <c r="G898" i="2"/>
  <c r="H898" i="2"/>
  <c r="G914" i="2"/>
  <c r="H914" i="2"/>
  <c r="G918" i="2"/>
  <c r="H918" i="2"/>
  <c r="F1004" i="2"/>
  <c r="H1004" i="2"/>
  <c r="G1004" i="2"/>
  <c r="H1054" i="2"/>
  <c r="F1054" i="2"/>
  <c r="F1239" i="2"/>
  <c r="H1239" i="2"/>
  <c r="G1239" i="2"/>
  <c r="H1301" i="2"/>
  <c r="G1301" i="2"/>
  <c r="F1301" i="2"/>
  <c r="F1478" i="2"/>
  <c r="G1478" i="2"/>
  <c r="F1680" i="2"/>
  <c r="G1680" i="2"/>
  <c r="H1701" i="2"/>
  <c r="G1701" i="2"/>
  <c r="F1701" i="2"/>
  <c r="H619" i="2"/>
  <c r="H622" i="2"/>
  <c r="H625" i="2"/>
  <c r="G648" i="2"/>
  <c r="H651" i="2"/>
  <c r="H654" i="2"/>
  <c r="H662" i="2"/>
  <c r="H670" i="2"/>
  <c r="G757" i="2"/>
  <c r="F757" i="2"/>
  <c r="G780" i="2"/>
  <c r="F780" i="2"/>
  <c r="H836" i="2"/>
  <c r="G836" i="2"/>
  <c r="G849" i="2"/>
  <c r="H849" i="2"/>
  <c r="H871" i="2"/>
  <c r="G871" i="2"/>
  <c r="G905" i="2"/>
  <c r="F905" i="2"/>
  <c r="G993" i="2"/>
  <c r="H993" i="2"/>
  <c r="F993" i="2"/>
  <c r="F1008" i="2"/>
  <c r="H1008" i="2"/>
  <c r="G1008" i="2"/>
  <c r="F1032" i="2"/>
  <c r="H1032" i="2"/>
  <c r="G1032" i="2"/>
  <c r="F1052" i="2"/>
  <c r="H1052" i="2"/>
  <c r="G1067" i="2"/>
  <c r="H1067" i="2"/>
  <c r="F1067" i="2"/>
  <c r="H1101" i="2"/>
  <c r="G1101" i="2"/>
  <c r="F1101" i="2"/>
  <c r="G1171" i="2"/>
  <c r="H1171" i="2"/>
  <c r="F1171" i="2"/>
  <c r="F1372" i="2"/>
  <c r="G1372" i="2"/>
  <c r="F180" i="2"/>
  <c r="F183" i="2"/>
  <c r="F196" i="2"/>
  <c r="F199" i="2"/>
  <c r="F212" i="2"/>
  <c r="F215" i="2"/>
  <c r="F228" i="2"/>
  <c r="F231" i="2"/>
  <c r="F244" i="2"/>
  <c r="F247" i="2"/>
  <c r="F260" i="2"/>
  <c r="F263" i="2"/>
  <c r="F276" i="2"/>
  <c r="F279" i="2"/>
  <c r="F291" i="2"/>
  <c r="F294" i="2"/>
  <c r="F307" i="2"/>
  <c r="F310" i="2"/>
  <c r="F323" i="2"/>
  <c r="F326" i="2"/>
  <c r="F339" i="2"/>
  <c r="F342" i="2"/>
  <c r="F355" i="2"/>
  <c r="F358" i="2"/>
  <c r="F371" i="2"/>
  <c r="F374" i="2"/>
  <c r="F387" i="2"/>
  <c r="F410" i="2"/>
  <c r="F413" i="2"/>
  <c r="F416" i="2"/>
  <c r="F419" i="2"/>
  <c r="F430" i="2"/>
  <c r="F453" i="2"/>
  <c r="F456" i="2"/>
  <c r="F459" i="2"/>
  <c r="F462" i="2"/>
  <c r="F485" i="2"/>
  <c r="F488" i="2"/>
  <c r="F491" i="2"/>
  <c r="F494" i="2"/>
  <c r="F517" i="2"/>
  <c r="F520" i="2"/>
  <c r="F523" i="2"/>
  <c r="F526" i="2"/>
  <c r="F549" i="2"/>
  <c r="F552" i="2"/>
  <c r="F555" i="2"/>
  <c r="F558" i="2"/>
  <c r="F592" i="2"/>
  <c r="F595" i="2"/>
  <c r="F598" i="2"/>
  <c r="F601" i="2"/>
  <c r="F745" i="2"/>
  <c r="F747" i="2"/>
  <c r="G752" i="2"/>
  <c r="F752" i="2"/>
  <c r="H778" i="2"/>
  <c r="G778" i="2"/>
  <c r="H780" i="2"/>
  <c r="F790" i="2"/>
  <c r="F836" i="2"/>
  <c r="F849" i="2"/>
  <c r="F871" i="2"/>
  <c r="H891" i="2"/>
  <c r="G891" i="2"/>
  <c r="H905" i="2"/>
  <c r="H907" i="2"/>
  <c r="G907" i="2"/>
  <c r="H922" i="2"/>
  <c r="G995" i="2"/>
  <c r="H995" i="2"/>
  <c r="F1036" i="2"/>
  <c r="H1036" i="2"/>
  <c r="G1036" i="2"/>
  <c r="H1267" i="2"/>
  <c r="G1267" i="2"/>
  <c r="F1267" i="2"/>
  <c r="G1355" i="2"/>
  <c r="H1355" i="2"/>
  <c r="F1355" i="2"/>
  <c r="F1616" i="2"/>
  <c r="G1616" i="2"/>
  <c r="H1637" i="2"/>
  <c r="G1637" i="2"/>
  <c r="F1637" i="2"/>
  <c r="F5" i="2"/>
  <c r="F21" i="2"/>
  <c r="F37" i="2"/>
  <c r="F53" i="2"/>
  <c r="F69" i="2"/>
  <c r="F85" i="2"/>
  <c r="F101" i="2"/>
  <c r="F117" i="2"/>
  <c r="F133" i="2"/>
  <c r="F159" i="2"/>
  <c r="F170" i="2"/>
  <c r="H180" i="2"/>
  <c r="F186" i="2"/>
  <c r="H196" i="2"/>
  <c r="F202" i="2"/>
  <c r="H212" i="2"/>
  <c r="F218" i="2"/>
  <c r="H228" i="2"/>
  <c r="F234" i="2"/>
  <c r="H244" i="2"/>
  <c r="F250" i="2"/>
  <c r="H260" i="2"/>
  <c r="F266" i="2"/>
  <c r="H276" i="2"/>
  <c r="F282" i="2"/>
  <c r="H291" i="2"/>
  <c r="F297" i="2"/>
  <c r="H307" i="2"/>
  <c r="F313" i="2"/>
  <c r="H323" i="2"/>
  <c r="F329" i="2"/>
  <c r="H339" i="2"/>
  <c r="F345" i="2"/>
  <c r="H355" i="2"/>
  <c r="F361" i="2"/>
  <c r="H371" i="2"/>
  <c r="F377" i="2"/>
  <c r="H387" i="2"/>
  <c r="F407" i="2"/>
  <c r="H413" i="2"/>
  <c r="H416" i="2"/>
  <c r="H419" i="2"/>
  <c r="H456" i="2"/>
  <c r="H459" i="2"/>
  <c r="H462" i="2"/>
  <c r="H488" i="2"/>
  <c r="H491" i="2"/>
  <c r="H494" i="2"/>
  <c r="H520" i="2"/>
  <c r="H523" i="2"/>
  <c r="H526" i="2"/>
  <c r="H552" i="2"/>
  <c r="H555" i="2"/>
  <c r="H558" i="2"/>
  <c r="H595" i="2"/>
  <c r="H598" i="2"/>
  <c r="H601" i="2"/>
  <c r="F653" i="2"/>
  <c r="F661" i="2"/>
  <c r="F669" i="2"/>
  <c r="F677" i="2"/>
  <c r="F685" i="2"/>
  <c r="F693" i="2"/>
  <c r="F698" i="2"/>
  <c r="H713" i="2"/>
  <c r="F720" i="2"/>
  <c r="F725" i="2"/>
  <c r="H740" i="2"/>
  <c r="H745" i="2"/>
  <c r="H752" i="2"/>
  <c r="F761" i="2"/>
  <c r="G773" i="2"/>
  <c r="H773" i="2"/>
  <c r="F778" i="2"/>
  <c r="F787" i="2"/>
  <c r="G796" i="2"/>
  <c r="F796" i="2"/>
  <c r="F809" i="2"/>
  <c r="H815" i="2"/>
  <c r="G818" i="2"/>
  <c r="G831" i="2"/>
  <c r="H831" i="2"/>
  <c r="G833" i="2"/>
  <c r="H833" i="2"/>
  <c r="F840" i="2"/>
  <c r="F842" i="2"/>
  <c r="G844" i="2"/>
  <c r="G853" i="2"/>
  <c r="F853" i="2"/>
  <c r="F875" i="2"/>
  <c r="G886" i="2"/>
  <c r="F886" i="2"/>
  <c r="F891" i="2"/>
  <c r="F907" i="2"/>
  <c r="G911" i="2"/>
  <c r="F911" i="2"/>
  <c r="H926" i="2"/>
  <c r="H953" i="2"/>
  <c r="G953" i="2"/>
  <c r="F953" i="2"/>
  <c r="G969" i="2"/>
  <c r="F969" i="2"/>
  <c r="F1040" i="2"/>
  <c r="H1040" i="2"/>
  <c r="G1040" i="2"/>
  <c r="H1231" i="2"/>
  <c r="G1231" i="2"/>
  <c r="F1231" i="2"/>
  <c r="H1338" i="2"/>
  <c r="G1338" i="2"/>
  <c r="H1346" i="2"/>
  <c r="G1346" i="2"/>
  <c r="G1517" i="2"/>
  <c r="H1517" i="2"/>
  <c r="F1517" i="2"/>
  <c r="G1131" i="2"/>
  <c r="H1131" i="2"/>
  <c r="G1193" i="2"/>
  <c r="F1193" i="2"/>
  <c r="H1199" i="2"/>
  <c r="G1199" i="2"/>
  <c r="H1215" i="2"/>
  <c r="G1215" i="2"/>
  <c r="F1258" i="2"/>
  <c r="G1258" i="2"/>
  <c r="G1273" i="2"/>
  <c r="H1273" i="2"/>
  <c r="F1273" i="2"/>
  <c r="H1283" i="2"/>
  <c r="G1283" i="2"/>
  <c r="F1283" i="2"/>
  <c r="G1363" i="2"/>
  <c r="H1363" i="2"/>
  <c r="F1363" i="2"/>
  <c r="H1369" i="2"/>
  <c r="G1369" i="2"/>
  <c r="F1369" i="2"/>
  <c r="F1412" i="2"/>
  <c r="G1412" i="2"/>
  <c r="H1492" i="2"/>
  <c r="G1492" i="2"/>
  <c r="G1501" i="2"/>
  <c r="H1501" i="2"/>
  <c r="H1547" i="2"/>
  <c r="G1547" i="2"/>
  <c r="H1577" i="2"/>
  <c r="G1577" i="2"/>
  <c r="G1607" i="2"/>
  <c r="H1607" i="2"/>
  <c r="F1607" i="2"/>
  <c r="H1641" i="2"/>
  <c r="G1641" i="2"/>
  <c r="G1671" i="2"/>
  <c r="H1671" i="2"/>
  <c r="F1671" i="2"/>
  <c r="H1705" i="2"/>
  <c r="G1705" i="2"/>
  <c r="G2033" i="2"/>
  <c r="H2033" i="2"/>
  <c r="F2033" i="2"/>
  <c r="H2494" i="2"/>
  <c r="G2494" i="2"/>
  <c r="F2494" i="2"/>
  <c r="H2572" i="2"/>
  <c r="G2572" i="2"/>
  <c r="F2572" i="2"/>
  <c r="F2697" i="2"/>
  <c r="H2697" i="2"/>
  <c r="G2697" i="2"/>
  <c r="H979" i="2"/>
  <c r="F984" i="2"/>
  <c r="H987" i="2"/>
  <c r="G1002" i="2"/>
  <c r="F1006" i="2"/>
  <c r="G1018" i="2"/>
  <c r="F1034" i="2"/>
  <c r="F1038" i="2"/>
  <c r="G1050" i="2"/>
  <c r="F1061" i="2"/>
  <c r="F1063" i="2"/>
  <c r="F1081" i="2"/>
  <c r="F1113" i="2"/>
  <c r="F1131" i="2"/>
  <c r="F1153" i="2"/>
  <c r="G1177" i="2"/>
  <c r="F1177" i="2"/>
  <c r="H1183" i="2"/>
  <c r="G1183" i="2"/>
  <c r="H1193" i="2"/>
  <c r="F1199" i="2"/>
  <c r="G1205" i="2"/>
  <c r="F1205" i="2"/>
  <c r="F1215" i="2"/>
  <c r="G1223" i="2"/>
  <c r="H1248" i="2"/>
  <c r="G1248" i="2"/>
  <c r="F1253" i="2"/>
  <c r="G1292" i="2"/>
  <c r="H1317" i="2"/>
  <c r="G1317" i="2"/>
  <c r="F1317" i="2"/>
  <c r="G1339" i="2"/>
  <c r="H1339" i="2"/>
  <c r="H1373" i="2"/>
  <c r="G1373" i="2"/>
  <c r="F1388" i="2"/>
  <c r="G1388" i="2"/>
  <c r="G1403" i="2"/>
  <c r="H1403" i="2"/>
  <c r="F1403" i="2"/>
  <c r="G1462" i="2"/>
  <c r="H1476" i="2"/>
  <c r="G1476" i="2"/>
  <c r="G1485" i="2"/>
  <c r="H1485" i="2"/>
  <c r="F1501" i="2"/>
  <c r="H1531" i="2"/>
  <c r="G1531" i="2"/>
  <c r="F1547" i="2"/>
  <c r="F1577" i="2"/>
  <c r="H1589" i="2"/>
  <c r="G1589" i="2"/>
  <c r="F1589" i="2"/>
  <c r="F1632" i="2"/>
  <c r="G1632" i="2"/>
  <c r="F1641" i="2"/>
  <c r="H1653" i="2"/>
  <c r="G1653" i="2"/>
  <c r="F1653" i="2"/>
  <c r="F1696" i="2"/>
  <c r="G1696" i="2"/>
  <c r="F1705" i="2"/>
  <c r="G1755" i="2"/>
  <c r="H1755" i="2"/>
  <c r="G1776" i="2"/>
  <c r="H1776" i="2"/>
  <c r="F1776" i="2"/>
  <c r="F1797" i="2"/>
  <c r="H1797" i="2"/>
  <c r="H1843" i="2"/>
  <c r="F1843" i="2"/>
  <c r="G1855" i="2"/>
  <c r="F1855" i="2"/>
  <c r="H1890" i="2"/>
  <c r="G1890" i="2"/>
  <c r="F1890" i="2"/>
  <c r="H1897" i="2"/>
  <c r="G1897" i="2"/>
  <c r="F1897" i="2"/>
  <c r="H2042" i="2"/>
  <c r="G2042" i="2"/>
  <c r="F2042" i="2"/>
  <c r="G2082" i="2"/>
  <c r="H2082" i="2"/>
  <c r="F2082" i="2"/>
  <c r="F2569" i="2"/>
  <c r="G2569" i="2"/>
  <c r="H2672" i="2"/>
  <c r="F2672" i="2"/>
  <c r="F2679" i="2"/>
  <c r="H2679" i="2"/>
  <c r="G2679" i="2"/>
  <c r="G2690" i="2"/>
  <c r="H2690" i="2"/>
  <c r="G984" i="2"/>
  <c r="H1002" i="2"/>
  <c r="G1006" i="2"/>
  <c r="F1030" i="2"/>
  <c r="G1034" i="2"/>
  <c r="G1038" i="2"/>
  <c r="F1059" i="2"/>
  <c r="G1061" i="2"/>
  <c r="H1063" i="2"/>
  <c r="G1081" i="2"/>
  <c r="F1099" i="2"/>
  <c r="G1113" i="2"/>
  <c r="F1137" i="2"/>
  <c r="H1153" i="2"/>
  <c r="G1169" i="2"/>
  <c r="F1169" i="2"/>
  <c r="H1177" i="2"/>
  <c r="F1183" i="2"/>
  <c r="G1191" i="2"/>
  <c r="H1205" i="2"/>
  <c r="G1208" i="2"/>
  <c r="H1223" i="2"/>
  <c r="H1232" i="2"/>
  <c r="G1232" i="2"/>
  <c r="F1237" i="2"/>
  <c r="F1251" i="2"/>
  <c r="H1253" i="2"/>
  <c r="G1271" i="2"/>
  <c r="F1271" i="2"/>
  <c r="F1274" i="2"/>
  <c r="G1274" i="2"/>
  <c r="H1290" i="2"/>
  <c r="G1290" i="2"/>
  <c r="H1353" i="2"/>
  <c r="G1353" i="2"/>
  <c r="G1361" i="2"/>
  <c r="F1361" i="2"/>
  <c r="F1364" i="2"/>
  <c r="G1364" i="2"/>
  <c r="F1373" i="2"/>
  <c r="G1379" i="2"/>
  <c r="H1379" i="2"/>
  <c r="F1379" i="2"/>
  <c r="H1385" i="2"/>
  <c r="G1385" i="2"/>
  <c r="F1385" i="2"/>
  <c r="F1428" i="2"/>
  <c r="G1428" i="2"/>
  <c r="G1446" i="2"/>
  <c r="H1460" i="2"/>
  <c r="G1460" i="2"/>
  <c r="G1469" i="2"/>
  <c r="H1469" i="2"/>
  <c r="F1485" i="2"/>
  <c r="H1515" i="2"/>
  <c r="G1515" i="2"/>
  <c r="F1531" i="2"/>
  <c r="H1593" i="2"/>
  <c r="G1593" i="2"/>
  <c r="G1623" i="2"/>
  <c r="H1623" i="2"/>
  <c r="F1623" i="2"/>
  <c r="H1657" i="2"/>
  <c r="G1657" i="2"/>
  <c r="G1687" i="2"/>
  <c r="H1687" i="2"/>
  <c r="F1687" i="2"/>
  <c r="G1739" i="2"/>
  <c r="H1739" i="2"/>
  <c r="F1755" i="2"/>
  <c r="G1797" i="2"/>
  <c r="F1861" i="2"/>
  <c r="H1861" i="2"/>
  <c r="G1861" i="2"/>
  <c r="H1950" i="2"/>
  <c r="G1950" i="2"/>
  <c r="F1950" i="2"/>
  <c r="H1970" i="2"/>
  <c r="G1970" i="2"/>
  <c r="F1970" i="2"/>
  <c r="G1983" i="2"/>
  <c r="F1983" i="2"/>
  <c r="G1143" i="2"/>
  <c r="F1143" i="2"/>
  <c r="G1161" i="2"/>
  <c r="F1161" i="2"/>
  <c r="H1200" i="2"/>
  <c r="G1200" i="2"/>
  <c r="H1216" i="2"/>
  <c r="G1216" i="2"/>
  <c r="G1249" i="2"/>
  <c r="H1249" i="2"/>
  <c r="G1265" i="2"/>
  <c r="H1265" i="2"/>
  <c r="F1265" i="2"/>
  <c r="G1299" i="2"/>
  <c r="H1299" i="2"/>
  <c r="F1299" i="2"/>
  <c r="H1389" i="2"/>
  <c r="G1389" i="2"/>
  <c r="F1404" i="2"/>
  <c r="G1404" i="2"/>
  <c r="G1419" i="2"/>
  <c r="H1419" i="2"/>
  <c r="F1419" i="2"/>
  <c r="H1444" i="2"/>
  <c r="G1444" i="2"/>
  <c r="G1453" i="2"/>
  <c r="H1453" i="2"/>
  <c r="H1499" i="2"/>
  <c r="G1499" i="2"/>
  <c r="H1572" i="2"/>
  <c r="G1572" i="2"/>
  <c r="F1584" i="2"/>
  <c r="G1584" i="2"/>
  <c r="H1605" i="2"/>
  <c r="G1605" i="2"/>
  <c r="F1605" i="2"/>
  <c r="F1648" i="2"/>
  <c r="G1648" i="2"/>
  <c r="H1669" i="2"/>
  <c r="G1669" i="2"/>
  <c r="F1669" i="2"/>
  <c r="F1712" i="2"/>
  <c r="G1712" i="2"/>
  <c r="G1723" i="2"/>
  <c r="H1723" i="2"/>
  <c r="F1876" i="2"/>
  <c r="G1876" i="2"/>
  <c r="H1977" i="2"/>
  <c r="G1977" i="2"/>
  <c r="F1977" i="2"/>
  <c r="G2322" i="2"/>
  <c r="H2322" i="2"/>
  <c r="F2543" i="2"/>
  <c r="H2543" i="2"/>
  <c r="G2543" i="2"/>
  <c r="F2665" i="2"/>
  <c r="H2665" i="2"/>
  <c r="G2665" i="2"/>
  <c r="G1135" i="2"/>
  <c r="F1135" i="2"/>
  <c r="H1184" i="2"/>
  <c r="G1184" i="2"/>
  <c r="G1233" i="2"/>
  <c r="H1233" i="2"/>
  <c r="G1303" i="2"/>
  <c r="H1303" i="2"/>
  <c r="H1337" i="2"/>
  <c r="G1337" i="2"/>
  <c r="G1377" i="2"/>
  <c r="F1377" i="2"/>
  <c r="F1380" i="2"/>
  <c r="G1380" i="2"/>
  <c r="G1395" i="2"/>
  <c r="H1395" i="2"/>
  <c r="F1395" i="2"/>
  <c r="H1401" i="2"/>
  <c r="G1401" i="2"/>
  <c r="F1401" i="2"/>
  <c r="G1437" i="2"/>
  <c r="H1437" i="2"/>
  <c r="H1483" i="2"/>
  <c r="G1483" i="2"/>
  <c r="H1556" i="2"/>
  <c r="G1556" i="2"/>
  <c r="G1565" i="2"/>
  <c r="H1565" i="2"/>
  <c r="H1609" i="2"/>
  <c r="G1609" i="2"/>
  <c r="G1639" i="2"/>
  <c r="H1639" i="2"/>
  <c r="F1639" i="2"/>
  <c r="H1673" i="2"/>
  <c r="G1673" i="2"/>
  <c r="G1703" i="2"/>
  <c r="H1703" i="2"/>
  <c r="F1703" i="2"/>
  <c r="H1771" i="2"/>
  <c r="G1771" i="2"/>
  <c r="F1771" i="2"/>
  <c r="H1811" i="2"/>
  <c r="F1811" i="2"/>
  <c r="G1888" i="2"/>
  <c r="F1888" i="2"/>
  <c r="H2444" i="2"/>
  <c r="G2444" i="2"/>
  <c r="F2444" i="2"/>
  <c r="G2522" i="2"/>
  <c r="H2522" i="2"/>
  <c r="H2534" i="2"/>
  <c r="G2534" i="2"/>
  <c r="F2534" i="2"/>
  <c r="H2640" i="2"/>
  <c r="F2640" i="2"/>
  <c r="F2647" i="2"/>
  <c r="H2647" i="2"/>
  <c r="G2647" i="2"/>
  <c r="G2658" i="2"/>
  <c r="H2658" i="2"/>
  <c r="H965" i="2"/>
  <c r="G970" i="2"/>
  <c r="G996" i="2"/>
  <c r="G1005" i="2"/>
  <c r="F1007" i="2"/>
  <c r="G1009" i="2"/>
  <c r="G1017" i="2"/>
  <c r="H1019" i="2"/>
  <c r="F1029" i="2"/>
  <c r="G1033" i="2"/>
  <c r="H1035" i="2"/>
  <c r="G1037" i="2"/>
  <c r="F1039" i="2"/>
  <c r="G1041" i="2"/>
  <c r="G1049" i="2"/>
  <c r="H1051" i="2"/>
  <c r="G1077" i="2"/>
  <c r="F1087" i="2"/>
  <c r="G1089" i="2"/>
  <c r="H1091" i="2"/>
  <c r="G1109" i="2"/>
  <c r="F1119" i="2"/>
  <c r="G1121" i="2"/>
  <c r="H1123" i="2"/>
  <c r="H1135" i="2"/>
  <c r="G1159" i="2"/>
  <c r="G1173" i="2"/>
  <c r="H1173" i="2"/>
  <c r="F1187" i="2"/>
  <c r="H1189" i="2"/>
  <c r="G1201" i="2"/>
  <c r="H1201" i="2"/>
  <c r="G1217" i="2"/>
  <c r="H1217" i="2"/>
  <c r="G1219" i="2"/>
  <c r="F1233" i="2"/>
  <c r="G1257" i="2"/>
  <c r="F1257" i="2"/>
  <c r="F1266" i="2"/>
  <c r="G1266" i="2"/>
  <c r="G1285" i="2"/>
  <c r="H1285" i="2"/>
  <c r="F1285" i="2"/>
  <c r="F1300" i="2"/>
  <c r="G1300" i="2"/>
  <c r="F1303" i="2"/>
  <c r="F1337" i="2"/>
  <c r="G1348" i="2"/>
  <c r="H1354" i="2"/>
  <c r="G1354" i="2"/>
  <c r="G1371" i="2"/>
  <c r="H1371" i="2"/>
  <c r="F1371" i="2"/>
  <c r="H1377" i="2"/>
  <c r="H1405" i="2"/>
  <c r="G1405" i="2"/>
  <c r="F1437" i="2"/>
  <c r="H1467" i="2"/>
  <c r="G1467" i="2"/>
  <c r="F1483" i="2"/>
  <c r="G1526" i="2"/>
  <c r="H1540" i="2"/>
  <c r="G1540" i="2"/>
  <c r="G1549" i="2"/>
  <c r="H1549" i="2"/>
  <c r="F1565" i="2"/>
  <c r="F1600" i="2"/>
  <c r="G1600" i="2"/>
  <c r="F1609" i="2"/>
  <c r="H1621" i="2"/>
  <c r="G1621" i="2"/>
  <c r="F1621" i="2"/>
  <c r="F1664" i="2"/>
  <c r="G1664" i="2"/>
  <c r="F1673" i="2"/>
  <c r="H1685" i="2"/>
  <c r="G1685" i="2"/>
  <c r="F1685" i="2"/>
  <c r="H1753" i="2"/>
  <c r="G1753" i="2"/>
  <c r="F1753" i="2"/>
  <c r="H1859" i="2"/>
  <c r="G1859" i="2"/>
  <c r="F1859" i="2"/>
  <c r="G2023" i="2"/>
  <c r="F2023" i="2"/>
  <c r="H2235" i="2"/>
  <c r="G2235" i="2"/>
  <c r="F2235" i="2"/>
  <c r="H2262" i="2"/>
  <c r="G2262" i="2"/>
  <c r="F2262" i="2"/>
  <c r="H2512" i="2"/>
  <c r="F2512" i="2"/>
  <c r="F2633" i="2"/>
  <c r="H2633" i="2"/>
  <c r="G2633" i="2"/>
  <c r="F977" i="2"/>
  <c r="F1015" i="2"/>
  <c r="F1047" i="2"/>
  <c r="H1060" i="2"/>
  <c r="F1062" i="2"/>
  <c r="F1075" i="2"/>
  <c r="H1087" i="2"/>
  <c r="F1107" i="2"/>
  <c r="H1119" i="2"/>
  <c r="H1159" i="2"/>
  <c r="F1173" i="2"/>
  <c r="G1185" i="2"/>
  <c r="H1185" i="2"/>
  <c r="G1187" i="2"/>
  <c r="F1201" i="2"/>
  <c r="F1217" i="2"/>
  <c r="G1241" i="2"/>
  <c r="F1241" i="2"/>
  <c r="H1247" i="2"/>
  <c r="G1247" i="2"/>
  <c r="H1257" i="2"/>
  <c r="H1263" i="2"/>
  <c r="G1263" i="2"/>
  <c r="F1263" i="2"/>
  <c r="H1297" i="2"/>
  <c r="G1297" i="2"/>
  <c r="F1297" i="2"/>
  <c r="G1319" i="2"/>
  <c r="H1319" i="2"/>
  <c r="F1319" i="2"/>
  <c r="G1327" i="2"/>
  <c r="H1327" i="2"/>
  <c r="F1327" i="2"/>
  <c r="G1330" i="2"/>
  <c r="G1393" i="2"/>
  <c r="F1393" i="2"/>
  <c r="F1396" i="2"/>
  <c r="G1396" i="2"/>
  <c r="F1405" i="2"/>
  <c r="H1417" i="2"/>
  <c r="G1417" i="2"/>
  <c r="F1417" i="2"/>
  <c r="H1451" i="2"/>
  <c r="G1451" i="2"/>
  <c r="F1467" i="2"/>
  <c r="G1510" i="2"/>
  <c r="H1524" i="2"/>
  <c r="G1524" i="2"/>
  <c r="G1533" i="2"/>
  <c r="H1533" i="2"/>
  <c r="F1549" i="2"/>
  <c r="G1591" i="2"/>
  <c r="H1591" i="2"/>
  <c r="F1591" i="2"/>
  <c r="H1625" i="2"/>
  <c r="G1625" i="2"/>
  <c r="G1655" i="2"/>
  <c r="H1655" i="2"/>
  <c r="F1655" i="2"/>
  <c r="H1689" i="2"/>
  <c r="G1689" i="2"/>
  <c r="H1737" i="2"/>
  <c r="G1737" i="2"/>
  <c r="F1737" i="2"/>
  <c r="F1789" i="2"/>
  <c r="H1789" i="2"/>
  <c r="H1987" i="2"/>
  <c r="G1987" i="2"/>
  <c r="F1987" i="2"/>
  <c r="G2087" i="2"/>
  <c r="F2087" i="2"/>
  <c r="F2593" i="2"/>
  <c r="G2593" i="2"/>
  <c r="H2600" i="2"/>
  <c r="F2600" i="2"/>
  <c r="G2626" i="2"/>
  <c r="H2626" i="2"/>
  <c r="G2090" i="2"/>
  <c r="F2090" i="2"/>
  <c r="H2112" i="2"/>
  <c r="F2112" i="2"/>
  <c r="G2121" i="2"/>
  <c r="F2121" i="2"/>
  <c r="G2186" i="2"/>
  <c r="H2186" i="2"/>
  <c r="F2335" i="2"/>
  <c r="H2335" i="2"/>
  <c r="F2465" i="2"/>
  <c r="G2465" i="2"/>
  <c r="H2472" i="2"/>
  <c r="F2472" i="2"/>
  <c r="F2503" i="2"/>
  <c r="H2503" i="2"/>
  <c r="G2503" i="2"/>
  <c r="H2798" i="2"/>
  <c r="G2798" i="2"/>
  <c r="F2798" i="2"/>
  <c r="G2802" i="2"/>
  <c r="H2802" i="2"/>
  <c r="H2978" i="2"/>
  <c r="G2978" i="2"/>
  <c r="F2978" i="2"/>
  <c r="F1846" i="2"/>
  <c r="F1863" i="2"/>
  <c r="G1867" i="2"/>
  <c r="F1883" i="2"/>
  <c r="F1906" i="2"/>
  <c r="F1923" i="2"/>
  <c r="F1937" i="2"/>
  <c r="F1959" i="2"/>
  <c r="G1963" i="2"/>
  <c r="F1966" i="2"/>
  <c r="F1990" i="2"/>
  <c r="F2003" i="2"/>
  <c r="F2010" i="2"/>
  <c r="F2038" i="2"/>
  <c r="G2050" i="2"/>
  <c r="G2065" i="2"/>
  <c r="H2090" i="2"/>
  <c r="G2098" i="2"/>
  <c r="H2104" i="2"/>
  <c r="G2104" i="2"/>
  <c r="G2112" i="2"/>
  <c r="H2121" i="2"/>
  <c r="H2136" i="2"/>
  <c r="G2136" i="2"/>
  <c r="F2136" i="2"/>
  <c r="H2156" i="2"/>
  <c r="G2156" i="2"/>
  <c r="F2159" i="2"/>
  <c r="H2159" i="2"/>
  <c r="G2159" i="2"/>
  <c r="F2255" i="2"/>
  <c r="H2255" i="2"/>
  <c r="G2255" i="2"/>
  <c r="G2266" i="2"/>
  <c r="H2266" i="2"/>
  <c r="H2275" i="2"/>
  <c r="G2275" i="2"/>
  <c r="F2275" i="2"/>
  <c r="F2295" i="2"/>
  <c r="H2295" i="2"/>
  <c r="G2295" i="2"/>
  <c r="G2335" i="2"/>
  <c r="H2348" i="2"/>
  <c r="G2348" i="2"/>
  <c r="F2348" i="2"/>
  <c r="H2382" i="2"/>
  <c r="G2382" i="2"/>
  <c r="H2404" i="2"/>
  <c r="G2404" i="2"/>
  <c r="F2404" i="2"/>
  <c r="H2598" i="2"/>
  <c r="G2598" i="2"/>
  <c r="F2607" i="2"/>
  <c r="H2607" i="2"/>
  <c r="F2713" i="2"/>
  <c r="H2713" i="2"/>
  <c r="G2713" i="2"/>
  <c r="H2814" i="2"/>
  <c r="G2814" i="2"/>
  <c r="F2814" i="2"/>
  <c r="G2839" i="2"/>
  <c r="H2839" i="2"/>
  <c r="H1846" i="2"/>
  <c r="H1863" i="2"/>
  <c r="G1883" i="2"/>
  <c r="G1906" i="2"/>
  <c r="G1923" i="2"/>
  <c r="G1937" i="2"/>
  <c r="G1966" i="2"/>
  <c r="G1990" i="2"/>
  <c r="G2003" i="2"/>
  <c r="G2010" i="2"/>
  <c r="H2019" i="2"/>
  <c r="F2019" i="2"/>
  <c r="G2038" i="2"/>
  <c r="H2050" i="2"/>
  <c r="H2065" i="2"/>
  <c r="G2073" i="2"/>
  <c r="F2073" i="2"/>
  <c r="H2098" i="2"/>
  <c r="G2116" i="2"/>
  <c r="F2116" i="2"/>
  <c r="H2193" i="2"/>
  <c r="G2193" i="2"/>
  <c r="F2193" i="2"/>
  <c r="F2223" i="2"/>
  <c r="H2223" i="2"/>
  <c r="G2226" i="2"/>
  <c r="H2226" i="2"/>
  <c r="F2239" i="2"/>
  <c r="H2239" i="2"/>
  <c r="G2239" i="2"/>
  <c r="H2430" i="2"/>
  <c r="G2430" i="2"/>
  <c r="F2430" i="2"/>
  <c r="G2458" i="2"/>
  <c r="H2458" i="2"/>
  <c r="H2470" i="2"/>
  <c r="G2470" i="2"/>
  <c r="F2479" i="2"/>
  <c r="H2479" i="2"/>
  <c r="H2558" i="2"/>
  <c r="G2558" i="2"/>
  <c r="F2558" i="2"/>
  <c r="G2586" i="2"/>
  <c r="H2586" i="2"/>
  <c r="H2638" i="2"/>
  <c r="G2638" i="2"/>
  <c r="H2652" i="2"/>
  <c r="G2652" i="2"/>
  <c r="F2652" i="2"/>
  <c r="H2670" i="2"/>
  <c r="G2670" i="2"/>
  <c r="H2684" i="2"/>
  <c r="G2684" i="2"/>
  <c r="F2684" i="2"/>
  <c r="H2702" i="2"/>
  <c r="G2702" i="2"/>
  <c r="F2702" i="2"/>
  <c r="G2706" i="2"/>
  <c r="H2706" i="2"/>
  <c r="F2729" i="2"/>
  <c r="H2729" i="2"/>
  <c r="G2729" i="2"/>
  <c r="H2881" i="2"/>
  <c r="G2881" i="2"/>
  <c r="F1179" i="2"/>
  <c r="F1195" i="2"/>
  <c r="F1207" i="2"/>
  <c r="F1209" i="2"/>
  <c r="F1227" i="2"/>
  <c r="F1243" i="2"/>
  <c r="F1261" i="2"/>
  <c r="G1288" i="2"/>
  <c r="F1293" i="2"/>
  <c r="F1295" i="2"/>
  <c r="G1306" i="2"/>
  <c r="G1324" i="2"/>
  <c r="F1329" i="2"/>
  <c r="F1331" i="2"/>
  <c r="F1349" i="2"/>
  <c r="F1367" i="2"/>
  <c r="F1383" i="2"/>
  <c r="F1399" i="2"/>
  <c r="F1415" i="2"/>
  <c r="H1433" i="2"/>
  <c r="F1447" i="2"/>
  <c r="H1449" i="2"/>
  <c r="F1463" i="2"/>
  <c r="H1465" i="2"/>
  <c r="F1479" i="2"/>
  <c r="H1481" i="2"/>
  <c r="F1495" i="2"/>
  <c r="H1497" i="2"/>
  <c r="F1511" i="2"/>
  <c r="H1513" i="2"/>
  <c r="F1527" i="2"/>
  <c r="H1529" i="2"/>
  <c r="F1543" i="2"/>
  <c r="H1545" i="2"/>
  <c r="F1559" i="2"/>
  <c r="H1561" i="2"/>
  <c r="F1587" i="2"/>
  <c r="F1603" i="2"/>
  <c r="F1619" i="2"/>
  <c r="F1635" i="2"/>
  <c r="F1651" i="2"/>
  <c r="F1667" i="2"/>
  <c r="F1683" i="2"/>
  <c r="F1699" i="2"/>
  <c r="F1715" i="2"/>
  <c r="H1719" i="2"/>
  <c r="G1726" i="2"/>
  <c r="H1735" i="2"/>
  <c r="G1742" i="2"/>
  <c r="H1751" i="2"/>
  <c r="G1758" i="2"/>
  <c r="F1767" i="2"/>
  <c r="H1774" i="2"/>
  <c r="H1780" i="2"/>
  <c r="F1783" i="2"/>
  <c r="G1785" i="2"/>
  <c r="G1787" i="2"/>
  <c r="F1792" i="2"/>
  <c r="F1796" i="2"/>
  <c r="F1808" i="2"/>
  <c r="H1816" i="2"/>
  <c r="H1821" i="2"/>
  <c r="F1823" i="2"/>
  <c r="H1825" i="2"/>
  <c r="F1827" i="2"/>
  <c r="G1829" i="2"/>
  <c r="G1838" i="2"/>
  <c r="H1840" i="2"/>
  <c r="F1842" i="2"/>
  <c r="G1844" i="2"/>
  <c r="F1856" i="2"/>
  <c r="F1858" i="2"/>
  <c r="F1871" i="2"/>
  <c r="F1873" i="2"/>
  <c r="G1877" i="2"/>
  <c r="F1889" i="2"/>
  <c r="F1935" i="2"/>
  <c r="F1939" i="2"/>
  <c r="F1942" i="2"/>
  <c r="F1946" i="2"/>
  <c r="F1969" i="2"/>
  <c r="F1975" i="2"/>
  <c r="G1979" i="2"/>
  <c r="F1982" i="2"/>
  <c r="F1986" i="2"/>
  <c r="F1993" i="2"/>
  <c r="G2017" i="2"/>
  <c r="G2019" i="2"/>
  <c r="H2026" i="2"/>
  <c r="F2031" i="2"/>
  <c r="H2043" i="2"/>
  <c r="G2043" i="2"/>
  <c r="G2067" i="2"/>
  <c r="G2070" i="2"/>
  <c r="H2073" i="2"/>
  <c r="F2078" i="2"/>
  <c r="H2083" i="2"/>
  <c r="G2083" i="2"/>
  <c r="F2083" i="2"/>
  <c r="F2110" i="2"/>
  <c r="G2113" i="2"/>
  <c r="F2113" i="2"/>
  <c r="H2116" i="2"/>
  <c r="F2128" i="2"/>
  <c r="H2131" i="2"/>
  <c r="G2131" i="2"/>
  <c r="G2137" i="2"/>
  <c r="H2137" i="2"/>
  <c r="G2171" i="2"/>
  <c r="H2171" i="2"/>
  <c r="G2199" i="2"/>
  <c r="G2223" i="2"/>
  <c r="G2306" i="2"/>
  <c r="H2306" i="2"/>
  <c r="H2324" i="2"/>
  <c r="G2324" i="2"/>
  <c r="H2408" i="2"/>
  <c r="F2408" i="2"/>
  <c r="F2439" i="2"/>
  <c r="H2439" i="2"/>
  <c r="G2439" i="2"/>
  <c r="F2448" i="2"/>
  <c r="F2470" i="2"/>
  <c r="G2479" i="2"/>
  <c r="H2498" i="2"/>
  <c r="H2532" i="2"/>
  <c r="G2532" i="2"/>
  <c r="F2532" i="2"/>
  <c r="F2567" i="2"/>
  <c r="H2567" i="2"/>
  <c r="G2567" i="2"/>
  <c r="F2576" i="2"/>
  <c r="F2631" i="2"/>
  <c r="H2631" i="2"/>
  <c r="G2631" i="2"/>
  <c r="F2649" i="2"/>
  <c r="H2649" i="2"/>
  <c r="H2656" i="2"/>
  <c r="F2656" i="2"/>
  <c r="F2663" i="2"/>
  <c r="H2663" i="2"/>
  <c r="G2663" i="2"/>
  <c r="F2670" i="2"/>
  <c r="F2681" i="2"/>
  <c r="H2681" i="2"/>
  <c r="H2688" i="2"/>
  <c r="F2688" i="2"/>
  <c r="F2695" i="2"/>
  <c r="H2695" i="2"/>
  <c r="G2695" i="2"/>
  <c r="H2718" i="2"/>
  <c r="G2718" i="2"/>
  <c r="F2718" i="2"/>
  <c r="G2722" i="2"/>
  <c r="H2722" i="2"/>
  <c r="F2745" i="2"/>
  <c r="H2745" i="2"/>
  <c r="G2745" i="2"/>
  <c r="G2854" i="2"/>
  <c r="F2854" i="2"/>
  <c r="H2163" i="2"/>
  <c r="G2163" i="2"/>
  <c r="F2163" i="2"/>
  <c r="G2188" i="2"/>
  <c r="F2188" i="2"/>
  <c r="G2206" i="2"/>
  <c r="H2206" i="2"/>
  <c r="H2273" i="2"/>
  <c r="G2273" i="2"/>
  <c r="F2273" i="2"/>
  <c r="H2508" i="2"/>
  <c r="G2508" i="2"/>
  <c r="H2622" i="2"/>
  <c r="G2622" i="2"/>
  <c r="F2622" i="2"/>
  <c r="H2734" i="2"/>
  <c r="G2734" i="2"/>
  <c r="F2734" i="2"/>
  <c r="G2738" i="2"/>
  <c r="H2738" i="2"/>
  <c r="F2761" i="2"/>
  <c r="H2761" i="2"/>
  <c r="G2761" i="2"/>
  <c r="H2920" i="2"/>
  <c r="G2920" i="2"/>
  <c r="F2920" i="2"/>
  <c r="H1165" i="2"/>
  <c r="H1347" i="2"/>
  <c r="F1409" i="2"/>
  <c r="F1411" i="2"/>
  <c r="G1420" i="2"/>
  <c r="F1425" i="2"/>
  <c r="F1427" i="2"/>
  <c r="G1436" i="2"/>
  <c r="G1452" i="2"/>
  <c r="G1468" i="2"/>
  <c r="G1484" i="2"/>
  <c r="G1500" i="2"/>
  <c r="G1516" i="2"/>
  <c r="G1532" i="2"/>
  <c r="G1548" i="2"/>
  <c r="G1564" i="2"/>
  <c r="G1576" i="2"/>
  <c r="F1581" i="2"/>
  <c r="F1583" i="2"/>
  <c r="G1592" i="2"/>
  <c r="F1597" i="2"/>
  <c r="F1599" i="2"/>
  <c r="G1608" i="2"/>
  <c r="F1613" i="2"/>
  <c r="F1615" i="2"/>
  <c r="G1624" i="2"/>
  <c r="F1629" i="2"/>
  <c r="F1631" i="2"/>
  <c r="G1640" i="2"/>
  <c r="F1645" i="2"/>
  <c r="F1647" i="2"/>
  <c r="G1656" i="2"/>
  <c r="F1661" i="2"/>
  <c r="F1663" i="2"/>
  <c r="G1672" i="2"/>
  <c r="F1677" i="2"/>
  <c r="F1679" i="2"/>
  <c r="G1688" i="2"/>
  <c r="F1693" i="2"/>
  <c r="F1695" i="2"/>
  <c r="G1704" i="2"/>
  <c r="F1709" i="2"/>
  <c r="F1711" i="2"/>
  <c r="F1729" i="2"/>
  <c r="F1745" i="2"/>
  <c r="F1761" i="2"/>
  <c r="F1777" i="2"/>
  <c r="F1806" i="2"/>
  <c r="F1815" i="2"/>
  <c r="H1847" i="2"/>
  <c r="G1854" i="2"/>
  <c r="H1860" i="2"/>
  <c r="F1875" i="2"/>
  <c r="F1887" i="2"/>
  <c r="F1891" i="2"/>
  <c r="F1894" i="2"/>
  <c r="F1898" i="2"/>
  <c r="G1915" i="2"/>
  <c r="F1918" i="2"/>
  <c r="F1929" i="2"/>
  <c r="F1951" i="2"/>
  <c r="F1971" i="2"/>
  <c r="F1978" i="2"/>
  <c r="F1995" i="2"/>
  <c r="F1998" i="2"/>
  <c r="F2025" i="2"/>
  <c r="H2034" i="2"/>
  <c r="F2039" i="2"/>
  <c r="H2046" i="2"/>
  <c r="F2049" i="2"/>
  <c r="G2081" i="2"/>
  <c r="F2089" i="2"/>
  <c r="H2097" i="2"/>
  <c r="G2097" i="2"/>
  <c r="F2108" i="2"/>
  <c r="F2144" i="2"/>
  <c r="H2188" i="2"/>
  <c r="F2247" i="2"/>
  <c r="H2247" i="2"/>
  <c r="G2247" i="2"/>
  <c r="H2268" i="2"/>
  <c r="G2268" i="2"/>
  <c r="H2297" i="2"/>
  <c r="G2297" i="2"/>
  <c r="H2350" i="2"/>
  <c r="G2350" i="2"/>
  <c r="H2380" i="2"/>
  <c r="G2380" i="2"/>
  <c r="F2380" i="2"/>
  <c r="G2394" i="2"/>
  <c r="H2394" i="2"/>
  <c r="H2406" i="2"/>
  <c r="G2406" i="2"/>
  <c r="F2415" i="2"/>
  <c r="H2415" i="2"/>
  <c r="G2505" i="2"/>
  <c r="F2508" i="2"/>
  <c r="F2529" i="2"/>
  <c r="G2529" i="2"/>
  <c r="H2536" i="2"/>
  <c r="F2536" i="2"/>
  <c r="H2596" i="2"/>
  <c r="G2596" i="2"/>
  <c r="F2596" i="2"/>
  <c r="H2750" i="2"/>
  <c r="G2750" i="2"/>
  <c r="F2750" i="2"/>
  <c r="G2754" i="2"/>
  <c r="H2754" i="2"/>
  <c r="F2777" i="2"/>
  <c r="H2777" i="2"/>
  <c r="G2777" i="2"/>
  <c r="H1411" i="2"/>
  <c r="H1427" i="2"/>
  <c r="H1583" i="2"/>
  <c r="H1599" i="2"/>
  <c r="H1615" i="2"/>
  <c r="H1631" i="2"/>
  <c r="H1647" i="2"/>
  <c r="H1663" i="2"/>
  <c r="H1679" i="2"/>
  <c r="H1695" i="2"/>
  <c r="H1711" i="2"/>
  <c r="H1806" i="2"/>
  <c r="G1971" i="2"/>
  <c r="G1995" i="2"/>
  <c r="H2049" i="2"/>
  <c r="G2079" i="2"/>
  <c r="F2079" i="2"/>
  <c r="H2089" i="2"/>
  <c r="F2103" i="2"/>
  <c r="H2103" i="2"/>
  <c r="H2108" i="2"/>
  <c r="F2111" i="2"/>
  <c r="H2111" i="2"/>
  <c r="G2111" i="2"/>
  <c r="G2123" i="2"/>
  <c r="F2123" i="2"/>
  <c r="F2135" i="2"/>
  <c r="G2135" i="2"/>
  <c r="G2144" i="2"/>
  <c r="H2158" i="2"/>
  <c r="G2158" i="2"/>
  <c r="H2195" i="2"/>
  <c r="G2195" i="2"/>
  <c r="F2215" i="2"/>
  <c r="H2215" i="2"/>
  <c r="H2244" i="2"/>
  <c r="G2244" i="2"/>
  <c r="F2268" i="2"/>
  <c r="F2297" i="2"/>
  <c r="F2350" i="2"/>
  <c r="F2387" i="2"/>
  <c r="F2406" i="2"/>
  <c r="G2415" i="2"/>
  <c r="H2434" i="2"/>
  <c r="H2468" i="2"/>
  <c r="G2468" i="2"/>
  <c r="F2468" i="2"/>
  <c r="H2562" i="2"/>
  <c r="H2636" i="2"/>
  <c r="G2636" i="2"/>
  <c r="F2636" i="2"/>
  <c r="H2654" i="2"/>
  <c r="G2654" i="2"/>
  <c r="H2668" i="2"/>
  <c r="G2668" i="2"/>
  <c r="F2668" i="2"/>
  <c r="H2686" i="2"/>
  <c r="G2686" i="2"/>
  <c r="H2766" i="2"/>
  <c r="G2766" i="2"/>
  <c r="F2766" i="2"/>
  <c r="G2770" i="2"/>
  <c r="H2770" i="2"/>
  <c r="F2793" i="2"/>
  <c r="H2793" i="2"/>
  <c r="G2793" i="2"/>
  <c r="H2823" i="2"/>
  <c r="F2823" i="2"/>
  <c r="H2904" i="2"/>
  <c r="F2904" i="2"/>
  <c r="G2904" i="2"/>
  <c r="H2873" i="2"/>
  <c r="F2873" i="2"/>
  <c r="H2917" i="2"/>
  <c r="G2917" i="2"/>
  <c r="H2924" i="2"/>
  <c r="G2924" i="2"/>
  <c r="H2928" i="2"/>
  <c r="G2928" i="2"/>
  <c r="F2928" i="2"/>
  <c r="H2935" i="2"/>
  <c r="G2935" i="2"/>
  <c r="F2989" i="2"/>
  <c r="H2989" i="2"/>
  <c r="H3218" i="2"/>
  <c r="G3218" i="2"/>
  <c r="F3218" i="2"/>
  <c r="H3257" i="2"/>
  <c r="G3257" i="2"/>
  <c r="F3257" i="2"/>
  <c r="G3271" i="2"/>
  <c r="H3271" i="2"/>
  <c r="F3271" i="2"/>
  <c r="G3439" i="2"/>
  <c r="H3439" i="2"/>
  <c r="F3439" i="2"/>
  <c r="F2700" i="2"/>
  <c r="F2704" i="2"/>
  <c r="G2711" i="2"/>
  <c r="F2716" i="2"/>
  <c r="F2720" i="2"/>
  <c r="G2727" i="2"/>
  <c r="F2732" i="2"/>
  <c r="F2736" i="2"/>
  <c r="G2743" i="2"/>
  <c r="F2748" i="2"/>
  <c r="F2752" i="2"/>
  <c r="G2759" i="2"/>
  <c r="F2764" i="2"/>
  <c r="F2768" i="2"/>
  <c r="G2775" i="2"/>
  <c r="F2780" i="2"/>
  <c r="F2784" i="2"/>
  <c r="G2791" i="2"/>
  <c r="F2796" i="2"/>
  <c r="F2800" i="2"/>
  <c r="G2807" i="2"/>
  <c r="F2812" i="2"/>
  <c r="F2816" i="2"/>
  <c r="F2871" i="2"/>
  <c r="G2886" i="2"/>
  <c r="H2886" i="2"/>
  <c r="F2886" i="2"/>
  <c r="H2921" i="2"/>
  <c r="F2921" i="2"/>
  <c r="F2935" i="2"/>
  <c r="H2946" i="2"/>
  <c r="G2946" i="2"/>
  <c r="F2996" i="2"/>
  <c r="H2996" i="2"/>
  <c r="G2996" i="2"/>
  <c r="F3188" i="2"/>
  <c r="H3188" i="2"/>
  <c r="G3188" i="2"/>
  <c r="H2546" i="2"/>
  <c r="G2553" i="2"/>
  <c r="G2591" i="2"/>
  <c r="H2610" i="2"/>
  <c r="G2617" i="2"/>
  <c r="G2700" i="2"/>
  <c r="H2711" i="2"/>
  <c r="G2716" i="2"/>
  <c r="H2727" i="2"/>
  <c r="G2732" i="2"/>
  <c r="H2743" i="2"/>
  <c r="G2748" i="2"/>
  <c r="H2759" i="2"/>
  <c r="G2764" i="2"/>
  <c r="H2775" i="2"/>
  <c r="G2780" i="2"/>
  <c r="H2791" i="2"/>
  <c r="G2796" i="2"/>
  <c r="H2807" i="2"/>
  <c r="G2812" i="2"/>
  <c r="G2816" i="2"/>
  <c r="F2826" i="2"/>
  <c r="G2835" i="2"/>
  <c r="F2840" i="2"/>
  <c r="F2842" i="2"/>
  <c r="F2845" i="2"/>
  <c r="G2855" i="2"/>
  <c r="F2855" i="2"/>
  <c r="G2871" i="2"/>
  <c r="G2893" i="2"/>
  <c r="F2893" i="2"/>
  <c r="H2905" i="2"/>
  <c r="F2905" i="2"/>
  <c r="G2918" i="2"/>
  <c r="F2918" i="2"/>
  <c r="G2921" i="2"/>
  <c r="H2925" i="2"/>
  <c r="F2925" i="2"/>
  <c r="H2929" i="2"/>
  <c r="G2929" i="2"/>
  <c r="F2946" i="2"/>
  <c r="F3005" i="2"/>
  <c r="H3005" i="2"/>
  <c r="G3005" i="2"/>
  <c r="G3255" i="2"/>
  <c r="H3255" i="2"/>
  <c r="F3255" i="2"/>
  <c r="F3405" i="2"/>
  <c r="H3405" i="2"/>
  <c r="G3405" i="2"/>
  <c r="G2826" i="2"/>
  <c r="G2840" i="2"/>
  <c r="G2845" i="2"/>
  <c r="H2850" i="2"/>
  <c r="H2855" i="2"/>
  <c r="F2860" i="2"/>
  <c r="G2860" i="2"/>
  <c r="G2874" i="2"/>
  <c r="F2883" i="2"/>
  <c r="H2883" i="2"/>
  <c r="G2883" i="2"/>
  <c r="H2890" i="2"/>
  <c r="F2890" i="2"/>
  <c r="H2893" i="2"/>
  <c r="G2896" i="2"/>
  <c r="G2902" i="2"/>
  <c r="H2902" i="2"/>
  <c r="F2902" i="2"/>
  <c r="G2905" i="2"/>
  <c r="H2944" i="2"/>
  <c r="G2944" i="2"/>
  <c r="G3175" i="2"/>
  <c r="H3175" i="2"/>
  <c r="F3175" i="2"/>
  <c r="H3194" i="2"/>
  <c r="G3194" i="2"/>
  <c r="F3194" i="2"/>
  <c r="F3205" i="2"/>
  <c r="H3205" i="2"/>
  <c r="G3205" i="2"/>
  <c r="F2196" i="2"/>
  <c r="G2207" i="2"/>
  <c r="F2222" i="2"/>
  <c r="F2227" i="2"/>
  <c r="F2238" i="2"/>
  <c r="F2265" i="2"/>
  <c r="F2267" i="2"/>
  <c r="F2289" i="2"/>
  <c r="F2294" i="2"/>
  <c r="H2298" i="2"/>
  <c r="F2318" i="2"/>
  <c r="F2323" i="2"/>
  <c r="H2338" i="2"/>
  <c r="G2343" i="2"/>
  <c r="H2346" i="2"/>
  <c r="G2351" i="2"/>
  <c r="H2370" i="2"/>
  <c r="H2402" i="2"/>
  <c r="F2412" i="2"/>
  <c r="F2416" i="2"/>
  <c r="F2438" i="2"/>
  <c r="G2447" i="2"/>
  <c r="H2466" i="2"/>
  <c r="G2473" i="2"/>
  <c r="F2476" i="2"/>
  <c r="F2480" i="2"/>
  <c r="F2502" i="2"/>
  <c r="G2511" i="2"/>
  <c r="H2530" i="2"/>
  <c r="G2537" i="2"/>
  <c r="F2540" i="2"/>
  <c r="F2544" i="2"/>
  <c r="F2566" i="2"/>
  <c r="G2575" i="2"/>
  <c r="H2594" i="2"/>
  <c r="G2601" i="2"/>
  <c r="F2604" i="2"/>
  <c r="F2608" i="2"/>
  <c r="F2630" i="2"/>
  <c r="H2634" i="2"/>
  <c r="G2641" i="2"/>
  <c r="F2646" i="2"/>
  <c r="H2650" i="2"/>
  <c r="G2657" i="2"/>
  <c r="F2662" i="2"/>
  <c r="H2666" i="2"/>
  <c r="G2673" i="2"/>
  <c r="F2678" i="2"/>
  <c r="H2682" i="2"/>
  <c r="G2689" i="2"/>
  <c r="F2694" i="2"/>
  <c r="H2698" i="2"/>
  <c r="G2705" i="2"/>
  <c r="F2710" i="2"/>
  <c r="H2714" i="2"/>
  <c r="G2721" i="2"/>
  <c r="F2726" i="2"/>
  <c r="H2730" i="2"/>
  <c r="G2737" i="2"/>
  <c r="F2742" i="2"/>
  <c r="H2746" i="2"/>
  <c r="G2753" i="2"/>
  <c r="F2758" i="2"/>
  <c r="H2762" i="2"/>
  <c r="G2769" i="2"/>
  <c r="F2774" i="2"/>
  <c r="H2778" i="2"/>
  <c r="G2785" i="2"/>
  <c r="F2790" i="2"/>
  <c r="H2794" i="2"/>
  <c r="G2801" i="2"/>
  <c r="F2806" i="2"/>
  <c r="H2810" i="2"/>
  <c r="H2819" i="2"/>
  <c r="F2822" i="2"/>
  <c r="G2824" i="2"/>
  <c r="F2829" i="2"/>
  <c r="F2853" i="2"/>
  <c r="G2853" i="2"/>
  <c r="F2869" i="2"/>
  <c r="H2869" i="2"/>
  <c r="G2869" i="2"/>
  <c r="H2874" i="2"/>
  <c r="H2880" i="2"/>
  <c r="F2880" i="2"/>
  <c r="G2890" i="2"/>
  <c r="H2896" i="2"/>
  <c r="F2899" i="2"/>
  <c r="G2899" i="2"/>
  <c r="F2944" i="2"/>
  <c r="H3034" i="2"/>
  <c r="G3034" i="2"/>
  <c r="F3034" i="2"/>
  <c r="H3144" i="2"/>
  <c r="G3144" i="2"/>
  <c r="F3144" i="2"/>
  <c r="H3273" i="2"/>
  <c r="F3273" i="2"/>
  <c r="G3273" i="2"/>
  <c r="G2151" i="2"/>
  <c r="H2178" i="2"/>
  <c r="H2194" i="2"/>
  <c r="H2207" i="2"/>
  <c r="G2222" i="2"/>
  <c r="G2263" i="2"/>
  <c r="G2267" i="2"/>
  <c r="F2321" i="2"/>
  <c r="G2323" i="2"/>
  <c r="H2334" i="2"/>
  <c r="H2343" i="2"/>
  <c r="H2351" i="2"/>
  <c r="H2354" i="2"/>
  <c r="F2379" i="2"/>
  <c r="G2383" i="2"/>
  <c r="H2386" i="2"/>
  <c r="G2407" i="2"/>
  <c r="H2426" i="2"/>
  <c r="F2440" i="2"/>
  <c r="H2447" i="2"/>
  <c r="G2471" i="2"/>
  <c r="H2490" i="2"/>
  <c r="G2497" i="2"/>
  <c r="F2504" i="2"/>
  <c r="H2511" i="2"/>
  <c r="G2535" i="2"/>
  <c r="H2554" i="2"/>
  <c r="G2561" i="2"/>
  <c r="F2568" i="2"/>
  <c r="H2575" i="2"/>
  <c r="G2599" i="2"/>
  <c r="H2618" i="2"/>
  <c r="G2625" i="2"/>
  <c r="F2628" i="2"/>
  <c r="G2630" i="2"/>
  <c r="F2632" i="2"/>
  <c r="G2639" i="2"/>
  <c r="H2641" i="2"/>
  <c r="F2644" i="2"/>
  <c r="G2646" i="2"/>
  <c r="F2648" i="2"/>
  <c r="G2655" i="2"/>
  <c r="H2657" i="2"/>
  <c r="F2660" i="2"/>
  <c r="G2662" i="2"/>
  <c r="F2664" i="2"/>
  <c r="G2671" i="2"/>
  <c r="H2673" i="2"/>
  <c r="F2676" i="2"/>
  <c r="G2678" i="2"/>
  <c r="F2680" i="2"/>
  <c r="G2687" i="2"/>
  <c r="H2689" i="2"/>
  <c r="F2692" i="2"/>
  <c r="G2694" i="2"/>
  <c r="F2696" i="2"/>
  <c r="G2703" i="2"/>
  <c r="H2705" i="2"/>
  <c r="F2708" i="2"/>
  <c r="G2710" i="2"/>
  <c r="F2712" i="2"/>
  <c r="G2719" i="2"/>
  <c r="H2721" i="2"/>
  <c r="F2724" i="2"/>
  <c r="G2726" i="2"/>
  <c r="F2728" i="2"/>
  <c r="G2735" i="2"/>
  <c r="H2737" i="2"/>
  <c r="F2740" i="2"/>
  <c r="G2742" i="2"/>
  <c r="F2744" i="2"/>
  <c r="G2751" i="2"/>
  <c r="H2753" i="2"/>
  <c r="F2756" i="2"/>
  <c r="G2758" i="2"/>
  <c r="F2760" i="2"/>
  <c r="G2767" i="2"/>
  <c r="H2769" i="2"/>
  <c r="F2772" i="2"/>
  <c r="G2774" i="2"/>
  <c r="F2776" i="2"/>
  <c r="G2783" i="2"/>
  <c r="H2785" i="2"/>
  <c r="F2788" i="2"/>
  <c r="G2790" i="2"/>
  <c r="F2792" i="2"/>
  <c r="G2799" i="2"/>
  <c r="H2801" i="2"/>
  <c r="F2804" i="2"/>
  <c r="G2806" i="2"/>
  <c r="F2808" i="2"/>
  <c r="G2815" i="2"/>
  <c r="H2822" i="2"/>
  <c r="G2829" i="2"/>
  <c r="F2836" i="2"/>
  <c r="H2838" i="2"/>
  <c r="H2843" i="2"/>
  <c r="G2848" i="2"/>
  <c r="H2853" i="2"/>
  <c r="G2872" i="2"/>
  <c r="G2880" i="2"/>
  <c r="H3041" i="2"/>
  <c r="G3041" i="2"/>
  <c r="F3041" i="2"/>
  <c r="G3151" i="2"/>
  <c r="H3151" i="2"/>
  <c r="F3151" i="2"/>
  <c r="H2639" i="2"/>
  <c r="H2655" i="2"/>
  <c r="H2671" i="2"/>
  <c r="H2687" i="2"/>
  <c r="H2703" i="2"/>
  <c r="H2719" i="2"/>
  <c r="H2735" i="2"/>
  <c r="H2751" i="2"/>
  <c r="H2767" i="2"/>
  <c r="H2783" i="2"/>
  <c r="H2799" i="2"/>
  <c r="H2815" i="2"/>
  <c r="H2841" i="2"/>
  <c r="F2841" i="2"/>
  <c r="H2864" i="2"/>
  <c r="G2864" i="2"/>
  <c r="H2872" i="2"/>
  <c r="F2891" i="2"/>
  <c r="H2891" i="2"/>
  <c r="H2916" i="2"/>
  <c r="G2916" i="2"/>
  <c r="F2916" i="2"/>
  <c r="H2951" i="2"/>
  <c r="G2951" i="2"/>
  <c r="F2951" i="2"/>
  <c r="H2962" i="2"/>
  <c r="G2962" i="2"/>
  <c r="H3098" i="2"/>
  <c r="G3098" i="2"/>
  <c r="F3098" i="2"/>
  <c r="H3184" i="2"/>
  <c r="G3184" i="2"/>
  <c r="F3184" i="2"/>
  <c r="G3199" i="2"/>
  <c r="H3199" i="2"/>
  <c r="F3199" i="2"/>
  <c r="H3209" i="2"/>
  <c r="G3209" i="2"/>
  <c r="F3209" i="2"/>
  <c r="F3248" i="2"/>
  <c r="H3248" i="2"/>
  <c r="G3248" i="2"/>
  <c r="G3018" i="2"/>
  <c r="G3025" i="2"/>
  <c r="G3032" i="2"/>
  <c r="H3039" i="2"/>
  <c r="G3048" i="2"/>
  <c r="G3057" i="2"/>
  <c r="G3074" i="2"/>
  <c r="H3085" i="2"/>
  <c r="G3096" i="2"/>
  <c r="H3103" i="2"/>
  <c r="H3133" i="2"/>
  <c r="H3157" i="2"/>
  <c r="G3161" i="2"/>
  <c r="G3170" i="2"/>
  <c r="G3192" i="2"/>
  <c r="H3207" i="2"/>
  <c r="G3216" i="2"/>
  <c r="H3229" i="2"/>
  <c r="G3239" i="2"/>
  <c r="F3239" i="2"/>
  <c r="G3266" i="2"/>
  <c r="H3285" i="2"/>
  <c r="G3289" i="2"/>
  <c r="H3301" i="2"/>
  <c r="G3314" i="2"/>
  <c r="F3317" i="2"/>
  <c r="H3317" i="2"/>
  <c r="G3322" i="2"/>
  <c r="F3322" i="2"/>
  <c r="F3333" i="2"/>
  <c r="G3333" i="2"/>
  <c r="G3367" i="2"/>
  <c r="F3367" i="2"/>
  <c r="H3402" i="2"/>
  <c r="G3402" i="2"/>
  <c r="G3423" i="2"/>
  <c r="H3423" i="2"/>
  <c r="H3425" i="2"/>
  <c r="G3425" i="2"/>
  <c r="F3425" i="2"/>
  <c r="G3464" i="2"/>
  <c r="H3464" i="2"/>
  <c r="F3464" i="2"/>
  <c r="H3473" i="2"/>
  <c r="G3473" i="2"/>
  <c r="H3487" i="2"/>
  <c r="G3487" i="2"/>
  <c r="F3487" i="2"/>
  <c r="G3528" i="2"/>
  <c r="H3528" i="2"/>
  <c r="F3528" i="2"/>
  <c r="H3661" i="2"/>
  <c r="G3661" i="2"/>
  <c r="F3661" i="2"/>
  <c r="F3711" i="2"/>
  <c r="H3711" i="2"/>
  <c r="G3711" i="2"/>
  <c r="H3795" i="2"/>
  <c r="G3795" i="2"/>
  <c r="F3795" i="2"/>
  <c r="H4050" i="2"/>
  <c r="G4050" i="2"/>
  <c r="F4050" i="2"/>
  <c r="G4103" i="2"/>
  <c r="H4103" i="2"/>
  <c r="F4103" i="2"/>
  <c r="H4194" i="2"/>
  <c r="F4194" i="2"/>
  <c r="G4194" i="2"/>
  <c r="F3223" i="2"/>
  <c r="F3232" i="2"/>
  <c r="F3234" i="2"/>
  <c r="F3269" i="2"/>
  <c r="G3269" i="2"/>
  <c r="F3297" i="2"/>
  <c r="F3304" i="2"/>
  <c r="G3317" i="2"/>
  <c r="H3322" i="2"/>
  <c r="F3328" i="2"/>
  <c r="H3333" i="2"/>
  <c r="G3336" i="2"/>
  <c r="F3336" i="2"/>
  <c r="F3344" i="2"/>
  <c r="F3346" i="2"/>
  <c r="H3367" i="2"/>
  <c r="F3402" i="2"/>
  <c r="H3409" i="2"/>
  <c r="G3409" i="2"/>
  <c r="F3423" i="2"/>
  <c r="H3450" i="2"/>
  <c r="G3450" i="2"/>
  <c r="F3450" i="2"/>
  <c r="G3471" i="2"/>
  <c r="H3471" i="2"/>
  <c r="F3473" i="2"/>
  <c r="H3599" i="2"/>
  <c r="G3599" i="2"/>
  <c r="F3599" i="2"/>
  <c r="G3608" i="2"/>
  <c r="H3608" i="2"/>
  <c r="F3608" i="2"/>
  <c r="H3956" i="2"/>
  <c r="G3956" i="2"/>
  <c r="F3956" i="2"/>
  <c r="G4000" i="2"/>
  <c r="H4000" i="2"/>
  <c r="F4000" i="2"/>
  <c r="G4024" i="2"/>
  <c r="H4024" i="2"/>
  <c r="H4031" i="2"/>
  <c r="G4031" i="2"/>
  <c r="G4188" i="2"/>
  <c r="H4188" i="2"/>
  <c r="F4188" i="2"/>
  <c r="G2888" i="2"/>
  <c r="H2895" i="2"/>
  <c r="G2909" i="2"/>
  <c r="G2914" i="2"/>
  <c r="G2931" i="2"/>
  <c r="H2933" i="2"/>
  <c r="H2942" i="2"/>
  <c r="H2949" i="2"/>
  <c r="F2953" i="2"/>
  <c r="G2965" i="2"/>
  <c r="G2969" i="2"/>
  <c r="G2981" i="2"/>
  <c r="G2985" i="2"/>
  <c r="G2994" i="2"/>
  <c r="F3001" i="2"/>
  <c r="G3008" i="2"/>
  <c r="F3010" i="2"/>
  <c r="H3012" i="2"/>
  <c r="F3024" i="2"/>
  <c r="G3028" i="2"/>
  <c r="H3037" i="2"/>
  <c r="H3053" i="2"/>
  <c r="F3056" i="2"/>
  <c r="G3060" i="2"/>
  <c r="G3064" i="2"/>
  <c r="F3066" i="2"/>
  <c r="F3071" i="2"/>
  <c r="G3077" i="2"/>
  <c r="H3079" i="2"/>
  <c r="F3081" i="2"/>
  <c r="G3088" i="2"/>
  <c r="F3090" i="2"/>
  <c r="H3101" i="2"/>
  <c r="G3112" i="2"/>
  <c r="F3114" i="2"/>
  <c r="F3121" i="2"/>
  <c r="F3138" i="2"/>
  <c r="G3149" i="2"/>
  <c r="F3160" i="2"/>
  <c r="F3167" i="2"/>
  <c r="G3197" i="2"/>
  <c r="G3221" i="2"/>
  <c r="H3223" i="2"/>
  <c r="F3225" i="2"/>
  <c r="G3232" i="2"/>
  <c r="H3234" i="2"/>
  <c r="G3253" i="2"/>
  <c r="H3260" i="2"/>
  <c r="G3263" i="2"/>
  <c r="F3263" i="2"/>
  <c r="F3293" i="2"/>
  <c r="H3293" i="2"/>
  <c r="G3297" i="2"/>
  <c r="G3304" i="2"/>
  <c r="G3328" i="2"/>
  <c r="G3344" i="2"/>
  <c r="H3346" i="2"/>
  <c r="F3389" i="2"/>
  <c r="H3389" i="2"/>
  <c r="H3457" i="2"/>
  <c r="G3457" i="2"/>
  <c r="F3457" i="2"/>
  <c r="H3537" i="2"/>
  <c r="G3537" i="2"/>
  <c r="F3537" i="2"/>
  <c r="F3678" i="2"/>
  <c r="H3678" i="2"/>
  <c r="G3678" i="2"/>
  <c r="F3775" i="2"/>
  <c r="H3775" i="2"/>
  <c r="G3775" i="2"/>
  <c r="H3896" i="2"/>
  <c r="G3896" i="2"/>
  <c r="F3896" i="2"/>
  <c r="F3903" i="2"/>
  <c r="H3903" i="2"/>
  <c r="G3903" i="2"/>
  <c r="H3912" i="2"/>
  <c r="G3912" i="2"/>
  <c r="F3912" i="2"/>
  <c r="G3976" i="2"/>
  <c r="H3976" i="2"/>
  <c r="F3976" i="2"/>
  <c r="H4035" i="2"/>
  <c r="G4035" i="2"/>
  <c r="F4035" i="2"/>
  <c r="G2867" i="2"/>
  <c r="F2900" i="2"/>
  <c r="F2912" i="2"/>
  <c r="H2914" i="2"/>
  <c r="F2919" i="2"/>
  <c r="H2926" i="2"/>
  <c r="H2931" i="2"/>
  <c r="F2940" i="2"/>
  <c r="G2953" i="2"/>
  <c r="F2961" i="2"/>
  <c r="F2977" i="2"/>
  <c r="G3001" i="2"/>
  <c r="F3017" i="2"/>
  <c r="F3026" i="2"/>
  <c r="F3040" i="2"/>
  <c r="G3044" i="2"/>
  <c r="F3058" i="2"/>
  <c r="H3060" i="2"/>
  <c r="H3071" i="2"/>
  <c r="F3073" i="2"/>
  <c r="H3077" i="2"/>
  <c r="G3081" i="2"/>
  <c r="F3095" i="2"/>
  <c r="F3104" i="2"/>
  <c r="G3108" i="2"/>
  <c r="G3117" i="2"/>
  <c r="G3121" i="2"/>
  <c r="H3149" i="2"/>
  <c r="F3162" i="2"/>
  <c r="H3167" i="2"/>
  <c r="F3169" i="2"/>
  <c r="F3191" i="2"/>
  <c r="H3197" i="2"/>
  <c r="F3208" i="2"/>
  <c r="F3215" i="2"/>
  <c r="H3221" i="2"/>
  <c r="G3225" i="2"/>
  <c r="H3253" i="2"/>
  <c r="H3263" i="2"/>
  <c r="F3272" i="2"/>
  <c r="F3274" i="2"/>
  <c r="H3279" i="2"/>
  <c r="G3281" i="2"/>
  <c r="F3290" i="2"/>
  <c r="G3293" i="2"/>
  <c r="G3311" i="2"/>
  <c r="F3311" i="2"/>
  <c r="G3389" i="2"/>
  <c r="G3448" i="2"/>
  <c r="H3448" i="2"/>
  <c r="F3448" i="2"/>
  <c r="G3786" i="2"/>
  <c r="H3786" i="2"/>
  <c r="F3786" i="2"/>
  <c r="H3840" i="2"/>
  <c r="G3840" i="2"/>
  <c r="F3840" i="2"/>
  <c r="G4048" i="2"/>
  <c r="H4048" i="2"/>
  <c r="F4048" i="2"/>
  <c r="G4062" i="2"/>
  <c r="H4062" i="2"/>
  <c r="F4062" i="2"/>
  <c r="H4074" i="2"/>
  <c r="G4074" i="2"/>
  <c r="F4074" i="2"/>
  <c r="G3272" i="2"/>
  <c r="G3274" i="2"/>
  <c r="G3290" i="2"/>
  <c r="H3337" i="2"/>
  <c r="G3337" i="2"/>
  <c r="H3362" i="2"/>
  <c r="F3362" i="2"/>
  <c r="F3365" i="2"/>
  <c r="H3365" i="2"/>
  <c r="G3365" i="2"/>
  <c r="H3434" i="2"/>
  <c r="G3434" i="2"/>
  <c r="F3434" i="2"/>
  <c r="G3455" i="2"/>
  <c r="H3455" i="2"/>
  <c r="F3455" i="2"/>
  <c r="H3644" i="2"/>
  <c r="G3644" i="2"/>
  <c r="F3644" i="2"/>
  <c r="H3772" i="2"/>
  <c r="G3772" i="2"/>
  <c r="F3772" i="2"/>
  <c r="F3831" i="2"/>
  <c r="H3831" i="2"/>
  <c r="G3831" i="2"/>
  <c r="F3887" i="2"/>
  <c r="H3887" i="2"/>
  <c r="G3887" i="2"/>
  <c r="H3900" i="2"/>
  <c r="G3900" i="2"/>
  <c r="F3900" i="2"/>
  <c r="F3907" i="2"/>
  <c r="H3907" i="2"/>
  <c r="G3907" i="2"/>
  <c r="F3919" i="2"/>
  <c r="H3919" i="2"/>
  <c r="G3919" i="2"/>
  <c r="H4183" i="2"/>
  <c r="F4183" i="2"/>
  <c r="G4183" i="2"/>
  <c r="F2950" i="2"/>
  <c r="F2966" i="2"/>
  <c r="F2982" i="2"/>
  <c r="F2991" i="2"/>
  <c r="F2993" i="2"/>
  <c r="H3004" i="2"/>
  <c r="G3013" i="2"/>
  <c r="G3029" i="2"/>
  <c r="F3063" i="2"/>
  <c r="H3069" i="2"/>
  <c r="F3087" i="2"/>
  <c r="H3093" i="2"/>
  <c r="G3097" i="2"/>
  <c r="F3111" i="2"/>
  <c r="G3124" i="2"/>
  <c r="F3135" i="2"/>
  <c r="G3141" i="2"/>
  <c r="H3143" i="2"/>
  <c r="F3145" i="2"/>
  <c r="H3165" i="2"/>
  <c r="H3183" i="2"/>
  <c r="F3185" i="2"/>
  <c r="G3213" i="2"/>
  <c r="F3231" i="2"/>
  <c r="F3233" i="2"/>
  <c r="G3261" i="2"/>
  <c r="F3305" i="2"/>
  <c r="F3321" i="2"/>
  <c r="H3329" i="2"/>
  <c r="G3329" i="2"/>
  <c r="F3329" i="2"/>
  <c r="F3337" i="2"/>
  <c r="F3360" i="2"/>
  <c r="G3362" i="2"/>
  <c r="H3418" i="2"/>
  <c r="G3418" i="2"/>
  <c r="F3418" i="2"/>
  <c r="H3441" i="2"/>
  <c r="G3441" i="2"/>
  <c r="F3441" i="2"/>
  <c r="H3577" i="2"/>
  <c r="G3577" i="2"/>
  <c r="F3577" i="2"/>
  <c r="F3671" i="2"/>
  <c r="H3671" i="2"/>
  <c r="G3671" i="2"/>
  <c r="H3954" i="2"/>
  <c r="G3954" i="2"/>
  <c r="F3954" i="2"/>
  <c r="F4105" i="2"/>
  <c r="H4105" i="2"/>
  <c r="G4105" i="2"/>
  <c r="G4168" i="2"/>
  <c r="H4168" i="2"/>
  <c r="F4168" i="2"/>
  <c r="F3252" i="2"/>
  <c r="G3252" i="2"/>
  <c r="G3343" i="2"/>
  <c r="H3343" i="2"/>
  <c r="F3343" i="2"/>
  <c r="G3351" i="2"/>
  <c r="H3351" i="2"/>
  <c r="H3353" i="2"/>
  <c r="F3353" i="2"/>
  <c r="H3376" i="2"/>
  <c r="F3376" i="2"/>
  <c r="H3416" i="2"/>
  <c r="G3416" i="2"/>
  <c r="G3432" i="2"/>
  <c r="H3432" i="2"/>
  <c r="F3432" i="2"/>
  <c r="H3466" i="2"/>
  <c r="G3466" i="2"/>
  <c r="F3466" i="2"/>
  <c r="H3530" i="2"/>
  <c r="G3530" i="2"/>
  <c r="F3530" i="2"/>
  <c r="G3589" i="2"/>
  <c r="H3589" i="2"/>
  <c r="G3633" i="2"/>
  <c r="H3633" i="2"/>
  <c r="F3633" i="2"/>
  <c r="H3828" i="2"/>
  <c r="G3828" i="2"/>
  <c r="F3828" i="2"/>
  <c r="H3884" i="2"/>
  <c r="G3884" i="2"/>
  <c r="F3884" i="2"/>
  <c r="F3891" i="2"/>
  <c r="H3891" i="2"/>
  <c r="G3891" i="2"/>
  <c r="H3916" i="2"/>
  <c r="G3916" i="2"/>
  <c r="F3916" i="2"/>
  <c r="G4072" i="2"/>
  <c r="H4072" i="2"/>
  <c r="F4072" i="2"/>
  <c r="G3659" i="2"/>
  <c r="H3687" i="2"/>
  <c r="G3699" i="2"/>
  <c r="G3708" i="2"/>
  <c r="G3720" i="2"/>
  <c r="G3724" i="2"/>
  <c r="G3752" i="2"/>
  <c r="G3756" i="2"/>
  <c r="H3759" i="2"/>
  <c r="G3768" i="2"/>
  <c r="H3770" i="2"/>
  <c r="G3779" i="2"/>
  <c r="H3815" i="2"/>
  <c r="G3824" i="2"/>
  <c r="H3826" i="2"/>
  <c r="G3835" i="2"/>
  <c r="G3864" i="2"/>
  <c r="G3868" i="2"/>
  <c r="H3871" i="2"/>
  <c r="G3880" i="2"/>
  <c r="G3898" i="2"/>
  <c r="G4026" i="2"/>
  <c r="H4033" i="2"/>
  <c r="H4052" i="2"/>
  <c r="G4057" i="2"/>
  <c r="G4081" i="2"/>
  <c r="G4118" i="2"/>
  <c r="G4131" i="2"/>
  <c r="G4170" i="2"/>
  <c r="G4208" i="2"/>
  <c r="H4208" i="2"/>
  <c r="F4208" i="2"/>
  <c r="F4437" i="2"/>
  <c r="H4437" i="2"/>
  <c r="G4437" i="2"/>
  <c r="G4473" i="2"/>
  <c r="H4473" i="2"/>
  <c r="F4473" i="2"/>
  <c r="F4522" i="2"/>
  <c r="H4522" i="2"/>
  <c r="H4543" i="2"/>
  <c r="G4543" i="2"/>
  <c r="F4543" i="2"/>
  <c r="H4588" i="2"/>
  <c r="G4588" i="2"/>
  <c r="F4588" i="2"/>
  <c r="G4635" i="2"/>
  <c r="H4635" i="2"/>
  <c r="F4635" i="2"/>
  <c r="F3480" i="2"/>
  <c r="F3482" i="2"/>
  <c r="F3489" i="2"/>
  <c r="F3503" i="2"/>
  <c r="F3512" i="2"/>
  <c r="F3514" i="2"/>
  <c r="F3521" i="2"/>
  <c r="H3549" i="2"/>
  <c r="F3559" i="2"/>
  <c r="F3568" i="2"/>
  <c r="F3570" i="2"/>
  <c r="F3601" i="2"/>
  <c r="H3613" i="2"/>
  <c r="F3623" i="2"/>
  <c r="F3627" i="2"/>
  <c r="F3647" i="2"/>
  <c r="G3654" i="2"/>
  <c r="F4153" i="2"/>
  <c r="G4153" i="2"/>
  <c r="G4176" i="2"/>
  <c r="F4176" i="2"/>
  <c r="G4214" i="2"/>
  <c r="H4214" i="2"/>
  <c r="F4214" i="2"/>
  <c r="G4236" i="2"/>
  <c r="H4236" i="2"/>
  <c r="G4248" i="2"/>
  <c r="H4248" i="2"/>
  <c r="F4248" i="2"/>
  <c r="F4373" i="2"/>
  <c r="H4373" i="2"/>
  <c r="G4373" i="2"/>
  <c r="G4444" i="2"/>
  <c r="H4444" i="2"/>
  <c r="F4444" i="2"/>
  <c r="G4492" i="2"/>
  <c r="H4492" i="2"/>
  <c r="F4492" i="2"/>
  <c r="G4566" i="2"/>
  <c r="H4566" i="2"/>
  <c r="F4566" i="2"/>
  <c r="H4671" i="2"/>
  <c r="F4671" i="2"/>
  <c r="G4671" i="2"/>
  <c r="H3480" i="2"/>
  <c r="G3482" i="2"/>
  <c r="G3489" i="2"/>
  <c r="G3559" i="2"/>
  <c r="G3601" i="2"/>
  <c r="G3623" i="2"/>
  <c r="G3627" i="2"/>
  <c r="G4174" i="2"/>
  <c r="F4174" i="2"/>
  <c r="G4256" i="2"/>
  <c r="H4256" i="2"/>
  <c r="F4256" i="2"/>
  <c r="G4380" i="2"/>
  <c r="H4380" i="2"/>
  <c r="F4380" i="2"/>
  <c r="G3306" i="2"/>
  <c r="G3313" i="2"/>
  <c r="G3320" i="2"/>
  <c r="H3327" i="2"/>
  <c r="H3349" i="2"/>
  <c r="G3369" i="2"/>
  <c r="G3378" i="2"/>
  <c r="H3383" i="2"/>
  <c r="F3385" i="2"/>
  <c r="G3392" i="2"/>
  <c r="F3394" i="2"/>
  <c r="F3399" i="2"/>
  <c r="F3408" i="2"/>
  <c r="H3421" i="2"/>
  <c r="G3437" i="2"/>
  <c r="G3453" i="2"/>
  <c r="H3469" i="2"/>
  <c r="H3485" i="2"/>
  <c r="H3496" i="2"/>
  <c r="G3498" i="2"/>
  <c r="G3505" i="2"/>
  <c r="H3517" i="2"/>
  <c r="F3527" i="2"/>
  <c r="G3543" i="2"/>
  <c r="F3545" i="2"/>
  <c r="F3552" i="2"/>
  <c r="F3554" i="2"/>
  <c r="G3561" i="2"/>
  <c r="G3583" i="2"/>
  <c r="F3585" i="2"/>
  <c r="H3592" i="2"/>
  <c r="G3594" i="2"/>
  <c r="H3597" i="2"/>
  <c r="F3607" i="2"/>
  <c r="F3616" i="2"/>
  <c r="F3618" i="2"/>
  <c r="H3625" i="2"/>
  <c r="F3636" i="2"/>
  <c r="F3639" i="2"/>
  <c r="F3643" i="2"/>
  <c r="H3650" i="2"/>
  <c r="F3652" i="2"/>
  <c r="F3658" i="2"/>
  <c r="G3669" i="2"/>
  <c r="G3676" i="2"/>
  <c r="F3681" i="2"/>
  <c r="F3688" i="2"/>
  <c r="H3695" i="2"/>
  <c r="G3707" i="2"/>
  <c r="G3716" i="2"/>
  <c r="G3719" i="2"/>
  <c r="G3723" i="2"/>
  <c r="G3732" i="2"/>
  <c r="G3744" i="2"/>
  <c r="G3748" i="2"/>
  <c r="G3751" i="2"/>
  <c r="G3755" i="2"/>
  <c r="F3760" i="2"/>
  <c r="H3762" i="2"/>
  <c r="F3764" i="2"/>
  <c r="G3767" i="2"/>
  <c r="F3771" i="2"/>
  <c r="F3778" i="2"/>
  <c r="G3804" i="2"/>
  <c r="H3807" i="2"/>
  <c r="F3816" i="2"/>
  <c r="H3818" i="2"/>
  <c r="F3820" i="2"/>
  <c r="G3823" i="2"/>
  <c r="F3827" i="2"/>
  <c r="F3834" i="2"/>
  <c r="G3856" i="2"/>
  <c r="H3858" i="2"/>
  <c r="F3860" i="2"/>
  <c r="G3863" i="2"/>
  <c r="F3872" i="2"/>
  <c r="H3874" i="2"/>
  <c r="F3876" i="2"/>
  <c r="G3879" i="2"/>
  <c r="F3883" i="2"/>
  <c r="F3890" i="2"/>
  <c r="F3906" i="2"/>
  <c r="F3922" i="2"/>
  <c r="F3924" i="2"/>
  <c r="G3927" i="2"/>
  <c r="G3931" i="2"/>
  <c r="G3964" i="2"/>
  <c r="H3967" i="2"/>
  <c r="G3979" i="2"/>
  <c r="H3984" i="2"/>
  <c r="G4003" i="2"/>
  <c r="H4008" i="2"/>
  <c r="F4018" i="2"/>
  <c r="F4020" i="2"/>
  <c r="F4023" i="2"/>
  <c r="G4025" i="2"/>
  <c r="F4030" i="2"/>
  <c r="F4032" i="2"/>
  <c r="F4034" i="2"/>
  <c r="H4046" i="2"/>
  <c r="F4056" i="2"/>
  <c r="F4058" i="2"/>
  <c r="H4060" i="2"/>
  <c r="G4065" i="2"/>
  <c r="H4070" i="2"/>
  <c r="F4080" i="2"/>
  <c r="F4082" i="2"/>
  <c r="H4094" i="2"/>
  <c r="F4099" i="2"/>
  <c r="F4119" i="2"/>
  <c r="G4123" i="2"/>
  <c r="F4132" i="2"/>
  <c r="G4137" i="2"/>
  <c r="G4139" i="2"/>
  <c r="F4156" i="2"/>
  <c r="H4158" i="2"/>
  <c r="F4169" i="2"/>
  <c r="G4169" i="2"/>
  <c r="H4174" i="2"/>
  <c r="F4184" i="2"/>
  <c r="G4192" i="2"/>
  <c r="H4192" i="2"/>
  <c r="F4192" i="2"/>
  <c r="H4215" i="2"/>
  <c r="F4215" i="2"/>
  <c r="G4228" i="2"/>
  <c r="F4228" i="2"/>
  <c r="H4311" i="2"/>
  <c r="G4311" i="2"/>
  <c r="G4352" i="2"/>
  <c r="H4352" i="2"/>
  <c r="F4352" i="2"/>
  <c r="G4416" i="2"/>
  <c r="H4416" i="2"/>
  <c r="F4416" i="2"/>
  <c r="H4460" i="2"/>
  <c r="G4460" i="2"/>
  <c r="F4460" i="2"/>
  <c r="G4469" i="2"/>
  <c r="F4469" i="2"/>
  <c r="G4534" i="2"/>
  <c r="H4534" i="2"/>
  <c r="F4534" i="2"/>
  <c r="G4619" i="2"/>
  <c r="H4619" i="2"/>
  <c r="F4619" i="2"/>
  <c r="H4760" i="2"/>
  <c r="F4760" i="2"/>
  <c r="G4769" i="2"/>
  <c r="F4769" i="2"/>
  <c r="H4769" i="2"/>
  <c r="G3385" i="2"/>
  <c r="G3394" i="2"/>
  <c r="H3399" i="2"/>
  <c r="G3408" i="2"/>
  <c r="H3437" i="2"/>
  <c r="H3453" i="2"/>
  <c r="G3527" i="2"/>
  <c r="G3545" i="2"/>
  <c r="H3552" i="2"/>
  <c r="G3554" i="2"/>
  <c r="G3585" i="2"/>
  <c r="G3607" i="2"/>
  <c r="H3616" i="2"/>
  <c r="G3618" i="2"/>
  <c r="G3636" i="2"/>
  <c r="G3639" i="2"/>
  <c r="G3643" i="2"/>
  <c r="G3652" i="2"/>
  <c r="G3658" i="2"/>
  <c r="H3681" i="2"/>
  <c r="G3688" i="2"/>
  <c r="H3719" i="2"/>
  <c r="H3751" i="2"/>
  <c r="G3760" i="2"/>
  <c r="G3764" i="2"/>
  <c r="H3767" i="2"/>
  <c r="G3771" i="2"/>
  <c r="H3778" i="2"/>
  <c r="G3816" i="2"/>
  <c r="G3820" i="2"/>
  <c r="H3823" i="2"/>
  <c r="G3827" i="2"/>
  <c r="H3834" i="2"/>
  <c r="G3860" i="2"/>
  <c r="H3863" i="2"/>
  <c r="G3872" i="2"/>
  <c r="G3876" i="2"/>
  <c r="H3879" i="2"/>
  <c r="G3883" i="2"/>
  <c r="G3890" i="2"/>
  <c r="G3906" i="2"/>
  <c r="G3922" i="2"/>
  <c r="G3924" i="2"/>
  <c r="H3927" i="2"/>
  <c r="G4018" i="2"/>
  <c r="G4020" i="2"/>
  <c r="G4023" i="2"/>
  <c r="H4025" i="2"/>
  <c r="G4030" i="2"/>
  <c r="H4032" i="2"/>
  <c r="G4034" i="2"/>
  <c r="H4056" i="2"/>
  <c r="G4058" i="2"/>
  <c r="H4080" i="2"/>
  <c r="G4082" i="2"/>
  <c r="G4119" i="2"/>
  <c r="H4132" i="2"/>
  <c r="G4156" i="2"/>
  <c r="G4167" i="2"/>
  <c r="F4167" i="2"/>
  <c r="H4184" i="2"/>
  <c r="G4246" i="2"/>
  <c r="H4246" i="2"/>
  <c r="F4246" i="2"/>
  <c r="G4336" i="2"/>
  <c r="H4336" i="2"/>
  <c r="F4336" i="2"/>
  <c r="F4545" i="2"/>
  <c r="H4545" i="2"/>
  <c r="G4545" i="2"/>
  <c r="H4572" i="2"/>
  <c r="G4572" i="2"/>
  <c r="F4572" i="2"/>
  <c r="H4612" i="2"/>
  <c r="G4612" i="2"/>
  <c r="F4612" i="2"/>
  <c r="H4696" i="2"/>
  <c r="G4696" i="2"/>
  <c r="H4719" i="2"/>
  <c r="G4719" i="2"/>
  <c r="F4719" i="2"/>
  <c r="G3703" i="2"/>
  <c r="F3738" i="2"/>
  <c r="G3783" i="2"/>
  <c r="F3796" i="2"/>
  <c r="G3799" i="2"/>
  <c r="F3810" i="2"/>
  <c r="G3836" i="2"/>
  <c r="H3839" i="2"/>
  <c r="F3850" i="2"/>
  <c r="G3892" i="2"/>
  <c r="H3895" i="2"/>
  <c r="H3899" i="2"/>
  <c r="F3944" i="2"/>
  <c r="F3946" i="2"/>
  <c r="F3948" i="2"/>
  <c r="G3951" i="2"/>
  <c r="G3955" i="2"/>
  <c r="F3992" i="2"/>
  <c r="F4016" i="2"/>
  <c r="G4039" i="2"/>
  <c r="G4049" i="2"/>
  <c r="F4054" i="2"/>
  <c r="G4073" i="2"/>
  <c r="F4078" i="2"/>
  <c r="H4088" i="2"/>
  <c r="H4104" i="2"/>
  <c r="F4111" i="2"/>
  <c r="F4113" i="2"/>
  <c r="F4122" i="2"/>
  <c r="F4126" i="2"/>
  <c r="F4145" i="2"/>
  <c r="G4149" i="2"/>
  <c r="H4151" i="2"/>
  <c r="G4154" i="2"/>
  <c r="F4162" i="2"/>
  <c r="G4164" i="2"/>
  <c r="H4167" i="2"/>
  <c r="F4177" i="2"/>
  <c r="F4179" i="2"/>
  <c r="G4182" i="2"/>
  <c r="H4199" i="2"/>
  <c r="F4199" i="2"/>
  <c r="G4266" i="2"/>
  <c r="F4266" i="2"/>
  <c r="G4400" i="2"/>
  <c r="H4400" i="2"/>
  <c r="F4400" i="2"/>
  <c r="F3377" i="2"/>
  <c r="F3391" i="2"/>
  <c r="G3413" i="2"/>
  <c r="G3948" i="2"/>
  <c r="H3951" i="2"/>
  <c r="H3992" i="2"/>
  <c r="H4016" i="2"/>
  <c r="H4054" i="2"/>
  <c r="H4078" i="2"/>
  <c r="G4111" i="2"/>
  <c r="H4113" i="2"/>
  <c r="H4149" i="2"/>
  <c r="F4157" i="2"/>
  <c r="H4157" i="2"/>
  <c r="G4162" i="2"/>
  <c r="H4177" i="2"/>
  <c r="G4202" i="2"/>
  <c r="F4202" i="2"/>
  <c r="H4226" i="2"/>
  <c r="G4226" i="2"/>
  <c r="F4226" i="2"/>
  <c r="F4309" i="2"/>
  <c r="H4309" i="2"/>
  <c r="G4309" i="2"/>
  <c r="G4316" i="2"/>
  <c r="H4316" i="2"/>
  <c r="G4446" i="2"/>
  <c r="H4446" i="2"/>
  <c r="F4446" i="2"/>
  <c r="G4476" i="2"/>
  <c r="H4476" i="2"/>
  <c r="F4476" i="2"/>
  <c r="G4683" i="2"/>
  <c r="F4683" i="2"/>
  <c r="G4797" i="2"/>
  <c r="H4797" i="2"/>
  <c r="F4797" i="2"/>
  <c r="G4823" i="2"/>
  <c r="F4823" i="2"/>
  <c r="G4837" i="2"/>
  <c r="H4837" i="2"/>
  <c r="F4837" i="2"/>
  <c r="G4854" i="2"/>
  <c r="F4854" i="2"/>
  <c r="H5154" i="2"/>
  <c r="G5154" i="2"/>
  <c r="F5154" i="2"/>
  <c r="G5199" i="2"/>
  <c r="H5199" i="2"/>
  <c r="F4244" i="2"/>
  <c r="F4272" i="2"/>
  <c r="F4279" i="2"/>
  <c r="F4290" i="2"/>
  <c r="F4304" i="2"/>
  <c r="F4314" i="2"/>
  <c r="G4325" i="2"/>
  <c r="F4332" i="2"/>
  <c r="F4334" i="2"/>
  <c r="G4341" i="2"/>
  <c r="F4348" i="2"/>
  <c r="F4350" i="2"/>
  <c r="G4357" i="2"/>
  <c r="F4364" i="2"/>
  <c r="F4366" i="2"/>
  <c r="F4378" i="2"/>
  <c r="G4389" i="2"/>
  <c r="F4396" i="2"/>
  <c r="F4398" i="2"/>
  <c r="G4405" i="2"/>
  <c r="F4412" i="2"/>
  <c r="F4414" i="2"/>
  <c r="G4421" i="2"/>
  <c r="F4428" i="2"/>
  <c r="F4430" i="2"/>
  <c r="F4442" i="2"/>
  <c r="G4453" i="2"/>
  <c r="F4467" i="2"/>
  <c r="F4479" i="2"/>
  <c r="F4486" i="2"/>
  <c r="F4495" i="2"/>
  <c r="F4502" i="2"/>
  <c r="F4511" i="2"/>
  <c r="F4518" i="2"/>
  <c r="F4520" i="2"/>
  <c r="F4536" i="2"/>
  <c r="F4564" i="2"/>
  <c r="F4568" i="2"/>
  <c r="F4582" i="2"/>
  <c r="F4593" i="2"/>
  <c r="F4617" i="2"/>
  <c r="H4643" i="2"/>
  <c r="F4643" i="2"/>
  <c r="H4697" i="2"/>
  <c r="G4697" i="2"/>
  <c r="F4697" i="2"/>
  <c r="G4729" i="2"/>
  <c r="F4729" i="2"/>
  <c r="F4734" i="2"/>
  <c r="G4734" i="2"/>
  <c r="H4761" i="2"/>
  <c r="G4761" i="2"/>
  <c r="F4761" i="2"/>
  <c r="H4787" i="2"/>
  <c r="G4787" i="2"/>
  <c r="F4787" i="2"/>
  <c r="H4808" i="2"/>
  <c r="G4808" i="2"/>
  <c r="F4808" i="2"/>
  <c r="H4823" i="2"/>
  <c r="H4854" i="2"/>
  <c r="H5098" i="2"/>
  <c r="G5098" i="2"/>
  <c r="F5098" i="2"/>
  <c r="H4272" i="2"/>
  <c r="G4290" i="2"/>
  <c r="H4304" i="2"/>
  <c r="G4314" i="2"/>
  <c r="H4325" i="2"/>
  <c r="H4332" i="2"/>
  <c r="H4334" i="2"/>
  <c r="H4341" i="2"/>
  <c r="H4348" i="2"/>
  <c r="H4350" i="2"/>
  <c r="H4357" i="2"/>
  <c r="H4364" i="2"/>
  <c r="H4366" i="2"/>
  <c r="G4378" i="2"/>
  <c r="H4389" i="2"/>
  <c r="H4396" i="2"/>
  <c r="H4398" i="2"/>
  <c r="H4405" i="2"/>
  <c r="H4412" i="2"/>
  <c r="H4414" i="2"/>
  <c r="H4421" i="2"/>
  <c r="H4428" i="2"/>
  <c r="H4430" i="2"/>
  <c r="G4442" i="2"/>
  <c r="H4453" i="2"/>
  <c r="G4467" i="2"/>
  <c r="G4479" i="2"/>
  <c r="G4486" i="2"/>
  <c r="G4495" i="2"/>
  <c r="H4502" i="2"/>
  <c r="G4511" i="2"/>
  <c r="G4536" i="2"/>
  <c r="F4539" i="2"/>
  <c r="F4550" i="2"/>
  <c r="F4552" i="2"/>
  <c r="G4564" i="2"/>
  <c r="F4575" i="2"/>
  <c r="F4580" i="2"/>
  <c r="G4582" i="2"/>
  <c r="F4591" i="2"/>
  <c r="G4593" i="2"/>
  <c r="F4604" i="2"/>
  <c r="G4606" i="2"/>
  <c r="F4615" i="2"/>
  <c r="G4617" i="2"/>
  <c r="G4633" i="2"/>
  <c r="G4638" i="2"/>
  <c r="F4649" i="2"/>
  <c r="H4659" i="2"/>
  <c r="G4667" i="2"/>
  <c r="F4667" i="2"/>
  <c r="F4675" i="2"/>
  <c r="H4729" i="2"/>
  <c r="H5081" i="2"/>
  <c r="G5081" i="2"/>
  <c r="F5081" i="2"/>
  <c r="F4218" i="2"/>
  <c r="H4220" i="2"/>
  <c r="H4253" i="2"/>
  <c r="F4258" i="2"/>
  <c r="F4263" i="2"/>
  <c r="F4282" i="2"/>
  <c r="H4284" i="2"/>
  <c r="G4293" i="2"/>
  <c r="F4298" i="2"/>
  <c r="F4312" i="2"/>
  <c r="G4317" i="2"/>
  <c r="F4319" i="2"/>
  <c r="F4328" i="2"/>
  <c r="F4360" i="2"/>
  <c r="H4376" i="2"/>
  <c r="F4392" i="2"/>
  <c r="F4424" i="2"/>
  <c r="H4440" i="2"/>
  <c r="F4456" i="2"/>
  <c r="H4465" i="2"/>
  <c r="F4470" i="2"/>
  <c r="G4482" i="2"/>
  <c r="H4484" i="2"/>
  <c r="F4488" i="2"/>
  <c r="G4498" i="2"/>
  <c r="G4514" i="2"/>
  <c r="G4530" i="2"/>
  <c r="H4606" i="2"/>
  <c r="H4633" i="2"/>
  <c r="H4638" i="2"/>
  <c r="H4649" i="2"/>
  <c r="G4727" i="2"/>
  <c r="F4727" i="2"/>
  <c r="H4791" i="2"/>
  <c r="G4791" i="2"/>
  <c r="F4791" i="2"/>
  <c r="H4890" i="2"/>
  <c r="G4890" i="2"/>
  <c r="F4890" i="2"/>
  <c r="H4899" i="2"/>
  <c r="G4899" i="2"/>
  <c r="F4899" i="2"/>
  <c r="F4670" i="2"/>
  <c r="H4670" i="2"/>
  <c r="H4673" i="2"/>
  <c r="F4673" i="2"/>
  <c r="H4776" i="2"/>
  <c r="F4776" i="2"/>
  <c r="F4802" i="2"/>
  <c r="H4802" i="2"/>
  <c r="G4802" i="2"/>
  <c r="H4815" i="2"/>
  <c r="G4815" i="2"/>
  <c r="F4815" i="2"/>
  <c r="G4830" i="2"/>
  <c r="F4830" i="2"/>
  <c r="H4835" i="2"/>
  <c r="G4835" i="2"/>
  <c r="F4835" i="2"/>
  <c r="G4872" i="2"/>
  <c r="H4872" i="2"/>
  <c r="F4872" i="2"/>
  <c r="F4916" i="2"/>
  <c r="H4916" i="2"/>
  <c r="G4916" i="2"/>
  <c r="H5162" i="2"/>
  <c r="G5162" i="2"/>
  <c r="F5162" i="2"/>
  <c r="H5178" i="2"/>
  <c r="G5178" i="2"/>
  <c r="F5178" i="2"/>
  <c r="H4216" i="2"/>
  <c r="H4232" i="2"/>
  <c r="H4240" i="2"/>
  <c r="H4245" i="2"/>
  <c r="G4247" i="2"/>
  <c r="F4278" i="2"/>
  <c r="H4280" i="2"/>
  <c r="F4296" i="2"/>
  <c r="H4310" i="2"/>
  <c r="F4324" i="2"/>
  <c r="F4326" i="2"/>
  <c r="G4333" i="2"/>
  <c r="F4340" i="2"/>
  <c r="F4342" i="2"/>
  <c r="H4344" i="2"/>
  <c r="G4349" i="2"/>
  <c r="F4356" i="2"/>
  <c r="F4358" i="2"/>
  <c r="G4365" i="2"/>
  <c r="F4370" i="2"/>
  <c r="H4372" i="2"/>
  <c r="H4374" i="2"/>
  <c r="H4381" i="2"/>
  <c r="F4388" i="2"/>
  <c r="F4390" i="2"/>
  <c r="G4397" i="2"/>
  <c r="F4404" i="2"/>
  <c r="F4406" i="2"/>
  <c r="H4408" i="2"/>
  <c r="G4413" i="2"/>
  <c r="F4420" i="2"/>
  <c r="F4422" i="2"/>
  <c r="G4429" i="2"/>
  <c r="F4434" i="2"/>
  <c r="H4436" i="2"/>
  <c r="H4438" i="2"/>
  <c r="H4445" i="2"/>
  <c r="F4452" i="2"/>
  <c r="F4454" i="2"/>
  <c r="G4472" i="2"/>
  <c r="H4491" i="2"/>
  <c r="F4503" i="2"/>
  <c r="F4505" i="2"/>
  <c r="G4510" i="2"/>
  <c r="F4517" i="2"/>
  <c r="H4521" i="2"/>
  <c r="F4524" i="2"/>
  <c r="F4533" i="2"/>
  <c r="F4537" i="2"/>
  <c r="F4540" i="2"/>
  <c r="F4551" i="2"/>
  <c r="F4553" i="2"/>
  <c r="H4587" i="2"/>
  <c r="F4596" i="2"/>
  <c r="F4611" i="2"/>
  <c r="G4620" i="2"/>
  <c r="F4625" i="2"/>
  <c r="H4644" i="2"/>
  <c r="G4647" i="2"/>
  <c r="H4652" i="2"/>
  <c r="F4655" i="2"/>
  <c r="F4660" i="2"/>
  <c r="G4670" i="2"/>
  <c r="G4673" i="2"/>
  <c r="G4676" i="2"/>
  <c r="H4679" i="2"/>
  <c r="G4679" i="2"/>
  <c r="H4687" i="2"/>
  <c r="F4687" i="2"/>
  <c r="H4695" i="2"/>
  <c r="G4695" i="2"/>
  <c r="F4695" i="2"/>
  <c r="G4699" i="2"/>
  <c r="H4699" i="2"/>
  <c r="H4759" i="2"/>
  <c r="G4759" i="2"/>
  <c r="F4759" i="2"/>
  <c r="H4785" i="2"/>
  <c r="G4785" i="2"/>
  <c r="F4785" i="2"/>
  <c r="H4792" i="2"/>
  <c r="G4792" i="2"/>
  <c r="F4792" i="2"/>
  <c r="H4830" i="2"/>
  <c r="G4880" i="2"/>
  <c r="H4880" i="2"/>
  <c r="F4880" i="2"/>
  <c r="G4888" i="2"/>
  <c r="H4888" i="2"/>
  <c r="F4888" i="2"/>
  <c r="H4278" i="2"/>
  <c r="H4296" i="2"/>
  <c r="H4324" i="2"/>
  <c r="H4326" i="2"/>
  <c r="H4333" i="2"/>
  <c r="H4340" i="2"/>
  <c r="H4342" i="2"/>
  <c r="H4349" i="2"/>
  <c r="H4356" i="2"/>
  <c r="H4358" i="2"/>
  <c r="H4365" i="2"/>
  <c r="H4388" i="2"/>
  <c r="H4390" i="2"/>
  <c r="H4397" i="2"/>
  <c r="H4404" i="2"/>
  <c r="H4406" i="2"/>
  <c r="H4413" i="2"/>
  <c r="H4420" i="2"/>
  <c r="H4422" i="2"/>
  <c r="H4429" i="2"/>
  <c r="H4452" i="2"/>
  <c r="H4454" i="2"/>
  <c r="H4510" i="2"/>
  <c r="H4517" i="2"/>
  <c r="H4553" i="2"/>
  <c r="H4655" i="2"/>
  <c r="H4660" i="2"/>
  <c r="H4676" i="2"/>
  <c r="H4736" i="2"/>
  <c r="G4736" i="2"/>
  <c r="H4796" i="2"/>
  <c r="G4796" i="2"/>
  <c r="F4796" i="2"/>
  <c r="H4816" i="2"/>
  <c r="G4816" i="2"/>
  <c r="F4816" i="2"/>
  <c r="H4822" i="2"/>
  <c r="G4822" i="2"/>
  <c r="F4822" i="2"/>
  <c r="G4703" i="2"/>
  <c r="G4705" i="2"/>
  <c r="G4721" i="2"/>
  <c r="G4740" i="2"/>
  <c r="G4744" i="2"/>
  <c r="G4748" i="2"/>
  <c r="G4763" i="2"/>
  <c r="G4780" i="2"/>
  <c r="H4789" i="2"/>
  <c r="G4841" i="2"/>
  <c r="G4856" i="2"/>
  <c r="H4863" i="2"/>
  <c r="G4867" i="2"/>
  <c r="H4884" i="2"/>
  <c r="G4886" i="2"/>
  <c r="G4895" i="2"/>
  <c r="G4907" i="2"/>
  <c r="G4927" i="2"/>
  <c r="G4938" i="2"/>
  <c r="G4943" i="2"/>
  <c r="G4954" i="2"/>
  <c r="G4970" i="2"/>
  <c r="G4986" i="2"/>
  <c r="G4991" i="2"/>
  <c r="H5205" i="2"/>
  <c r="F5205" i="2"/>
  <c r="H5387" i="2"/>
  <c r="G5387" i="2"/>
  <c r="H5517" i="2"/>
  <c r="F5517" i="2"/>
  <c r="G5517" i="2"/>
  <c r="F5560" i="2"/>
  <c r="H5560" i="2"/>
  <c r="G5560" i="2"/>
  <c r="F4860" i="2"/>
  <c r="F4914" i="2"/>
  <c r="F4919" i="2"/>
  <c r="F4921" i="2"/>
  <c r="H4941" i="2"/>
  <c r="H4957" i="2"/>
  <c r="H4973" i="2"/>
  <c r="H5005" i="2"/>
  <c r="H5021" i="2"/>
  <c r="H5037" i="2"/>
  <c r="H5069" i="2"/>
  <c r="H5101" i="2"/>
  <c r="H5111" i="2"/>
  <c r="G5111" i="2"/>
  <c r="F5129" i="2"/>
  <c r="H5165" i="2"/>
  <c r="H5170" i="2"/>
  <c r="F5170" i="2"/>
  <c r="G5181" i="2"/>
  <c r="H5181" i="2"/>
  <c r="G5205" i="2"/>
  <c r="H5218" i="2"/>
  <c r="G5218" i="2"/>
  <c r="F5218" i="2"/>
  <c r="G5225" i="2"/>
  <c r="H5225" i="2"/>
  <c r="F5308" i="2"/>
  <c r="H5308" i="2"/>
  <c r="G5308" i="2"/>
  <c r="G5342" i="2"/>
  <c r="H5342" i="2"/>
  <c r="H5444" i="2"/>
  <c r="G5444" i="2"/>
  <c r="G4914" i="2"/>
  <c r="G4919" i="2"/>
  <c r="G4921" i="2"/>
  <c r="F4953" i="2"/>
  <c r="F4962" i="2"/>
  <c r="F4969" i="2"/>
  <c r="F4978" i="2"/>
  <c r="F4985" i="2"/>
  <c r="H4989" i="2"/>
  <c r="F5001" i="2"/>
  <c r="F5017" i="2"/>
  <c r="F5026" i="2"/>
  <c r="F5033" i="2"/>
  <c r="F5042" i="2"/>
  <c r="F5049" i="2"/>
  <c r="H5053" i="2"/>
  <c r="F5065" i="2"/>
  <c r="F5079" i="2"/>
  <c r="F5087" i="2"/>
  <c r="F5106" i="2"/>
  <c r="F5111" i="2"/>
  <c r="F5119" i="2"/>
  <c r="G5129" i="2"/>
  <c r="F5145" i="2"/>
  <c r="G5170" i="2"/>
  <c r="F4700" i="2"/>
  <c r="G4702" i="2"/>
  <c r="F4713" i="2"/>
  <c r="H4715" i="2"/>
  <c r="F4724" i="2"/>
  <c r="F4735" i="2"/>
  <c r="F4737" i="2"/>
  <c r="F4745" i="2"/>
  <c r="G4766" i="2"/>
  <c r="F4775" i="2"/>
  <c r="F4777" i="2"/>
  <c r="F4790" i="2"/>
  <c r="F4799" i="2"/>
  <c r="F4807" i="2"/>
  <c r="G4827" i="2"/>
  <c r="F4840" i="2"/>
  <c r="F4847" i="2"/>
  <c r="F4849" i="2"/>
  <c r="F4871" i="2"/>
  <c r="F4879" i="2"/>
  <c r="F4883" i="2"/>
  <c r="G4885" i="2"/>
  <c r="F4898" i="2"/>
  <c r="F4902" i="2"/>
  <c r="F4908" i="2"/>
  <c r="F4930" i="2"/>
  <c r="F4935" i="2"/>
  <c r="F4946" i="2"/>
  <c r="F4951" i="2"/>
  <c r="H5079" i="2"/>
  <c r="G5106" i="2"/>
  <c r="H5127" i="2"/>
  <c r="G5127" i="2"/>
  <c r="G5145" i="2"/>
  <c r="H5190" i="2"/>
  <c r="G5190" i="2"/>
  <c r="H5197" i="2"/>
  <c r="G5197" i="2"/>
  <c r="F5197" i="2"/>
  <c r="H5541" i="2"/>
  <c r="G5541" i="2"/>
  <c r="F5541" i="2"/>
  <c r="H5143" i="2"/>
  <c r="G5143" i="2"/>
  <c r="H5161" i="2"/>
  <c r="F5161" i="2"/>
  <c r="H5177" i="2"/>
  <c r="F5177" i="2"/>
  <c r="F5190" i="2"/>
  <c r="F5261" i="2"/>
  <c r="H5261" i="2"/>
  <c r="G5261" i="2"/>
  <c r="H5276" i="2"/>
  <c r="G5276" i="2"/>
  <c r="F5276" i="2"/>
  <c r="F5429" i="2"/>
  <c r="H5429" i="2"/>
  <c r="G5429" i="2"/>
  <c r="G5510" i="2"/>
  <c r="H5510" i="2"/>
  <c r="F5510" i="2"/>
  <c r="H4818" i="2"/>
  <c r="G4869" i="2"/>
  <c r="G4887" i="2"/>
  <c r="F4891" i="2"/>
  <c r="F4913" i="2"/>
  <c r="H4933" i="2"/>
  <c r="F4961" i="2"/>
  <c r="H4965" i="2"/>
  <c r="F4977" i="2"/>
  <c r="H4981" i="2"/>
  <c r="H4997" i="2"/>
  <c r="F5025" i="2"/>
  <c r="H5029" i="2"/>
  <c r="F5041" i="2"/>
  <c r="H5045" i="2"/>
  <c r="H5061" i="2"/>
  <c r="H5077" i="2"/>
  <c r="H5085" i="2"/>
  <c r="G5097" i="2"/>
  <c r="H5117" i="2"/>
  <c r="H5122" i="2"/>
  <c r="G5122" i="2"/>
  <c r="F5130" i="2"/>
  <c r="F5143" i="2"/>
  <c r="G5161" i="2"/>
  <c r="G5177" i="2"/>
  <c r="H5210" i="2"/>
  <c r="F5210" i="2"/>
  <c r="H5213" i="2"/>
  <c r="G5213" i="2"/>
  <c r="F5213" i="2"/>
  <c r="G5223" i="2"/>
  <c r="H5223" i="2"/>
  <c r="H5303" i="2"/>
  <c r="F5303" i="2"/>
  <c r="F5375" i="2"/>
  <c r="H5375" i="2"/>
  <c r="G5375" i="2"/>
  <c r="H5507" i="2"/>
  <c r="G5507" i="2"/>
  <c r="F5507" i="2"/>
  <c r="H4869" i="2"/>
  <c r="H5138" i="2"/>
  <c r="G5138" i="2"/>
  <c r="H5310" i="2"/>
  <c r="G5310" i="2"/>
  <c r="F5310" i="2"/>
  <c r="F5426" i="2"/>
  <c r="H5426" i="2"/>
  <c r="G5426" i="2"/>
  <c r="H5412" i="2"/>
  <c r="G5412" i="2"/>
  <c r="H5460" i="2"/>
  <c r="F5460" i="2"/>
  <c r="G5531" i="2"/>
  <c r="F5531" i="2"/>
  <c r="F5567" i="2"/>
  <c r="H5567" i="2"/>
  <c r="G5567" i="2"/>
  <c r="G5684" i="2"/>
  <c r="H5684" i="2"/>
  <c r="F5684" i="2"/>
  <c r="H5765" i="2"/>
  <c r="G5765" i="2"/>
  <c r="H5877" i="2"/>
  <c r="F5877" i="2"/>
  <c r="H5920" i="2"/>
  <c r="G5920" i="2"/>
  <c r="F5920" i="2"/>
  <c r="H5404" i="2"/>
  <c r="G5404" i="2"/>
  <c r="F5421" i="2"/>
  <c r="H5421" i="2"/>
  <c r="G5494" i="2"/>
  <c r="F5494" i="2"/>
  <c r="H5748" i="2"/>
  <c r="G5748" i="2"/>
  <c r="F5748" i="2"/>
  <c r="F5233" i="2"/>
  <c r="F5250" i="2"/>
  <c r="H5284" i="2"/>
  <c r="H5289" i="2"/>
  <c r="G5301" i="2"/>
  <c r="F5316" i="2"/>
  <c r="G5340" i="2"/>
  <c r="F5345" i="2"/>
  <c r="F5362" i="2"/>
  <c r="F5370" i="2"/>
  <c r="F5402" i="2"/>
  <c r="F5404" i="2"/>
  <c r="H5418" i="2"/>
  <c r="G5421" i="2"/>
  <c r="H5442" i="2"/>
  <c r="F5442" i="2"/>
  <c r="F5455" i="2"/>
  <c r="H5494" i="2"/>
  <c r="F5500" i="2"/>
  <c r="H5505" i="2"/>
  <c r="H5508" i="2"/>
  <c r="F5508" i="2"/>
  <c r="H5539" i="2"/>
  <c r="H5571" i="2"/>
  <c r="G5571" i="2"/>
  <c r="F5571" i="2"/>
  <c r="H5574" i="2"/>
  <c r="G5574" i="2"/>
  <c r="F5574" i="2"/>
  <c r="H5681" i="2"/>
  <c r="F5681" i="2"/>
  <c r="F5226" i="2"/>
  <c r="F5231" i="2"/>
  <c r="G5233" i="2"/>
  <c r="G5250" i="2"/>
  <c r="H5255" i="2"/>
  <c r="F5266" i="2"/>
  <c r="F5282" i="2"/>
  <c r="H5301" i="2"/>
  <c r="F5314" i="2"/>
  <c r="G5316" i="2"/>
  <c r="H5321" i="2"/>
  <c r="F5330" i="2"/>
  <c r="G5335" i="2"/>
  <c r="F5338" i="2"/>
  <c r="H5340" i="2"/>
  <c r="G5343" i="2"/>
  <c r="G5345" i="2"/>
  <c r="G5350" i="2"/>
  <c r="G5357" i="2"/>
  <c r="G5362" i="2"/>
  <c r="G5370" i="2"/>
  <c r="G5402" i="2"/>
  <c r="G5416" i="2"/>
  <c r="H5416" i="2"/>
  <c r="H5427" i="2"/>
  <c r="G5427" i="2"/>
  <c r="G5442" i="2"/>
  <c r="F5450" i="2"/>
  <c r="H5455" i="2"/>
  <c r="H5458" i="2"/>
  <c r="F5458" i="2"/>
  <c r="F5471" i="2"/>
  <c r="H5488" i="2"/>
  <c r="F5488" i="2"/>
  <c r="H5500" i="2"/>
  <c r="G5558" i="2"/>
  <c r="H5558" i="2"/>
  <c r="G5562" i="2"/>
  <c r="F5562" i="2"/>
  <c r="H5580" i="2"/>
  <c r="G5580" i="2"/>
  <c r="F5580" i="2"/>
  <c r="G5586" i="2"/>
  <c r="H5586" i="2"/>
  <c r="F5586" i="2"/>
  <c r="F5663" i="2"/>
  <c r="H5663" i="2"/>
  <c r="H5709" i="2"/>
  <c r="G5709" i="2"/>
  <c r="F5709" i="2"/>
  <c r="H5805" i="2"/>
  <c r="F5805" i="2"/>
  <c r="F5836" i="2"/>
  <c r="H5836" i="2"/>
  <c r="G5836" i="2"/>
  <c r="G5226" i="2"/>
  <c r="G5231" i="2"/>
  <c r="G5266" i="2"/>
  <c r="G5282" i="2"/>
  <c r="G5314" i="2"/>
  <c r="G5330" i="2"/>
  <c r="G5338" i="2"/>
  <c r="H5343" i="2"/>
  <c r="H5350" i="2"/>
  <c r="G5355" i="2"/>
  <c r="H5357" i="2"/>
  <c r="F5368" i="2"/>
  <c r="F5376" i="2"/>
  <c r="G5386" i="2"/>
  <c r="G5394" i="2"/>
  <c r="F5400" i="2"/>
  <c r="F5405" i="2"/>
  <c r="G5405" i="2"/>
  <c r="F5416" i="2"/>
  <c r="H5450" i="2"/>
  <c r="G5458" i="2"/>
  <c r="F5466" i="2"/>
  <c r="F5477" i="2"/>
  <c r="G5477" i="2"/>
  <c r="G5488" i="2"/>
  <c r="G5516" i="2"/>
  <c r="F5519" i="2"/>
  <c r="G5519" i="2"/>
  <c r="G5540" i="2"/>
  <c r="F5540" i="2"/>
  <c r="F5543" i="2"/>
  <c r="G5543" i="2"/>
  <c r="H5562" i="2"/>
  <c r="H5678" i="2"/>
  <c r="G5678" i="2"/>
  <c r="F5678" i="2"/>
  <c r="G5918" i="2"/>
  <c r="H5918" i="2"/>
  <c r="F5918" i="2"/>
  <c r="G5934" i="2"/>
  <c r="H5934" i="2"/>
  <c r="F5934" i="2"/>
  <c r="G5159" i="2"/>
  <c r="G5175" i="2"/>
  <c r="G5186" i="2"/>
  <c r="F5189" i="2"/>
  <c r="G5202" i="2"/>
  <c r="G5204" i="2"/>
  <c r="G5209" i="2"/>
  <c r="H5221" i="2"/>
  <c r="G5229" i="2"/>
  <c r="G5242" i="2"/>
  <c r="G5244" i="2"/>
  <c r="F5246" i="2"/>
  <c r="G5253" i="2"/>
  <c r="G5258" i="2"/>
  <c r="G5260" i="2"/>
  <c r="H5269" i="2"/>
  <c r="G5277" i="2"/>
  <c r="G5285" i="2"/>
  <c r="H5287" i="2"/>
  <c r="F5290" i="2"/>
  <c r="F5295" i="2"/>
  <c r="G5297" i="2"/>
  <c r="H5309" i="2"/>
  <c r="H5319" i="2"/>
  <c r="G5333" i="2"/>
  <c r="H5368" i="2"/>
  <c r="H5376" i="2"/>
  <c r="H5381" i="2"/>
  <c r="F5384" i="2"/>
  <c r="F5392" i="2"/>
  <c r="H5400" i="2"/>
  <c r="H5405" i="2"/>
  <c r="G5419" i="2"/>
  <c r="G5440" i="2"/>
  <c r="F5440" i="2"/>
  <c r="H5443" i="2"/>
  <c r="G5443" i="2"/>
  <c r="H5466" i="2"/>
  <c r="F5474" i="2"/>
  <c r="H5477" i="2"/>
  <c r="G5486" i="2"/>
  <c r="F5491" i="2"/>
  <c r="H5516" i="2"/>
  <c r="H5519" i="2"/>
  <c r="H5532" i="2"/>
  <c r="H5540" i="2"/>
  <c r="H5543" i="2"/>
  <c r="F5599" i="2"/>
  <c r="H5599" i="2"/>
  <c r="G5599" i="2"/>
  <c r="H5704" i="2"/>
  <c r="G5704" i="2"/>
  <c r="F5704" i="2"/>
  <c r="H5757" i="2"/>
  <c r="F5757" i="2"/>
  <c r="H5229" i="2"/>
  <c r="G5246" i="2"/>
  <c r="H5253" i="2"/>
  <c r="H5277" i="2"/>
  <c r="H5285" i="2"/>
  <c r="G5305" i="2"/>
  <c r="G5317" i="2"/>
  <c r="H5333" i="2"/>
  <c r="H5384" i="2"/>
  <c r="H5392" i="2"/>
  <c r="H5411" i="2"/>
  <c r="G5411" i="2"/>
  <c r="F5423" i="2"/>
  <c r="G5423" i="2"/>
  <c r="G5432" i="2"/>
  <c r="F5432" i="2"/>
  <c r="F5437" i="2"/>
  <c r="G5437" i="2"/>
  <c r="H5440" i="2"/>
  <c r="H5459" i="2"/>
  <c r="G5459" i="2"/>
  <c r="H5474" i="2"/>
  <c r="H5486" i="2"/>
  <c r="H5491" i="2"/>
  <c r="F5496" i="2"/>
  <c r="G5496" i="2"/>
  <c r="F5527" i="2"/>
  <c r="H5527" i="2"/>
  <c r="H5546" i="2"/>
  <c r="H5552" i="2"/>
  <c r="G5552" i="2"/>
  <c r="F5552" i="2"/>
  <c r="H5831" i="2"/>
  <c r="F5831" i="2"/>
  <c r="H5520" i="2"/>
  <c r="G5606" i="2"/>
  <c r="H5608" i="2"/>
  <c r="H5626" i="2"/>
  <c r="F5638" i="2"/>
  <c r="G5638" i="2"/>
  <c r="H5640" i="2"/>
  <c r="H5671" i="2"/>
  <c r="G5720" i="2"/>
  <c r="H5720" i="2"/>
  <c r="H5735" i="2"/>
  <c r="H5740" i="2"/>
  <c r="H5742" i="2"/>
  <c r="H5745" i="2"/>
  <c r="H5753" i="2"/>
  <c r="G5755" i="2"/>
  <c r="H5780" i="2"/>
  <c r="H5797" i="2"/>
  <c r="H5808" i="2"/>
  <c r="H5824" i="2"/>
  <c r="H5840" i="2"/>
  <c r="H5845" i="2"/>
  <c r="H5847" i="2"/>
  <c r="F5860" i="2"/>
  <c r="G5860" i="2"/>
  <c r="H5884" i="2"/>
  <c r="H5925" i="2"/>
  <c r="H5927" i="2"/>
  <c r="F5715" i="2"/>
  <c r="H5715" i="2"/>
  <c r="H5895" i="2"/>
  <c r="F5895" i="2"/>
  <c r="F5595" i="2"/>
  <c r="H5597" i="2"/>
  <c r="F5597" i="2"/>
  <c r="F5617" i="2"/>
  <c r="G5619" i="2"/>
  <c r="F5644" i="2"/>
  <c r="F5659" i="2"/>
  <c r="F5688" i="2"/>
  <c r="F5692" i="2"/>
  <c r="H5694" i="2"/>
  <c r="F5697" i="2"/>
  <c r="G5715" i="2"/>
  <c r="H5741" i="2"/>
  <c r="F5741" i="2"/>
  <c r="F5779" i="2"/>
  <c r="H5779" i="2"/>
  <c r="G5865" i="2"/>
  <c r="F5893" i="2"/>
  <c r="G5893" i="2"/>
  <c r="G5895" i="2"/>
  <c r="F5903" i="2"/>
  <c r="F5905" i="2"/>
  <c r="G5926" i="2"/>
  <c r="F5926" i="2"/>
  <c r="G5565" i="2"/>
  <c r="H5584" i="2"/>
  <c r="H5590" i="2"/>
  <c r="G5590" i="2"/>
  <c r="G5595" i="2"/>
  <c r="G5597" i="2"/>
  <c r="G5607" i="2"/>
  <c r="H5617" i="2"/>
  <c r="H5619" i="2"/>
  <c r="F5625" i="2"/>
  <c r="F5627" i="2"/>
  <c r="G5632" i="2"/>
  <c r="G5639" i="2"/>
  <c r="G5644" i="2"/>
  <c r="F5646" i="2"/>
  <c r="G5659" i="2"/>
  <c r="F5670" i="2"/>
  <c r="G5670" i="2"/>
  <c r="G5672" i="2"/>
  <c r="H5682" i="2"/>
  <c r="G5692" i="2"/>
  <c r="G5697" i="2"/>
  <c r="F5700" i="2"/>
  <c r="G5734" i="2"/>
  <c r="F5736" i="2"/>
  <c r="G5739" i="2"/>
  <c r="H5739" i="2"/>
  <c r="G5741" i="2"/>
  <c r="F5752" i="2"/>
  <c r="F5754" i="2"/>
  <c r="F5756" i="2"/>
  <c r="G5761" i="2"/>
  <c r="F5764" i="2"/>
  <c r="G5779" i="2"/>
  <c r="F5804" i="2"/>
  <c r="F5809" i="2"/>
  <c r="G5811" i="2"/>
  <c r="F5813" i="2"/>
  <c r="F5818" i="2"/>
  <c r="G5832" i="2"/>
  <c r="H5839" i="2"/>
  <c r="F5846" i="2"/>
  <c r="F5848" i="2"/>
  <c r="F5854" i="2"/>
  <c r="G5868" i="2"/>
  <c r="H5870" i="2"/>
  <c r="G5875" i="2"/>
  <c r="H5881" i="2"/>
  <c r="F5881" i="2"/>
  <c r="H5893" i="2"/>
  <c r="G5905" i="2"/>
  <c r="H5926" i="2"/>
  <c r="F5935" i="2"/>
  <c r="F5937" i="2"/>
  <c r="H5607" i="2"/>
  <c r="G5625" i="2"/>
  <c r="H5627" i="2"/>
  <c r="H5632" i="2"/>
  <c r="H5639" i="2"/>
  <c r="G5646" i="2"/>
  <c r="H5672" i="2"/>
  <c r="G5700" i="2"/>
  <c r="F5703" i="2"/>
  <c r="H5703" i="2"/>
  <c r="H5734" i="2"/>
  <c r="G5736" i="2"/>
  <c r="H5752" i="2"/>
  <c r="H5754" i="2"/>
  <c r="G5756" i="2"/>
  <c r="G5764" i="2"/>
  <c r="F5767" i="2"/>
  <c r="H5767" i="2"/>
  <c r="G5804" i="2"/>
  <c r="G5809" i="2"/>
  <c r="H5811" i="2"/>
  <c r="G5813" i="2"/>
  <c r="H5818" i="2"/>
  <c r="F5821" i="2"/>
  <c r="H5821" i="2"/>
  <c r="H5832" i="2"/>
  <c r="H5846" i="2"/>
  <c r="G5848" i="2"/>
  <c r="H5854" i="2"/>
  <c r="H5879" i="2"/>
  <c r="F5879" i="2"/>
  <c r="F5919" i="2"/>
  <c r="H5921" i="2"/>
  <c r="F5921" i="2"/>
  <c r="F5933" i="2"/>
  <c r="H5935" i="2"/>
  <c r="G5937" i="2"/>
  <c r="F5603" i="2"/>
  <c r="H5613" i="2"/>
  <c r="F5613" i="2"/>
  <c r="F5637" i="2"/>
  <c r="F5652" i="2"/>
  <c r="G5665" i="2"/>
  <c r="G5689" i="2"/>
  <c r="F5691" i="2"/>
  <c r="G5703" i="2"/>
  <c r="H5713" i="2"/>
  <c r="F5864" i="2"/>
  <c r="G5871" i="2"/>
  <c r="H5871" i="2"/>
  <c r="H5873" i="2"/>
  <c r="F5873" i="2"/>
  <c r="F5896" i="2"/>
  <c r="F5901" i="2"/>
  <c r="F5904" i="2"/>
  <c r="F5912" i="2"/>
  <c r="H5917" i="2"/>
  <c r="G5919" i="2"/>
  <c r="G5637" i="2"/>
  <c r="G5643" i="2"/>
  <c r="F5643" i="2"/>
  <c r="H5652" i="2"/>
  <c r="H5665" i="2"/>
  <c r="H5689" i="2"/>
  <c r="F5696" i="2"/>
  <c r="H5696" i="2"/>
  <c r="G5719" i="2"/>
  <c r="F5724" i="2"/>
  <c r="F5760" i="2"/>
  <c r="G5760" i="2"/>
  <c r="H5777" i="2"/>
  <c r="H5869" i="2"/>
  <c r="G5869" i="2"/>
  <c r="F5871" i="2"/>
  <c r="G5873" i="2"/>
  <c r="H5891" i="2"/>
  <c r="F5894" i="2"/>
  <c r="F5906" i="2"/>
  <c r="G5912" i="2"/>
  <c r="H5946" i="2"/>
  <c r="F5953" i="2"/>
  <c r="F5957" i="2"/>
  <c r="F5984" i="2"/>
  <c r="F5988" i="2"/>
  <c r="F5990" i="2"/>
  <c r="F5944" i="2"/>
  <c r="G5953" i="2"/>
  <c r="G5975" i="2"/>
  <c r="G5984" i="2"/>
  <c r="H5986" i="2"/>
  <c r="G5988" i="2"/>
  <c r="H5990" i="2"/>
  <c r="H5995" i="2"/>
  <c r="F5997" i="2"/>
  <c r="G5940" i="2"/>
  <c r="F5942" i="2"/>
  <c r="G5944" i="2"/>
  <c r="F5960" i="2"/>
  <c r="G5967" i="2"/>
  <c r="H5971" i="2"/>
  <c r="F5973" i="2"/>
  <c r="H5975" i="2"/>
  <c r="G5997" i="2"/>
  <c r="F6000" i="2"/>
  <c r="F5952" i="2"/>
  <c r="F5956" i="2"/>
  <c r="F5958" i="2"/>
  <c r="G5960" i="2"/>
  <c r="H5967" i="2"/>
  <c r="G5969" i="2"/>
  <c r="G5973" i="2"/>
  <c r="F5980" i="2"/>
  <c r="H5982" i="2"/>
  <c r="G6000" i="2"/>
  <c r="G5952" i="2"/>
  <c r="H5954" i="2"/>
  <c r="G5956" i="2"/>
  <c r="H5958" i="2"/>
  <c r="H5963" i="2"/>
  <c r="F5965" i="2"/>
  <c r="G5980" i="2"/>
  <c r="G5987" i="2"/>
  <c r="G5991" i="2"/>
  <c r="G5993" i="2"/>
  <c r="C13" i="3"/>
  <c r="C9" i="3"/>
  <c r="C5" i="3"/>
  <c r="C12" i="3"/>
  <c r="C8" i="3"/>
  <c r="C15" i="3"/>
  <c r="C11" i="3"/>
  <c r="H920" i="2"/>
  <c r="G920" i="2"/>
  <c r="H928" i="2"/>
  <c r="G928" i="2"/>
  <c r="H948" i="2"/>
  <c r="G948" i="2"/>
  <c r="F948" i="2"/>
  <c r="H1084" i="2"/>
  <c r="F1084" i="2"/>
  <c r="G1084" i="2"/>
  <c r="H1116" i="2"/>
  <c r="F1116" i="2"/>
  <c r="G1116" i="2"/>
  <c r="H1150" i="2"/>
  <c r="F1150" i="2"/>
  <c r="G1150" i="2"/>
  <c r="H1182" i="2"/>
  <c r="F1182" i="2"/>
  <c r="G1182" i="2"/>
  <c r="H4" i="2"/>
  <c r="F6" i="2"/>
  <c r="H12" i="2"/>
  <c r="F14" i="2"/>
  <c r="H20" i="2"/>
  <c r="F22" i="2"/>
  <c r="H28" i="2"/>
  <c r="F30" i="2"/>
  <c r="H36" i="2"/>
  <c r="F38" i="2"/>
  <c r="H44" i="2"/>
  <c r="F46" i="2"/>
  <c r="H52" i="2"/>
  <c r="F54" i="2"/>
  <c r="H60" i="2"/>
  <c r="F62" i="2"/>
  <c r="H68" i="2"/>
  <c r="F70" i="2"/>
  <c r="H76" i="2"/>
  <c r="F78" i="2"/>
  <c r="H84" i="2"/>
  <c r="F86" i="2"/>
  <c r="H92" i="2"/>
  <c r="F94" i="2"/>
  <c r="H100" i="2"/>
  <c r="F102" i="2"/>
  <c r="H108" i="2"/>
  <c r="F110" i="2"/>
  <c r="H116" i="2"/>
  <c r="F118" i="2"/>
  <c r="H124" i="2"/>
  <c r="F126" i="2"/>
  <c r="H132" i="2"/>
  <c r="F134" i="2"/>
  <c r="H140" i="2"/>
  <c r="F142" i="2"/>
  <c r="H150" i="2"/>
  <c r="F152" i="2"/>
  <c r="H158" i="2"/>
  <c r="F160" i="2"/>
  <c r="H166" i="2"/>
  <c r="F168" i="2"/>
  <c r="F763" i="2"/>
  <c r="F779" i="2"/>
  <c r="F795" i="2"/>
  <c r="F811" i="2"/>
  <c r="H821" i="2"/>
  <c r="F827" i="2"/>
  <c r="F843" i="2"/>
  <c r="F868" i="2"/>
  <c r="F884" i="2"/>
  <c r="H908" i="2"/>
  <c r="G908" i="2"/>
  <c r="F920" i="2"/>
  <c r="F928" i="2"/>
  <c r="G999" i="2"/>
  <c r="H999" i="2"/>
  <c r="F999" i="2"/>
  <c r="F1012" i="2"/>
  <c r="H1012" i="2"/>
  <c r="G1012" i="2"/>
  <c r="F1044" i="2"/>
  <c r="H1044" i="2"/>
  <c r="G1044" i="2"/>
  <c r="G6" i="2"/>
  <c r="G14" i="2"/>
  <c r="G22" i="2"/>
  <c r="G30" i="2"/>
  <c r="G38" i="2"/>
  <c r="G46" i="2"/>
  <c r="G54" i="2"/>
  <c r="G62" i="2"/>
  <c r="G70" i="2"/>
  <c r="G78" i="2"/>
  <c r="G86" i="2"/>
  <c r="G94" i="2"/>
  <c r="G102" i="2"/>
  <c r="G110" i="2"/>
  <c r="G118" i="2"/>
  <c r="G126" i="2"/>
  <c r="G134" i="2"/>
  <c r="G142" i="2"/>
  <c r="G152" i="2"/>
  <c r="G160" i="2"/>
  <c r="G168" i="2"/>
  <c r="H763" i="2"/>
  <c r="H779" i="2"/>
  <c r="H795" i="2"/>
  <c r="H811" i="2"/>
  <c r="H827" i="2"/>
  <c r="H843" i="2"/>
  <c r="H868" i="2"/>
  <c r="H884" i="2"/>
  <c r="H896" i="2"/>
  <c r="G896" i="2"/>
  <c r="H940" i="2"/>
  <c r="G940" i="2"/>
  <c r="H952" i="2"/>
  <c r="G952" i="2"/>
  <c r="F952" i="2"/>
  <c r="G983" i="2"/>
  <c r="H983" i="2"/>
  <c r="F983" i="2"/>
  <c r="H1228" i="2"/>
  <c r="F1228" i="2"/>
  <c r="G1228" i="2"/>
  <c r="F8" i="2"/>
  <c r="F16" i="2"/>
  <c r="F24" i="2"/>
  <c r="F32" i="2"/>
  <c r="F40" i="2"/>
  <c r="F48" i="2"/>
  <c r="F56" i="2"/>
  <c r="F64" i="2"/>
  <c r="F72" i="2"/>
  <c r="F80" i="2"/>
  <c r="F88" i="2"/>
  <c r="F96" i="2"/>
  <c r="F104" i="2"/>
  <c r="F112" i="2"/>
  <c r="F120" i="2"/>
  <c r="F128" i="2"/>
  <c r="F136" i="2"/>
  <c r="F144" i="2"/>
  <c r="F146" i="2"/>
  <c r="F154" i="2"/>
  <c r="F162" i="2"/>
  <c r="F775" i="2"/>
  <c r="F791" i="2"/>
  <c r="F807" i="2"/>
  <c r="F823" i="2"/>
  <c r="F839" i="2"/>
  <c r="F864" i="2"/>
  <c r="F880" i="2"/>
  <c r="F896" i="2"/>
  <c r="H916" i="2"/>
  <c r="G916" i="2"/>
  <c r="F940" i="2"/>
  <c r="H956" i="2"/>
  <c r="G956" i="2"/>
  <c r="F956" i="2"/>
  <c r="H960" i="2"/>
  <c r="G960" i="2"/>
  <c r="F960" i="2"/>
  <c r="G967" i="2"/>
  <c r="H967" i="2"/>
  <c r="F967" i="2"/>
  <c r="H1206" i="2"/>
  <c r="G1206" i="2"/>
  <c r="F1206" i="2"/>
  <c r="F1226" i="2"/>
  <c r="H1226" i="2"/>
  <c r="G1226" i="2"/>
  <c r="G8" i="2"/>
  <c r="G16" i="2"/>
  <c r="G24" i="2"/>
  <c r="G32" i="2"/>
  <c r="G40" i="2"/>
  <c r="G48" i="2"/>
  <c r="G56" i="2"/>
  <c r="G64" i="2"/>
  <c r="G72" i="2"/>
  <c r="G80" i="2"/>
  <c r="G88" i="2"/>
  <c r="G96" i="2"/>
  <c r="G104" i="2"/>
  <c r="G112" i="2"/>
  <c r="G120" i="2"/>
  <c r="G128" i="2"/>
  <c r="G136" i="2"/>
  <c r="G144" i="2"/>
  <c r="G146" i="2"/>
  <c r="G154" i="2"/>
  <c r="G162" i="2"/>
  <c r="F655" i="2"/>
  <c r="F659" i="2"/>
  <c r="F663" i="2"/>
  <c r="F667" i="2"/>
  <c r="F671" i="2"/>
  <c r="F675" i="2"/>
  <c r="F679" i="2"/>
  <c r="F683" i="2"/>
  <c r="F687" i="2"/>
  <c r="F691" i="2"/>
  <c r="F695" i="2"/>
  <c r="F699" i="2"/>
  <c r="F703" i="2"/>
  <c r="F707" i="2"/>
  <c r="F711" i="2"/>
  <c r="F718" i="2"/>
  <c r="F722" i="2"/>
  <c r="F726" i="2"/>
  <c r="F730" i="2"/>
  <c r="F734" i="2"/>
  <c r="F738" i="2"/>
  <c r="F742" i="2"/>
  <c r="F746" i="2"/>
  <c r="F750" i="2"/>
  <c r="F754" i="2"/>
  <c r="F758" i="2"/>
  <c r="F765" i="2"/>
  <c r="H775" i="2"/>
  <c r="F781" i="2"/>
  <c r="H791" i="2"/>
  <c r="F797" i="2"/>
  <c r="H807" i="2"/>
  <c r="F813" i="2"/>
  <c r="H823" i="2"/>
  <c r="F829" i="2"/>
  <c r="H839" i="2"/>
  <c r="F845" i="2"/>
  <c r="H864" i="2"/>
  <c r="H880" i="2"/>
  <c r="H904" i="2"/>
  <c r="G904" i="2"/>
  <c r="F916" i="2"/>
  <c r="H924" i="2"/>
  <c r="G924" i="2"/>
  <c r="H932" i="2"/>
  <c r="G932" i="2"/>
  <c r="H1310" i="2"/>
  <c r="F1310" i="2"/>
  <c r="G1310" i="2"/>
  <c r="F2" i="2"/>
  <c r="F10" i="2"/>
  <c r="F18" i="2"/>
  <c r="F26" i="2"/>
  <c r="F34" i="2"/>
  <c r="F42" i="2"/>
  <c r="F50" i="2"/>
  <c r="F58" i="2"/>
  <c r="F66" i="2"/>
  <c r="F74" i="2"/>
  <c r="F82" i="2"/>
  <c r="F90" i="2"/>
  <c r="F98" i="2"/>
  <c r="F106" i="2"/>
  <c r="F114" i="2"/>
  <c r="F122" i="2"/>
  <c r="F130" i="2"/>
  <c r="F138" i="2"/>
  <c r="F148" i="2"/>
  <c r="F156" i="2"/>
  <c r="F164" i="2"/>
  <c r="G695" i="2"/>
  <c r="G699" i="2"/>
  <c r="G703" i="2"/>
  <c r="G707" i="2"/>
  <c r="G711" i="2"/>
  <c r="G718" i="2"/>
  <c r="G722" i="2"/>
  <c r="G726" i="2"/>
  <c r="G730" i="2"/>
  <c r="G734" i="2"/>
  <c r="G738" i="2"/>
  <c r="G742" i="2"/>
  <c r="G746" i="2"/>
  <c r="G750" i="2"/>
  <c r="G754" i="2"/>
  <c r="G758" i="2"/>
  <c r="H765" i="2"/>
  <c r="H781" i="2"/>
  <c r="H797" i="2"/>
  <c r="H813" i="2"/>
  <c r="H829" i="2"/>
  <c r="H845" i="2"/>
  <c r="H944" i="2"/>
  <c r="G944" i="2"/>
  <c r="H1010" i="2"/>
  <c r="G1010" i="2"/>
  <c r="F1010" i="2"/>
  <c r="G1027" i="2"/>
  <c r="H1027" i="2"/>
  <c r="F1027" i="2"/>
  <c r="H1042" i="2"/>
  <c r="G1042" i="2"/>
  <c r="F1042" i="2"/>
  <c r="H1270" i="2"/>
  <c r="G1270" i="2"/>
  <c r="F1270" i="2"/>
  <c r="C4" i="3"/>
  <c r="C7" i="3"/>
  <c r="C14" i="3"/>
  <c r="C10" i="3"/>
  <c r="C6" i="3"/>
  <c r="F825" i="2"/>
  <c r="F841" i="2"/>
  <c r="F857" i="2"/>
  <c r="H912" i="2"/>
  <c r="G912" i="2"/>
  <c r="H761" i="2"/>
  <c r="F767" i="2"/>
  <c r="H777" i="2"/>
  <c r="F783" i="2"/>
  <c r="H793" i="2"/>
  <c r="F799" i="2"/>
  <c r="H809" i="2"/>
  <c r="F815" i="2"/>
  <c r="H825" i="2"/>
  <c r="F831" i="2"/>
  <c r="H841" i="2"/>
  <c r="H857" i="2"/>
  <c r="F872" i="2"/>
  <c r="F888" i="2"/>
  <c r="H900" i="2"/>
  <c r="G900" i="2"/>
  <c r="F912" i="2"/>
  <c r="H936" i="2"/>
  <c r="G936" i="2"/>
  <c r="H1086" i="2"/>
  <c r="F1086" i="2"/>
  <c r="G1086" i="2"/>
  <c r="H1118" i="2"/>
  <c r="F1118" i="2"/>
  <c r="G1118" i="2"/>
  <c r="H1152" i="2"/>
  <c r="F1152" i="2"/>
  <c r="G1152" i="2"/>
  <c r="H1352" i="2"/>
  <c r="G1352" i="2"/>
  <c r="F1352" i="2"/>
  <c r="H1722" i="2"/>
  <c r="G1722" i="2"/>
  <c r="F1722" i="2"/>
  <c r="H1738" i="2"/>
  <c r="G1738" i="2"/>
  <c r="F1738" i="2"/>
  <c r="H1754" i="2"/>
  <c r="G1754" i="2"/>
  <c r="F1754" i="2"/>
  <c r="H1817" i="2"/>
  <c r="G1817" i="2"/>
  <c r="F1817" i="2"/>
  <c r="F1080" i="2"/>
  <c r="H1080" i="2"/>
  <c r="H1082" i="2"/>
  <c r="F1082" i="2"/>
  <c r="F1112" i="2"/>
  <c r="H1112" i="2"/>
  <c r="H1114" i="2"/>
  <c r="F1114" i="2"/>
  <c r="H1148" i="2"/>
  <c r="F1148" i="2"/>
  <c r="F1178" i="2"/>
  <c r="H1178" i="2"/>
  <c r="H1180" i="2"/>
  <c r="F1180" i="2"/>
  <c r="F1202" i="2"/>
  <c r="H1202" i="2"/>
  <c r="H1204" i="2"/>
  <c r="F1204" i="2"/>
  <c r="H1246" i="2"/>
  <c r="G1246" i="2"/>
  <c r="F1246" i="2"/>
  <c r="H1268" i="2"/>
  <c r="F1268" i="2"/>
  <c r="H1328" i="2"/>
  <c r="G1328" i="2"/>
  <c r="F1328" i="2"/>
  <c r="H1350" i="2"/>
  <c r="F1350" i="2"/>
  <c r="F973" i="2"/>
  <c r="F989" i="2"/>
  <c r="F1014" i="2"/>
  <c r="G1016" i="2"/>
  <c r="F1031" i="2"/>
  <c r="F1046" i="2"/>
  <c r="G1048" i="2"/>
  <c r="H1076" i="2"/>
  <c r="F1076" i="2"/>
  <c r="H1078" i="2"/>
  <c r="F1078" i="2"/>
  <c r="G1080" i="2"/>
  <c r="G1082" i="2"/>
  <c r="H1108" i="2"/>
  <c r="F1108" i="2"/>
  <c r="H1110" i="2"/>
  <c r="F1110" i="2"/>
  <c r="G1112" i="2"/>
  <c r="G1114" i="2"/>
  <c r="H1140" i="2"/>
  <c r="F1140" i="2"/>
  <c r="H1142" i="2"/>
  <c r="F1142" i="2"/>
  <c r="G1148" i="2"/>
  <c r="H1174" i="2"/>
  <c r="F1174" i="2"/>
  <c r="H1176" i="2"/>
  <c r="F1176" i="2"/>
  <c r="G1178" i="2"/>
  <c r="G1180" i="2"/>
  <c r="G1202" i="2"/>
  <c r="G1204" i="2"/>
  <c r="H1222" i="2"/>
  <c r="G1222" i="2"/>
  <c r="F1222" i="2"/>
  <c r="F1242" i="2"/>
  <c r="H1242" i="2"/>
  <c r="H1244" i="2"/>
  <c r="F1244" i="2"/>
  <c r="G1268" i="2"/>
  <c r="H1286" i="2"/>
  <c r="G1286" i="2"/>
  <c r="F1286" i="2"/>
  <c r="H1304" i="2"/>
  <c r="G1304" i="2"/>
  <c r="F1304" i="2"/>
  <c r="H1326" i="2"/>
  <c r="F1326" i="2"/>
  <c r="G1350" i="2"/>
  <c r="H1448" i="2"/>
  <c r="G1448" i="2"/>
  <c r="F1448" i="2"/>
  <c r="H1464" i="2"/>
  <c r="G1464" i="2"/>
  <c r="F1464" i="2"/>
  <c r="H1480" i="2"/>
  <c r="G1480" i="2"/>
  <c r="F1480" i="2"/>
  <c r="H1496" i="2"/>
  <c r="G1496" i="2"/>
  <c r="F1496" i="2"/>
  <c r="H1512" i="2"/>
  <c r="G1512" i="2"/>
  <c r="F1512" i="2"/>
  <c r="H1528" i="2"/>
  <c r="G1528" i="2"/>
  <c r="F1528" i="2"/>
  <c r="H1544" i="2"/>
  <c r="G1544" i="2"/>
  <c r="F1544" i="2"/>
  <c r="H1560" i="2"/>
  <c r="G1560" i="2"/>
  <c r="F1560" i="2"/>
  <c r="G1784" i="2"/>
  <c r="H1784" i="2"/>
  <c r="F1784" i="2"/>
  <c r="F959" i="2"/>
  <c r="F963" i="2"/>
  <c r="H973" i="2"/>
  <c r="F979" i="2"/>
  <c r="H989" i="2"/>
  <c r="F995" i="2"/>
  <c r="G1014" i="2"/>
  <c r="H1016" i="2"/>
  <c r="F1018" i="2"/>
  <c r="G1020" i="2"/>
  <c r="H1031" i="2"/>
  <c r="F1035" i="2"/>
  <c r="G1046" i="2"/>
  <c r="H1048" i="2"/>
  <c r="F1050" i="2"/>
  <c r="G1052" i="2"/>
  <c r="F1056" i="2"/>
  <c r="H1056" i="2"/>
  <c r="H1058" i="2"/>
  <c r="F1058" i="2"/>
  <c r="G1060" i="2"/>
  <c r="F1064" i="2"/>
  <c r="H1064" i="2"/>
  <c r="H1066" i="2"/>
  <c r="F1066" i="2"/>
  <c r="G1068" i="2"/>
  <c r="F1072" i="2"/>
  <c r="H1072" i="2"/>
  <c r="H1074" i="2"/>
  <c r="F1074" i="2"/>
  <c r="G1076" i="2"/>
  <c r="G1078" i="2"/>
  <c r="F1104" i="2"/>
  <c r="H1104" i="2"/>
  <c r="H1106" i="2"/>
  <c r="F1106" i="2"/>
  <c r="G1108" i="2"/>
  <c r="G1110" i="2"/>
  <c r="F1136" i="2"/>
  <c r="H1136" i="2"/>
  <c r="H1138" i="2"/>
  <c r="F1138" i="2"/>
  <c r="G1140" i="2"/>
  <c r="G1142" i="2"/>
  <c r="F1170" i="2"/>
  <c r="H1170" i="2"/>
  <c r="H1172" i="2"/>
  <c r="F1172" i="2"/>
  <c r="G1174" i="2"/>
  <c r="G1176" i="2"/>
  <c r="H1198" i="2"/>
  <c r="G1198" i="2"/>
  <c r="F1198" i="2"/>
  <c r="F1218" i="2"/>
  <c r="H1218" i="2"/>
  <c r="H1220" i="2"/>
  <c r="F1220" i="2"/>
  <c r="G1242" i="2"/>
  <c r="G1244" i="2"/>
  <c r="H1262" i="2"/>
  <c r="G1262" i="2"/>
  <c r="F1262" i="2"/>
  <c r="H1284" i="2"/>
  <c r="F1284" i="2"/>
  <c r="H1302" i="2"/>
  <c r="F1302" i="2"/>
  <c r="G1326" i="2"/>
  <c r="H1344" i="2"/>
  <c r="G1344" i="2"/>
  <c r="F1344" i="2"/>
  <c r="H1366" i="2"/>
  <c r="G1366" i="2"/>
  <c r="F1366" i="2"/>
  <c r="H1382" i="2"/>
  <c r="G1382" i="2"/>
  <c r="F1382" i="2"/>
  <c r="H1398" i="2"/>
  <c r="G1398" i="2"/>
  <c r="F1398" i="2"/>
  <c r="H1414" i="2"/>
  <c r="G1414" i="2"/>
  <c r="F1414" i="2"/>
  <c r="H1586" i="2"/>
  <c r="G1586" i="2"/>
  <c r="F1586" i="2"/>
  <c r="H1602" i="2"/>
  <c r="G1602" i="2"/>
  <c r="F1602" i="2"/>
  <c r="H1618" i="2"/>
  <c r="G1618" i="2"/>
  <c r="F1618" i="2"/>
  <c r="H1634" i="2"/>
  <c r="G1634" i="2"/>
  <c r="F1634" i="2"/>
  <c r="H1650" i="2"/>
  <c r="G1650" i="2"/>
  <c r="F1650" i="2"/>
  <c r="H1666" i="2"/>
  <c r="G1666" i="2"/>
  <c r="F1666" i="2"/>
  <c r="H1682" i="2"/>
  <c r="G1682" i="2"/>
  <c r="F1682" i="2"/>
  <c r="H1698" i="2"/>
  <c r="G1698" i="2"/>
  <c r="F1698" i="2"/>
  <c r="H1714" i="2"/>
  <c r="G1714" i="2"/>
  <c r="F1714" i="2"/>
  <c r="H1791" i="2"/>
  <c r="G1791" i="2"/>
  <c r="F1791" i="2"/>
  <c r="H1100" i="2"/>
  <c r="F1100" i="2"/>
  <c r="H1102" i="2"/>
  <c r="F1102" i="2"/>
  <c r="H1132" i="2"/>
  <c r="F1132" i="2"/>
  <c r="H1134" i="2"/>
  <c r="F1134" i="2"/>
  <c r="H1166" i="2"/>
  <c r="F1166" i="2"/>
  <c r="H1168" i="2"/>
  <c r="F1168" i="2"/>
  <c r="F1194" i="2"/>
  <c r="H1194" i="2"/>
  <c r="H1196" i="2"/>
  <c r="F1196" i="2"/>
  <c r="H1238" i="2"/>
  <c r="G1238" i="2"/>
  <c r="F1238" i="2"/>
  <c r="H1260" i="2"/>
  <c r="F1260" i="2"/>
  <c r="H1320" i="2"/>
  <c r="G1320" i="2"/>
  <c r="F1320" i="2"/>
  <c r="H1342" i="2"/>
  <c r="F1342" i="2"/>
  <c r="H1730" i="2"/>
  <c r="G1730" i="2"/>
  <c r="F1730" i="2"/>
  <c r="H1746" i="2"/>
  <c r="G1746" i="2"/>
  <c r="F1746" i="2"/>
  <c r="H1762" i="2"/>
  <c r="G1762" i="2"/>
  <c r="F1762" i="2"/>
  <c r="F1853" i="2"/>
  <c r="H1853" i="2"/>
  <c r="G1853" i="2"/>
  <c r="F922" i="2"/>
  <c r="F926" i="2"/>
  <c r="F930" i="2"/>
  <c r="F934" i="2"/>
  <c r="F938" i="2"/>
  <c r="F942" i="2"/>
  <c r="F946" i="2"/>
  <c r="F950" i="2"/>
  <c r="F954" i="2"/>
  <c r="F958" i="2"/>
  <c r="F962" i="2"/>
  <c r="H969" i="2"/>
  <c r="F975" i="2"/>
  <c r="H985" i="2"/>
  <c r="F991" i="2"/>
  <c r="H1007" i="2"/>
  <c r="F1011" i="2"/>
  <c r="G1022" i="2"/>
  <c r="H1024" i="2"/>
  <c r="F1026" i="2"/>
  <c r="G1028" i="2"/>
  <c r="H1039" i="2"/>
  <c r="F1043" i="2"/>
  <c r="G1054" i="2"/>
  <c r="G1062" i="2"/>
  <c r="G1070" i="2"/>
  <c r="F1096" i="2"/>
  <c r="H1096" i="2"/>
  <c r="H1098" i="2"/>
  <c r="F1098" i="2"/>
  <c r="G1100" i="2"/>
  <c r="G1102" i="2"/>
  <c r="F1128" i="2"/>
  <c r="H1128" i="2"/>
  <c r="H1130" i="2"/>
  <c r="F1130" i="2"/>
  <c r="G1132" i="2"/>
  <c r="G1134" i="2"/>
  <c r="F1162" i="2"/>
  <c r="H1162" i="2"/>
  <c r="H1164" i="2"/>
  <c r="F1164" i="2"/>
  <c r="G1166" i="2"/>
  <c r="G1168" i="2"/>
  <c r="G1194" i="2"/>
  <c r="G1196" i="2"/>
  <c r="H1214" i="2"/>
  <c r="G1214" i="2"/>
  <c r="F1214" i="2"/>
  <c r="F1234" i="2"/>
  <c r="H1234" i="2"/>
  <c r="H1236" i="2"/>
  <c r="F1236" i="2"/>
  <c r="G1260" i="2"/>
  <c r="H1278" i="2"/>
  <c r="G1278" i="2"/>
  <c r="F1278" i="2"/>
  <c r="H1296" i="2"/>
  <c r="G1296" i="2"/>
  <c r="F1296" i="2"/>
  <c r="H1318" i="2"/>
  <c r="F1318" i="2"/>
  <c r="G1342" i="2"/>
  <c r="H1360" i="2"/>
  <c r="G1360" i="2"/>
  <c r="F1360" i="2"/>
  <c r="G934" i="2"/>
  <c r="G938" i="2"/>
  <c r="G942" i="2"/>
  <c r="G946" i="2"/>
  <c r="G950" i="2"/>
  <c r="G954" i="2"/>
  <c r="G958" i="2"/>
  <c r="G962" i="2"/>
  <c r="H975" i="2"/>
  <c r="H991" i="2"/>
  <c r="H1011" i="2"/>
  <c r="G1026" i="2"/>
  <c r="H1028" i="2"/>
  <c r="H1043" i="2"/>
  <c r="H1092" i="2"/>
  <c r="F1092" i="2"/>
  <c r="H1094" i="2"/>
  <c r="F1094" i="2"/>
  <c r="H1124" i="2"/>
  <c r="F1124" i="2"/>
  <c r="H1126" i="2"/>
  <c r="F1126" i="2"/>
  <c r="H1158" i="2"/>
  <c r="F1158" i="2"/>
  <c r="H1160" i="2"/>
  <c r="F1160" i="2"/>
  <c r="H1190" i="2"/>
  <c r="G1190" i="2"/>
  <c r="F1190" i="2"/>
  <c r="F1210" i="2"/>
  <c r="H1210" i="2"/>
  <c r="H1212" i="2"/>
  <c r="F1212" i="2"/>
  <c r="H1254" i="2"/>
  <c r="G1254" i="2"/>
  <c r="F1254" i="2"/>
  <c r="H1276" i="2"/>
  <c r="F1276" i="2"/>
  <c r="H1294" i="2"/>
  <c r="F1294" i="2"/>
  <c r="H1336" i="2"/>
  <c r="G1336" i="2"/>
  <c r="F1336" i="2"/>
  <c r="H1358" i="2"/>
  <c r="F1358" i="2"/>
  <c r="H1440" i="2"/>
  <c r="G1440" i="2"/>
  <c r="F1440" i="2"/>
  <c r="H1456" i="2"/>
  <c r="G1456" i="2"/>
  <c r="F1456" i="2"/>
  <c r="H1472" i="2"/>
  <c r="G1472" i="2"/>
  <c r="F1472" i="2"/>
  <c r="H1488" i="2"/>
  <c r="G1488" i="2"/>
  <c r="F1488" i="2"/>
  <c r="H1504" i="2"/>
  <c r="G1504" i="2"/>
  <c r="F1504" i="2"/>
  <c r="H1520" i="2"/>
  <c r="G1520" i="2"/>
  <c r="F1520" i="2"/>
  <c r="H1536" i="2"/>
  <c r="G1536" i="2"/>
  <c r="F1536" i="2"/>
  <c r="H1552" i="2"/>
  <c r="G1552" i="2"/>
  <c r="F1552" i="2"/>
  <c r="H1568" i="2"/>
  <c r="G1568" i="2"/>
  <c r="F1568" i="2"/>
  <c r="H1798" i="2"/>
  <c r="G1798" i="2"/>
  <c r="F1798" i="2"/>
  <c r="H1803" i="2"/>
  <c r="G1803" i="2"/>
  <c r="F1803" i="2"/>
  <c r="G1831" i="2"/>
  <c r="H1831" i="2"/>
  <c r="F1831" i="2"/>
  <c r="H1851" i="2"/>
  <c r="G1851" i="2"/>
  <c r="F1851" i="2"/>
  <c r="F971" i="2"/>
  <c r="F987" i="2"/>
  <c r="F1088" i="2"/>
  <c r="H1088" i="2"/>
  <c r="H1090" i="2"/>
  <c r="F1090" i="2"/>
  <c r="F1120" i="2"/>
  <c r="H1120" i="2"/>
  <c r="H1122" i="2"/>
  <c r="F1122" i="2"/>
  <c r="F1154" i="2"/>
  <c r="H1154" i="2"/>
  <c r="H1156" i="2"/>
  <c r="F1156" i="2"/>
  <c r="F1186" i="2"/>
  <c r="H1186" i="2"/>
  <c r="H1188" i="2"/>
  <c r="F1188" i="2"/>
  <c r="H1230" i="2"/>
  <c r="G1230" i="2"/>
  <c r="F1230" i="2"/>
  <c r="F1250" i="2"/>
  <c r="H1250" i="2"/>
  <c r="H1252" i="2"/>
  <c r="F1252" i="2"/>
  <c r="H1312" i="2"/>
  <c r="G1312" i="2"/>
  <c r="F1312" i="2"/>
  <c r="H1334" i="2"/>
  <c r="F1334" i="2"/>
  <c r="H1374" i="2"/>
  <c r="G1374" i="2"/>
  <c r="F1374" i="2"/>
  <c r="H1390" i="2"/>
  <c r="G1390" i="2"/>
  <c r="F1390" i="2"/>
  <c r="H1406" i="2"/>
  <c r="G1406" i="2"/>
  <c r="F1406" i="2"/>
  <c r="H1422" i="2"/>
  <c r="G1422" i="2"/>
  <c r="F1422" i="2"/>
  <c r="H1578" i="2"/>
  <c r="G1578" i="2"/>
  <c r="F1578" i="2"/>
  <c r="H1594" i="2"/>
  <c r="G1594" i="2"/>
  <c r="F1594" i="2"/>
  <c r="H1610" i="2"/>
  <c r="G1610" i="2"/>
  <c r="F1610" i="2"/>
  <c r="H1626" i="2"/>
  <c r="G1626" i="2"/>
  <c r="F1626" i="2"/>
  <c r="H1642" i="2"/>
  <c r="G1642" i="2"/>
  <c r="F1642" i="2"/>
  <c r="H1658" i="2"/>
  <c r="G1658" i="2"/>
  <c r="F1658" i="2"/>
  <c r="H1674" i="2"/>
  <c r="G1674" i="2"/>
  <c r="F1674" i="2"/>
  <c r="H1690" i="2"/>
  <c r="G1690" i="2"/>
  <c r="F1690" i="2"/>
  <c r="H1706" i="2"/>
  <c r="G1706" i="2"/>
  <c r="F1706" i="2"/>
  <c r="H1772" i="2"/>
  <c r="G1772" i="2"/>
  <c r="F1772" i="2"/>
  <c r="G1864" i="2"/>
  <c r="H1864" i="2"/>
  <c r="F1864" i="2"/>
  <c r="H1904" i="2"/>
  <c r="G1904" i="2"/>
  <c r="F1916" i="2"/>
  <c r="G1916" i="2"/>
  <c r="G1941" i="2"/>
  <c r="F1941" i="2"/>
  <c r="H1968" i="2"/>
  <c r="G1968" i="2"/>
  <c r="H2000" i="2"/>
  <c r="G2000" i="2"/>
  <c r="H2032" i="2"/>
  <c r="G2032" i="2"/>
  <c r="H2064" i="2"/>
  <c r="G2064" i="2"/>
  <c r="H2096" i="2"/>
  <c r="G2096" i="2"/>
  <c r="G2114" i="2"/>
  <c r="F2114" i="2"/>
  <c r="F2134" i="2"/>
  <c r="H2134" i="2"/>
  <c r="G2134" i="2"/>
  <c r="H2150" i="2"/>
  <c r="G2150" i="2"/>
  <c r="F2150" i="2"/>
  <c r="H2315" i="2"/>
  <c r="G2315" i="2"/>
  <c r="F2315" i="2"/>
  <c r="H2397" i="2"/>
  <c r="G2397" i="2"/>
  <c r="F2397" i="2"/>
  <c r="H1258" i="2"/>
  <c r="H1266" i="2"/>
  <c r="H1274" i="2"/>
  <c r="H1282" i="2"/>
  <c r="H1292" i="2"/>
  <c r="H1300" i="2"/>
  <c r="H1308" i="2"/>
  <c r="H1316" i="2"/>
  <c r="H1324" i="2"/>
  <c r="H1332" i="2"/>
  <c r="H1340" i="2"/>
  <c r="H1348" i="2"/>
  <c r="H1356" i="2"/>
  <c r="H1364" i="2"/>
  <c r="H1372" i="2"/>
  <c r="H1380" i="2"/>
  <c r="H1388" i="2"/>
  <c r="H1396" i="2"/>
  <c r="H1404" i="2"/>
  <c r="H1412" i="2"/>
  <c r="H1420" i="2"/>
  <c r="H1428" i="2"/>
  <c r="H1438" i="2"/>
  <c r="H1446" i="2"/>
  <c r="H1454" i="2"/>
  <c r="H1462" i="2"/>
  <c r="H1470" i="2"/>
  <c r="H1478" i="2"/>
  <c r="H1486" i="2"/>
  <c r="H1494" i="2"/>
  <c r="H1502" i="2"/>
  <c r="H1510" i="2"/>
  <c r="H1518" i="2"/>
  <c r="H1526" i="2"/>
  <c r="H1534" i="2"/>
  <c r="H1542" i="2"/>
  <c r="H1550" i="2"/>
  <c r="H1558" i="2"/>
  <c r="H1566" i="2"/>
  <c r="H1574" i="2"/>
  <c r="H1576" i="2"/>
  <c r="H1584" i="2"/>
  <c r="H1592" i="2"/>
  <c r="H1600" i="2"/>
  <c r="H1608" i="2"/>
  <c r="H1616" i="2"/>
  <c r="H1624" i="2"/>
  <c r="H1632" i="2"/>
  <c r="H1640" i="2"/>
  <c r="H1648" i="2"/>
  <c r="H1656" i="2"/>
  <c r="H1664" i="2"/>
  <c r="H1672" i="2"/>
  <c r="H1680" i="2"/>
  <c r="H1688" i="2"/>
  <c r="H1696" i="2"/>
  <c r="H1704" i="2"/>
  <c r="H1712" i="2"/>
  <c r="H1720" i="2"/>
  <c r="H1728" i="2"/>
  <c r="H1736" i="2"/>
  <c r="H1744" i="2"/>
  <c r="H1752" i="2"/>
  <c r="H1760" i="2"/>
  <c r="H1775" i="2"/>
  <c r="H1782" i="2"/>
  <c r="H1801" i="2"/>
  <c r="H1820" i="2"/>
  <c r="H1838" i="2"/>
  <c r="G1884" i="2"/>
  <c r="F1886" i="2"/>
  <c r="G1891" i="2"/>
  <c r="H1896" i="2"/>
  <c r="G1896" i="2"/>
  <c r="F1904" i="2"/>
  <c r="F1908" i="2"/>
  <c r="G1908" i="2"/>
  <c r="H1916" i="2"/>
  <c r="G1933" i="2"/>
  <c r="F1933" i="2"/>
  <c r="H1941" i="2"/>
  <c r="F1947" i="2"/>
  <c r="G1955" i="2"/>
  <c r="H1960" i="2"/>
  <c r="G1960" i="2"/>
  <c r="F1968" i="2"/>
  <c r="F1972" i="2"/>
  <c r="H1972" i="2"/>
  <c r="G1972" i="2"/>
  <c r="G1981" i="2"/>
  <c r="F1981" i="2"/>
  <c r="F2000" i="2"/>
  <c r="F2004" i="2"/>
  <c r="H2004" i="2"/>
  <c r="G2004" i="2"/>
  <c r="G2013" i="2"/>
  <c r="F2013" i="2"/>
  <c r="F2032" i="2"/>
  <c r="F2036" i="2"/>
  <c r="H2036" i="2"/>
  <c r="G2036" i="2"/>
  <c r="G2045" i="2"/>
  <c r="F2045" i="2"/>
  <c r="F2064" i="2"/>
  <c r="F2068" i="2"/>
  <c r="H2068" i="2"/>
  <c r="G2068" i="2"/>
  <c r="G2077" i="2"/>
  <c r="F2077" i="2"/>
  <c r="F2096" i="2"/>
  <c r="F2100" i="2"/>
  <c r="H2100" i="2"/>
  <c r="G2100" i="2"/>
  <c r="H2114" i="2"/>
  <c r="F2166" i="2"/>
  <c r="H2166" i="2"/>
  <c r="G2166" i="2"/>
  <c r="H2224" i="2"/>
  <c r="G2224" i="2"/>
  <c r="F2224" i="2"/>
  <c r="H2278" i="2"/>
  <c r="G2278" i="2"/>
  <c r="F2278" i="2"/>
  <c r="H2395" i="2"/>
  <c r="F2395" i="2"/>
  <c r="G2395" i="2"/>
  <c r="H1884" i="2"/>
  <c r="G1886" i="2"/>
  <c r="F1900" i="2"/>
  <c r="G1900" i="2"/>
  <c r="G1925" i="2"/>
  <c r="F1925" i="2"/>
  <c r="G1947" i="2"/>
  <c r="H1952" i="2"/>
  <c r="G1952" i="2"/>
  <c r="F1964" i="2"/>
  <c r="G1964" i="2"/>
  <c r="H1992" i="2"/>
  <c r="G1992" i="2"/>
  <c r="H2024" i="2"/>
  <c r="G2024" i="2"/>
  <c r="H2056" i="2"/>
  <c r="G2056" i="2"/>
  <c r="H2088" i="2"/>
  <c r="G2088" i="2"/>
  <c r="H2251" i="2"/>
  <c r="G2251" i="2"/>
  <c r="F2251" i="2"/>
  <c r="H2325" i="2"/>
  <c r="G2325" i="2"/>
  <c r="F2325" i="2"/>
  <c r="F1368" i="2"/>
  <c r="F1376" i="2"/>
  <c r="F1384" i="2"/>
  <c r="F1392" i="2"/>
  <c r="F1400" i="2"/>
  <c r="F1408" i="2"/>
  <c r="F1416" i="2"/>
  <c r="F1424" i="2"/>
  <c r="F1434" i="2"/>
  <c r="F1442" i="2"/>
  <c r="F1450" i="2"/>
  <c r="F1458" i="2"/>
  <c r="F1466" i="2"/>
  <c r="F1474" i="2"/>
  <c r="F1482" i="2"/>
  <c r="F1490" i="2"/>
  <c r="F1498" i="2"/>
  <c r="F1506" i="2"/>
  <c r="F1514" i="2"/>
  <c r="F1522" i="2"/>
  <c r="F1530" i="2"/>
  <c r="F1538" i="2"/>
  <c r="F1546" i="2"/>
  <c r="F1554" i="2"/>
  <c r="F1562" i="2"/>
  <c r="F1570" i="2"/>
  <c r="F1580" i="2"/>
  <c r="F1588" i="2"/>
  <c r="F1596" i="2"/>
  <c r="F1604" i="2"/>
  <c r="F1612" i="2"/>
  <c r="F1620" i="2"/>
  <c r="F1628" i="2"/>
  <c r="F1636" i="2"/>
  <c r="F1644" i="2"/>
  <c r="F1652" i="2"/>
  <c r="F1660" i="2"/>
  <c r="F1668" i="2"/>
  <c r="F1676" i="2"/>
  <c r="F1684" i="2"/>
  <c r="F1692" i="2"/>
  <c r="F1700" i="2"/>
  <c r="F1708" i="2"/>
  <c r="F1724" i="2"/>
  <c r="F1732" i="2"/>
  <c r="F1740" i="2"/>
  <c r="F1748" i="2"/>
  <c r="F1756" i="2"/>
  <c r="F1764" i="2"/>
  <c r="F1769" i="2"/>
  <c r="G1779" i="2"/>
  <c r="G1781" i="2"/>
  <c r="F1788" i="2"/>
  <c r="F1800" i="2"/>
  <c r="H1805" i="2"/>
  <c r="F1807" i="2"/>
  <c r="F1814" i="2"/>
  <c r="F1819" i="2"/>
  <c r="H1824" i="2"/>
  <c r="F1835" i="2"/>
  <c r="G1837" i="2"/>
  <c r="H1844" i="2"/>
  <c r="F1848" i="2"/>
  <c r="H1855" i="2"/>
  <c r="G1868" i="2"/>
  <c r="F1870" i="2"/>
  <c r="G1875" i="2"/>
  <c r="H1877" i="2"/>
  <c r="F1879" i="2"/>
  <c r="H1888" i="2"/>
  <c r="F1892" i="2"/>
  <c r="G1892" i="2"/>
  <c r="H1900" i="2"/>
  <c r="G1917" i="2"/>
  <c r="F1917" i="2"/>
  <c r="H1925" i="2"/>
  <c r="F1931" i="2"/>
  <c r="G1939" i="2"/>
  <c r="H1944" i="2"/>
  <c r="G1944" i="2"/>
  <c r="F1952" i="2"/>
  <c r="F1956" i="2"/>
  <c r="G1956" i="2"/>
  <c r="H1964" i="2"/>
  <c r="G1973" i="2"/>
  <c r="F1973" i="2"/>
  <c r="F1992" i="2"/>
  <c r="F1996" i="2"/>
  <c r="H1996" i="2"/>
  <c r="G1996" i="2"/>
  <c r="G2005" i="2"/>
  <c r="F2005" i="2"/>
  <c r="F2024" i="2"/>
  <c r="F2028" i="2"/>
  <c r="H2028" i="2"/>
  <c r="G2028" i="2"/>
  <c r="G2037" i="2"/>
  <c r="F2037" i="2"/>
  <c r="F2056" i="2"/>
  <c r="F2060" i="2"/>
  <c r="H2060" i="2"/>
  <c r="G2060" i="2"/>
  <c r="G2069" i="2"/>
  <c r="F2069" i="2"/>
  <c r="F2088" i="2"/>
  <c r="F2092" i="2"/>
  <c r="H2092" i="2"/>
  <c r="G2092" i="2"/>
  <c r="H2101" i="2"/>
  <c r="G2101" i="2"/>
  <c r="F2101" i="2"/>
  <c r="G2130" i="2"/>
  <c r="F2130" i="2"/>
  <c r="H2130" i="2"/>
  <c r="G2146" i="2"/>
  <c r="F2146" i="2"/>
  <c r="H2146" i="2"/>
  <c r="H2214" i="2"/>
  <c r="G2214" i="2"/>
  <c r="F2214" i="2"/>
  <c r="H2313" i="2"/>
  <c r="G2313" i="2"/>
  <c r="F2313" i="2"/>
  <c r="G1368" i="2"/>
  <c r="G1376" i="2"/>
  <c r="G1384" i="2"/>
  <c r="G1392" i="2"/>
  <c r="G1400" i="2"/>
  <c r="G1408" i="2"/>
  <c r="G1416" i="2"/>
  <c r="G1424" i="2"/>
  <c r="G1434" i="2"/>
  <c r="G1442" i="2"/>
  <c r="G1450" i="2"/>
  <c r="G1458" i="2"/>
  <c r="G1466" i="2"/>
  <c r="G1474" i="2"/>
  <c r="G1482" i="2"/>
  <c r="G1490" i="2"/>
  <c r="G1498" i="2"/>
  <c r="G1506" i="2"/>
  <c r="G1514" i="2"/>
  <c r="G1522" i="2"/>
  <c r="G1530" i="2"/>
  <c r="G1538" i="2"/>
  <c r="G1546" i="2"/>
  <c r="G1554" i="2"/>
  <c r="G1562" i="2"/>
  <c r="G1570" i="2"/>
  <c r="G1580" i="2"/>
  <c r="G1588" i="2"/>
  <c r="G1596" i="2"/>
  <c r="G1604" i="2"/>
  <c r="G1612" i="2"/>
  <c r="G1620" i="2"/>
  <c r="G1628" i="2"/>
  <c r="G1636" i="2"/>
  <c r="G1644" i="2"/>
  <c r="G1652" i="2"/>
  <c r="G1660" i="2"/>
  <c r="G1668" i="2"/>
  <c r="G1676" i="2"/>
  <c r="G1684" i="2"/>
  <c r="G1692" i="2"/>
  <c r="G1700" i="2"/>
  <c r="G1708" i="2"/>
  <c r="G1724" i="2"/>
  <c r="G1732" i="2"/>
  <c r="G1740" i="2"/>
  <c r="G1748" i="2"/>
  <c r="G1756" i="2"/>
  <c r="G1764" i="2"/>
  <c r="G1769" i="2"/>
  <c r="H1781" i="2"/>
  <c r="G1788" i="2"/>
  <c r="H1800" i="2"/>
  <c r="G1807" i="2"/>
  <c r="G1814" i="2"/>
  <c r="G1819" i="2"/>
  <c r="G1835" i="2"/>
  <c r="H1837" i="2"/>
  <c r="H1848" i="2"/>
  <c r="H1868" i="2"/>
  <c r="G1870" i="2"/>
  <c r="H1879" i="2"/>
  <c r="G1909" i="2"/>
  <c r="F1909" i="2"/>
  <c r="G1931" i="2"/>
  <c r="H1936" i="2"/>
  <c r="G1936" i="2"/>
  <c r="F1948" i="2"/>
  <c r="G1948" i="2"/>
  <c r="H1984" i="2"/>
  <c r="G1984" i="2"/>
  <c r="H2016" i="2"/>
  <c r="G2016" i="2"/>
  <c r="H2048" i="2"/>
  <c r="G2048" i="2"/>
  <c r="H2069" i="2"/>
  <c r="H2080" i="2"/>
  <c r="G2080" i="2"/>
  <c r="G2162" i="2"/>
  <c r="F2162" i="2"/>
  <c r="H2162" i="2"/>
  <c r="H2187" i="2"/>
  <c r="G2187" i="2"/>
  <c r="F2187" i="2"/>
  <c r="H2261" i="2"/>
  <c r="G2261" i="2"/>
  <c r="F2261" i="2"/>
  <c r="H2429" i="2"/>
  <c r="G2429" i="2"/>
  <c r="F2429" i="2"/>
  <c r="F1184" i="2"/>
  <c r="F1192" i="2"/>
  <c r="F1200" i="2"/>
  <c r="F1208" i="2"/>
  <c r="F1216" i="2"/>
  <c r="F1224" i="2"/>
  <c r="F1232" i="2"/>
  <c r="F1240" i="2"/>
  <c r="F1248" i="2"/>
  <c r="F1256" i="2"/>
  <c r="F1264" i="2"/>
  <c r="F1272" i="2"/>
  <c r="F1280" i="2"/>
  <c r="F1288" i="2"/>
  <c r="F1290" i="2"/>
  <c r="F1298" i="2"/>
  <c r="F1306" i="2"/>
  <c r="F1314" i="2"/>
  <c r="F1322" i="2"/>
  <c r="F1330" i="2"/>
  <c r="F1338" i="2"/>
  <c r="F1346" i="2"/>
  <c r="F1354" i="2"/>
  <c r="F1362" i="2"/>
  <c r="F1370" i="2"/>
  <c r="F1378" i="2"/>
  <c r="F1386" i="2"/>
  <c r="F1394" i="2"/>
  <c r="F1402" i="2"/>
  <c r="F1410" i="2"/>
  <c r="F1418" i="2"/>
  <c r="F1426" i="2"/>
  <c r="F1436" i="2"/>
  <c r="F1444" i="2"/>
  <c r="F1452" i="2"/>
  <c r="F1460" i="2"/>
  <c r="F1468" i="2"/>
  <c r="F1476" i="2"/>
  <c r="F1484" i="2"/>
  <c r="F1492" i="2"/>
  <c r="F1500" i="2"/>
  <c r="F1508" i="2"/>
  <c r="F1516" i="2"/>
  <c r="F1524" i="2"/>
  <c r="F1532" i="2"/>
  <c r="F1540" i="2"/>
  <c r="F1548" i="2"/>
  <c r="F1556" i="2"/>
  <c r="F1564" i="2"/>
  <c r="F1572" i="2"/>
  <c r="F1582" i="2"/>
  <c r="F1590" i="2"/>
  <c r="F1598" i="2"/>
  <c r="F1606" i="2"/>
  <c r="F1614" i="2"/>
  <c r="F1622" i="2"/>
  <c r="F1630" i="2"/>
  <c r="F1638" i="2"/>
  <c r="F1646" i="2"/>
  <c r="F1654" i="2"/>
  <c r="F1662" i="2"/>
  <c r="F1670" i="2"/>
  <c r="F1678" i="2"/>
  <c r="F1686" i="2"/>
  <c r="F1694" i="2"/>
  <c r="F1702" i="2"/>
  <c r="F1710" i="2"/>
  <c r="F1718" i="2"/>
  <c r="F1726" i="2"/>
  <c r="F1734" i="2"/>
  <c r="F1742" i="2"/>
  <c r="F1750" i="2"/>
  <c r="F1758" i="2"/>
  <c r="G1901" i="2"/>
  <c r="F1901" i="2"/>
  <c r="H1928" i="2"/>
  <c r="G1928" i="2"/>
  <c r="F1940" i="2"/>
  <c r="G1940" i="2"/>
  <c r="G1965" i="2"/>
  <c r="F1965" i="2"/>
  <c r="F1988" i="2"/>
  <c r="H1988" i="2"/>
  <c r="G1988" i="2"/>
  <c r="G1997" i="2"/>
  <c r="F1997" i="2"/>
  <c r="F2020" i="2"/>
  <c r="H2020" i="2"/>
  <c r="G2020" i="2"/>
  <c r="G2029" i="2"/>
  <c r="F2029" i="2"/>
  <c r="F2052" i="2"/>
  <c r="H2052" i="2"/>
  <c r="G2052" i="2"/>
  <c r="G2061" i="2"/>
  <c r="F2061" i="2"/>
  <c r="F2084" i="2"/>
  <c r="H2084" i="2"/>
  <c r="G2084" i="2"/>
  <c r="G2093" i="2"/>
  <c r="F2093" i="2"/>
  <c r="F2102" i="2"/>
  <c r="H2102" i="2"/>
  <c r="G2102" i="2"/>
  <c r="G2107" i="2"/>
  <c r="F2107" i="2"/>
  <c r="H2249" i="2"/>
  <c r="G2249" i="2"/>
  <c r="F2249" i="2"/>
  <c r="H2352" i="2"/>
  <c r="G2352" i="2"/>
  <c r="F2352" i="2"/>
  <c r="H2373" i="2"/>
  <c r="G2373" i="2"/>
  <c r="F2373" i="2"/>
  <c r="H2427" i="2"/>
  <c r="F2427" i="2"/>
  <c r="G2427" i="2"/>
  <c r="G1893" i="2"/>
  <c r="F1893" i="2"/>
  <c r="H1920" i="2"/>
  <c r="G1920" i="2"/>
  <c r="F1932" i="2"/>
  <c r="G1932" i="2"/>
  <c r="G1957" i="2"/>
  <c r="F1957" i="2"/>
  <c r="H1976" i="2"/>
  <c r="G1976" i="2"/>
  <c r="H1997" i="2"/>
  <c r="H2008" i="2"/>
  <c r="G2008" i="2"/>
  <c r="H2029" i="2"/>
  <c r="H2040" i="2"/>
  <c r="G2040" i="2"/>
  <c r="H2061" i="2"/>
  <c r="H2072" i="2"/>
  <c r="G2072" i="2"/>
  <c r="H2093" i="2"/>
  <c r="H2107" i="2"/>
  <c r="H2118" i="2"/>
  <c r="G2118" i="2"/>
  <c r="F2118" i="2"/>
  <c r="F2182" i="2"/>
  <c r="H2182" i="2"/>
  <c r="G2182" i="2"/>
  <c r="H2197" i="2"/>
  <c r="G2197" i="2"/>
  <c r="F2197" i="2"/>
  <c r="H2413" i="2"/>
  <c r="G2413" i="2"/>
  <c r="F2413" i="2"/>
  <c r="F1768" i="2"/>
  <c r="H1773" i="2"/>
  <c r="F1787" i="2"/>
  <c r="H1792" i="2"/>
  <c r="G1811" i="2"/>
  <c r="G1813" i="2"/>
  <c r="G1836" i="2"/>
  <c r="G1843" i="2"/>
  <c r="H1845" i="2"/>
  <c r="F1847" i="2"/>
  <c r="H1856" i="2"/>
  <c r="F1867" i="2"/>
  <c r="G1869" i="2"/>
  <c r="H1876" i="2"/>
  <c r="F1880" i="2"/>
  <c r="H1887" i="2"/>
  <c r="H1893" i="2"/>
  <c r="F1899" i="2"/>
  <c r="G1907" i="2"/>
  <c r="H1912" i="2"/>
  <c r="G1912" i="2"/>
  <c r="F1920" i="2"/>
  <c r="F1924" i="2"/>
  <c r="G1924" i="2"/>
  <c r="H1932" i="2"/>
  <c r="G1949" i="2"/>
  <c r="F1949" i="2"/>
  <c r="H1957" i="2"/>
  <c r="F1963" i="2"/>
  <c r="F1976" i="2"/>
  <c r="F1980" i="2"/>
  <c r="H1980" i="2"/>
  <c r="G1980" i="2"/>
  <c r="G1989" i="2"/>
  <c r="F1989" i="2"/>
  <c r="F2008" i="2"/>
  <c r="F2012" i="2"/>
  <c r="H2012" i="2"/>
  <c r="G2012" i="2"/>
  <c r="G2021" i="2"/>
  <c r="F2021" i="2"/>
  <c r="F2044" i="2"/>
  <c r="H2044" i="2"/>
  <c r="G2044" i="2"/>
  <c r="G2053" i="2"/>
  <c r="F2053" i="2"/>
  <c r="F2072" i="2"/>
  <c r="F2076" i="2"/>
  <c r="H2076" i="2"/>
  <c r="G2076" i="2"/>
  <c r="G2085" i="2"/>
  <c r="F2085" i="2"/>
  <c r="G2105" i="2"/>
  <c r="F2105" i="2"/>
  <c r="H2185" i="2"/>
  <c r="G2185" i="2"/>
  <c r="F2185" i="2"/>
  <c r="H2288" i="2"/>
  <c r="G2288" i="2"/>
  <c r="F2288" i="2"/>
  <c r="H2342" i="2"/>
  <c r="G2342" i="2"/>
  <c r="F2342" i="2"/>
  <c r="F2369" i="2"/>
  <c r="H2369" i="2"/>
  <c r="G2369" i="2"/>
  <c r="H2411" i="2"/>
  <c r="F2411" i="2"/>
  <c r="G2411" i="2"/>
  <c r="H1895" i="2"/>
  <c r="H1903" i="2"/>
  <c r="H1911" i="2"/>
  <c r="H1919" i="2"/>
  <c r="H1927" i="2"/>
  <c r="H1935" i="2"/>
  <c r="H1943" i="2"/>
  <c r="H1951" i="2"/>
  <c r="H1959" i="2"/>
  <c r="H1967" i="2"/>
  <c r="H1975" i="2"/>
  <c r="H1983" i="2"/>
  <c r="H1991" i="2"/>
  <c r="H1999" i="2"/>
  <c r="H2007" i="2"/>
  <c r="H2015" i="2"/>
  <c r="H2023" i="2"/>
  <c r="H2031" i="2"/>
  <c r="H2039" i="2"/>
  <c r="H2047" i="2"/>
  <c r="H2055" i="2"/>
  <c r="H2063" i="2"/>
  <c r="H2071" i="2"/>
  <c r="H2079" i="2"/>
  <c r="H2087" i="2"/>
  <c r="H2095" i="2"/>
  <c r="G2106" i="2"/>
  <c r="F2106" i="2"/>
  <c r="H2113" i="2"/>
  <c r="H2115" i="2"/>
  <c r="G2138" i="2"/>
  <c r="F2138" i="2"/>
  <c r="H2145" i="2"/>
  <c r="H2147" i="2"/>
  <c r="G2170" i="2"/>
  <c r="F2170" i="2"/>
  <c r="H2176" i="2"/>
  <c r="G2176" i="2"/>
  <c r="H2190" i="2"/>
  <c r="H2213" i="2"/>
  <c r="G2213" i="2"/>
  <c r="F2213" i="2"/>
  <c r="G2217" i="2"/>
  <c r="G2219" i="2"/>
  <c r="H2225" i="2"/>
  <c r="H2240" i="2"/>
  <c r="G2240" i="2"/>
  <c r="G2246" i="2"/>
  <c r="H2254" i="2"/>
  <c r="H2277" i="2"/>
  <c r="G2277" i="2"/>
  <c r="F2277" i="2"/>
  <c r="G2281" i="2"/>
  <c r="G2283" i="2"/>
  <c r="H2289" i="2"/>
  <c r="H2304" i="2"/>
  <c r="G2304" i="2"/>
  <c r="G2310" i="2"/>
  <c r="H2318" i="2"/>
  <c r="H2341" i="2"/>
  <c r="G2341" i="2"/>
  <c r="F2341" i="2"/>
  <c r="G2345" i="2"/>
  <c r="G2347" i="2"/>
  <c r="H2353" i="2"/>
  <c r="H2381" i="2"/>
  <c r="G2381" i="2"/>
  <c r="F2381" i="2"/>
  <c r="H2385" i="2"/>
  <c r="F2401" i="2"/>
  <c r="H2401" i="2"/>
  <c r="F2417" i="2"/>
  <c r="H2417" i="2"/>
  <c r="F2433" i="2"/>
  <c r="H2433" i="2"/>
  <c r="F2449" i="2"/>
  <c r="H2449" i="2"/>
  <c r="H2563" i="2"/>
  <c r="G2563" i="2"/>
  <c r="F2563" i="2"/>
  <c r="H2627" i="2"/>
  <c r="G2627" i="2"/>
  <c r="F2627" i="2"/>
  <c r="H2643" i="2"/>
  <c r="G2643" i="2"/>
  <c r="F2643" i="2"/>
  <c r="H2659" i="2"/>
  <c r="G2659" i="2"/>
  <c r="F2659" i="2"/>
  <c r="H2675" i="2"/>
  <c r="G2675" i="2"/>
  <c r="F2675" i="2"/>
  <c r="H2691" i="2"/>
  <c r="G2691" i="2"/>
  <c r="F2691" i="2"/>
  <c r="H2707" i="2"/>
  <c r="G2707" i="2"/>
  <c r="F2707" i="2"/>
  <c r="H2723" i="2"/>
  <c r="G2723" i="2"/>
  <c r="F2723" i="2"/>
  <c r="H2739" i="2"/>
  <c r="G2739" i="2"/>
  <c r="F2739" i="2"/>
  <c r="H2755" i="2"/>
  <c r="G2755" i="2"/>
  <c r="F2755" i="2"/>
  <c r="H2771" i="2"/>
  <c r="G2771" i="2"/>
  <c r="F2771" i="2"/>
  <c r="H2787" i="2"/>
  <c r="G2787" i="2"/>
  <c r="F2787" i="2"/>
  <c r="H2803" i="2"/>
  <c r="G2803" i="2"/>
  <c r="F2803" i="2"/>
  <c r="H2125" i="2"/>
  <c r="G2125" i="2"/>
  <c r="H2157" i="2"/>
  <c r="G2157" i="2"/>
  <c r="H2205" i="2"/>
  <c r="G2205" i="2"/>
  <c r="F2205" i="2"/>
  <c r="H2217" i="2"/>
  <c r="H2232" i="2"/>
  <c r="G2232" i="2"/>
  <c r="H2246" i="2"/>
  <c r="H2269" i="2"/>
  <c r="G2269" i="2"/>
  <c r="F2269" i="2"/>
  <c r="H2281" i="2"/>
  <c r="H2296" i="2"/>
  <c r="G2296" i="2"/>
  <c r="H2310" i="2"/>
  <c r="H2333" i="2"/>
  <c r="G2333" i="2"/>
  <c r="F2333" i="2"/>
  <c r="H2345" i="2"/>
  <c r="H2360" i="2"/>
  <c r="G2360" i="2"/>
  <c r="H2523" i="2"/>
  <c r="G2523" i="2"/>
  <c r="F2523" i="2"/>
  <c r="H2587" i="2"/>
  <c r="G2587" i="2"/>
  <c r="F2587" i="2"/>
  <c r="H2833" i="2"/>
  <c r="G2833" i="2"/>
  <c r="F2833" i="2"/>
  <c r="H2847" i="2"/>
  <c r="G2847" i="2"/>
  <c r="F2847" i="2"/>
  <c r="H2443" i="2"/>
  <c r="F2443" i="2"/>
  <c r="H2445" i="2"/>
  <c r="G2445" i="2"/>
  <c r="F2445" i="2"/>
  <c r="H2459" i="2"/>
  <c r="F2459" i="2"/>
  <c r="H2461" i="2"/>
  <c r="G2461" i="2"/>
  <c r="F2461" i="2"/>
  <c r="H2475" i="2"/>
  <c r="F2475" i="2"/>
  <c r="H2477" i="2"/>
  <c r="G2477" i="2"/>
  <c r="F2477" i="2"/>
  <c r="H2491" i="2"/>
  <c r="F2491" i="2"/>
  <c r="H2493" i="2"/>
  <c r="G2493" i="2"/>
  <c r="F2493" i="2"/>
  <c r="H2507" i="2"/>
  <c r="F2507" i="2"/>
  <c r="H2547" i="2"/>
  <c r="G2547" i="2"/>
  <c r="F2547" i="2"/>
  <c r="H2611" i="2"/>
  <c r="G2611" i="2"/>
  <c r="F2611" i="2"/>
  <c r="H2133" i="2"/>
  <c r="G2133" i="2"/>
  <c r="H2165" i="2"/>
  <c r="G2165" i="2"/>
  <c r="H2189" i="2"/>
  <c r="G2189" i="2"/>
  <c r="F2189" i="2"/>
  <c r="H2216" i="2"/>
  <c r="G2216" i="2"/>
  <c r="H2253" i="2"/>
  <c r="G2253" i="2"/>
  <c r="F2253" i="2"/>
  <c r="H2280" i="2"/>
  <c r="G2280" i="2"/>
  <c r="H2317" i="2"/>
  <c r="G2317" i="2"/>
  <c r="F2317" i="2"/>
  <c r="H2344" i="2"/>
  <c r="G2344" i="2"/>
  <c r="H2384" i="2"/>
  <c r="G2384" i="2"/>
  <c r="G2443" i="2"/>
  <c r="G2459" i="2"/>
  <c r="G2475" i="2"/>
  <c r="G2491" i="2"/>
  <c r="G2507" i="2"/>
  <c r="H2571" i="2"/>
  <c r="G2571" i="2"/>
  <c r="F2571" i="2"/>
  <c r="F2120" i="2"/>
  <c r="G2122" i="2"/>
  <c r="F2122" i="2"/>
  <c r="F2133" i="2"/>
  <c r="F2137" i="2"/>
  <c r="F2139" i="2"/>
  <c r="F2152" i="2"/>
  <c r="G2154" i="2"/>
  <c r="F2154" i="2"/>
  <c r="F2165" i="2"/>
  <c r="F2169" i="2"/>
  <c r="F2171" i="2"/>
  <c r="F2177" i="2"/>
  <c r="F2179" i="2"/>
  <c r="H2181" i="2"/>
  <c r="G2181" i="2"/>
  <c r="F2181" i="2"/>
  <c r="F2206" i="2"/>
  <c r="H2208" i="2"/>
  <c r="G2208" i="2"/>
  <c r="F2216" i="2"/>
  <c r="F2241" i="2"/>
  <c r="F2243" i="2"/>
  <c r="H2245" i="2"/>
  <c r="G2245" i="2"/>
  <c r="F2245" i="2"/>
  <c r="F2270" i="2"/>
  <c r="H2272" i="2"/>
  <c r="G2272" i="2"/>
  <c r="F2280" i="2"/>
  <c r="F2305" i="2"/>
  <c r="F2307" i="2"/>
  <c r="H2309" i="2"/>
  <c r="G2309" i="2"/>
  <c r="F2309" i="2"/>
  <c r="F2334" i="2"/>
  <c r="H2336" i="2"/>
  <c r="G2336" i="2"/>
  <c r="F2344" i="2"/>
  <c r="F2363" i="2"/>
  <c r="H2365" i="2"/>
  <c r="G2365" i="2"/>
  <c r="F2365" i="2"/>
  <c r="F2384" i="2"/>
  <c r="F2393" i="2"/>
  <c r="H2393" i="2"/>
  <c r="F2409" i="2"/>
  <c r="H2409" i="2"/>
  <c r="F2425" i="2"/>
  <c r="H2425" i="2"/>
  <c r="F2441" i="2"/>
  <c r="H2441" i="2"/>
  <c r="H2531" i="2"/>
  <c r="G2531" i="2"/>
  <c r="F2531" i="2"/>
  <c r="H2595" i="2"/>
  <c r="G2595" i="2"/>
  <c r="F2595" i="2"/>
  <c r="H2635" i="2"/>
  <c r="G2635" i="2"/>
  <c r="F2635" i="2"/>
  <c r="H2651" i="2"/>
  <c r="G2651" i="2"/>
  <c r="F2651" i="2"/>
  <c r="H2667" i="2"/>
  <c r="G2667" i="2"/>
  <c r="F2667" i="2"/>
  <c r="H2683" i="2"/>
  <c r="G2683" i="2"/>
  <c r="F2683" i="2"/>
  <c r="H2699" i="2"/>
  <c r="G2699" i="2"/>
  <c r="F2699" i="2"/>
  <c r="H2715" i="2"/>
  <c r="G2715" i="2"/>
  <c r="F2715" i="2"/>
  <c r="H2731" i="2"/>
  <c r="G2731" i="2"/>
  <c r="F2731" i="2"/>
  <c r="H2747" i="2"/>
  <c r="G2747" i="2"/>
  <c r="F2747" i="2"/>
  <c r="H2763" i="2"/>
  <c r="G2763" i="2"/>
  <c r="F2763" i="2"/>
  <c r="H2779" i="2"/>
  <c r="G2779" i="2"/>
  <c r="F2779" i="2"/>
  <c r="H2795" i="2"/>
  <c r="G2795" i="2"/>
  <c r="F2795" i="2"/>
  <c r="H2811" i="2"/>
  <c r="G2811" i="2"/>
  <c r="F2811" i="2"/>
  <c r="H2109" i="2"/>
  <c r="G2109" i="2"/>
  <c r="G2120" i="2"/>
  <c r="H2141" i="2"/>
  <c r="G2141" i="2"/>
  <c r="G2152" i="2"/>
  <c r="H2173" i="2"/>
  <c r="G2173" i="2"/>
  <c r="F2173" i="2"/>
  <c r="G2179" i="2"/>
  <c r="H2200" i="2"/>
  <c r="G2200" i="2"/>
  <c r="H2237" i="2"/>
  <c r="G2237" i="2"/>
  <c r="F2237" i="2"/>
  <c r="G2243" i="2"/>
  <c r="H2264" i="2"/>
  <c r="G2264" i="2"/>
  <c r="H2301" i="2"/>
  <c r="G2301" i="2"/>
  <c r="F2301" i="2"/>
  <c r="G2307" i="2"/>
  <c r="H2328" i="2"/>
  <c r="G2328" i="2"/>
  <c r="G2363" i="2"/>
  <c r="H2376" i="2"/>
  <c r="G2376" i="2"/>
  <c r="H2555" i="2"/>
  <c r="G2555" i="2"/>
  <c r="F2555" i="2"/>
  <c r="H2619" i="2"/>
  <c r="G2619" i="2"/>
  <c r="F2619" i="2"/>
  <c r="H2192" i="2"/>
  <c r="G2192" i="2"/>
  <c r="H2229" i="2"/>
  <c r="G2229" i="2"/>
  <c r="F2229" i="2"/>
  <c r="H2256" i="2"/>
  <c r="G2256" i="2"/>
  <c r="H2293" i="2"/>
  <c r="G2293" i="2"/>
  <c r="F2293" i="2"/>
  <c r="H2320" i="2"/>
  <c r="G2320" i="2"/>
  <c r="H2357" i="2"/>
  <c r="G2357" i="2"/>
  <c r="F2357" i="2"/>
  <c r="H2389" i="2"/>
  <c r="G2389" i="2"/>
  <c r="F2389" i="2"/>
  <c r="H2403" i="2"/>
  <c r="F2403" i="2"/>
  <c r="H2405" i="2"/>
  <c r="G2405" i="2"/>
  <c r="F2405" i="2"/>
  <c r="H2419" i="2"/>
  <c r="F2419" i="2"/>
  <c r="H2421" i="2"/>
  <c r="G2421" i="2"/>
  <c r="F2421" i="2"/>
  <c r="H2435" i="2"/>
  <c r="F2435" i="2"/>
  <c r="H2437" i="2"/>
  <c r="G2437" i="2"/>
  <c r="F2437" i="2"/>
  <c r="H2451" i="2"/>
  <c r="F2451" i="2"/>
  <c r="H2453" i="2"/>
  <c r="G2453" i="2"/>
  <c r="F2453" i="2"/>
  <c r="H2467" i="2"/>
  <c r="F2467" i="2"/>
  <c r="H2469" i="2"/>
  <c r="G2469" i="2"/>
  <c r="F2469" i="2"/>
  <c r="H2483" i="2"/>
  <c r="F2483" i="2"/>
  <c r="H2485" i="2"/>
  <c r="G2485" i="2"/>
  <c r="F2485" i="2"/>
  <c r="H2499" i="2"/>
  <c r="F2499" i="2"/>
  <c r="H2501" i="2"/>
  <c r="G2501" i="2"/>
  <c r="F2501" i="2"/>
  <c r="H2515" i="2"/>
  <c r="G2515" i="2"/>
  <c r="F2515" i="2"/>
  <c r="H2579" i="2"/>
  <c r="G2579" i="2"/>
  <c r="F2579" i="2"/>
  <c r="H2117" i="2"/>
  <c r="G2117" i="2"/>
  <c r="G2128" i="2"/>
  <c r="H2149" i="2"/>
  <c r="G2149" i="2"/>
  <c r="G2160" i="2"/>
  <c r="H2184" i="2"/>
  <c r="G2184" i="2"/>
  <c r="F2192" i="2"/>
  <c r="F2219" i="2"/>
  <c r="H2221" i="2"/>
  <c r="G2221" i="2"/>
  <c r="F2221" i="2"/>
  <c r="G2227" i="2"/>
  <c r="H2248" i="2"/>
  <c r="G2248" i="2"/>
  <c r="F2256" i="2"/>
  <c r="F2283" i="2"/>
  <c r="H2285" i="2"/>
  <c r="G2285" i="2"/>
  <c r="F2285" i="2"/>
  <c r="G2291" i="2"/>
  <c r="H2312" i="2"/>
  <c r="G2312" i="2"/>
  <c r="F2320" i="2"/>
  <c r="F2347" i="2"/>
  <c r="H2349" i="2"/>
  <c r="G2349" i="2"/>
  <c r="F2349" i="2"/>
  <c r="G2355" i="2"/>
  <c r="H2368" i="2"/>
  <c r="G2368" i="2"/>
  <c r="G2385" i="2"/>
  <c r="G2387" i="2"/>
  <c r="G2403" i="2"/>
  <c r="G2419" i="2"/>
  <c r="G2435" i="2"/>
  <c r="G2451" i="2"/>
  <c r="G2467" i="2"/>
  <c r="G2483" i="2"/>
  <c r="G2499" i="2"/>
  <c r="H2539" i="2"/>
  <c r="G2539" i="2"/>
  <c r="F2539" i="2"/>
  <c r="H2603" i="2"/>
  <c r="G2603" i="2"/>
  <c r="F2603" i="2"/>
  <c r="H2821" i="2"/>
  <c r="G2821" i="2"/>
  <c r="F2821" i="2"/>
  <c r="H2828" i="2"/>
  <c r="G2828" i="2"/>
  <c r="F2828" i="2"/>
  <c r="H2955" i="2"/>
  <c r="F2955" i="2"/>
  <c r="H2990" i="2"/>
  <c r="G2990" i="2"/>
  <c r="H3035" i="2"/>
  <c r="G3035" i="2"/>
  <c r="F3035" i="2"/>
  <c r="H3054" i="2"/>
  <c r="G3054" i="2"/>
  <c r="H3099" i="2"/>
  <c r="G3099" i="2"/>
  <c r="F3099" i="2"/>
  <c r="H3118" i="2"/>
  <c r="G3118" i="2"/>
  <c r="H3163" i="2"/>
  <c r="G3163" i="2"/>
  <c r="F3163" i="2"/>
  <c r="H3182" i="2"/>
  <c r="G3182" i="2"/>
  <c r="H3227" i="2"/>
  <c r="G3227" i="2"/>
  <c r="F3227" i="2"/>
  <c r="H3246" i="2"/>
  <c r="G3246" i="2"/>
  <c r="H3318" i="2"/>
  <c r="G3318" i="2"/>
  <c r="F3318" i="2"/>
  <c r="H3340" i="2"/>
  <c r="F3340" i="2"/>
  <c r="H3382" i="2"/>
  <c r="G3382" i="2"/>
  <c r="F3382" i="2"/>
  <c r="H3404" i="2"/>
  <c r="F3404" i="2"/>
  <c r="H3494" i="2"/>
  <c r="G3494" i="2"/>
  <c r="F3494" i="2"/>
  <c r="H3510" i="2"/>
  <c r="G3510" i="2"/>
  <c r="F3510" i="2"/>
  <c r="H3526" i="2"/>
  <c r="G3526" i="2"/>
  <c r="F3526" i="2"/>
  <c r="H3542" i="2"/>
  <c r="G3542" i="2"/>
  <c r="F3542" i="2"/>
  <c r="H3558" i="2"/>
  <c r="G3558" i="2"/>
  <c r="F3558" i="2"/>
  <c r="H3574" i="2"/>
  <c r="G3574" i="2"/>
  <c r="F3574" i="2"/>
  <c r="H3590" i="2"/>
  <c r="G3590" i="2"/>
  <c r="F3590" i="2"/>
  <c r="H3606" i="2"/>
  <c r="G3606" i="2"/>
  <c r="F3606" i="2"/>
  <c r="H3622" i="2"/>
  <c r="G3622" i="2"/>
  <c r="F3622" i="2"/>
  <c r="H3637" i="2"/>
  <c r="F3637" i="2"/>
  <c r="G3665" i="2"/>
  <c r="F3665" i="2"/>
  <c r="G3690" i="2"/>
  <c r="F3690" i="2"/>
  <c r="G3706" i="2"/>
  <c r="F3706" i="2"/>
  <c r="F3749" i="2"/>
  <c r="H3749" i="2"/>
  <c r="G3749" i="2"/>
  <c r="H3785" i="2"/>
  <c r="G3785" i="2"/>
  <c r="F3785" i="2"/>
  <c r="H3953" i="2"/>
  <c r="G3953" i="2"/>
  <c r="F3953" i="2"/>
  <c r="H4071" i="2"/>
  <c r="G4071" i="2"/>
  <c r="F4071" i="2"/>
  <c r="H2457" i="2"/>
  <c r="H2465" i="2"/>
  <c r="H2473" i="2"/>
  <c r="H2481" i="2"/>
  <c r="H2489" i="2"/>
  <c r="H2497" i="2"/>
  <c r="H2505" i="2"/>
  <c r="H2513" i="2"/>
  <c r="H2521" i="2"/>
  <c r="H2529" i="2"/>
  <c r="H2537" i="2"/>
  <c r="H2545" i="2"/>
  <c r="H2553" i="2"/>
  <c r="H2561" i="2"/>
  <c r="H2569" i="2"/>
  <c r="H2577" i="2"/>
  <c r="H2585" i="2"/>
  <c r="H2593" i="2"/>
  <c r="H2601" i="2"/>
  <c r="H2609" i="2"/>
  <c r="H2617" i="2"/>
  <c r="H2625" i="2"/>
  <c r="G2859" i="2"/>
  <c r="F2866" i="2"/>
  <c r="F2878" i="2"/>
  <c r="F2885" i="2"/>
  <c r="F2892" i="2"/>
  <c r="F2897" i="2"/>
  <c r="F2911" i="2"/>
  <c r="G2923" i="2"/>
  <c r="F2930" i="2"/>
  <c r="F2948" i="2"/>
  <c r="G2955" i="2"/>
  <c r="G2957" i="2"/>
  <c r="F2959" i="2"/>
  <c r="G2988" i="2"/>
  <c r="F2990" i="2"/>
  <c r="F3015" i="2"/>
  <c r="H3027" i="2"/>
  <c r="G3027" i="2"/>
  <c r="F3027" i="2"/>
  <c r="H3046" i="2"/>
  <c r="G3046" i="2"/>
  <c r="G3052" i="2"/>
  <c r="F3054" i="2"/>
  <c r="H3091" i="2"/>
  <c r="G3091" i="2"/>
  <c r="F3091" i="2"/>
  <c r="H3110" i="2"/>
  <c r="G3110" i="2"/>
  <c r="G3116" i="2"/>
  <c r="F3118" i="2"/>
  <c r="H3155" i="2"/>
  <c r="G3155" i="2"/>
  <c r="F3155" i="2"/>
  <c r="H3174" i="2"/>
  <c r="G3174" i="2"/>
  <c r="G3180" i="2"/>
  <c r="F3182" i="2"/>
  <c r="H3219" i="2"/>
  <c r="G3219" i="2"/>
  <c r="F3219" i="2"/>
  <c r="H3238" i="2"/>
  <c r="G3238" i="2"/>
  <c r="G3244" i="2"/>
  <c r="F3246" i="2"/>
  <c r="H3283" i="2"/>
  <c r="G3283" i="2"/>
  <c r="F3283" i="2"/>
  <c r="H3294" i="2"/>
  <c r="G3294" i="2"/>
  <c r="F3294" i="2"/>
  <c r="H3316" i="2"/>
  <c r="F3316" i="2"/>
  <c r="G3340" i="2"/>
  <c r="H3358" i="2"/>
  <c r="G3358" i="2"/>
  <c r="F3358" i="2"/>
  <c r="H3380" i="2"/>
  <c r="F3380" i="2"/>
  <c r="G3404" i="2"/>
  <c r="H3422" i="2"/>
  <c r="G3422" i="2"/>
  <c r="F3422" i="2"/>
  <c r="H3492" i="2"/>
  <c r="F3492" i="2"/>
  <c r="G3637" i="2"/>
  <c r="F3646" i="2"/>
  <c r="H3646" i="2"/>
  <c r="G3646" i="2"/>
  <c r="H3665" i="2"/>
  <c r="H3690" i="2"/>
  <c r="H3706" i="2"/>
  <c r="H3745" i="2"/>
  <c r="G3745" i="2"/>
  <c r="F3745" i="2"/>
  <c r="G3790" i="2"/>
  <c r="F3790" i="2"/>
  <c r="H3790" i="2"/>
  <c r="H3937" i="2"/>
  <c r="G3937" i="2"/>
  <c r="F3937" i="2"/>
  <c r="H4014" i="2"/>
  <c r="G4014" i="2"/>
  <c r="F4014" i="2"/>
  <c r="H2859" i="2"/>
  <c r="G2866" i="2"/>
  <c r="H2878" i="2"/>
  <c r="G2885" i="2"/>
  <c r="G2892" i="2"/>
  <c r="G2897" i="2"/>
  <c r="G2911" i="2"/>
  <c r="H2923" i="2"/>
  <c r="G2930" i="2"/>
  <c r="H2939" i="2"/>
  <c r="F2939" i="2"/>
  <c r="G2948" i="2"/>
  <c r="H2957" i="2"/>
  <c r="H2959" i="2"/>
  <c r="H2963" i="2"/>
  <c r="F2963" i="2"/>
  <c r="H2988" i="2"/>
  <c r="H3015" i="2"/>
  <c r="H3019" i="2"/>
  <c r="G3019" i="2"/>
  <c r="F3019" i="2"/>
  <c r="H3038" i="2"/>
  <c r="G3038" i="2"/>
  <c r="H3052" i="2"/>
  <c r="H3083" i="2"/>
  <c r="G3083" i="2"/>
  <c r="F3083" i="2"/>
  <c r="H3102" i="2"/>
  <c r="G3102" i="2"/>
  <c r="H3116" i="2"/>
  <c r="H3147" i="2"/>
  <c r="G3147" i="2"/>
  <c r="F3147" i="2"/>
  <c r="H3166" i="2"/>
  <c r="G3166" i="2"/>
  <c r="H3180" i="2"/>
  <c r="H3211" i="2"/>
  <c r="G3211" i="2"/>
  <c r="F3211" i="2"/>
  <c r="H3230" i="2"/>
  <c r="G3230" i="2"/>
  <c r="H3244" i="2"/>
  <c r="H3275" i="2"/>
  <c r="G3275" i="2"/>
  <c r="F3275" i="2"/>
  <c r="H3292" i="2"/>
  <c r="F3292" i="2"/>
  <c r="H3334" i="2"/>
  <c r="G3334" i="2"/>
  <c r="F3334" i="2"/>
  <c r="H3356" i="2"/>
  <c r="F3356" i="2"/>
  <c r="H3398" i="2"/>
  <c r="G3398" i="2"/>
  <c r="F3398" i="2"/>
  <c r="H3420" i="2"/>
  <c r="F3420" i="2"/>
  <c r="H3438" i="2"/>
  <c r="G3438" i="2"/>
  <c r="F3438" i="2"/>
  <c r="H3454" i="2"/>
  <c r="G3454" i="2"/>
  <c r="F3454" i="2"/>
  <c r="H3470" i="2"/>
  <c r="G3470" i="2"/>
  <c r="F3470" i="2"/>
  <c r="H3508" i="2"/>
  <c r="F3508" i="2"/>
  <c r="H3524" i="2"/>
  <c r="F3524" i="2"/>
  <c r="H3540" i="2"/>
  <c r="F3540" i="2"/>
  <c r="H3556" i="2"/>
  <c r="F3556" i="2"/>
  <c r="H3572" i="2"/>
  <c r="F3572" i="2"/>
  <c r="H3588" i="2"/>
  <c r="F3588" i="2"/>
  <c r="H3604" i="2"/>
  <c r="F3604" i="2"/>
  <c r="H3620" i="2"/>
  <c r="F3620" i="2"/>
  <c r="G3649" i="2"/>
  <c r="F3649" i="2"/>
  <c r="H3653" i="2"/>
  <c r="G3653" i="2"/>
  <c r="F3653" i="2"/>
  <c r="H3656" i="2"/>
  <c r="F3656" i="2"/>
  <c r="F3781" i="2"/>
  <c r="H3781" i="2"/>
  <c r="G3781" i="2"/>
  <c r="H3817" i="2"/>
  <c r="G3817" i="2"/>
  <c r="F3817" i="2"/>
  <c r="H4295" i="2"/>
  <c r="G4295" i="2"/>
  <c r="F4295" i="2"/>
  <c r="H4369" i="2"/>
  <c r="F4369" i="2"/>
  <c r="G4369" i="2"/>
  <c r="H4433" i="2"/>
  <c r="F4433" i="2"/>
  <c r="G4433" i="2"/>
  <c r="H4523" i="2"/>
  <c r="F4523" i="2"/>
  <c r="G4523" i="2"/>
  <c r="H4843" i="2"/>
  <c r="G4843" i="2"/>
  <c r="F4843" i="2"/>
  <c r="H5230" i="2"/>
  <c r="G5230" i="2"/>
  <c r="F5230" i="2"/>
  <c r="H5254" i="2"/>
  <c r="G5254" i="2"/>
  <c r="F5254" i="2"/>
  <c r="H5313" i="2"/>
  <c r="G5313" i="2"/>
  <c r="F5313" i="2"/>
  <c r="H5449" i="2"/>
  <c r="G5449" i="2"/>
  <c r="F5449" i="2"/>
  <c r="H5504" i="2"/>
  <c r="G5504" i="2"/>
  <c r="F5504" i="2"/>
  <c r="F5535" i="2"/>
  <c r="H5535" i="2"/>
  <c r="G5535" i="2"/>
  <c r="H5547" i="2"/>
  <c r="G5547" i="2"/>
  <c r="F5547" i="2"/>
  <c r="H5621" i="2"/>
  <c r="G5621" i="2"/>
  <c r="F5621" i="2"/>
  <c r="G2392" i="2"/>
  <c r="G2400" i="2"/>
  <c r="G2408" i="2"/>
  <c r="G2416" i="2"/>
  <c r="G2424" i="2"/>
  <c r="G2432" i="2"/>
  <c r="G2440" i="2"/>
  <c r="G2448" i="2"/>
  <c r="G2456" i="2"/>
  <c r="G2464" i="2"/>
  <c r="G2472" i="2"/>
  <c r="G2480" i="2"/>
  <c r="G2488" i="2"/>
  <c r="G2496" i="2"/>
  <c r="G2504" i="2"/>
  <c r="F2509" i="2"/>
  <c r="G2512" i="2"/>
  <c r="F2517" i="2"/>
  <c r="G2520" i="2"/>
  <c r="F2525" i="2"/>
  <c r="G2528" i="2"/>
  <c r="F2533" i="2"/>
  <c r="G2536" i="2"/>
  <c r="F2541" i="2"/>
  <c r="G2544" i="2"/>
  <c r="F2549" i="2"/>
  <c r="G2552" i="2"/>
  <c r="F2557" i="2"/>
  <c r="G2560" i="2"/>
  <c r="F2565" i="2"/>
  <c r="G2568" i="2"/>
  <c r="F2573" i="2"/>
  <c r="G2576" i="2"/>
  <c r="F2581" i="2"/>
  <c r="G2584" i="2"/>
  <c r="F2589" i="2"/>
  <c r="G2592" i="2"/>
  <c r="F2597" i="2"/>
  <c r="G2600" i="2"/>
  <c r="F2605" i="2"/>
  <c r="G2608" i="2"/>
  <c r="F2613" i="2"/>
  <c r="G2616" i="2"/>
  <c r="F2621" i="2"/>
  <c r="G2624" i="2"/>
  <c r="F2629" i="2"/>
  <c r="G2632" i="2"/>
  <c r="F2637" i="2"/>
  <c r="G2640" i="2"/>
  <c r="F2645" i="2"/>
  <c r="G2648" i="2"/>
  <c r="F2653" i="2"/>
  <c r="G2656" i="2"/>
  <c r="F2661" i="2"/>
  <c r="G2664" i="2"/>
  <c r="F2669" i="2"/>
  <c r="G2672" i="2"/>
  <c r="F2677" i="2"/>
  <c r="G2680" i="2"/>
  <c r="F2685" i="2"/>
  <c r="G2688" i="2"/>
  <c r="F2693" i="2"/>
  <c r="G2696" i="2"/>
  <c r="F2701" i="2"/>
  <c r="G2704" i="2"/>
  <c r="F2709" i="2"/>
  <c r="G2712" i="2"/>
  <c r="F2717" i="2"/>
  <c r="G2720" i="2"/>
  <c r="F2725" i="2"/>
  <c r="G2728" i="2"/>
  <c r="F2733" i="2"/>
  <c r="G2736" i="2"/>
  <c r="F2741" i="2"/>
  <c r="G2744" i="2"/>
  <c r="F2749" i="2"/>
  <c r="G2752" i="2"/>
  <c r="F2757" i="2"/>
  <c r="G2760" i="2"/>
  <c r="F2765" i="2"/>
  <c r="G2768" i="2"/>
  <c r="F2773" i="2"/>
  <c r="G2776" i="2"/>
  <c r="F2781" i="2"/>
  <c r="G2784" i="2"/>
  <c r="F2789" i="2"/>
  <c r="G2792" i="2"/>
  <c r="F2797" i="2"/>
  <c r="G2800" i="2"/>
  <c r="F2805" i="2"/>
  <c r="G2808" i="2"/>
  <c r="F2813" i="2"/>
  <c r="F2818" i="2"/>
  <c r="G2823" i="2"/>
  <c r="F2830" i="2"/>
  <c r="H2835" i="2"/>
  <c r="F2837" i="2"/>
  <c r="G2842" i="2"/>
  <c r="F2844" i="2"/>
  <c r="F2849" i="2"/>
  <c r="H2854" i="2"/>
  <c r="G2861" i="2"/>
  <c r="F2863" i="2"/>
  <c r="G2868" i="2"/>
  <c r="G2873" i="2"/>
  <c r="G2875" i="2"/>
  <c r="F2882" i="2"/>
  <c r="G2887" i="2"/>
  <c r="F2894" i="2"/>
  <c r="H2899" i="2"/>
  <c r="F2901" i="2"/>
  <c r="G2906" i="2"/>
  <c r="F2908" i="2"/>
  <c r="F2913" i="2"/>
  <c r="H2918" i="2"/>
  <c r="G2925" i="2"/>
  <c r="F2927" i="2"/>
  <c r="G2932" i="2"/>
  <c r="G2937" i="2"/>
  <c r="G2939" i="2"/>
  <c r="G2941" i="2"/>
  <c r="F2943" i="2"/>
  <c r="H2950" i="2"/>
  <c r="G2963" i="2"/>
  <c r="H2965" i="2"/>
  <c r="H2967" i="2"/>
  <c r="H2971" i="2"/>
  <c r="F2971" i="2"/>
  <c r="G2973" i="2"/>
  <c r="F2975" i="2"/>
  <c r="F2999" i="2"/>
  <c r="H3007" i="2"/>
  <c r="H3011" i="2"/>
  <c r="G3011" i="2"/>
  <c r="F3011" i="2"/>
  <c r="H3030" i="2"/>
  <c r="G3030" i="2"/>
  <c r="G3036" i="2"/>
  <c r="F3038" i="2"/>
  <c r="H3044" i="2"/>
  <c r="H3075" i="2"/>
  <c r="G3075" i="2"/>
  <c r="F3075" i="2"/>
  <c r="H3094" i="2"/>
  <c r="G3094" i="2"/>
  <c r="G3100" i="2"/>
  <c r="F3102" i="2"/>
  <c r="H3108" i="2"/>
  <c r="H3139" i="2"/>
  <c r="G3139" i="2"/>
  <c r="F3139" i="2"/>
  <c r="H3158" i="2"/>
  <c r="G3158" i="2"/>
  <c r="G3164" i="2"/>
  <c r="F3166" i="2"/>
  <c r="H3172" i="2"/>
  <c r="H3203" i="2"/>
  <c r="G3203" i="2"/>
  <c r="F3203" i="2"/>
  <c r="H3222" i="2"/>
  <c r="G3222" i="2"/>
  <c r="G3228" i="2"/>
  <c r="F3230" i="2"/>
  <c r="H3236" i="2"/>
  <c r="H3267" i="2"/>
  <c r="G3267" i="2"/>
  <c r="F3267" i="2"/>
  <c r="H3286" i="2"/>
  <c r="G3286" i="2"/>
  <c r="G3292" i="2"/>
  <c r="H3310" i="2"/>
  <c r="G3310" i="2"/>
  <c r="F3310" i="2"/>
  <c r="H3332" i="2"/>
  <c r="F3332" i="2"/>
  <c r="G3356" i="2"/>
  <c r="H3374" i="2"/>
  <c r="G3374" i="2"/>
  <c r="F3374" i="2"/>
  <c r="H3396" i="2"/>
  <c r="F3396" i="2"/>
  <c r="G3420" i="2"/>
  <c r="H3436" i="2"/>
  <c r="F3436" i="2"/>
  <c r="H3452" i="2"/>
  <c r="F3452" i="2"/>
  <c r="H3468" i="2"/>
  <c r="F3468" i="2"/>
  <c r="H3486" i="2"/>
  <c r="G3486" i="2"/>
  <c r="F3486" i="2"/>
  <c r="G3508" i="2"/>
  <c r="G3524" i="2"/>
  <c r="G3540" i="2"/>
  <c r="G3556" i="2"/>
  <c r="G3572" i="2"/>
  <c r="G3588" i="2"/>
  <c r="G3604" i="2"/>
  <c r="G3620" i="2"/>
  <c r="H3649" i="2"/>
  <c r="G3656" i="2"/>
  <c r="G3766" i="2"/>
  <c r="F3766" i="2"/>
  <c r="H3766" i="2"/>
  <c r="H3777" i="2"/>
  <c r="G3777" i="2"/>
  <c r="F3777" i="2"/>
  <c r="H3822" i="2"/>
  <c r="G3822" i="2"/>
  <c r="F3822" i="2"/>
  <c r="H3833" i="2"/>
  <c r="G3833" i="2"/>
  <c r="F3833" i="2"/>
  <c r="H3905" i="2"/>
  <c r="G3905" i="2"/>
  <c r="F3905" i="2"/>
  <c r="H3921" i="2"/>
  <c r="G3921" i="2"/>
  <c r="F3921" i="2"/>
  <c r="H4017" i="2"/>
  <c r="G4017" i="2"/>
  <c r="F4017" i="2"/>
  <c r="F4189" i="2"/>
  <c r="G4189" i="2"/>
  <c r="H4189" i="2"/>
  <c r="F2178" i="2"/>
  <c r="F2186" i="2"/>
  <c r="F2194" i="2"/>
  <c r="F2202" i="2"/>
  <c r="F2210" i="2"/>
  <c r="F2218" i="2"/>
  <c r="F2226" i="2"/>
  <c r="F2234" i="2"/>
  <c r="F2242" i="2"/>
  <c r="F2250" i="2"/>
  <c r="F2258" i="2"/>
  <c r="F2266" i="2"/>
  <c r="F2274" i="2"/>
  <c r="F2282" i="2"/>
  <c r="F2290" i="2"/>
  <c r="F2298" i="2"/>
  <c r="F2306" i="2"/>
  <c r="F2314" i="2"/>
  <c r="F2322" i="2"/>
  <c r="F2330" i="2"/>
  <c r="F2338" i="2"/>
  <c r="F2346" i="2"/>
  <c r="F2354" i="2"/>
  <c r="F2362" i="2"/>
  <c r="F2370" i="2"/>
  <c r="F2378" i="2"/>
  <c r="F2386" i="2"/>
  <c r="F2394" i="2"/>
  <c r="F2402" i="2"/>
  <c r="F2410" i="2"/>
  <c r="F2418" i="2"/>
  <c r="F2426" i="2"/>
  <c r="F2434" i="2"/>
  <c r="F2442" i="2"/>
  <c r="F2450" i="2"/>
  <c r="F2458" i="2"/>
  <c r="F2466" i="2"/>
  <c r="F2474" i="2"/>
  <c r="F2482" i="2"/>
  <c r="F2490" i="2"/>
  <c r="F2498" i="2"/>
  <c r="F2506" i="2"/>
  <c r="G2509" i="2"/>
  <c r="F2514" i="2"/>
  <c r="G2517" i="2"/>
  <c r="F2522" i="2"/>
  <c r="G2525" i="2"/>
  <c r="F2530" i="2"/>
  <c r="G2533" i="2"/>
  <c r="F2538" i="2"/>
  <c r="G2541" i="2"/>
  <c r="F2546" i="2"/>
  <c r="G2549" i="2"/>
  <c r="F2554" i="2"/>
  <c r="G2557" i="2"/>
  <c r="F2562" i="2"/>
  <c r="G2565" i="2"/>
  <c r="F2570" i="2"/>
  <c r="G2573" i="2"/>
  <c r="F2578" i="2"/>
  <c r="G2581" i="2"/>
  <c r="F2586" i="2"/>
  <c r="G2589" i="2"/>
  <c r="F2594" i="2"/>
  <c r="G2597" i="2"/>
  <c r="F2602" i="2"/>
  <c r="G2605" i="2"/>
  <c r="F2610" i="2"/>
  <c r="G2613" i="2"/>
  <c r="F2618" i="2"/>
  <c r="G2621" i="2"/>
  <c r="F2626" i="2"/>
  <c r="G2629" i="2"/>
  <c r="F2634" i="2"/>
  <c r="G2637" i="2"/>
  <c r="F2642" i="2"/>
  <c r="G2645" i="2"/>
  <c r="F2650" i="2"/>
  <c r="G2653" i="2"/>
  <c r="F2658" i="2"/>
  <c r="G2661" i="2"/>
  <c r="F2666" i="2"/>
  <c r="G2669" i="2"/>
  <c r="F2674" i="2"/>
  <c r="G2677" i="2"/>
  <c r="F2682" i="2"/>
  <c r="G2685" i="2"/>
  <c r="F2690" i="2"/>
  <c r="G2693" i="2"/>
  <c r="F2698" i="2"/>
  <c r="G2701" i="2"/>
  <c r="F2706" i="2"/>
  <c r="G2709" i="2"/>
  <c r="F2714" i="2"/>
  <c r="G2717" i="2"/>
  <c r="F2722" i="2"/>
  <c r="G2725" i="2"/>
  <c r="F2730" i="2"/>
  <c r="G2733" i="2"/>
  <c r="F2738" i="2"/>
  <c r="G2741" i="2"/>
  <c r="F2746" i="2"/>
  <c r="G2749" i="2"/>
  <c r="F2754" i="2"/>
  <c r="G2757" i="2"/>
  <c r="F2762" i="2"/>
  <c r="G2765" i="2"/>
  <c r="F2770" i="2"/>
  <c r="G2773" i="2"/>
  <c r="F2778" i="2"/>
  <c r="G2781" i="2"/>
  <c r="F2786" i="2"/>
  <c r="G2789" i="2"/>
  <c r="F2794" i="2"/>
  <c r="G2797" i="2"/>
  <c r="F2802" i="2"/>
  <c r="G2805" i="2"/>
  <c r="F2810" i="2"/>
  <c r="G2813" i="2"/>
  <c r="G2818" i="2"/>
  <c r="F2820" i="2"/>
  <c r="F2825" i="2"/>
  <c r="H2830" i="2"/>
  <c r="G2837" i="2"/>
  <c r="F2839" i="2"/>
  <c r="G2844" i="2"/>
  <c r="G2849" i="2"/>
  <c r="G2851" i="2"/>
  <c r="F2858" i="2"/>
  <c r="G2863" i="2"/>
  <c r="F2870" i="2"/>
  <c r="H2875" i="2"/>
  <c r="F2877" i="2"/>
  <c r="G2882" i="2"/>
  <c r="F2884" i="2"/>
  <c r="F2889" i="2"/>
  <c r="H2894" i="2"/>
  <c r="G2901" i="2"/>
  <c r="F2903" i="2"/>
  <c r="G2908" i="2"/>
  <c r="G2913" i="2"/>
  <c r="G2915" i="2"/>
  <c r="F2922" i="2"/>
  <c r="G2927" i="2"/>
  <c r="F2934" i="2"/>
  <c r="H2941" i="2"/>
  <c r="G2943" i="2"/>
  <c r="F2956" i="2"/>
  <c r="G2971" i="2"/>
  <c r="H2973" i="2"/>
  <c r="H2975" i="2"/>
  <c r="H2979" i="2"/>
  <c r="F2979" i="2"/>
  <c r="H2999" i="2"/>
  <c r="H3003" i="2"/>
  <c r="G3003" i="2"/>
  <c r="F3003" i="2"/>
  <c r="H3022" i="2"/>
  <c r="G3022" i="2"/>
  <c r="H3036" i="2"/>
  <c r="H3067" i="2"/>
  <c r="G3067" i="2"/>
  <c r="F3067" i="2"/>
  <c r="H3086" i="2"/>
  <c r="G3086" i="2"/>
  <c r="H3100" i="2"/>
  <c r="H3131" i="2"/>
  <c r="G3131" i="2"/>
  <c r="F3131" i="2"/>
  <c r="H3150" i="2"/>
  <c r="G3150" i="2"/>
  <c r="H3164" i="2"/>
  <c r="H3195" i="2"/>
  <c r="G3195" i="2"/>
  <c r="F3195" i="2"/>
  <c r="H3214" i="2"/>
  <c r="G3214" i="2"/>
  <c r="H3228" i="2"/>
  <c r="H3259" i="2"/>
  <c r="G3259" i="2"/>
  <c r="F3259" i="2"/>
  <c r="H3278" i="2"/>
  <c r="G3278" i="2"/>
  <c r="H3308" i="2"/>
  <c r="F3308" i="2"/>
  <c r="H3350" i="2"/>
  <c r="G3350" i="2"/>
  <c r="F3350" i="2"/>
  <c r="H3372" i="2"/>
  <c r="F3372" i="2"/>
  <c r="H3414" i="2"/>
  <c r="G3414" i="2"/>
  <c r="F3414" i="2"/>
  <c r="G3468" i="2"/>
  <c r="H3484" i="2"/>
  <c r="F3484" i="2"/>
  <c r="H3502" i="2"/>
  <c r="G3502" i="2"/>
  <c r="F3502" i="2"/>
  <c r="H3518" i="2"/>
  <c r="G3518" i="2"/>
  <c r="F3518" i="2"/>
  <c r="H3534" i="2"/>
  <c r="G3534" i="2"/>
  <c r="F3534" i="2"/>
  <c r="H3550" i="2"/>
  <c r="G3550" i="2"/>
  <c r="F3550" i="2"/>
  <c r="H3566" i="2"/>
  <c r="G3566" i="2"/>
  <c r="F3566" i="2"/>
  <c r="H3582" i="2"/>
  <c r="G3582" i="2"/>
  <c r="F3582" i="2"/>
  <c r="H3598" i="2"/>
  <c r="G3598" i="2"/>
  <c r="F3598" i="2"/>
  <c r="H3614" i="2"/>
  <c r="G3614" i="2"/>
  <c r="F3614" i="2"/>
  <c r="G3673" i="2"/>
  <c r="H3673" i="2"/>
  <c r="F3673" i="2"/>
  <c r="G3682" i="2"/>
  <c r="F3682" i="2"/>
  <c r="G3698" i="2"/>
  <c r="F3698" i="2"/>
  <c r="G3714" i="2"/>
  <c r="F3714" i="2"/>
  <c r="F3813" i="2"/>
  <c r="H3813" i="2"/>
  <c r="G3813" i="2"/>
  <c r="H3894" i="2"/>
  <c r="G3894" i="2"/>
  <c r="F3894" i="2"/>
  <c r="H3910" i="2"/>
  <c r="G3910" i="2"/>
  <c r="F3910" i="2"/>
  <c r="H3969" i="2"/>
  <c r="G3969" i="2"/>
  <c r="F3969" i="2"/>
  <c r="H3998" i="2"/>
  <c r="G3998" i="2"/>
  <c r="F3998" i="2"/>
  <c r="G4084" i="2"/>
  <c r="F4084" i="2"/>
  <c r="H4084" i="2"/>
  <c r="F4127" i="2"/>
  <c r="H4127" i="2"/>
  <c r="G4127" i="2"/>
  <c r="G2825" i="2"/>
  <c r="G2827" i="2"/>
  <c r="F2846" i="2"/>
  <c r="H2851" i="2"/>
  <c r="F2865" i="2"/>
  <c r="H2870" i="2"/>
  <c r="G2877" i="2"/>
  <c r="G2884" i="2"/>
  <c r="G2889" i="2"/>
  <c r="G2891" i="2"/>
  <c r="G2903" i="2"/>
  <c r="F2910" i="2"/>
  <c r="H2915" i="2"/>
  <c r="F2917" i="2"/>
  <c r="G2922" i="2"/>
  <c r="F2924" i="2"/>
  <c r="F2929" i="2"/>
  <c r="H2934" i="2"/>
  <c r="F2945" i="2"/>
  <c r="H2947" i="2"/>
  <c r="F2947" i="2"/>
  <c r="G2956" i="2"/>
  <c r="F2958" i="2"/>
  <c r="G2979" i="2"/>
  <c r="H2981" i="2"/>
  <c r="H2983" i="2"/>
  <c r="H2987" i="2"/>
  <c r="F2987" i="2"/>
  <c r="H2991" i="2"/>
  <c r="H2995" i="2"/>
  <c r="G2995" i="2"/>
  <c r="F2995" i="2"/>
  <c r="H3014" i="2"/>
  <c r="G3014" i="2"/>
  <c r="G3020" i="2"/>
  <c r="F3022" i="2"/>
  <c r="H3028" i="2"/>
  <c r="F3047" i="2"/>
  <c r="H3055" i="2"/>
  <c r="H3059" i="2"/>
  <c r="G3059" i="2"/>
  <c r="F3059" i="2"/>
  <c r="H3078" i="2"/>
  <c r="G3078" i="2"/>
  <c r="G3084" i="2"/>
  <c r="F3086" i="2"/>
  <c r="H3092" i="2"/>
  <c r="H3123" i="2"/>
  <c r="G3123" i="2"/>
  <c r="F3123" i="2"/>
  <c r="H3142" i="2"/>
  <c r="G3142" i="2"/>
  <c r="G3148" i="2"/>
  <c r="F3150" i="2"/>
  <c r="H3156" i="2"/>
  <c r="H3187" i="2"/>
  <c r="G3187" i="2"/>
  <c r="F3187" i="2"/>
  <c r="H3206" i="2"/>
  <c r="G3206" i="2"/>
  <c r="G3212" i="2"/>
  <c r="F3214" i="2"/>
  <c r="H3220" i="2"/>
  <c r="H3251" i="2"/>
  <c r="G3251" i="2"/>
  <c r="F3251" i="2"/>
  <c r="H3270" i="2"/>
  <c r="G3270" i="2"/>
  <c r="G3276" i="2"/>
  <c r="F3278" i="2"/>
  <c r="H3284" i="2"/>
  <c r="G3308" i="2"/>
  <c r="H3326" i="2"/>
  <c r="G3326" i="2"/>
  <c r="F3326" i="2"/>
  <c r="H3348" i="2"/>
  <c r="F3348" i="2"/>
  <c r="G3372" i="2"/>
  <c r="H3390" i="2"/>
  <c r="G3390" i="2"/>
  <c r="F3390" i="2"/>
  <c r="H3412" i="2"/>
  <c r="F3412" i="2"/>
  <c r="G3484" i="2"/>
  <c r="F3630" i="2"/>
  <c r="G3630" i="2"/>
  <c r="H3634" i="2"/>
  <c r="G3634" i="2"/>
  <c r="F3634" i="2"/>
  <c r="H3682" i="2"/>
  <c r="H3698" i="2"/>
  <c r="H3714" i="2"/>
  <c r="F3757" i="2"/>
  <c r="H3757" i="2"/>
  <c r="G3757" i="2"/>
  <c r="G3798" i="2"/>
  <c r="F3798" i="2"/>
  <c r="H3798" i="2"/>
  <c r="H3809" i="2"/>
  <c r="G3809" i="2"/>
  <c r="F3809" i="2"/>
  <c r="F4101" i="2"/>
  <c r="G4101" i="2"/>
  <c r="H4101" i="2"/>
  <c r="H3006" i="2"/>
  <c r="G3006" i="2"/>
  <c r="H3020" i="2"/>
  <c r="H3047" i="2"/>
  <c r="H3051" i="2"/>
  <c r="G3051" i="2"/>
  <c r="F3051" i="2"/>
  <c r="H3070" i="2"/>
  <c r="G3070" i="2"/>
  <c r="H3084" i="2"/>
  <c r="H3115" i="2"/>
  <c r="G3115" i="2"/>
  <c r="F3115" i="2"/>
  <c r="H3134" i="2"/>
  <c r="G3134" i="2"/>
  <c r="H3148" i="2"/>
  <c r="H3179" i="2"/>
  <c r="G3179" i="2"/>
  <c r="F3179" i="2"/>
  <c r="H3198" i="2"/>
  <c r="G3198" i="2"/>
  <c r="H3212" i="2"/>
  <c r="H3243" i="2"/>
  <c r="G3243" i="2"/>
  <c r="F3243" i="2"/>
  <c r="H3262" i="2"/>
  <c r="G3262" i="2"/>
  <c r="H3276" i="2"/>
  <c r="H3302" i="2"/>
  <c r="G3302" i="2"/>
  <c r="F3302" i="2"/>
  <c r="H3324" i="2"/>
  <c r="F3324" i="2"/>
  <c r="H3366" i="2"/>
  <c r="G3366" i="2"/>
  <c r="F3366" i="2"/>
  <c r="H3388" i="2"/>
  <c r="F3388" i="2"/>
  <c r="H3430" i="2"/>
  <c r="G3430" i="2"/>
  <c r="F3430" i="2"/>
  <c r="H3446" i="2"/>
  <c r="G3446" i="2"/>
  <c r="F3446" i="2"/>
  <c r="H3462" i="2"/>
  <c r="G3462" i="2"/>
  <c r="F3462" i="2"/>
  <c r="H3478" i="2"/>
  <c r="G3478" i="2"/>
  <c r="F3478" i="2"/>
  <c r="H3500" i="2"/>
  <c r="F3500" i="2"/>
  <c r="H3516" i="2"/>
  <c r="F3516" i="2"/>
  <c r="H3532" i="2"/>
  <c r="F3532" i="2"/>
  <c r="H3548" i="2"/>
  <c r="F3548" i="2"/>
  <c r="H3564" i="2"/>
  <c r="F3564" i="2"/>
  <c r="H3580" i="2"/>
  <c r="F3580" i="2"/>
  <c r="H3596" i="2"/>
  <c r="F3596" i="2"/>
  <c r="H3612" i="2"/>
  <c r="F3612" i="2"/>
  <c r="F3735" i="2"/>
  <c r="H3735" i="2"/>
  <c r="G3735" i="2"/>
  <c r="H3753" i="2"/>
  <c r="G3753" i="2"/>
  <c r="F3753" i="2"/>
  <c r="H3881" i="2"/>
  <c r="G3881" i="2"/>
  <c r="F3881" i="2"/>
  <c r="G4097" i="2"/>
  <c r="F4097" i="2"/>
  <c r="H4097" i="2"/>
  <c r="F2817" i="2"/>
  <c r="G2843" i="2"/>
  <c r="F2862" i="2"/>
  <c r="F2881" i="2"/>
  <c r="G2907" i="2"/>
  <c r="F2926" i="2"/>
  <c r="F2942" i="2"/>
  <c r="G2972" i="2"/>
  <c r="F2974" i="2"/>
  <c r="H2998" i="2"/>
  <c r="G2998" i="2"/>
  <c r="G3004" i="2"/>
  <c r="F3006" i="2"/>
  <c r="F3031" i="2"/>
  <c r="H3043" i="2"/>
  <c r="G3043" i="2"/>
  <c r="F3043" i="2"/>
  <c r="H3062" i="2"/>
  <c r="G3062" i="2"/>
  <c r="G3068" i="2"/>
  <c r="F3070" i="2"/>
  <c r="H3107" i="2"/>
  <c r="G3107" i="2"/>
  <c r="F3107" i="2"/>
  <c r="H3126" i="2"/>
  <c r="G3126" i="2"/>
  <c r="G3132" i="2"/>
  <c r="F3134" i="2"/>
  <c r="H3171" i="2"/>
  <c r="G3171" i="2"/>
  <c r="F3171" i="2"/>
  <c r="H3190" i="2"/>
  <c r="G3190" i="2"/>
  <c r="G3196" i="2"/>
  <c r="F3198" i="2"/>
  <c r="H3235" i="2"/>
  <c r="G3235" i="2"/>
  <c r="F3235" i="2"/>
  <c r="H3254" i="2"/>
  <c r="G3254" i="2"/>
  <c r="G3260" i="2"/>
  <c r="F3262" i="2"/>
  <c r="H3300" i="2"/>
  <c r="F3300" i="2"/>
  <c r="G3324" i="2"/>
  <c r="H3342" i="2"/>
  <c r="G3342" i="2"/>
  <c r="F3342" i="2"/>
  <c r="H3364" i="2"/>
  <c r="F3364" i="2"/>
  <c r="G3388" i="2"/>
  <c r="H3406" i="2"/>
  <c r="G3406" i="2"/>
  <c r="F3406" i="2"/>
  <c r="H3428" i="2"/>
  <c r="F3428" i="2"/>
  <c r="H3444" i="2"/>
  <c r="F3444" i="2"/>
  <c r="H3460" i="2"/>
  <c r="F3460" i="2"/>
  <c r="H3476" i="2"/>
  <c r="F3476" i="2"/>
  <c r="G3564" i="2"/>
  <c r="G3580" i="2"/>
  <c r="G3596" i="2"/>
  <c r="G3612" i="2"/>
  <c r="G3726" i="2"/>
  <c r="F3726" i="2"/>
  <c r="H3726" i="2"/>
  <c r="G3758" i="2"/>
  <c r="F3758" i="2"/>
  <c r="H3758" i="2"/>
  <c r="F3789" i="2"/>
  <c r="H3789" i="2"/>
  <c r="G3789" i="2"/>
  <c r="H3870" i="2"/>
  <c r="G3870" i="2"/>
  <c r="F3870" i="2"/>
  <c r="F4075" i="2"/>
  <c r="H4075" i="2"/>
  <c r="G4075" i="2"/>
  <c r="G3686" i="2"/>
  <c r="F3686" i="2"/>
  <c r="G3694" i="2"/>
  <c r="F3694" i="2"/>
  <c r="G3702" i="2"/>
  <c r="F3702" i="2"/>
  <c r="G3710" i="2"/>
  <c r="F3710" i="2"/>
  <c r="G3718" i="2"/>
  <c r="F3718" i="2"/>
  <c r="H3846" i="2"/>
  <c r="G3846" i="2"/>
  <c r="F3846" i="2"/>
  <c r="H3857" i="2"/>
  <c r="G3857" i="2"/>
  <c r="H3974" i="2"/>
  <c r="G3974" i="2"/>
  <c r="F3974" i="2"/>
  <c r="H3993" i="2"/>
  <c r="G3993" i="2"/>
  <c r="G4047" i="2"/>
  <c r="H4047" i="2"/>
  <c r="F4047" i="2"/>
  <c r="F4061" i="2"/>
  <c r="H4061" i="2"/>
  <c r="G4061" i="2"/>
  <c r="H3737" i="2"/>
  <c r="G3737" i="2"/>
  <c r="F3741" i="2"/>
  <c r="H3741" i="2"/>
  <c r="H3862" i="2"/>
  <c r="G3862" i="2"/>
  <c r="F3862" i="2"/>
  <c r="H3873" i="2"/>
  <c r="G3873" i="2"/>
  <c r="H3886" i="2"/>
  <c r="G3886" i="2"/>
  <c r="F3886" i="2"/>
  <c r="H3897" i="2"/>
  <c r="G3897" i="2"/>
  <c r="H3926" i="2"/>
  <c r="G3926" i="2"/>
  <c r="F3926" i="2"/>
  <c r="H3942" i="2"/>
  <c r="G3942" i="2"/>
  <c r="F3942" i="2"/>
  <c r="H3958" i="2"/>
  <c r="G3958" i="2"/>
  <c r="F3958" i="2"/>
  <c r="H3977" i="2"/>
  <c r="G3977" i="2"/>
  <c r="H4022" i="2"/>
  <c r="G4022" i="2"/>
  <c r="F4045" i="2"/>
  <c r="H4045" i="2"/>
  <c r="G4045" i="2"/>
  <c r="F4069" i="2"/>
  <c r="H4069" i="2"/>
  <c r="H4121" i="2"/>
  <c r="G4121" i="2"/>
  <c r="F4121" i="2"/>
  <c r="H4171" i="2"/>
  <c r="G4171" i="2"/>
  <c r="F4237" i="2"/>
  <c r="H4237" i="2"/>
  <c r="G4237" i="2"/>
  <c r="F3291" i="2"/>
  <c r="F3299" i="2"/>
  <c r="F3307" i="2"/>
  <c r="F3315" i="2"/>
  <c r="F3323" i="2"/>
  <c r="F3331" i="2"/>
  <c r="F3339" i="2"/>
  <c r="F3347" i="2"/>
  <c r="F3355" i="2"/>
  <c r="F3363" i="2"/>
  <c r="F3371" i="2"/>
  <c r="F3379" i="2"/>
  <c r="F3387" i="2"/>
  <c r="F3395" i="2"/>
  <c r="F3403" i="2"/>
  <c r="F3411" i="2"/>
  <c r="F3419" i="2"/>
  <c r="F3427" i="2"/>
  <c r="F3435" i="2"/>
  <c r="F3443" i="2"/>
  <c r="F3451" i="2"/>
  <c r="F3459" i="2"/>
  <c r="F3467" i="2"/>
  <c r="F3475" i="2"/>
  <c r="F3483" i="2"/>
  <c r="F3491" i="2"/>
  <c r="F3499" i="2"/>
  <c r="F3507" i="2"/>
  <c r="F3515" i="2"/>
  <c r="F3523" i="2"/>
  <c r="F3531" i="2"/>
  <c r="F3539" i="2"/>
  <c r="F3547" i="2"/>
  <c r="F3555" i="2"/>
  <c r="F3563" i="2"/>
  <c r="F3571" i="2"/>
  <c r="F3579" i="2"/>
  <c r="F3587" i="2"/>
  <c r="F3595" i="2"/>
  <c r="F3603" i="2"/>
  <c r="F3611" i="2"/>
  <c r="F3619" i="2"/>
  <c r="F3629" i="2"/>
  <c r="F3641" i="2"/>
  <c r="F3648" i="2"/>
  <c r="F3655" i="2"/>
  <c r="G3662" i="2"/>
  <c r="F3664" i="2"/>
  <c r="F3677" i="2"/>
  <c r="G3679" i="2"/>
  <c r="G3727" i="2"/>
  <c r="H3729" i="2"/>
  <c r="G3729" i="2"/>
  <c r="F3733" i="2"/>
  <c r="H3733" i="2"/>
  <c r="F3737" i="2"/>
  <c r="G3741" i="2"/>
  <c r="G3750" i="2"/>
  <c r="F3750" i="2"/>
  <c r="H3769" i="2"/>
  <c r="G3769" i="2"/>
  <c r="F3773" i="2"/>
  <c r="H3773" i="2"/>
  <c r="G3773" i="2"/>
  <c r="G3782" i="2"/>
  <c r="F3782" i="2"/>
  <c r="H3801" i="2"/>
  <c r="G3801" i="2"/>
  <c r="F3805" i="2"/>
  <c r="H3805" i="2"/>
  <c r="G3805" i="2"/>
  <c r="G3814" i="2"/>
  <c r="F3814" i="2"/>
  <c r="H3838" i="2"/>
  <c r="G3838" i="2"/>
  <c r="F3838" i="2"/>
  <c r="H3849" i="2"/>
  <c r="G3849" i="2"/>
  <c r="F3873" i="2"/>
  <c r="F3897" i="2"/>
  <c r="F3977" i="2"/>
  <c r="H3982" i="2"/>
  <c r="G3982" i="2"/>
  <c r="F3982" i="2"/>
  <c r="H4001" i="2"/>
  <c r="G4001" i="2"/>
  <c r="F4022" i="2"/>
  <c r="F4029" i="2"/>
  <c r="H4029" i="2"/>
  <c r="G4029" i="2"/>
  <c r="G4055" i="2"/>
  <c r="H4055" i="2"/>
  <c r="F4055" i="2"/>
  <c r="G4069" i="2"/>
  <c r="F4171" i="2"/>
  <c r="G3291" i="2"/>
  <c r="G3299" i="2"/>
  <c r="G3307" i="2"/>
  <c r="G3315" i="2"/>
  <c r="G3323" i="2"/>
  <c r="G3331" i="2"/>
  <c r="G3339" i="2"/>
  <c r="G3347" i="2"/>
  <c r="G3355" i="2"/>
  <c r="G3363" i="2"/>
  <c r="G3371" i="2"/>
  <c r="G3379" i="2"/>
  <c r="G3387" i="2"/>
  <c r="G3395" i="2"/>
  <c r="G3403" i="2"/>
  <c r="G3411" i="2"/>
  <c r="G3419" i="2"/>
  <c r="G3427" i="2"/>
  <c r="G3435" i="2"/>
  <c r="G3443" i="2"/>
  <c r="G3451" i="2"/>
  <c r="G3459" i="2"/>
  <c r="G3467" i="2"/>
  <c r="G3475" i="2"/>
  <c r="G3483" i="2"/>
  <c r="G3491" i="2"/>
  <c r="G3499" i="2"/>
  <c r="G3507" i="2"/>
  <c r="G3515" i="2"/>
  <c r="G3523" i="2"/>
  <c r="G3531" i="2"/>
  <c r="G3539" i="2"/>
  <c r="G3547" i="2"/>
  <c r="G3555" i="2"/>
  <c r="G3563" i="2"/>
  <c r="G3571" i="2"/>
  <c r="G3579" i="2"/>
  <c r="G3587" i="2"/>
  <c r="G3595" i="2"/>
  <c r="G3603" i="2"/>
  <c r="G3611" i="2"/>
  <c r="G3619" i="2"/>
  <c r="G3629" i="2"/>
  <c r="H3641" i="2"/>
  <c r="G3648" i="2"/>
  <c r="G3655" i="2"/>
  <c r="H3662" i="2"/>
  <c r="G3664" i="2"/>
  <c r="G3677" i="2"/>
  <c r="H3679" i="2"/>
  <c r="H3689" i="2"/>
  <c r="G3689" i="2"/>
  <c r="H3697" i="2"/>
  <c r="G3697" i="2"/>
  <c r="H3705" i="2"/>
  <c r="G3705" i="2"/>
  <c r="H3713" i="2"/>
  <c r="G3713" i="2"/>
  <c r="H3721" i="2"/>
  <c r="G3721" i="2"/>
  <c r="F3725" i="2"/>
  <c r="H3725" i="2"/>
  <c r="H3727" i="2"/>
  <c r="H3825" i="2"/>
  <c r="G3825" i="2"/>
  <c r="H3878" i="2"/>
  <c r="G3878" i="2"/>
  <c r="F3878" i="2"/>
  <c r="H3902" i="2"/>
  <c r="G3902" i="2"/>
  <c r="F3902" i="2"/>
  <c r="H3913" i="2"/>
  <c r="G3913" i="2"/>
  <c r="H3961" i="2"/>
  <c r="G3961" i="2"/>
  <c r="F4001" i="2"/>
  <c r="H4006" i="2"/>
  <c r="G4006" i="2"/>
  <c r="F4006" i="2"/>
  <c r="F3501" i="2"/>
  <c r="F3509" i="2"/>
  <c r="F3517" i="2"/>
  <c r="F3525" i="2"/>
  <c r="F3533" i="2"/>
  <c r="F3541" i="2"/>
  <c r="F3549" i="2"/>
  <c r="F3557" i="2"/>
  <c r="F3565" i="2"/>
  <c r="F3573" i="2"/>
  <c r="F3581" i="2"/>
  <c r="F3589" i="2"/>
  <c r="F3597" i="2"/>
  <c r="F3605" i="2"/>
  <c r="F3613" i="2"/>
  <c r="F3621" i="2"/>
  <c r="F3626" i="2"/>
  <c r="G3638" i="2"/>
  <c r="F3645" i="2"/>
  <c r="F3657" i="2"/>
  <c r="H3666" i="2"/>
  <c r="G3670" i="2"/>
  <c r="F3672" i="2"/>
  <c r="F3685" i="2"/>
  <c r="F3689" i="2"/>
  <c r="F3693" i="2"/>
  <c r="F3697" i="2"/>
  <c r="F3701" i="2"/>
  <c r="F3705" i="2"/>
  <c r="F3709" i="2"/>
  <c r="F3713" i="2"/>
  <c r="F3717" i="2"/>
  <c r="F3721" i="2"/>
  <c r="G3725" i="2"/>
  <c r="G3742" i="2"/>
  <c r="F3742" i="2"/>
  <c r="H3761" i="2"/>
  <c r="G3761" i="2"/>
  <c r="F3765" i="2"/>
  <c r="H3765" i="2"/>
  <c r="G3765" i="2"/>
  <c r="G3774" i="2"/>
  <c r="F3774" i="2"/>
  <c r="H3793" i="2"/>
  <c r="G3793" i="2"/>
  <c r="F3797" i="2"/>
  <c r="H3797" i="2"/>
  <c r="G3797" i="2"/>
  <c r="G3806" i="2"/>
  <c r="F3806" i="2"/>
  <c r="H3854" i="2"/>
  <c r="G3854" i="2"/>
  <c r="F3854" i="2"/>
  <c r="H3865" i="2"/>
  <c r="G3865" i="2"/>
  <c r="H3889" i="2"/>
  <c r="G3889" i="2"/>
  <c r="F3913" i="2"/>
  <c r="H3929" i="2"/>
  <c r="G3929" i="2"/>
  <c r="H3945" i="2"/>
  <c r="G3945" i="2"/>
  <c r="F3961" i="2"/>
  <c r="H3966" i="2"/>
  <c r="G3966" i="2"/>
  <c r="F3966" i="2"/>
  <c r="H3985" i="2"/>
  <c r="G3985" i="2"/>
  <c r="F4053" i="2"/>
  <c r="H4053" i="2"/>
  <c r="G4053" i="2"/>
  <c r="H3638" i="2"/>
  <c r="H3657" i="2"/>
  <c r="H3670" i="2"/>
  <c r="G3685" i="2"/>
  <c r="G3693" i="2"/>
  <c r="G3701" i="2"/>
  <c r="G3709" i="2"/>
  <c r="G3717" i="2"/>
  <c r="G3734" i="2"/>
  <c r="F3734" i="2"/>
  <c r="H3742" i="2"/>
  <c r="F3761" i="2"/>
  <c r="H3774" i="2"/>
  <c r="F3793" i="2"/>
  <c r="H3806" i="2"/>
  <c r="H3830" i="2"/>
  <c r="G3830" i="2"/>
  <c r="F3830" i="2"/>
  <c r="H3841" i="2"/>
  <c r="G3841" i="2"/>
  <c r="F3865" i="2"/>
  <c r="F3889" i="2"/>
  <c r="H3918" i="2"/>
  <c r="G3918" i="2"/>
  <c r="F3918" i="2"/>
  <c r="F3929" i="2"/>
  <c r="H3934" i="2"/>
  <c r="G3934" i="2"/>
  <c r="F3934" i="2"/>
  <c r="H3950" i="2"/>
  <c r="G3950" i="2"/>
  <c r="F3950" i="2"/>
  <c r="H3990" i="2"/>
  <c r="G3990" i="2"/>
  <c r="F3990" i="2"/>
  <c r="H4009" i="2"/>
  <c r="G4009" i="2"/>
  <c r="H4027" i="2"/>
  <c r="G4027" i="2"/>
  <c r="H4036" i="2"/>
  <c r="G4036" i="2"/>
  <c r="F4036" i="2"/>
  <c r="H4041" i="2"/>
  <c r="G4041" i="2"/>
  <c r="F4043" i="2"/>
  <c r="H4043" i="2"/>
  <c r="G4043" i="2"/>
  <c r="G4063" i="2"/>
  <c r="H4063" i="2"/>
  <c r="F4063" i="2"/>
  <c r="G4136" i="2"/>
  <c r="F4136" i="2"/>
  <c r="H4147" i="2"/>
  <c r="G4147" i="2"/>
  <c r="F4147" i="2"/>
  <c r="G3821" i="2"/>
  <c r="G3829" i="2"/>
  <c r="G3837" i="2"/>
  <c r="G3845" i="2"/>
  <c r="G3853" i="2"/>
  <c r="G3861" i="2"/>
  <c r="G3869" i="2"/>
  <c r="G3877" i="2"/>
  <c r="G3885" i="2"/>
  <c r="G3893" i="2"/>
  <c r="G3901" i="2"/>
  <c r="G3909" i="2"/>
  <c r="G3917" i="2"/>
  <c r="G3925" i="2"/>
  <c r="G3933" i="2"/>
  <c r="G3941" i="2"/>
  <c r="G3949" i="2"/>
  <c r="G3957" i="2"/>
  <c r="G3965" i="2"/>
  <c r="G3973" i="2"/>
  <c r="G3981" i="2"/>
  <c r="G3989" i="2"/>
  <c r="G3997" i="2"/>
  <c r="G4005" i="2"/>
  <c r="G4013" i="2"/>
  <c r="H4021" i="2"/>
  <c r="G4028" i="2"/>
  <c r="G4044" i="2"/>
  <c r="H4079" i="2"/>
  <c r="G4079" i="2"/>
  <c r="F4083" i="2"/>
  <c r="H4083" i="2"/>
  <c r="H4085" i="2"/>
  <c r="G4120" i="2"/>
  <c r="F4120" i="2"/>
  <c r="H4297" i="2"/>
  <c r="F4297" i="2"/>
  <c r="G4297" i="2"/>
  <c r="H4327" i="2"/>
  <c r="F4327" i="2"/>
  <c r="G4327" i="2"/>
  <c r="H4391" i="2"/>
  <c r="F4391" i="2"/>
  <c r="G4391" i="2"/>
  <c r="H4455" i="2"/>
  <c r="F4455" i="2"/>
  <c r="G4455" i="2"/>
  <c r="G4570" i="2"/>
  <c r="F4570" i="2"/>
  <c r="H4570" i="2"/>
  <c r="H3821" i="2"/>
  <c r="H3829" i="2"/>
  <c r="H3837" i="2"/>
  <c r="H3845" i="2"/>
  <c r="H3853" i="2"/>
  <c r="H3861" i="2"/>
  <c r="H3869" i="2"/>
  <c r="H3877" i="2"/>
  <c r="H3885" i="2"/>
  <c r="H3893" i="2"/>
  <c r="H3901" i="2"/>
  <c r="H3909" i="2"/>
  <c r="H3917" i="2"/>
  <c r="H3925" i="2"/>
  <c r="H3933" i="2"/>
  <c r="H3941" i="2"/>
  <c r="H3949" i="2"/>
  <c r="H3957" i="2"/>
  <c r="H3965" i="2"/>
  <c r="H3973" i="2"/>
  <c r="H3981" i="2"/>
  <c r="H3989" i="2"/>
  <c r="H3997" i="2"/>
  <c r="H4005" i="2"/>
  <c r="H4013" i="2"/>
  <c r="H4028" i="2"/>
  <c r="G4037" i="2"/>
  <c r="H4044" i="2"/>
  <c r="G4077" i="2"/>
  <c r="F4079" i="2"/>
  <c r="G4083" i="2"/>
  <c r="G4092" i="2"/>
  <c r="F4092" i="2"/>
  <c r="H4107" i="2"/>
  <c r="G4107" i="2"/>
  <c r="G4116" i="2"/>
  <c r="F4116" i="2"/>
  <c r="F4133" i="2"/>
  <c r="H4133" i="2"/>
  <c r="H4140" i="2"/>
  <c r="G4140" i="2"/>
  <c r="H4239" i="2"/>
  <c r="G4239" i="2"/>
  <c r="F4239" i="2"/>
  <c r="H4371" i="2"/>
  <c r="G4371" i="2"/>
  <c r="F4371" i="2"/>
  <c r="H4435" i="2"/>
  <c r="G4435" i="2"/>
  <c r="F4435" i="2"/>
  <c r="G4525" i="2"/>
  <c r="H4525" i="2"/>
  <c r="F4525" i="2"/>
  <c r="H4507" i="2"/>
  <c r="F4507" i="2"/>
  <c r="G4507" i="2"/>
  <c r="F4774" i="2"/>
  <c r="H4774" i="2"/>
  <c r="G4774" i="2"/>
  <c r="H4798" i="2"/>
  <c r="G4798" i="2"/>
  <c r="F4798" i="2"/>
  <c r="F4051" i="2"/>
  <c r="H4051" i="2"/>
  <c r="F4059" i="2"/>
  <c r="H4059" i="2"/>
  <c r="F4067" i="2"/>
  <c r="H4067" i="2"/>
  <c r="H4095" i="2"/>
  <c r="G4095" i="2"/>
  <c r="F4108" i="2"/>
  <c r="H4108" i="2"/>
  <c r="F4117" i="2"/>
  <c r="G4117" i="2"/>
  <c r="F4134" i="2"/>
  <c r="H4134" i="2"/>
  <c r="G4152" i="2"/>
  <c r="H4152" i="2"/>
  <c r="H4161" i="2"/>
  <c r="G4161" i="2"/>
  <c r="F4161" i="2"/>
  <c r="F4181" i="2"/>
  <c r="G4181" i="2"/>
  <c r="G4204" i="2"/>
  <c r="H4204" i="2"/>
  <c r="F4204" i="2"/>
  <c r="G4268" i="2"/>
  <c r="H4268" i="2"/>
  <c r="F4268" i="2"/>
  <c r="F3923" i="2"/>
  <c r="F3931" i="2"/>
  <c r="F3939" i="2"/>
  <c r="F3947" i="2"/>
  <c r="F3955" i="2"/>
  <c r="F3963" i="2"/>
  <c r="F3971" i="2"/>
  <c r="F3979" i="2"/>
  <c r="F3987" i="2"/>
  <c r="F3995" i="2"/>
  <c r="F4003" i="2"/>
  <c r="F4011" i="2"/>
  <c r="F4019" i="2"/>
  <c r="F4024" i="2"/>
  <c r="F4031" i="2"/>
  <c r="F4038" i="2"/>
  <c r="G4051" i="2"/>
  <c r="G4059" i="2"/>
  <c r="G4067" i="2"/>
  <c r="G4076" i="2"/>
  <c r="F4076" i="2"/>
  <c r="H4102" i="2"/>
  <c r="G4102" i="2"/>
  <c r="G4134" i="2"/>
  <c r="G4150" i="2"/>
  <c r="F4152" i="2"/>
  <c r="H4181" i="2"/>
  <c r="G4308" i="2"/>
  <c r="H4308" i="2"/>
  <c r="F4308" i="2"/>
  <c r="H4480" i="2"/>
  <c r="G4480" i="2"/>
  <c r="F4480" i="2"/>
  <c r="H4087" i="2"/>
  <c r="G4087" i="2"/>
  <c r="F4091" i="2"/>
  <c r="H4091" i="2"/>
  <c r="G4128" i="2"/>
  <c r="H4128" i="2"/>
  <c r="F4128" i="2"/>
  <c r="H4159" i="2"/>
  <c r="G4159" i="2"/>
  <c r="H4166" i="2"/>
  <c r="G4166" i="2"/>
  <c r="H4243" i="2"/>
  <c r="F4243" i="2"/>
  <c r="G4243" i="2"/>
  <c r="H4478" i="2"/>
  <c r="F4478" i="2"/>
  <c r="G4478" i="2"/>
  <c r="H4616" i="2"/>
  <c r="G4616" i="2"/>
  <c r="F4616" i="2"/>
  <c r="H4640" i="2"/>
  <c r="F4640" i="2"/>
  <c r="G4640" i="2"/>
  <c r="G4021" i="2"/>
  <c r="G4068" i="2"/>
  <c r="F4068" i="2"/>
  <c r="G4085" i="2"/>
  <c r="F4087" i="2"/>
  <c r="G4091" i="2"/>
  <c r="F4109" i="2"/>
  <c r="H4109" i="2"/>
  <c r="G4109" i="2"/>
  <c r="G4135" i="2"/>
  <c r="F4135" i="2"/>
  <c r="H4142" i="2"/>
  <c r="G4142" i="2"/>
  <c r="F4142" i="2"/>
  <c r="H4155" i="2"/>
  <c r="F4155" i="2"/>
  <c r="F4159" i="2"/>
  <c r="F4166" i="2"/>
  <c r="H4241" i="2"/>
  <c r="F4241" i="2"/>
  <c r="G4241" i="2"/>
  <c r="H4299" i="2"/>
  <c r="G4299" i="2"/>
  <c r="F4299" i="2"/>
  <c r="H4590" i="2"/>
  <c r="G4590" i="2"/>
  <c r="F4590" i="2"/>
  <c r="H4614" i="2"/>
  <c r="F4614" i="2"/>
  <c r="G4614" i="2"/>
  <c r="H4193" i="2"/>
  <c r="F4193" i="2"/>
  <c r="H4195" i="2"/>
  <c r="F4195" i="2"/>
  <c r="H4257" i="2"/>
  <c r="F4257" i="2"/>
  <c r="H4259" i="2"/>
  <c r="F4259" i="2"/>
  <c r="H4305" i="2"/>
  <c r="F4305" i="2"/>
  <c r="H4307" i="2"/>
  <c r="G4307" i="2"/>
  <c r="F4307" i="2"/>
  <c r="H4353" i="2"/>
  <c r="F4353" i="2"/>
  <c r="H4355" i="2"/>
  <c r="G4355" i="2"/>
  <c r="F4355" i="2"/>
  <c r="H4375" i="2"/>
  <c r="F4375" i="2"/>
  <c r="H4417" i="2"/>
  <c r="F4417" i="2"/>
  <c r="H4419" i="2"/>
  <c r="G4419" i="2"/>
  <c r="F4419" i="2"/>
  <c r="H4439" i="2"/>
  <c r="F4439" i="2"/>
  <c r="H4468" i="2"/>
  <c r="G4468" i="2"/>
  <c r="F4468" i="2"/>
  <c r="F4506" i="2"/>
  <c r="H4506" i="2"/>
  <c r="G4506" i="2"/>
  <c r="H4513" i="2"/>
  <c r="G4513" i="2"/>
  <c r="F4513" i="2"/>
  <c r="G4538" i="2"/>
  <c r="F4538" i="2"/>
  <c r="H4538" i="2"/>
  <c r="H4549" i="2"/>
  <c r="G4549" i="2"/>
  <c r="F4549" i="2"/>
  <c r="H4560" i="2"/>
  <c r="F4560" i="2"/>
  <c r="H4563" i="2"/>
  <c r="G4563" i="2"/>
  <c r="F4563" i="2"/>
  <c r="H4746" i="2"/>
  <c r="G4746" i="2"/>
  <c r="F4746" i="2"/>
  <c r="H4096" i="2"/>
  <c r="G4115" i="2"/>
  <c r="H4141" i="2"/>
  <c r="H4153" i="2"/>
  <c r="H4160" i="2"/>
  <c r="H4172" i="2"/>
  <c r="G4179" i="2"/>
  <c r="H4185" i="2"/>
  <c r="F4185" i="2"/>
  <c r="H4187" i="2"/>
  <c r="F4187" i="2"/>
  <c r="F4191" i="2"/>
  <c r="G4193" i="2"/>
  <c r="G4195" i="2"/>
  <c r="H4197" i="2"/>
  <c r="G4199" i="2"/>
  <c r="F4220" i="2"/>
  <c r="H4228" i="2"/>
  <c r="H4249" i="2"/>
  <c r="F4249" i="2"/>
  <c r="H4251" i="2"/>
  <c r="F4251" i="2"/>
  <c r="G4253" i="2"/>
  <c r="F4255" i="2"/>
  <c r="G4257" i="2"/>
  <c r="G4259" i="2"/>
  <c r="H4261" i="2"/>
  <c r="G4263" i="2"/>
  <c r="F4284" i="2"/>
  <c r="F4303" i="2"/>
  <c r="G4305" i="2"/>
  <c r="F4316" i="2"/>
  <c r="H4329" i="2"/>
  <c r="F4329" i="2"/>
  <c r="H4331" i="2"/>
  <c r="G4331" i="2"/>
  <c r="F4331" i="2"/>
  <c r="H4351" i="2"/>
  <c r="F4351" i="2"/>
  <c r="G4353" i="2"/>
  <c r="G4375" i="2"/>
  <c r="H4393" i="2"/>
  <c r="F4393" i="2"/>
  <c r="H4395" i="2"/>
  <c r="G4395" i="2"/>
  <c r="F4395" i="2"/>
  <c r="H4415" i="2"/>
  <c r="F4415" i="2"/>
  <c r="G4417" i="2"/>
  <c r="G4439" i="2"/>
  <c r="H4462" i="2"/>
  <c r="F4462" i="2"/>
  <c r="H4464" i="2"/>
  <c r="F4464" i="2"/>
  <c r="H4475" i="2"/>
  <c r="G4475" i="2"/>
  <c r="F4475" i="2"/>
  <c r="G4493" i="2"/>
  <c r="F4493" i="2"/>
  <c r="H4500" i="2"/>
  <c r="F4500" i="2"/>
  <c r="G4509" i="2"/>
  <c r="F4509" i="2"/>
  <c r="H4516" i="2"/>
  <c r="F4516" i="2"/>
  <c r="G4560" i="2"/>
  <c r="H4574" i="2"/>
  <c r="G4574" i="2"/>
  <c r="F4574" i="2"/>
  <c r="H4579" i="2"/>
  <c r="F4579" i="2"/>
  <c r="H4581" i="2"/>
  <c r="G4581" i="2"/>
  <c r="F4581" i="2"/>
  <c r="H4686" i="2"/>
  <c r="G4686" i="2"/>
  <c r="F4686" i="2"/>
  <c r="H4710" i="2"/>
  <c r="F4710" i="2"/>
  <c r="H4712" i="2"/>
  <c r="G4712" i="2"/>
  <c r="F4712" i="2"/>
  <c r="H4940" i="2"/>
  <c r="G4940" i="2"/>
  <c r="F4940" i="2"/>
  <c r="H4956" i="2"/>
  <c r="G4956" i="2"/>
  <c r="F4956" i="2"/>
  <c r="H5004" i="2"/>
  <c r="G5004" i="2"/>
  <c r="F5004" i="2"/>
  <c r="H5020" i="2"/>
  <c r="G5020" i="2"/>
  <c r="F5020" i="2"/>
  <c r="H4233" i="2"/>
  <c r="F4233" i="2"/>
  <c r="H4235" i="2"/>
  <c r="F4235" i="2"/>
  <c r="H4345" i="2"/>
  <c r="F4345" i="2"/>
  <c r="H4347" i="2"/>
  <c r="G4347" i="2"/>
  <c r="F4347" i="2"/>
  <c r="H4367" i="2"/>
  <c r="F4367" i="2"/>
  <c r="H4409" i="2"/>
  <c r="F4409" i="2"/>
  <c r="H4411" i="2"/>
  <c r="G4411" i="2"/>
  <c r="F4411" i="2"/>
  <c r="H4431" i="2"/>
  <c r="F4431" i="2"/>
  <c r="H4532" i="2"/>
  <c r="G4532" i="2"/>
  <c r="F4532" i="2"/>
  <c r="H4561" i="2"/>
  <c r="G4561" i="2"/>
  <c r="F4561" i="2"/>
  <c r="H4577" i="2"/>
  <c r="F4577" i="2"/>
  <c r="F4820" i="2"/>
  <c r="G4820" i="2"/>
  <c r="H4950" i="2"/>
  <c r="G4950" i="2"/>
  <c r="F4950" i="2"/>
  <c r="G4173" i="2"/>
  <c r="F4180" i="2"/>
  <c r="F4196" i="2"/>
  <c r="H4225" i="2"/>
  <c r="F4225" i="2"/>
  <c r="H4227" i="2"/>
  <c r="F4227" i="2"/>
  <c r="G4229" i="2"/>
  <c r="F4231" i="2"/>
  <c r="G4233" i="2"/>
  <c r="G4235" i="2"/>
  <c r="F4260" i="2"/>
  <c r="H4289" i="2"/>
  <c r="F4289" i="2"/>
  <c r="H4291" i="2"/>
  <c r="G4291" i="2"/>
  <c r="F4291" i="2"/>
  <c r="H4321" i="2"/>
  <c r="F4321" i="2"/>
  <c r="H4323" i="2"/>
  <c r="G4323" i="2"/>
  <c r="F4323" i="2"/>
  <c r="H4343" i="2"/>
  <c r="F4343" i="2"/>
  <c r="G4345" i="2"/>
  <c r="G4367" i="2"/>
  <c r="H4385" i="2"/>
  <c r="F4385" i="2"/>
  <c r="H4387" i="2"/>
  <c r="G4387" i="2"/>
  <c r="F4387" i="2"/>
  <c r="H4407" i="2"/>
  <c r="F4407" i="2"/>
  <c r="G4409" i="2"/>
  <c r="G4431" i="2"/>
  <c r="H4449" i="2"/>
  <c r="F4449" i="2"/>
  <c r="H4451" i="2"/>
  <c r="G4451" i="2"/>
  <c r="F4451" i="2"/>
  <c r="H4481" i="2"/>
  <c r="F4481" i="2"/>
  <c r="H4494" i="2"/>
  <c r="G4494" i="2"/>
  <c r="F4494" i="2"/>
  <c r="H4526" i="2"/>
  <c r="F4526" i="2"/>
  <c r="H4528" i="2"/>
  <c r="F4528" i="2"/>
  <c r="G4577" i="2"/>
  <c r="G4586" i="2"/>
  <c r="F4586" i="2"/>
  <c r="H4586" i="2"/>
  <c r="H4654" i="2"/>
  <c r="G4654" i="2"/>
  <c r="F4654" i="2"/>
  <c r="H4678" i="2"/>
  <c r="F4678" i="2"/>
  <c r="H4680" i="2"/>
  <c r="G4680" i="2"/>
  <c r="F4680" i="2"/>
  <c r="H4704" i="2"/>
  <c r="F4704" i="2"/>
  <c r="H4768" i="2"/>
  <c r="G4768" i="2"/>
  <c r="F4768" i="2"/>
  <c r="H4820" i="2"/>
  <c r="H4824" i="2"/>
  <c r="G4824" i="2"/>
  <c r="F4824" i="2"/>
  <c r="H4173" i="2"/>
  <c r="G4180" i="2"/>
  <c r="H4196" i="2"/>
  <c r="H4217" i="2"/>
  <c r="F4217" i="2"/>
  <c r="H4219" i="2"/>
  <c r="F4219" i="2"/>
  <c r="H4229" i="2"/>
  <c r="G4231" i="2"/>
  <c r="H4260" i="2"/>
  <c r="H4281" i="2"/>
  <c r="F4281" i="2"/>
  <c r="H4283" i="2"/>
  <c r="F4283" i="2"/>
  <c r="H4361" i="2"/>
  <c r="F4361" i="2"/>
  <c r="H4363" i="2"/>
  <c r="G4363" i="2"/>
  <c r="F4363" i="2"/>
  <c r="H4383" i="2"/>
  <c r="F4383" i="2"/>
  <c r="H4425" i="2"/>
  <c r="F4425" i="2"/>
  <c r="H4427" i="2"/>
  <c r="G4427" i="2"/>
  <c r="F4427" i="2"/>
  <c r="H4447" i="2"/>
  <c r="F4447" i="2"/>
  <c r="H4512" i="2"/>
  <c r="F4512" i="2"/>
  <c r="H4542" i="2"/>
  <c r="F4542" i="2"/>
  <c r="H4544" i="2"/>
  <c r="F4544" i="2"/>
  <c r="H4608" i="2"/>
  <c r="F4608" i="2"/>
  <c r="G4678" i="2"/>
  <c r="H4781" i="2"/>
  <c r="G4781" i="2"/>
  <c r="F4781" i="2"/>
  <c r="H4857" i="2"/>
  <c r="G4857" i="2"/>
  <c r="F4857" i="2"/>
  <c r="H5104" i="2"/>
  <c r="G5104" i="2"/>
  <c r="F5104" i="2"/>
  <c r="H5124" i="2"/>
  <c r="G5124" i="2"/>
  <c r="F5124" i="2"/>
  <c r="H4209" i="2"/>
  <c r="F4209" i="2"/>
  <c r="H4211" i="2"/>
  <c r="F4211" i="2"/>
  <c r="H4273" i="2"/>
  <c r="F4273" i="2"/>
  <c r="H4275" i="2"/>
  <c r="F4275" i="2"/>
  <c r="H4313" i="2"/>
  <c r="F4313" i="2"/>
  <c r="H4315" i="2"/>
  <c r="G4315" i="2"/>
  <c r="F4315" i="2"/>
  <c r="H4337" i="2"/>
  <c r="F4337" i="2"/>
  <c r="H4339" i="2"/>
  <c r="G4339" i="2"/>
  <c r="F4339" i="2"/>
  <c r="H4359" i="2"/>
  <c r="F4359" i="2"/>
  <c r="H4401" i="2"/>
  <c r="F4401" i="2"/>
  <c r="H4403" i="2"/>
  <c r="G4403" i="2"/>
  <c r="F4403" i="2"/>
  <c r="H4423" i="2"/>
  <c r="F4423" i="2"/>
  <c r="F4474" i="2"/>
  <c r="G4474" i="2"/>
  <c r="F4490" i="2"/>
  <c r="G4490" i="2"/>
  <c r="H4497" i="2"/>
  <c r="F4497" i="2"/>
  <c r="H4718" i="2"/>
  <c r="G4718" i="2"/>
  <c r="F4718" i="2"/>
  <c r="H4733" i="2"/>
  <c r="G4733" i="2"/>
  <c r="F4733" i="2"/>
  <c r="F4758" i="2"/>
  <c r="G4758" i="2"/>
  <c r="H4762" i="2"/>
  <c r="G4762" i="2"/>
  <c r="F4762" i="2"/>
  <c r="F4873" i="2"/>
  <c r="H4873" i="2"/>
  <c r="G4873" i="2"/>
  <c r="H5022" i="2"/>
  <c r="G5022" i="2"/>
  <c r="F5022" i="2"/>
  <c r="H5038" i="2"/>
  <c r="G5038" i="2"/>
  <c r="F5038" i="2"/>
  <c r="H5086" i="2"/>
  <c r="G5086" i="2"/>
  <c r="F5086" i="2"/>
  <c r="H5102" i="2"/>
  <c r="G5102" i="2"/>
  <c r="F5102" i="2"/>
  <c r="G4099" i="2"/>
  <c r="H4125" i="2"/>
  <c r="F4139" i="2"/>
  <c r="H4144" i="2"/>
  <c r="G4163" i="2"/>
  <c r="G4165" i="2"/>
  <c r="H4201" i="2"/>
  <c r="F4201" i="2"/>
  <c r="H4203" i="2"/>
  <c r="F4203" i="2"/>
  <c r="G4205" i="2"/>
  <c r="F4207" i="2"/>
  <c r="G4209" i="2"/>
  <c r="G4211" i="2"/>
  <c r="H4213" i="2"/>
  <c r="G4215" i="2"/>
  <c r="F4236" i="2"/>
  <c r="H4244" i="2"/>
  <c r="H4265" i="2"/>
  <c r="F4265" i="2"/>
  <c r="H4267" i="2"/>
  <c r="F4267" i="2"/>
  <c r="G4269" i="2"/>
  <c r="F4271" i="2"/>
  <c r="G4273" i="2"/>
  <c r="G4275" i="2"/>
  <c r="H4277" i="2"/>
  <c r="G4279" i="2"/>
  <c r="F4292" i="2"/>
  <c r="F4311" i="2"/>
  <c r="G4313" i="2"/>
  <c r="H4335" i="2"/>
  <c r="F4335" i="2"/>
  <c r="G4337" i="2"/>
  <c r="G4359" i="2"/>
  <c r="H4377" i="2"/>
  <c r="F4377" i="2"/>
  <c r="H4379" i="2"/>
  <c r="G4379" i="2"/>
  <c r="F4379" i="2"/>
  <c r="H4399" i="2"/>
  <c r="F4399" i="2"/>
  <c r="G4401" i="2"/>
  <c r="G4423" i="2"/>
  <c r="H4441" i="2"/>
  <c r="F4441" i="2"/>
  <c r="H4443" i="2"/>
  <c r="G4443" i="2"/>
  <c r="F4443" i="2"/>
  <c r="H4459" i="2"/>
  <c r="F4459" i="2"/>
  <c r="G4461" i="2"/>
  <c r="H4461" i="2"/>
  <c r="F4461" i="2"/>
  <c r="H4474" i="2"/>
  <c r="H4490" i="2"/>
  <c r="G4497" i="2"/>
  <c r="H4622" i="2"/>
  <c r="G4622" i="2"/>
  <c r="F4622" i="2"/>
  <c r="H4646" i="2"/>
  <c r="F4646" i="2"/>
  <c r="H4648" i="2"/>
  <c r="G4648" i="2"/>
  <c r="F4648" i="2"/>
  <c r="H4672" i="2"/>
  <c r="F4672" i="2"/>
  <c r="H4752" i="2"/>
  <c r="F4752" i="2"/>
  <c r="H4758" i="2"/>
  <c r="F4858" i="2"/>
  <c r="G4858" i="2"/>
  <c r="H4858" i="2"/>
  <c r="H5040" i="2"/>
  <c r="G5040" i="2"/>
  <c r="F5040" i="2"/>
  <c r="H5060" i="2"/>
  <c r="G5060" i="2"/>
  <c r="F5060" i="2"/>
  <c r="H5142" i="2"/>
  <c r="G5142" i="2"/>
  <c r="F5142" i="2"/>
  <c r="F5273" i="2"/>
  <c r="H5273" i="2"/>
  <c r="G5273" i="2"/>
  <c r="H5422" i="2"/>
  <c r="G5422" i="2"/>
  <c r="F5422" i="2"/>
  <c r="H5439" i="2"/>
  <c r="G5439" i="2"/>
  <c r="F5439" i="2"/>
  <c r="G4562" i="2"/>
  <c r="F4562" i="2"/>
  <c r="H4573" i="2"/>
  <c r="G4573" i="2"/>
  <c r="H4597" i="2"/>
  <c r="G4597" i="2"/>
  <c r="H4610" i="2"/>
  <c r="G4610" i="2"/>
  <c r="F4610" i="2"/>
  <c r="H4629" i="2"/>
  <c r="G4629" i="2"/>
  <c r="H4642" i="2"/>
  <c r="G4642" i="2"/>
  <c r="F4642" i="2"/>
  <c r="H4661" i="2"/>
  <c r="G4661" i="2"/>
  <c r="H4674" i="2"/>
  <c r="G4674" i="2"/>
  <c r="F4674" i="2"/>
  <c r="H4693" i="2"/>
  <c r="G4693" i="2"/>
  <c r="H4706" i="2"/>
  <c r="G4706" i="2"/>
  <c r="F4706" i="2"/>
  <c r="H4725" i="2"/>
  <c r="G4725" i="2"/>
  <c r="H4754" i="2"/>
  <c r="G4754" i="2"/>
  <c r="F4754" i="2"/>
  <c r="H4793" i="2"/>
  <c r="G4793" i="2"/>
  <c r="G4813" i="2"/>
  <c r="F4813" i="2"/>
  <c r="H4832" i="2"/>
  <c r="F4832" i="2"/>
  <c r="G4864" i="2"/>
  <c r="H4864" i="2"/>
  <c r="H4868" i="2"/>
  <c r="G4868" i="2"/>
  <c r="F4868" i="2"/>
  <c r="H4892" i="2"/>
  <c r="G4892" i="2"/>
  <c r="F4892" i="2"/>
  <c r="H4952" i="2"/>
  <c r="G4952" i="2"/>
  <c r="F4952" i="2"/>
  <c r="H5088" i="2"/>
  <c r="G5088" i="2"/>
  <c r="F5088" i="2"/>
  <c r="H5187" i="2"/>
  <c r="G5187" i="2"/>
  <c r="F5187" i="2"/>
  <c r="H5217" i="2"/>
  <c r="G5217" i="2"/>
  <c r="F5217" i="2"/>
  <c r="H5222" i="2"/>
  <c r="G5222" i="2"/>
  <c r="F5222" i="2"/>
  <c r="H5267" i="2"/>
  <c r="G5267" i="2"/>
  <c r="F5267" i="2"/>
  <c r="H4469" i="2"/>
  <c r="G4488" i="2"/>
  <c r="H4514" i="2"/>
  <c r="H4533" i="2"/>
  <c r="G4546" i="2"/>
  <c r="F4546" i="2"/>
  <c r="H4557" i="2"/>
  <c r="G4557" i="2"/>
  <c r="G4584" i="2"/>
  <c r="H4605" i="2"/>
  <c r="G4605" i="2"/>
  <c r="H4618" i="2"/>
  <c r="G4618" i="2"/>
  <c r="F4618" i="2"/>
  <c r="H4637" i="2"/>
  <c r="G4637" i="2"/>
  <c r="H4650" i="2"/>
  <c r="G4650" i="2"/>
  <c r="F4650" i="2"/>
  <c r="H4669" i="2"/>
  <c r="G4669" i="2"/>
  <c r="H4682" i="2"/>
  <c r="G4682" i="2"/>
  <c r="F4682" i="2"/>
  <c r="H4701" i="2"/>
  <c r="G4701" i="2"/>
  <c r="H4714" i="2"/>
  <c r="G4714" i="2"/>
  <c r="F4714" i="2"/>
  <c r="H4741" i="2"/>
  <c r="G4741" i="2"/>
  <c r="G4760" i="2"/>
  <c r="H4766" i="2"/>
  <c r="H4770" i="2"/>
  <c r="G4770" i="2"/>
  <c r="F4770" i="2"/>
  <c r="H4800" i="2"/>
  <c r="G4800" i="2"/>
  <c r="F4800" i="2"/>
  <c r="H4875" i="2"/>
  <c r="G4875" i="2"/>
  <c r="F4877" i="2"/>
  <c r="G4877" i="2"/>
  <c r="F4893" i="2"/>
  <c r="G4893" i="2"/>
  <c r="H4893" i="2"/>
  <c r="H5016" i="2"/>
  <c r="G5016" i="2"/>
  <c r="F5016" i="2"/>
  <c r="H5152" i="2"/>
  <c r="G5152" i="2"/>
  <c r="F5152" i="2"/>
  <c r="H5188" i="2"/>
  <c r="G5188" i="2"/>
  <c r="F5188" i="2"/>
  <c r="H5215" i="2"/>
  <c r="G5215" i="2"/>
  <c r="G5296" i="2"/>
  <c r="F5296" i="2"/>
  <c r="H5296" i="2"/>
  <c r="H4749" i="2"/>
  <c r="G4749" i="2"/>
  <c r="H4778" i="2"/>
  <c r="G4778" i="2"/>
  <c r="F4778" i="2"/>
  <c r="F4794" i="2"/>
  <c r="G4794" i="2"/>
  <c r="H4814" i="2"/>
  <c r="G4814" i="2"/>
  <c r="F4814" i="2"/>
  <c r="G4829" i="2"/>
  <c r="H4829" i="2"/>
  <c r="H4881" i="2"/>
  <c r="G4881" i="2"/>
  <c r="F4881" i="2"/>
  <c r="H4932" i="2"/>
  <c r="G4932" i="2"/>
  <c r="F4932" i="2"/>
  <c r="H5014" i="2"/>
  <c r="G5014" i="2"/>
  <c r="F5014" i="2"/>
  <c r="H5068" i="2"/>
  <c r="G5068" i="2"/>
  <c r="F5068" i="2"/>
  <c r="H5084" i="2"/>
  <c r="G5084" i="2"/>
  <c r="H5150" i="2"/>
  <c r="G5150" i="2"/>
  <c r="F5150" i="2"/>
  <c r="H5166" i="2"/>
  <c r="G5166" i="2"/>
  <c r="H5168" i="2"/>
  <c r="G5168" i="2"/>
  <c r="F5168" i="2"/>
  <c r="H5195" i="2"/>
  <c r="G5195" i="2"/>
  <c r="F5195" i="2"/>
  <c r="F5215" i="2"/>
  <c r="H5359" i="2"/>
  <c r="G5359" i="2"/>
  <c r="F5359" i="2"/>
  <c r="H5380" i="2"/>
  <c r="G5380" i="2"/>
  <c r="F5380" i="2"/>
  <c r="H5396" i="2"/>
  <c r="F5396" i="2"/>
  <c r="G5396" i="2"/>
  <c r="H4466" i="2"/>
  <c r="H4485" i="2"/>
  <c r="G4504" i="2"/>
  <c r="G4518" i="2"/>
  <c r="H4530" i="2"/>
  <c r="G4537" i="2"/>
  <c r="G4539" i="2"/>
  <c r="H4541" i="2"/>
  <c r="G4541" i="2"/>
  <c r="G4550" i="2"/>
  <c r="G4568" i="2"/>
  <c r="F4592" i="2"/>
  <c r="H4594" i="2"/>
  <c r="G4594" i="2"/>
  <c r="F4594" i="2"/>
  <c r="F4598" i="2"/>
  <c r="G4611" i="2"/>
  <c r="H4613" i="2"/>
  <c r="G4613" i="2"/>
  <c r="F4624" i="2"/>
  <c r="H4626" i="2"/>
  <c r="G4626" i="2"/>
  <c r="F4626" i="2"/>
  <c r="F4630" i="2"/>
  <c r="G4643" i="2"/>
  <c r="H4645" i="2"/>
  <c r="G4645" i="2"/>
  <c r="F4656" i="2"/>
  <c r="H4658" i="2"/>
  <c r="G4658" i="2"/>
  <c r="F4658" i="2"/>
  <c r="F4662" i="2"/>
  <c r="G4675" i="2"/>
  <c r="H4677" i="2"/>
  <c r="G4677" i="2"/>
  <c r="F4688" i="2"/>
  <c r="H4690" i="2"/>
  <c r="G4690" i="2"/>
  <c r="F4690" i="2"/>
  <c r="F4694" i="2"/>
  <c r="G4707" i="2"/>
  <c r="H4709" i="2"/>
  <c r="G4709" i="2"/>
  <c r="F4720" i="2"/>
  <c r="H4722" i="2"/>
  <c r="G4722" i="2"/>
  <c r="F4722" i="2"/>
  <c r="G4726" i="2"/>
  <c r="F4749" i="2"/>
  <c r="H4757" i="2"/>
  <c r="G4757" i="2"/>
  <c r="G4776" i="2"/>
  <c r="H4782" i="2"/>
  <c r="F4784" i="2"/>
  <c r="F4786" i="2"/>
  <c r="H4786" i="2"/>
  <c r="H4788" i="2"/>
  <c r="G4788" i="2"/>
  <c r="F4788" i="2"/>
  <c r="H4794" i="2"/>
  <c r="H4827" i="2"/>
  <c r="F4829" i="2"/>
  <c r="G4846" i="2"/>
  <c r="H4848" i="2"/>
  <c r="G4848" i="2"/>
  <c r="F4850" i="2"/>
  <c r="H4850" i="2"/>
  <c r="G4850" i="2"/>
  <c r="H4894" i="2"/>
  <c r="G4894" i="2"/>
  <c r="F4894" i="2"/>
  <c r="H4960" i="2"/>
  <c r="G4960" i="2"/>
  <c r="F4960" i="2"/>
  <c r="H5080" i="2"/>
  <c r="G5080" i="2"/>
  <c r="F5080" i="2"/>
  <c r="F5084" i="2"/>
  <c r="F5166" i="2"/>
  <c r="G4554" i="2"/>
  <c r="F4554" i="2"/>
  <c r="H4565" i="2"/>
  <c r="G4565" i="2"/>
  <c r="G4592" i="2"/>
  <c r="G4598" i="2"/>
  <c r="G4624" i="2"/>
  <c r="G4630" i="2"/>
  <c r="G4656" i="2"/>
  <c r="G4662" i="2"/>
  <c r="G4688" i="2"/>
  <c r="G4694" i="2"/>
  <c r="G4720" i="2"/>
  <c r="H4726" i="2"/>
  <c r="H4730" i="2"/>
  <c r="G4730" i="2"/>
  <c r="F4730" i="2"/>
  <c r="H4765" i="2"/>
  <c r="G4765" i="2"/>
  <c r="G4784" i="2"/>
  <c r="H4812" i="2"/>
  <c r="G4812" i="2"/>
  <c r="H4819" i="2"/>
  <c r="G4819" i="2"/>
  <c r="F4819" i="2"/>
  <c r="H4838" i="2"/>
  <c r="G4838" i="2"/>
  <c r="F4838" i="2"/>
  <c r="H4846" i="2"/>
  <c r="H4915" i="2"/>
  <c r="F4915" i="2"/>
  <c r="H4958" i="2"/>
  <c r="G4958" i="2"/>
  <c r="F4958" i="2"/>
  <c r="H4974" i="2"/>
  <c r="G4974" i="2"/>
  <c r="H4976" i="2"/>
  <c r="G4976" i="2"/>
  <c r="F4976" i="2"/>
  <c r="H4996" i="2"/>
  <c r="G4996" i="2"/>
  <c r="F4996" i="2"/>
  <c r="H5078" i="2"/>
  <c r="G5078" i="2"/>
  <c r="F5078" i="2"/>
  <c r="H5132" i="2"/>
  <c r="G5132" i="2"/>
  <c r="F5132" i="2"/>
  <c r="H5148" i="2"/>
  <c r="G5148" i="2"/>
  <c r="H5292" i="2"/>
  <c r="F5292" i="2"/>
  <c r="G5292" i="2"/>
  <c r="G4456" i="2"/>
  <c r="G4458" i="2"/>
  <c r="F4477" i="2"/>
  <c r="H4482" i="2"/>
  <c r="F4496" i="2"/>
  <c r="H4501" i="2"/>
  <c r="G4520" i="2"/>
  <c r="G4522" i="2"/>
  <c r="G4552" i="2"/>
  <c r="H4554" i="2"/>
  <c r="F4565" i="2"/>
  <c r="F4576" i="2"/>
  <c r="G4578" i="2"/>
  <c r="F4578" i="2"/>
  <c r="H4589" i="2"/>
  <c r="G4589" i="2"/>
  <c r="F4600" i="2"/>
  <c r="H4602" i="2"/>
  <c r="G4602" i="2"/>
  <c r="F4602" i="2"/>
  <c r="H4621" i="2"/>
  <c r="G4621" i="2"/>
  <c r="F4632" i="2"/>
  <c r="H4634" i="2"/>
  <c r="G4634" i="2"/>
  <c r="F4634" i="2"/>
  <c r="H4653" i="2"/>
  <c r="G4653" i="2"/>
  <c r="F4664" i="2"/>
  <c r="H4666" i="2"/>
  <c r="G4666" i="2"/>
  <c r="F4666" i="2"/>
  <c r="H4685" i="2"/>
  <c r="G4685" i="2"/>
  <c r="F4696" i="2"/>
  <c r="H4698" i="2"/>
  <c r="G4698" i="2"/>
  <c r="F4698" i="2"/>
  <c r="H4717" i="2"/>
  <c r="G4717" i="2"/>
  <c r="G4728" i="2"/>
  <c r="H4734" i="2"/>
  <c r="F4736" i="2"/>
  <c r="H4738" i="2"/>
  <c r="G4738" i="2"/>
  <c r="F4738" i="2"/>
  <c r="G4742" i="2"/>
  <c r="F4765" i="2"/>
  <c r="H4773" i="2"/>
  <c r="G4773" i="2"/>
  <c r="H4795" i="2"/>
  <c r="G4795" i="2"/>
  <c r="F4795" i="2"/>
  <c r="H4801" i="2"/>
  <c r="G4805" i="2"/>
  <c r="H4805" i="2"/>
  <c r="H4810" i="2"/>
  <c r="F4812" i="2"/>
  <c r="H4817" i="2"/>
  <c r="G4817" i="2"/>
  <c r="H4836" i="2"/>
  <c r="G4836" i="2"/>
  <c r="G4870" i="2"/>
  <c r="H4870" i="2"/>
  <c r="F4870" i="2"/>
  <c r="F4909" i="2"/>
  <c r="H4909" i="2"/>
  <c r="G4915" i="2"/>
  <c r="F4974" i="2"/>
  <c r="H5024" i="2"/>
  <c r="G5024" i="2"/>
  <c r="F5024" i="2"/>
  <c r="H5144" i="2"/>
  <c r="G5144" i="2"/>
  <c r="F5144" i="2"/>
  <c r="F5148" i="2"/>
  <c r="H5275" i="2"/>
  <c r="G5275" i="2"/>
  <c r="F5275" i="2"/>
  <c r="F4901" i="2"/>
  <c r="H4901" i="2"/>
  <c r="H4903" i="2"/>
  <c r="F4903" i="2"/>
  <c r="H4934" i="2"/>
  <c r="G4934" i="2"/>
  <c r="H4936" i="2"/>
  <c r="G4936" i="2"/>
  <c r="F4936" i="2"/>
  <c r="H4980" i="2"/>
  <c r="G4980" i="2"/>
  <c r="H4998" i="2"/>
  <c r="G4998" i="2"/>
  <c r="H5000" i="2"/>
  <c r="G5000" i="2"/>
  <c r="F5000" i="2"/>
  <c r="H5044" i="2"/>
  <c r="G5044" i="2"/>
  <c r="H5062" i="2"/>
  <c r="G5062" i="2"/>
  <c r="H5064" i="2"/>
  <c r="G5064" i="2"/>
  <c r="F5064" i="2"/>
  <c r="H5108" i="2"/>
  <c r="G5108" i="2"/>
  <c r="H5126" i="2"/>
  <c r="G5126" i="2"/>
  <c r="H5128" i="2"/>
  <c r="G5128" i="2"/>
  <c r="F5128" i="2"/>
  <c r="H5172" i="2"/>
  <c r="G5172" i="2"/>
  <c r="H5220" i="2"/>
  <c r="G5220" i="2"/>
  <c r="G5232" i="2"/>
  <c r="F5232" i="2"/>
  <c r="H5232" i="2"/>
  <c r="H5279" i="2"/>
  <c r="G5279" i="2"/>
  <c r="F5279" i="2"/>
  <c r="H5294" i="2"/>
  <c r="G5294" i="2"/>
  <c r="F5294" i="2"/>
  <c r="H5318" i="2"/>
  <c r="G5318" i="2"/>
  <c r="H5401" i="2"/>
  <c r="G5401" i="2"/>
  <c r="F5401" i="2"/>
  <c r="H5228" i="2"/>
  <c r="F5228" i="2"/>
  <c r="G5280" i="2"/>
  <c r="F5280" i="2"/>
  <c r="H5280" i="2"/>
  <c r="H5311" i="2"/>
  <c r="G5311" i="2"/>
  <c r="F5311" i="2"/>
  <c r="H5542" i="2"/>
  <c r="G5542" i="2"/>
  <c r="F5542" i="2"/>
  <c r="H5566" i="2"/>
  <c r="G5566" i="2"/>
  <c r="F5566" i="2"/>
  <c r="G4896" i="2"/>
  <c r="F4896" i="2"/>
  <c r="H4926" i="2"/>
  <c r="G4926" i="2"/>
  <c r="H4928" i="2"/>
  <c r="G4928" i="2"/>
  <c r="F4928" i="2"/>
  <c r="H4972" i="2"/>
  <c r="G4972" i="2"/>
  <c r="H4990" i="2"/>
  <c r="G4990" i="2"/>
  <c r="H4992" i="2"/>
  <c r="G4992" i="2"/>
  <c r="F4992" i="2"/>
  <c r="H5036" i="2"/>
  <c r="G5036" i="2"/>
  <c r="H5054" i="2"/>
  <c r="G5054" i="2"/>
  <c r="H5056" i="2"/>
  <c r="G5056" i="2"/>
  <c r="F5056" i="2"/>
  <c r="H5100" i="2"/>
  <c r="G5100" i="2"/>
  <c r="H5118" i="2"/>
  <c r="G5118" i="2"/>
  <c r="H5120" i="2"/>
  <c r="G5120" i="2"/>
  <c r="F5120" i="2"/>
  <c r="H5164" i="2"/>
  <c r="G5164" i="2"/>
  <c r="H5182" i="2"/>
  <c r="G5182" i="2"/>
  <c r="F5184" i="2"/>
  <c r="H5184" i="2"/>
  <c r="G5184" i="2"/>
  <c r="H5206" i="2"/>
  <c r="G5206" i="2"/>
  <c r="F5206" i="2"/>
  <c r="H5211" i="2"/>
  <c r="G5211" i="2"/>
  <c r="F5211" i="2"/>
  <c r="G5228" i="2"/>
  <c r="H5268" i="2"/>
  <c r="G5268" i="2"/>
  <c r="F5268" i="2"/>
  <c r="F5271" i="2"/>
  <c r="H5271" i="2"/>
  <c r="H5299" i="2"/>
  <c r="G5299" i="2"/>
  <c r="H5326" i="2"/>
  <c r="G5326" i="2"/>
  <c r="F5326" i="2"/>
  <c r="H5353" i="2"/>
  <c r="G5353" i="2"/>
  <c r="F5353" i="2"/>
  <c r="G5360" i="2"/>
  <c r="H5360" i="2"/>
  <c r="F5360" i="2"/>
  <c r="H5478" i="2"/>
  <c r="G5478" i="2"/>
  <c r="F5478" i="2"/>
  <c r="H5481" i="2"/>
  <c r="G5481" i="2"/>
  <c r="F5481" i="2"/>
  <c r="H5497" i="2"/>
  <c r="G5497" i="2"/>
  <c r="F5497" i="2"/>
  <c r="H5502" i="2"/>
  <c r="G5502" i="2"/>
  <c r="F5502" i="2"/>
  <c r="G4826" i="2"/>
  <c r="F4833" i="2"/>
  <c r="F4845" i="2"/>
  <c r="F4852" i="2"/>
  <c r="F4859" i="2"/>
  <c r="H4896" i="2"/>
  <c r="F4904" i="2"/>
  <c r="G4918" i="2"/>
  <c r="H4920" i="2"/>
  <c r="G4920" i="2"/>
  <c r="F4926" i="2"/>
  <c r="H4948" i="2"/>
  <c r="G4948" i="2"/>
  <c r="H4966" i="2"/>
  <c r="G4966" i="2"/>
  <c r="H4968" i="2"/>
  <c r="G4968" i="2"/>
  <c r="F4968" i="2"/>
  <c r="F4972" i="2"/>
  <c r="F4990" i="2"/>
  <c r="H5012" i="2"/>
  <c r="G5012" i="2"/>
  <c r="H5030" i="2"/>
  <c r="G5030" i="2"/>
  <c r="H5032" i="2"/>
  <c r="G5032" i="2"/>
  <c r="F5032" i="2"/>
  <c r="F5036" i="2"/>
  <c r="F5054" i="2"/>
  <c r="H5076" i="2"/>
  <c r="G5076" i="2"/>
  <c r="H5094" i="2"/>
  <c r="G5094" i="2"/>
  <c r="H5096" i="2"/>
  <c r="G5096" i="2"/>
  <c r="F5096" i="2"/>
  <c r="F5100" i="2"/>
  <c r="F5118" i="2"/>
  <c r="H5140" i="2"/>
  <c r="G5140" i="2"/>
  <c r="H5158" i="2"/>
  <c r="G5158" i="2"/>
  <c r="H5160" i="2"/>
  <c r="G5160" i="2"/>
  <c r="F5160" i="2"/>
  <c r="F5164" i="2"/>
  <c r="F5182" i="2"/>
  <c r="H5191" i="2"/>
  <c r="F5191" i="2"/>
  <c r="G5224" i="2"/>
  <c r="F5224" i="2"/>
  <c r="G5271" i="2"/>
  <c r="H5281" i="2"/>
  <c r="G5281" i="2"/>
  <c r="F5281" i="2"/>
  <c r="G5288" i="2"/>
  <c r="F5288" i="2"/>
  <c r="H5288" i="2"/>
  <c r="F5299" i="2"/>
  <c r="F5389" i="2"/>
  <c r="H5389" i="2"/>
  <c r="G5389" i="2"/>
  <c r="H5473" i="2"/>
  <c r="G5473" i="2"/>
  <c r="F5473" i="2"/>
  <c r="H4826" i="2"/>
  <c r="G4833" i="2"/>
  <c r="H4845" i="2"/>
  <c r="G4852" i="2"/>
  <c r="G4859" i="2"/>
  <c r="H4904" i="2"/>
  <c r="H4910" i="2"/>
  <c r="F4910" i="2"/>
  <c r="G4912" i="2"/>
  <c r="F4912" i="2"/>
  <c r="H4918" i="2"/>
  <c r="H4942" i="2"/>
  <c r="G4942" i="2"/>
  <c r="H4944" i="2"/>
  <c r="G4944" i="2"/>
  <c r="F4944" i="2"/>
  <c r="H4988" i="2"/>
  <c r="G4988" i="2"/>
  <c r="H5006" i="2"/>
  <c r="G5006" i="2"/>
  <c r="H5008" i="2"/>
  <c r="G5008" i="2"/>
  <c r="F5008" i="2"/>
  <c r="H5052" i="2"/>
  <c r="G5052" i="2"/>
  <c r="H5070" i="2"/>
  <c r="G5070" i="2"/>
  <c r="H5072" i="2"/>
  <c r="G5072" i="2"/>
  <c r="F5072" i="2"/>
  <c r="H5116" i="2"/>
  <c r="G5116" i="2"/>
  <c r="H5134" i="2"/>
  <c r="G5134" i="2"/>
  <c r="H5136" i="2"/>
  <c r="G5136" i="2"/>
  <c r="F5136" i="2"/>
  <c r="H5180" i="2"/>
  <c r="G5180" i="2"/>
  <c r="H5207" i="2"/>
  <c r="G5207" i="2"/>
  <c r="H5351" i="2"/>
  <c r="G5351" i="2"/>
  <c r="F5351" i="2"/>
  <c r="H5361" i="2"/>
  <c r="G5361" i="2"/>
  <c r="F5407" i="2"/>
  <c r="H5407" i="2"/>
  <c r="H5441" i="2"/>
  <c r="G5441" i="2"/>
  <c r="F5441" i="2"/>
  <c r="H4964" i="2"/>
  <c r="G4964" i="2"/>
  <c r="H4982" i="2"/>
  <c r="G4982" i="2"/>
  <c r="H4984" i="2"/>
  <c r="G4984" i="2"/>
  <c r="F4984" i="2"/>
  <c r="H5028" i="2"/>
  <c r="G5028" i="2"/>
  <c r="H5046" i="2"/>
  <c r="G5046" i="2"/>
  <c r="H5048" i="2"/>
  <c r="G5048" i="2"/>
  <c r="F5048" i="2"/>
  <c r="H5092" i="2"/>
  <c r="G5092" i="2"/>
  <c r="H5110" i="2"/>
  <c r="G5110" i="2"/>
  <c r="H5112" i="2"/>
  <c r="G5112" i="2"/>
  <c r="F5112" i="2"/>
  <c r="H5156" i="2"/>
  <c r="G5156" i="2"/>
  <c r="H5174" i="2"/>
  <c r="G5174" i="2"/>
  <c r="H5176" i="2"/>
  <c r="G5176" i="2"/>
  <c r="F5176" i="2"/>
  <c r="H5198" i="2"/>
  <c r="G5198" i="2"/>
  <c r="G5284" i="2"/>
  <c r="H5337" i="2"/>
  <c r="G5337" i="2"/>
  <c r="H5339" i="2"/>
  <c r="G5339" i="2"/>
  <c r="F5339" i="2"/>
  <c r="G5366" i="2"/>
  <c r="H5366" i="2"/>
  <c r="F5366" i="2"/>
  <c r="G5407" i="2"/>
  <c r="H5465" i="2"/>
  <c r="G5465" i="2"/>
  <c r="F5465" i="2"/>
  <c r="G5594" i="2"/>
  <c r="H5594" i="2"/>
  <c r="F5594" i="2"/>
  <c r="H5605" i="2"/>
  <c r="F5605" i="2"/>
  <c r="G5605" i="2"/>
  <c r="H5641" i="2"/>
  <c r="G5641" i="2"/>
  <c r="F5641" i="2"/>
  <c r="G5200" i="2"/>
  <c r="F5200" i="2"/>
  <c r="H5243" i="2"/>
  <c r="G5243" i="2"/>
  <c r="H5247" i="2"/>
  <c r="G5247" i="2"/>
  <c r="G5256" i="2"/>
  <c r="F5256" i="2"/>
  <c r="G5320" i="2"/>
  <c r="F5320" i="2"/>
  <c r="H5331" i="2"/>
  <c r="G5331" i="2"/>
  <c r="F5341" i="2"/>
  <c r="H5341" i="2"/>
  <c r="G5341" i="2"/>
  <c r="G5348" i="2"/>
  <c r="F5348" i="2"/>
  <c r="H5399" i="2"/>
  <c r="G5399" i="2"/>
  <c r="H5438" i="2"/>
  <c r="G5438" i="2"/>
  <c r="F5438" i="2"/>
  <c r="H5452" i="2"/>
  <c r="G5452" i="2"/>
  <c r="F5452" i="2"/>
  <c r="H5235" i="2"/>
  <c r="G5235" i="2"/>
  <c r="G5248" i="2"/>
  <c r="F5248" i="2"/>
  <c r="F5349" i="2"/>
  <c r="H5349" i="2"/>
  <c r="G5349" i="2"/>
  <c r="H5420" i="2"/>
  <c r="G5420" i="2"/>
  <c r="H5533" i="2"/>
  <c r="G5533" i="2"/>
  <c r="F5533" i="2"/>
  <c r="G4917" i="2"/>
  <c r="F4917" i="2"/>
  <c r="G5216" i="2"/>
  <c r="F5216" i="2"/>
  <c r="H5300" i="2"/>
  <c r="G5300" i="2"/>
  <c r="F5300" i="2"/>
  <c r="F5305" i="2"/>
  <c r="H5307" i="2"/>
  <c r="G5307" i="2"/>
  <c r="F5307" i="2"/>
  <c r="G5312" i="2"/>
  <c r="F5312" i="2"/>
  <c r="F5335" i="2"/>
  <c r="H5369" i="2"/>
  <c r="G5369" i="2"/>
  <c r="F5369" i="2"/>
  <c r="G5382" i="2"/>
  <c r="F5382" i="2"/>
  <c r="F5420" i="2"/>
  <c r="H5462" i="2"/>
  <c r="G5462" i="2"/>
  <c r="F5462" i="2"/>
  <c r="H5476" i="2"/>
  <c r="G5476" i="2"/>
  <c r="F5476" i="2"/>
  <c r="F5495" i="2"/>
  <c r="H5495" i="2"/>
  <c r="G5495" i="2"/>
  <c r="H4923" i="2"/>
  <c r="G4923" i="2"/>
  <c r="H4931" i="2"/>
  <c r="G4931" i="2"/>
  <c r="H4939" i="2"/>
  <c r="G4939" i="2"/>
  <c r="H4947" i="2"/>
  <c r="G4947" i="2"/>
  <c r="H4955" i="2"/>
  <c r="G4955" i="2"/>
  <c r="H4963" i="2"/>
  <c r="G4963" i="2"/>
  <c r="H4971" i="2"/>
  <c r="G4971" i="2"/>
  <c r="H4979" i="2"/>
  <c r="G4979" i="2"/>
  <c r="H4987" i="2"/>
  <c r="G4987" i="2"/>
  <c r="H4995" i="2"/>
  <c r="G4995" i="2"/>
  <c r="H5003" i="2"/>
  <c r="G5003" i="2"/>
  <c r="H5011" i="2"/>
  <c r="G5011" i="2"/>
  <c r="H5019" i="2"/>
  <c r="G5019" i="2"/>
  <c r="H5027" i="2"/>
  <c r="G5027" i="2"/>
  <c r="H5035" i="2"/>
  <c r="G5035" i="2"/>
  <c r="H5043" i="2"/>
  <c r="G5043" i="2"/>
  <c r="H5051" i="2"/>
  <c r="G5051" i="2"/>
  <c r="H5059" i="2"/>
  <c r="G5059" i="2"/>
  <c r="H5067" i="2"/>
  <c r="G5067" i="2"/>
  <c r="H5075" i="2"/>
  <c r="G5075" i="2"/>
  <c r="H5083" i="2"/>
  <c r="G5083" i="2"/>
  <c r="H5091" i="2"/>
  <c r="G5091" i="2"/>
  <c r="H5099" i="2"/>
  <c r="G5099" i="2"/>
  <c r="H5107" i="2"/>
  <c r="G5107" i="2"/>
  <c r="H5115" i="2"/>
  <c r="G5115" i="2"/>
  <c r="H5123" i="2"/>
  <c r="G5123" i="2"/>
  <c r="H5131" i="2"/>
  <c r="G5131" i="2"/>
  <c r="H5139" i="2"/>
  <c r="G5139" i="2"/>
  <c r="H5147" i="2"/>
  <c r="G5147" i="2"/>
  <c r="H5155" i="2"/>
  <c r="G5155" i="2"/>
  <c r="H5163" i="2"/>
  <c r="G5163" i="2"/>
  <c r="H5171" i="2"/>
  <c r="G5171" i="2"/>
  <c r="H5179" i="2"/>
  <c r="G5179" i="2"/>
  <c r="G5193" i="2"/>
  <c r="H5236" i="2"/>
  <c r="G5236" i="2"/>
  <c r="F5236" i="2"/>
  <c r="H5249" i="2"/>
  <c r="G5249" i="2"/>
  <c r="H5262" i="2"/>
  <c r="G5262" i="2"/>
  <c r="G5264" i="2"/>
  <c r="F5264" i="2"/>
  <c r="H5264" i="2"/>
  <c r="G5303" i="2"/>
  <c r="H5324" i="2"/>
  <c r="G5324" i="2"/>
  <c r="H5409" i="2"/>
  <c r="G5409" i="2"/>
  <c r="H5454" i="2"/>
  <c r="G5454" i="2"/>
  <c r="F5454" i="2"/>
  <c r="G5460" i="2"/>
  <c r="G5328" i="2"/>
  <c r="F5328" i="2"/>
  <c r="H5367" i="2"/>
  <c r="G5367" i="2"/>
  <c r="G5390" i="2"/>
  <c r="F5390" i="2"/>
  <c r="F5397" i="2"/>
  <c r="H5397" i="2"/>
  <c r="H5509" i="2"/>
  <c r="G5509" i="2"/>
  <c r="F5509" i="2"/>
  <c r="G5578" i="2"/>
  <c r="H5578" i="2"/>
  <c r="F5578" i="2"/>
  <c r="H5585" i="2"/>
  <c r="G5585" i="2"/>
  <c r="F5585" i="2"/>
  <c r="G5208" i="2"/>
  <c r="F5208" i="2"/>
  <c r="H5219" i="2"/>
  <c r="G5219" i="2"/>
  <c r="H5251" i="2"/>
  <c r="G5251" i="2"/>
  <c r="H5283" i="2"/>
  <c r="G5283" i="2"/>
  <c r="H5315" i="2"/>
  <c r="G5315" i="2"/>
  <c r="H5328" i="2"/>
  <c r="F5332" i="2"/>
  <c r="F5347" i="2"/>
  <c r="F5363" i="2"/>
  <c r="F5365" i="2"/>
  <c r="H5365" i="2"/>
  <c r="F5367" i="2"/>
  <c r="F5372" i="2"/>
  <c r="F5374" i="2"/>
  <c r="G5383" i="2"/>
  <c r="F5383" i="2"/>
  <c r="H5390" i="2"/>
  <c r="G5397" i="2"/>
  <c r="H5430" i="2"/>
  <c r="G5430" i="2"/>
  <c r="F5430" i="2"/>
  <c r="H5470" i="2"/>
  <c r="G5470" i="2"/>
  <c r="F5470" i="2"/>
  <c r="H5483" i="2"/>
  <c r="G5483" i="2"/>
  <c r="F4925" i="2"/>
  <c r="F4933" i="2"/>
  <c r="F4941" i="2"/>
  <c r="F4949" i="2"/>
  <c r="F4957" i="2"/>
  <c r="F4965" i="2"/>
  <c r="F4973" i="2"/>
  <c r="F4981" i="2"/>
  <c r="F4989" i="2"/>
  <c r="F4997" i="2"/>
  <c r="F5005" i="2"/>
  <c r="F5013" i="2"/>
  <c r="F5021" i="2"/>
  <c r="F5029" i="2"/>
  <c r="F5037" i="2"/>
  <c r="F5045" i="2"/>
  <c r="F5053" i="2"/>
  <c r="F5061" i="2"/>
  <c r="F5069" i="2"/>
  <c r="F5077" i="2"/>
  <c r="F5085" i="2"/>
  <c r="F5093" i="2"/>
  <c r="F5101" i="2"/>
  <c r="F5109" i="2"/>
  <c r="F5117" i="2"/>
  <c r="F5125" i="2"/>
  <c r="F5133" i="2"/>
  <c r="F5141" i="2"/>
  <c r="F5149" i="2"/>
  <c r="F5157" i="2"/>
  <c r="F5165" i="2"/>
  <c r="F5173" i="2"/>
  <c r="F5181" i="2"/>
  <c r="F5199" i="2"/>
  <c r="F5201" i="2"/>
  <c r="H5208" i="2"/>
  <c r="F5212" i="2"/>
  <c r="F5219" i="2"/>
  <c r="F5223" i="2"/>
  <c r="F5225" i="2"/>
  <c r="F5238" i="2"/>
  <c r="G5240" i="2"/>
  <c r="F5240" i="2"/>
  <c r="F5251" i="2"/>
  <c r="F5255" i="2"/>
  <c r="F5257" i="2"/>
  <c r="F5270" i="2"/>
  <c r="G5272" i="2"/>
  <c r="F5272" i="2"/>
  <c r="F5283" i="2"/>
  <c r="F5287" i="2"/>
  <c r="F5289" i="2"/>
  <c r="F5302" i="2"/>
  <c r="G5304" i="2"/>
  <c r="F5304" i="2"/>
  <c r="F5315" i="2"/>
  <c r="F5319" i="2"/>
  <c r="F5321" i="2"/>
  <c r="G5332" i="2"/>
  <c r="F5334" i="2"/>
  <c r="G5336" i="2"/>
  <c r="F5336" i="2"/>
  <c r="F5342" i="2"/>
  <c r="G5347" i="2"/>
  <c r="G5363" i="2"/>
  <c r="G5365" i="2"/>
  <c r="G5372" i="2"/>
  <c r="H5374" i="2"/>
  <c r="H5383" i="2"/>
  <c r="H5393" i="2"/>
  <c r="G5393" i="2"/>
  <c r="F5393" i="2"/>
  <c r="F5415" i="2"/>
  <c r="H5417" i="2"/>
  <c r="G5417" i="2"/>
  <c r="F5428" i="2"/>
  <c r="H5433" i="2"/>
  <c r="G5433" i="2"/>
  <c r="F5433" i="2"/>
  <c r="F5468" i="2"/>
  <c r="F5483" i="2"/>
  <c r="G5514" i="2"/>
  <c r="H5514" i="2"/>
  <c r="F5514" i="2"/>
  <c r="G5192" i="2"/>
  <c r="F5192" i="2"/>
  <c r="H5203" i="2"/>
  <c r="G5203" i="2"/>
  <c r="H5227" i="2"/>
  <c r="G5227" i="2"/>
  <c r="G5238" i="2"/>
  <c r="H5259" i="2"/>
  <c r="G5259" i="2"/>
  <c r="G5270" i="2"/>
  <c r="H5291" i="2"/>
  <c r="G5291" i="2"/>
  <c r="G5302" i="2"/>
  <c r="H5323" i="2"/>
  <c r="G5323" i="2"/>
  <c r="G5334" i="2"/>
  <c r="H5336" i="2"/>
  <c r="F5344" i="2"/>
  <c r="F5388" i="2"/>
  <c r="H5391" i="2"/>
  <c r="G5391" i="2"/>
  <c r="G5398" i="2"/>
  <c r="F5398" i="2"/>
  <c r="F5417" i="2"/>
  <c r="G5428" i="2"/>
  <c r="H5431" i="2"/>
  <c r="G5431" i="2"/>
  <c r="G5468" i="2"/>
  <c r="F5559" i="2"/>
  <c r="H5559" i="2"/>
  <c r="G5559" i="2"/>
  <c r="F5615" i="2"/>
  <c r="H5615" i="2"/>
  <c r="G5615" i="2"/>
  <c r="H5629" i="2"/>
  <c r="G5629" i="2"/>
  <c r="F5629" i="2"/>
  <c r="H5371" i="2"/>
  <c r="F5371" i="2"/>
  <c r="H5385" i="2"/>
  <c r="G5385" i="2"/>
  <c r="H5414" i="2"/>
  <c r="G5414" i="2"/>
  <c r="F5414" i="2"/>
  <c r="H5446" i="2"/>
  <c r="G5446" i="2"/>
  <c r="F5446" i="2"/>
  <c r="G5490" i="2"/>
  <c r="H5490" i="2"/>
  <c r="F5490" i="2"/>
  <c r="H5523" i="2"/>
  <c r="G5523" i="2"/>
  <c r="F5523" i="2"/>
  <c r="F5647" i="2"/>
  <c r="H5647" i="2"/>
  <c r="G5647" i="2"/>
  <c r="F5355" i="2"/>
  <c r="G5371" i="2"/>
  <c r="G5373" i="2"/>
  <c r="H5377" i="2"/>
  <c r="G5377" i="2"/>
  <c r="G5381" i="2"/>
  <c r="F5385" i="2"/>
  <c r="G5406" i="2"/>
  <c r="F5406" i="2"/>
  <c r="F5412" i="2"/>
  <c r="H5425" i="2"/>
  <c r="G5425" i="2"/>
  <c r="F5444" i="2"/>
  <c r="H5457" i="2"/>
  <c r="G5457" i="2"/>
  <c r="H5521" i="2"/>
  <c r="G5521" i="2"/>
  <c r="H5528" i="2"/>
  <c r="G5528" i="2"/>
  <c r="F5679" i="2"/>
  <c r="G5679" i="2"/>
  <c r="H5679" i="2"/>
  <c r="F5631" i="2"/>
  <c r="G5631" i="2"/>
  <c r="H5705" i="2"/>
  <c r="F5705" i="2"/>
  <c r="H5712" i="2"/>
  <c r="F5712" i="2"/>
  <c r="H5750" i="2"/>
  <c r="F5750" i="2"/>
  <c r="H5825" i="2"/>
  <c r="F5825" i="2"/>
  <c r="G5838" i="2"/>
  <c r="H5838" i="2"/>
  <c r="F5838" i="2"/>
  <c r="G5611" i="2"/>
  <c r="F5611" i="2"/>
  <c r="F5623" i="2"/>
  <c r="H5623" i="2"/>
  <c r="G5623" i="2"/>
  <c r="H5635" i="2"/>
  <c r="G5635" i="2"/>
  <c r="G5698" i="2"/>
  <c r="F5698" i="2"/>
  <c r="H5717" i="2"/>
  <c r="F5717" i="2"/>
  <c r="F5759" i="2"/>
  <c r="H5759" i="2"/>
  <c r="G5759" i="2"/>
  <c r="H5766" i="2"/>
  <c r="G5766" i="2"/>
  <c r="F5766" i="2"/>
  <c r="H5785" i="2"/>
  <c r="G5785" i="2"/>
  <c r="F5785" i="2"/>
  <c r="H5796" i="2"/>
  <c r="F5796" i="2"/>
  <c r="G5798" i="2"/>
  <c r="H5798" i="2"/>
  <c r="F5798" i="2"/>
  <c r="F5803" i="2"/>
  <c r="G5803" i="2"/>
  <c r="H5849" i="2"/>
  <c r="F5849" i="2"/>
  <c r="G5814" i="2"/>
  <c r="F5814" i="2"/>
  <c r="H5814" i="2"/>
  <c r="H5829" i="2"/>
  <c r="F5829" i="2"/>
  <c r="H5609" i="2"/>
  <c r="G5609" i="2"/>
  <c r="G5650" i="2"/>
  <c r="F5650" i="2"/>
  <c r="H5654" i="2"/>
  <c r="G5654" i="2"/>
  <c r="F5654" i="2"/>
  <c r="H5657" i="2"/>
  <c r="F5657" i="2"/>
  <c r="F5743" i="2"/>
  <c r="G5743" i="2"/>
  <c r="G5778" i="2"/>
  <c r="H5778" i="2"/>
  <c r="F5778" i="2"/>
  <c r="H5789" i="2"/>
  <c r="G5789" i="2"/>
  <c r="F5789" i="2"/>
  <c r="H5853" i="2"/>
  <c r="F5853" i="2"/>
  <c r="F5554" i="2"/>
  <c r="F5561" i="2"/>
  <c r="F5568" i="2"/>
  <c r="F5573" i="2"/>
  <c r="F5587" i="2"/>
  <c r="F5609" i="2"/>
  <c r="F5624" i="2"/>
  <c r="H5650" i="2"/>
  <c r="G5657" i="2"/>
  <c r="H5664" i="2"/>
  <c r="G5664" i="2"/>
  <c r="F5664" i="2"/>
  <c r="H5721" i="2"/>
  <c r="G5721" i="2"/>
  <c r="F5721" i="2"/>
  <c r="H5743" i="2"/>
  <c r="G5762" i="2"/>
  <c r="F5762" i="2"/>
  <c r="H5769" i="2"/>
  <c r="F5769" i="2"/>
  <c r="H5794" i="2"/>
  <c r="F5794" i="2"/>
  <c r="H5801" i="2"/>
  <c r="F5801" i="2"/>
  <c r="G5822" i="2"/>
  <c r="H5822" i="2"/>
  <c r="F5822" i="2"/>
  <c r="G5853" i="2"/>
  <c r="F5379" i="2"/>
  <c r="F5387" i="2"/>
  <c r="F5395" i="2"/>
  <c r="F5403" i="2"/>
  <c r="F5411" i="2"/>
  <c r="F5419" i="2"/>
  <c r="F5427" i="2"/>
  <c r="F5435" i="2"/>
  <c r="F5443" i="2"/>
  <c r="F5451" i="2"/>
  <c r="F5459" i="2"/>
  <c r="F5467" i="2"/>
  <c r="F5475" i="2"/>
  <c r="F5480" i="2"/>
  <c r="F5485" i="2"/>
  <c r="F5499" i="2"/>
  <c r="G5511" i="2"/>
  <c r="F5518" i="2"/>
  <c r="F5530" i="2"/>
  <c r="F5537" i="2"/>
  <c r="F5544" i="2"/>
  <c r="F5549" i="2"/>
  <c r="H5554" i="2"/>
  <c r="G5561" i="2"/>
  <c r="F5563" i="2"/>
  <c r="G5568" i="2"/>
  <c r="G5573" i="2"/>
  <c r="G5575" i="2"/>
  <c r="F5582" i="2"/>
  <c r="G5587" i="2"/>
  <c r="F5598" i="2"/>
  <c r="G5600" i="2"/>
  <c r="H5624" i="2"/>
  <c r="G5630" i="2"/>
  <c r="F5630" i="2"/>
  <c r="F5648" i="2"/>
  <c r="F5655" i="2"/>
  <c r="H5655" i="2"/>
  <c r="H5667" i="2"/>
  <c r="F5667" i="2"/>
  <c r="H5669" i="2"/>
  <c r="G5669" i="2"/>
  <c r="F5669" i="2"/>
  <c r="H5683" i="2"/>
  <c r="G5683" i="2"/>
  <c r="F5683" i="2"/>
  <c r="H5728" i="2"/>
  <c r="G5728" i="2"/>
  <c r="F5728" i="2"/>
  <c r="H5762" i="2"/>
  <c r="G5769" i="2"/>
  <c r="H5776" i="2"/>
  <c r="F5776" i="2"/>
  <c r="G5794" i="2"/>
  <c r="G5801" i="2"/>
  <c r="F5827" i="2"/>
  <c r="G5827" i="2"/>
  <c r="G5862" i="2"/>
  <c r="H5862" i="2"/>
  <c r="F5862" i="2"/>
  <c r="G5475" i="2"/>
  <c r="G5480" i="2"/>
  <c r="G5485" i="2"/>
  <c r="G5499" i="2"/>
  <c r="H5511" i="2"/>
  <c r="G5518" i="2"/>
  <c r="H5530" i="2"/>
  <c r="G5537" i="2"/>
  <c r="F5539" i="2"/>
  <c r="G5544" i="2"/>
  <c r="G5549" i="2"/>
  <c r="G5551" i="2"/>
  <c r="F5558" i="2"/>
  <c r="G5563" i="2"/>
  <c r="F5570" i="2"/>
  <c r="H5575" i="2"/>
  <c r="F5577" i="2"/>
  <c r="G5582" i="2"/>
  <c r="F5584" i="2"/>
  <c r="F5589" i="2"/>
  <c r="F5591" i="2"/>
  <c r="H5591" i="2"/>
  <c r="H5598" i="2"/>
  <c r="H5600" i="2"/>
  <c r="F5602" i="2"/>
  <c r="G5610" i="2"/>
  <c r="H5610" i="2"/>
  <c r="H5616" i="2"/>
  <c r="G5616" i="2"/>
  <c r="F5622" i="2"/>
  <c r="H5630" i="2"/>
  <c r="F5634" i="2"/>
  <c r="G5648" i="2"/>
  <c r="G5655" i="2"/>
  <c r="H5662" i="2"/>
  <c r="G5662" i="2"/>
  <c r="G5667" i="2"/>
  <c r="H5686" i="2"/>
  <c r="F5686" i="2"/>
  <c r="F5695" i="2"/>
  <c r="H5695" i="2"/>
  <c r="G5695" i="2"/>
  <c r="H5702" i="2"/>
  <c r="G5702" i="2"/>
  <c r="F5702" i="2"/>
  <c r="G5714" i="2"/>
  <c r="H5714" i="2"/>
  <c r="F5714" i="2"/>
  <c r="H5731" i="2"/>
  <c r="F5731" i="2"/>
  <c r="H5733" i="2"/>
  <c r="G5733" i="2"/>
  <c r="F5733" i="2"/>
  <c r="G5776" i="2"/>
  <c r="H5781" i="2"/>
  <c r="F5781" i="2"/>
  <c r="F5787" i="2"/>
  <c r="H5787" i="2"/>
  <c r="G5787" i="2"/>
  <c r="H5827" i="2"/>
  <c r="H5844" i="2"/>
  <c r="G5844" i="2"/>
  <c r="F5844" i="2"/>
  <c r="F5851" i="2"/>
  <c r="G5851" i="2"/>
  <c r="F5482" i="2"/>
  <c r="H5487" i="2"/>
  <c r="F5501" i="2"/>
  <c r="H5506" i="2"/>
  <c r="G5525" i="2"/>
  <c r="G5527" i="2"/>
  <c r="F5546" i="2"/>
  <c r="H5551" i="2"/>
  <c r="F5565" i="2"/>
  <c r="H5570" i="2"/>
  <c r="G5589" i="2"/>
  <c r="G5591" i="2"/>
  <c r="G5593" i="2"/>
  <c r="H5602" i="2"/>
  <c r="F5610" i="2"/>
  <c r="F5616" i="2"/>
  <c r="G5622" i="2"/>
  <c r="H5634" i="2"/>
  <c r="H5638" i="2"/>
  <c r="F5662" i="2"/>
  <c r="G5686" i="2"/>
  <c r="G5731" i="2"/>
  <c r="H5747" i="2"/>
  <c r="G5747" i="2"/>
  <c r="F5747" i="2"/>
  <c r="G5781" i="2"/>
  <c r="H5833" i="2"/>
  <c r="F5833" i="2"/>
  <c r="G5833" i="2"/>
  <c r="H5851" i="2"/>
  <c r="H5897" i="2"/>
  <c r="F5897" i="2"/>
  <c r="G5962" i="2"/>
  <c r="H5962" i="2"/>
  <c r="F5886" i="2"/>
  <c r="G5897" i="2"/>
  <c r="F5908" i="2"/>
  <c r="H5924" i="2"/>
  <c r="G5924" i="2"/>
  <c r="H5938" i="2"/>
  <c r="G5938" i="2"/>
  <c r="F5938" i="2"/>
  <c r="F5947" i="2"/>
  <c r="H5947" i="2"/>
  <c r="H5949" i="2"/>
  <c r="G5949" i="2"/>
  <c r="F5949" i="2"/>
  <c r="F5962" i="2"/>
  <c r="H5977" i="2"/>
  <c r="G5977" i="2"/>
  <c r="H5886" i="2"/>
  <c r="G5908" i="2"/>
  <c r="G5916" i="2"/>
  <c r="H5916" i="2"/>
  <c r="H5674" i="2"/>
  <c r="G5681" i="2"/>
  <c r="G5688" i="2"/>
  <c r="G5693" i="2"/>
  <c r="G5707" i="2"/>
  <c r="H5719" i="2"/>
  <c r="H5738" i="2"/>
  <c r="G5757" i="2"/>
  <c r="H5783" i="2"/>
  <c r="G5805" i="2"/>
  <c r="H5807" i="2"/>
  <c r="G5831" i="2"/>
  <c r="G5855" i="2"/>
  <c r="H5857" i="2"/>
  <c r="G5857" i="2"/>
  <c r="F5859" i="2"/>
  <c r="G5859" i="2"/>
  <c r="G5866" i="2"/>
  <c r="H5875" i="2"/>
  <c r="G5877" i="2"/>
  <c r="G5879" i="2"/>
  <c r="F5890" i="2"/>
  <c r="G5892" i="2"/>
  <c r="G5901" i="2"/>
  <c r="G5903" i="2"/>
  <c r="H5910" i="2"/>
  <c r="F5914" i="2"/>
  <c r="F5916" i="2"/>
  <c r="H5945" i="2"/>
  <c r="G5945" i="2"/>
  <c r="H5866" i="2"/>
  <c r="F5883" i="2"/>
  <c r="H5883" i="2"/>
  <c r="H5890" i="2"/>
  <c r="H5892" i="2"/>
  <c r="G5914" i="2"/>
  <c r="F5945" i="2"/>
  <c r="F5666" i="2"/>
  <c r="F5673" i="2"/>
  <c r="F5680" i="2"/>
  <c r="F5685" i="2"/>
  <c r="F5699" i="2"/>
  <c r="G5711" i="2"/>
  <c r="F5718" i="2"/>
  <c r="F5730" i="2"/>
  <c r="F5737" i="2"/>
  <c r="F5744" i="2"/>
  <c r="F5749" i="2"/>
  <c r="F5763" i="2"/>
  <c r="G5775" i="2"/>
  <c r="F5782" i="2"/>
  <c r="H5793" i="2"/>
  <c r="G5793" i="2"/>
  <c r="F5795" i="2"/>
  <c r="G5795" i="2"/>
  <c r="G5802" i="2"/>
  <c r="F5826" i="2"/>
  <c r="G5828" i="2"/>
  <c r="F5850" i="2"/>
  <c r="F5852" i="2"/>
  <c r="F5863" i="2"/>
  <c r="F5874" i="2"/>
  <c r="G5883" i="2"/>
  <c r="G5885" i="2"/>
  <c r="F5900" i="2"/>
  <c r="G5907" i="2"/>
  <c r="G5922" i="2"/>
  <c r="F5931" i="2"/>
  <c r="H5931" i="2"/>
  <c r="G5931" i="2"/>
  <c r="F5983" i="2"/>
  <c r="H5983" i="2"/>
  <c r="G5983" i="2"/>
  <c r="G5998" i="2"/>
  <c r="H5998" i="2"/>
  <c r="F5998" i="2"/>
  <c r="F5642" i="2"/>
  <c r="F5649" i="2"/>
  <c r="F5656" i="2"/>
  <c r="F5661" i="2"/>
  <c r="H5666" i="2"/>
  <c r="G5673" i="2"/>
  <c r="F5675" i="2"/>
  <c r="G5680" i="2"/>
  <c r="G5685" i="2"/>
  <c r="G5687" i="2"/>
  <c r="F5694" i="2"/>
  <c r="G5699" i="2"/>
  <c r="F5706" i="2"/>
  <c r="H5711" i="2"/>
  <c r="F5713" i="2"/>
  <c r="G5718" i="2"/>
  <c r="F5720" i="2"/>
  <c r="F5725" i="2"/>
  <c r="H5730" i="2"/>
  <c r="G5737" i="2"/>
  <c r="F5739" i="2"/>
  <c r="G5744" i="2"/>
  <c r="G5749" i="2"/>
  <c r="G5751" i="2"/>
  <c r="F5758" i="2"/>
  <c r="G5763" i="2"/>
  <c r="F5770" i="2"/>
  <c r="H5775" i="2"/>
  <c r="F5777" i="2"/>
  <c r="G5782" i="2"/>
  <c r="F5784" i="2"/>
  <c r="F5793" i="2"/>
  <c r="H5795" i="2"/>
  <c r="H5802" i="2"/>
  <c r="F5806" i="2"/>
  <c r="F5817" i="2"/>
  <c r="F5819" i="2"/>
  <c r="H5819" i="2"/>
  <c r="H5826" i="2"/>
  <c r="H5828" i="2"/>
  <c r="F5830" i="2"/>
  <c r="F5834" i="2"/>
  <c r="F5841" i="2"/>
  <c r="G5850" i="2"/>
  <c r="H5852" i="2"/>
  <c r="G5863" i="2"/>
  <c r="G5874" i="2"/>
  <c r="F5876" i="2"/>
  <c r="G5878" i="2"/>
  <c r="F5878" i="2"/>
  <c r="H5885" i="2"/>
  <c r="G5900" i="2"/>
  <c r="G5902" i="2"/>
  <c r="H5902" i="2"/>
  <c r="H5907" i="2"/>
  <c r="F5909" i="2"/>
  <c r="G5911" i="2"/>
  <c r="F5917" i="2"/>
  <c r="G5994" i="2"/>
  <c r="H5994" i="2"/>
  <c r="H5642" i="2"/>
  <c r="G5661" i="2"/>
  <c r="G5663" i="2"/>
  <c r="F5682" i="2"/>
  <c r="H5687" i="2"/>
  <c r="F5701" i="2"/>
  <c r="H5706" i="2"/>
  <c r="G5725" i="2"/>
  <c r="G5727" i="2"/>
  <c r="F5746" i="2"/>
  <c r="H5751" i="2"/>
  <c r="F5765" i="2"/>
  <c r="H5770" i="2"/>
  <c r="F5786" i="2"/>
  <c r="F5788" i="2"/>
  <c r="H5806" i="2"/>
  <c r="G5817" i="2"/>
  <c r="G5819" i="2"/>
  <c r="G5821" i="2"/>
  <c r="H5830" i="2"/>
  <c r="G5841" i="2"/>
  <c r="G5843" i="2"/>
  <c r="F5865" i="2"/>
  <c r="G5867" i="2"/>
  <c r="G5876" i="2"/>
  <c r="H5878" i="2"/>
  <c r="F5889" i="2"/>
  <c r="G5891" i="2"/>
  <c r="F5902" i="2"/>
  <c r="H5909" i="2"/>
  <c r="H5911" i="2"/>
  <c r="H5929" i="2"/>
  <c r="G5929" i="2"/>
  <c r="F5951" i="2"/>
  <c r="H5951" i="2"/>
  <c r="G5951" i="2"/>
  <c r="G5966" i="2"/>
  <c r="H5966" i="2"/>
  <c r="F5966" i="2"/>
  <c r="F5979" i="2"/>
  <c r="H5979" i="2"/>
  <c r="H5981" i="2"/>
  <c r="G5981" i="2"/>
  <c r="F5981" i="2"/>
  <c r="F5994" i="2"/>
  <c r="H5923" i="2"/>
  <c r="H5930" i="2"/>
  <c r="G5939" i="2"/>
  <c r="F5954" i="2"/>
  <c r="F5969" i="2"/>
  <c r="G5971" i="2"/>
  <c r="F5986" i="2"/>
  <c r="G5921" i="2"/>
  <c r="G5923" i="2"/>
  <c r="H5942" i="2"/>
  <c r="F5946" i="2"/>
  <c r="G5957" i="2"/>
  <c r="H5959" i="2"/>
  <c r="F5961" i="2"/>
  <c r="G5963" i="2"/>
  <c r="H5974" i="2"/>
  <c r="F5978" i="2"/>
  <c r="G5989" i="2"/>
  <c r="H5991" i="2"/>
  <c r="F5993" i="2"/>
  <c r="G5995" i="2"/>
  <c r="H5999" i="2"/>
  <c r="F5999" i="2"/>
  <c r="H2" i="2" l="1"/>
  <c r="H3" i="2"/>
  <c r="H572" i="2"/>
  <c r="H715" i="2"/>
  <c r="H1430" i="2"/>
  <c r="H286" i="2"/>
  <c r="H1287" i="2"/>
  <c r="H429" i="2"/>
  <c r="H858" i="2"/>
  <c r="H1144" i="2"/>
  <c r="H1573" i="2"/>
  <c r="H1001" i="2"/>
  <c r="C16" i="3"/>
  <c r="E16" i="3" s="1"/>
  <c r="H1716" i="2"/>
  <c r="H143" i="2" l="1"/>
  <c r="B13" i="3" s="1"/>
  <c r="B8" i="3"/>
  <c r="B9" i="3"/>
  <c r="B7" i="3"/>
  <c r="B14" i="3"/>
  <c r="B5" i="3"/>
  <c r="B4" i="3"/>
  <c r="B15" i="3"/>
  <c r="B11" i="3"/>
  <c r="B10" i="3"/>
  <c r="B12" i="3"/>
  <c r="B6" i="3"/>
  <c r="B16" i="3" l="1"/>
</calcChain>
</file>

<file path=xl/sharedStrings.xml><?xml version="1.0" encoding="utf-8"?>
<sst xmlns="http://schemas.openxmlformats.org/spreadsheetml/2006/main" count="62" uniqueCount="49">
  <si>
    <t>Client Name</t>
  </si>
  <si>
    <t>Lesson Type</t>
  </si>
  <si>
    <t>Package Date</t>
  </si>
  <si>
    <t>Package Size</t>
  </si>
  <si>
    <t>Package Balance</t>
  </si>
  <si>
    <t>Price per Lesson</t>
  </si>
  <si>
    <t>Email</t>
  </si>
  <si>
    <t>Phone Number</t>
  </si>
  <si>
    <t>Date</t>
  </si>
  <si>
    <t>Payments</t>
  </si>
  <si>
    <t>Client</t>
  </si>
  <si>
    <t>Hours</t>
  </si>
  <si>
    <t>Session ID</t>
  </si>
  <si>
    <t>Coach Hours</t>
  </si>
  <si>
    <t>Rate</t>
  </si>
  <si>
    <t>Notes</t>
  </si>
  <si>
    <t>February 2026</t>
  </si>
  <si>
    <t>March 2026</t>
  </si>
  <si>
    <t>April 2026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</si>
  <si>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</si>
  <si>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</si>
  <si>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</si>
  <si>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</si>
  <si>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</si>
  <si>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</si>
  <si>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</si>
  <si>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</si>
  <si>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Revenue (Lesson Hours × Client Default Price) – 2026</t>
  </si>
  <si>
    <t>Month</t>
  </si>
  <si>
    <t>Total Lesson Hours</t>
  </si>
  <si>
    <t>Calculated Revenue</t>
  </si>
  <si>
    <t xml:space="preserve">Expances </t>
  </si>
  <si>
    <t xml:space="preserve">Net Profit </t>
  </si>
  <si>
    <t>January 2026</t>
  </si>
  <si>
    <t>TOTAL 2026</t>
  </si>
  <si>
    <t>Private Lesson $120</t>
  </si>
  <si>
    <t>Semi Lesson $140</t>
  </si>
  <si>
    <t>Group Lesson $50</t>
  </si>
  <si>
    <t>Package Private Lesson $110</t>
  </si>
  <si>
    <t>Package Semi Lesson $125</t>
  </si>
  <si>
    <t>Package Group Lesson $40</t>
  </si>
  <si>
    <t>Custom Private Lesson</t>
  </si>
  <si>
    <t>Custom Semi Lesson</t>
  </si>
  <si>
    <t>Custom Group Lesson</t>
  </si>
  <si>
    <t>Custom Package Private Lesson</t>
  </si>
  <si>
    <t>Custom Package Semi Lesson</t>
  </si>
  <si>
    <t>Custom Package Group Lesson</t>
  </si>
  <si>
    <t>Tennis Camp</t>
  </si>
  <si>
    <t>Custom Tennis Camp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</si>
</sst>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  <numFmt numFmtId="165" formatCode="0;\-0;;@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3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E02C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164" fontId="5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/>
    </xf>
    <xf numFmtId="0" fontId="3" fillId="0" borderId="0" xfId="0" applyFont="1"/>
    <xf numFmtId="0" fontId="4" fillId="5" borderId="0" xfId="0" applyFont="1" applyFill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6" fontId="0" fillId="0" borderId="0" xfId="0" applyNumberFormat="1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3" borderId="0" xfId="0" applyFill="1" applyProtection="1">
      <protection locked="0"/>
    </xf>
    <xf numFmtId="0" fontId="1" fillId="3" borderId="0" xfId="0" applyFont="1" applyFill="1"/>
    <xf numFmtId="0" fontId="0" fillId="3" borderId="0" xfId="0" applyFill="1" applyAlignment="1">
      <alignment horizontal="center"/>
    </xf>
    <xf numFmtId="0" fontId="7" fillId="6" borderId="1" xfId="0" applyFont="1" applyFill="1" applyBorder="1" applyAlignment="1" applyProtection="1">
      <alignment vertical="center"/>
      <protection locked="0"/>
    </xf>
    <xf numFmtId="16" fontId="8" fillId="0" borderId="0" xfId="0" applyNumberFormat="1" applyFont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2" fillId="6" borderId="1" xfId="0" applyFont="1" applyFill="1" applyBorder="1" applyAlignment="1" applyProtection="1">
      <alignment vertical="top"/>
      <protection locked="0"/>
    </xf>
    <xf numFmtId="0" fontId="2" fillId="4" borderId="1" xfId="0" applyFont="1" applyFill="1" applyBorder="1" applyAlignment="1">
      <alignment vertical="top"/>
    </xf>
    <xf numFmtId="0" fontId="7" fillId="7" borderId="1" xfId="0" applyFont="1" applyFill="1" applyBorder="1" applyAlignment="1" applyProtection="1">
      <alignment vertical="top"/>
      <protection locked="0"/>
    </xf>
    <xf numFmtId="0" fontId="0" fillId="0" borderId="0" xfId="0" applyAlignment="1" applyProtection="1">
      <alignment vertical="top"/>
      <protection locked="0"/>
    </xf>
    <xf numFmtId="0" fontId="2" fillId="8" borderId="1" xfId="0" applyFont="1" applyFill="1" applyBorder="1" applyAlignment="1" applyProtection="1">
      <alignment vertical="top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vertical="top"/>
      <protection locked="0" hidden="1"/>
    </xf>
    <xf numFmtId="0" fontId="0" fillId="0" borderId="0" xfId="0" applyProtection="1">
      <protection locked="0" hidden="1"/>
    </xf>
    <xf numFmtId="44" fontId="0" fillId="0" borderId="0" xfId="1" applyNumberFormat="1" applyFont="1"/>
    <xf numFmtId="0" fontId="4" fillId="5" borderId="0" xfId="0" applyFont="1" applyFill="1" applyAlignment="1">
      <alignment horizontal="center"/>
    </xf>
    <xf numFmtId="44" fontId="4" fillId="5" borderId="0" xfId="1" applyNumberFormat="1" applyFont="1" applyFill="1"/>
    <xf numFmtId="0" fontId="7" fillId="4" borderId="1" xfId="0" applyFont="1" applyFill="1" applyBorder="1" applyAlignment="1">
      <alignment vertical="center"/>
    </xf>
    <xf numFmtId="0" fontId="2" fillId="9" borderId="1" xfId="0" applyFont="1" applyFill="1" applyBorder="1" applyAlignment="1" applyProtection="1">
      <alignment horizontal="left" vertical="center"/>
      <protection locked="0"/>
    </xf>
    <xf numFmtId="0" fontId="2" fillId="6" borderId="1" xfId="0" applyFont="1" applyFill="1" applyBorder="1" applyAlignment="1" applyProtection="1">
      <alignment horizontal="left" vertical="center"/>
      <protection locked="0"/>
    </xf>
    <xf numFmtId="0" fontId="2" fillId="4" borderId="1" xfId="0" applyFont="1" applyFill="1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>
      <alignment horizontal="left"/>
    </xf>
    <xf numFmtId="165" fontId="0" fillId="0" borderId="0" xfId="0" applyNumberFormat="1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0" borderId="1" xfId="0" applyBorder="1"/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/>
    </xf>
    <xf numFmtId="165" fontId="0" fillId="0" borderId="1" xfId="0" applyNumberFormat="1" applyBorder="1"/>
    <xf numFmtId="0" fontId="2" fillId="10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vertical="top"/>
    </xf>
    <xf numFmtId="0" fontId="6" fillId="10" borderId="0" xfId="0" applyFont="1" applyFill="1" applyAlignment="1">
      <alignment vertical="top"/>
    </xf>
    <xf numFmtId="0" fontId="6" fillId="10" borderId="0" xfId="0" applyFont="1" applyFill="1"/>
    <xf numFmtId="0" fontId="0" fillId="0" borderId="0" xfId="0" applyFill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1" fillId="0" borderId="0" xfId="0" applyFont="1" applyFill="1"/>
    <xf numFmtId="0" fontId="9" fillId="7" borderId="0" xfId="0" applyFont="1" applyFill="1" applyAlignment="1" applyProtection="1">
      <alignment horizontal="center" vertical="center"/>
      <protection locked="0"/>
    </xf>
    <xf numFmtId="165" fontId="0" fillId="7" borderId="0" xfId="0" applyNumberFormat="1" applyFill="1"/>
  </cellXfs>
  <cellStyles count="2">
    <cellStyle name="Currency" xfId="1" builtinId="4"/>
    <cellStyle name="Normal" xfId="0" builtinId="0"/>
  </cellStyles>
  <dxfs count="4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</dxfs>
  <tableStyles count="0" defaultTableStyle="TableStyleMedium9" defaultPivotStyle="PivotStyleLight16"/>
  <colors>
    <mruColors>
      <color rgb="FFCE02C9"/>
      <color rgb="FFB818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ien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ckag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ien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ag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zoomScale="80" zoomScaleNormal="80" workbookViewId="0">
      <pane ySplit="1" topLeftCell="A2" activePane="bottomLeft" state="frozen"/>
      <selection activeCell="C9" sqref="C9"/>
      <selection pane="bottomLeft" activeCell="A2" sqref="A2"/>
    </sheetView>
  </sheetViews>
  <sheetFormatPr defaultRowHeight="14.25" x14ac:dyDescent="0.45"/>
  <cols>
    <col min="1" max="1" width="22" style="5" customWidth="1"/>
    <col min="2" max="2" width="25.46484375" style="5" customWidth="1"/>
    <col min="3" max="3" width="14.19921875" style="6" customWidth="1"/>
    <col min="4" max="4" width="13.86328125" style="6" customWidth="1"/>
    <col min="5" max="5" width="17.06640625" style="1" customWidth="1"/>
    <col min="6" max="6" width="17.73046875" style="6" hidden="1" customWidth="1"/>
    <col min="7" max="7" width="32.59765625" style="5" customWidth="1"/>
    <col min="8" max="8" width="23.265625" style="5" customWidth="1"/>
    <col min="9" max="12" width="9.06640625" style="5" customWidth="1"/>
  </cols>
  <sheetData>
    <row r="1" spans="1:12" s="32" customFormat="1" x14ac:dyDescent="0.45">
      <c r="A1" s="29" t="s">
        <v>0</v>
      </c>
      <c r="B1" s="29" t="s">
        <v>1</v>
      </c>
      <c r="C1" s="28" t="s">
        <v>2</v>
      </c>
      <c r="D1" s="28" t="s">
        <v>3</v>
      </c>
      <c r="E1" s="40" t="s">
        <v>4</v>
      </c>
      <c r="F1" s="29" t="s">
        <v>5</v>
      </c>
      <c r="G1" s="30" t="s">
        <v>6</v>
      </c>
      <c r="H1" s="30" t="s">
        <v>7</v>
      </c>
      <c r="I1" s="31"/>
      <c r="J1" s="31"/>
      <c r="K1" s="31"/>
      <c r="L1" s="31"/>
    </row>
    <row r="2" spans="1:12" x14ac:dyDescent="0.45">
      <c r="C2" s="7"/>
      <c r="E2" s="1" t="str">
        <f>IF(OR(D2="",D2=0),"",D2-SUMIFS('Lessons Log'!$E:$E,'Lessons Log'!$C:$C,A2,'Lessons Log'!$D:$D,"*Package*"))</f>
        <v/>
      </c>
    </row>
    <row r="3" spans="1:12" x14ac:dyDescent="0.45">
      <c r="C3" s="7"/>
      <c r="E3" s="1" t="str">
        <f>IF(OR(D3="",D3=0),"",D3-SUMIFS('Lessons Log'!$E:$E,'Lessons Log'!$C:$C,A3,'Lessons Log'!$D:$D,"*Package*"))</f>
        <v/>
      </c>
    </row>
    <row r="4" spans="1:12" x14ac:dyDescent="0.45">
      <c r="C4" s="7"/>
      <c r="E4" s="1" t="str">
        <f>IF(OR(D4="",D4=0),"",D4-SUMIFS('Lessons Log'!$E:$E,'Lessons Log'!$C:$C,A4,'Lessons Log'!$D:$D,"*Package*"))</f>
        <v/>
      </c>
    </row>
    <row r="5" spans="1:12" x14ac:dyDescent="0.45">
      <c r="C5" s="7"/>
      <c r="E5" s="1" t="str">
        <f>IF(OR(D5="",D5=0),"",D5-SUMIFS('Lessons Log'!$E:$E,'Lessons Log'!$C:$C,A5,'Lessons Log'!$D:$D,"*Package*"))</f>
        <v/>
      </c>
    </row>
    <row r="6" spans="1:12" x14ac:dyDescent="0.45">
      <c r="C6" s="7"/>
      <c r="E6" s="1" t="str">
        <f>IF(OR(D6="",D6=0),"",D6-SUMIFS('Lessons Log'!$E:$E,'Lessons Log'!$C:$C,A6,'Lessons Log'!$D:$D,"*Package*"))</f>
        <v/>
      </c>
    </row>
    <row r="7" spans="1:12" x14ac:dyDescent="0.45">
      <c r="E7" s="1" t="str">
        <f>IF(OR(D7="",D7=0),"",D7-SUMIFS('Lessons Log'!$E:$E,'Lessons Log'!$C:$C,A7,'Lessons Log'!$D:$D,"*Package*"))</f>
        <v/>
      </c>
    </row>
    <row r="8" spans="1:12" x14ac:dyDescent="0.45">
      <c r="B8" s="5" t="str">
        <f>IFERROR(INDEX([1]Clients!$D:$D, MATCH(A8, [1]Clients!$A:$A, 0)), "")</f>
        <v/>
      </c>
      <c r="E8" s="1" t="str">
        <f>IF(OR(D8="",D8=0),"",D8-SUMIFS('Lessons Log'!$E:$E,'Lessons Log'!$C:$C,A8,'Lessons Log'!$D:$D,"*Package*"))</f>
        <v/>
      </c>
    </row>
    <row r="9" spans="1:12" x14ac:dyDescent="0.45">
      <c r="B9" s="5" t="str">
        <f>IFERROR(INDEX([1]Clients!$D:$D, MATCH(A9, [1]Clients!$A:$A, 0)), "")</f>
        <v/>
      </c>
      <c r="E9" s="1" t="str">
        <f>IF(OR(D9="",D9=0),"",D9-SUMIFS('Lessons Log'!$E:$E,'Lessons Log'!$C:$C,A9,'Lessons Log'!$D:$D,"*Package*"))</f>
        <v/>
      </c>
    </row>
    <row r="10" spans="1:12" x14ac:dyDescent="0.45">
      <c r="B10" s="5" t="str">
        <f>IFERROR(INDEX([1]Clients!$D:$D, MATCH(A10, [1]Clients!$A:$A, 0)), "")</f>
        <v/>
      </c>
      <c r="E10" s="1" t="str">
        <f>IF(OR(D10="",D10=0),"",D10-SUMIFS('Lessons Log'!$E:$E,'Lessons Log'!$C:$C,A10,'Lessons Log'!$D:$D,"*Package*"))</f>
        <v/>
      </c>
    </row>
    <row r="11" spans="1:12" x14ac:dyDescent="0.45">
      <c r="B11" s="5" t="str">
        <f>IFERROR(INDEX([1]Clients!$D:$D, MATCH(A11, [1]Clients!$A:$A, 0)), "")</f>
        <v/>
      </c>
      <c r="E11" s="1" t="str">
        <f>IF(OR(D11="",D11=0),"",D11-SUMIFS('Lessons Log'!$E:$E,'Lessons Log'!$C:$C,A11,'Lessons Log'!$D:$D,"*Package*"))</f>
        <v/>
      </c>
      <c r="F11" s="6" t="str">
        <f>IFERROR(INDEX([1]Clients!F:F, MATCH(A11, [1]Clients!A:A, 0)), "")</f>
        <v/>
      </c>
    </row>
    <row r="12" spans="1:12" x14ac:dyDescent="0.45">
      <c r="B12" s="5" t="str">
        <f>IFERROR(INDEX([1]Clients!$D:$D, MATCH(A12, [1]Clients!$A:$A, 0)), "")</f>
        <v/>
      </c>
      <c r="E12" s="1" t="str">
        <f>IF(OR(D12="",D12=0),"",D12-SUMIFS('Lessons Log'!$E:$E,'Lessons Log'!$C:$C,A12,'Lessons Log'!$D:$D,"*Package*"))</f>
        <v/>
      </c>
      <c r="F12" s="6" t="str">
        <f>IFERROR(INDEX([1]Clients!F:F, MATCH(A12, [1]Clients!A:A, 0)), "")</f>
        <v/>
      </c>
    </row>
    <row r="13" spans="1:12" x14ac:dyDescent="0.45">
      <c r="B13" s="5" t="str">
        <f>IFERROR(INDEX([1]Clients!$D:$D, MATCH(A13, [1]Clients!$A:$A, 0)), "")</f>
        <v/>
      </c>
      <c r="E13" s="1" t="str">
        <f>IF(OR(D13="",D13=0),"",D13-SUMIFS('Lessons Log'!$E:$E,'Lessons Log'!$C:$C,A13,'Lessons Log'!$D:$D,"*Package*"))</f>
        <v/>
      </c>
      <c r="F13" s="6" t="str">
        <f>IFERROR(INDEX([1]Clients!F:F, MATCH(A13, [1]Clients!A:A, 0)), "")</f>
        <v/>
      </c>
    </row>
    <row r="14" spans="1:12" x14ac:dyDescent="0.45">
      <c r="B14" s="5" t="str">
        <f>IFERROR(INDEX([1]Clients!$D:$D, MATCH(A14, [1]Clients!$A:$A, 0)), "")</f>
        <v/>
      </c>
      <c r="E14" s="1" t="str">
        <f>IF(OR(D14="",D14=0),"",D14-SUMIFS('Lessons Log'!$E:$E,'Lessons Log'!$C:$C,A14,'Lessons Log'!$D:$D,"*Package*"))</f>
        <v/>
      </c>
      <c r="F14" s="6" t="str">
        <f>IFERROR(INDEX([1]Clients!F:F, MATCH(A14, [1]Clients!A:A, 0)), "")</f>
        <v/>
      </c>
    </row>
    <row r="15" spans="1:12" x14ac:dyDescent="0.45">
      <c r="B15" s="5" t="str">
        <f>IFERROR(INDEX([1]Clients!$D:$D, MATCH(A15, [1]Clients!$A:$A, 0)), "")</f>
        <v/>
      </c>
      <c r="E15" s="1" t="str">
        <f>IF(OR(D15="",D15=0),"",D15-SUMIFS('Lessons Log'!$E:$E,'Lessons Log'!$C:$C,A15,'Lessons Log'!$D:$D,"*Package*"))</f>
        <v/>
      </c>
      <c r="F15" s="6" t="str">
        <f>IFERROR(INDEX([1]Clients!F:F, MATCH(A15, [1]Clients!A:A, 0)), "")</f>
        <v/>
      </c>
    </row>
    <row r="16" spans="1:12" x14ac:dyDescent="0.45">
      <c r="B16" s="5" t="str">
        <f>IFERROR(INDEX([1]Clients!$D:$D, MATCH(A16, [1]Clients!$A:$A, 0)), "")</f>
        <v/>
      </c>
      <c r="E16" s="1" t="str">
        <f>IF(OR(D16="",D16=0),"",D16-SUMIFS('Lessons Log'!$E:$E,'Lessons Log'!$C:$C,A16,'Lessons Log'!$D:$D,"*Package*"))</f>
        <v/>
      </c>
      <c r="F16" s="6" t="str">
        <f>IFERROR(INDEX([1]Clients!F:F, MATCH(A16, [1]Clients!A:A, 0)), "")</f>
        <v/>
      </c>
    </row>
    <row r="17" spans="2:6" x14ac:dyDescent="0.45">
      <c r="B17" s="5" t="str">
        <f>IFERROR(INDEX([1]Clients!$D:$D, MATCH(A17, [1]Clients!$A:$A, 0)), "")</f>
        <v/>
      </c>
      <c r="E17" s="1" t="str">
        <f>IF(OR(D17="",D17=0),"",D17-SUMIFS('Lessons Log'!$E:$E,'Lessons Log'!$C:$C,A17,'Lessons Log'!$D:$D,"*Package*"))</f>
        <v/>
      </c>
      <c r="F17" s="6" t="str">
        <f>IFERROR(INDEX([1]Clients!F:F, MATCH(A17, [1]Clients!A:A, 0)), "")</f>
        <v/>
      </c>
    </row>
    <row r="18" spans="2:6" x14ac:dyDescent="0.45">
      <c r="B18" s="5" t="str">
        <f>IFERROR(INDEX([1]Clients!$D:$D, MATCH(A18, [1]Clients!$A:$A, 0)), "")</f>
        <v/>
      </c>
      <c r="E18" s="1" t="str">
        <f>IF(OR(D18="",D18=0),"",D18-SUMIFS('Lessons Log'!$E:$E,'Lessons Log'!$C:$C,A18,'Lessons Log'!$D:$D,"*Package*"))</f>
        <v/>
      </c>
      <c r="F18" s="6" t="str">
        <f>IFERROR(INDEX([1]Clients!F:F, MATCH(A18, [1]Clients!A:A, 0)), "")</f>
        <v/>
      </c>
    </row>
    <row r="19" spans="2:6" x14ac:dyDescent="0.45">
      <c r="B19" s="5" t="str">
        <f>IFERROR(INDEX([1]Clients!$D:$D, MATCH(A19, [1]Clients!$A:$A, 0)), "")</f>
        <v/>
      </c>
      <c r="E19" s="1" t="str">
        <f>IF(OR(D19="",D19=0),"",D19-SUMIFS('Lessons Log'!$E:$E,'Lessons Log'!$C:$C,A19,'Lessons Log'!$D:$D,"*Package*"))</f>
        <v/>
      </c>
      <c r="F19" s="6" t="str">
        <f>IFERROR(INDEX([1]Clients!F:F, MATCH(A19, [1]Clients!A:A, 0)), "")</f>
        <v/>
      </c>
    </row>
    <row r="20" spans="2:6" x14ac:dyDescent="0.45">
      <c r="B20" s="5" t="str">
        <f>IFERROR(INDEX([1]Clients!$D:$D, MATCH(A20, [1]Clients!$A:$A, 0)), "")</f>
        <v/>
      </c>
      <c r="E20" s="1" t="str">
        <f>IF(OR(D20="",D20=0),"",D20-SUMIFS('Lessons Log'!$E:$E,'Lessons Log'!$C:$C,A20,'Lessons Log'!$D:$D,"*Package*"))</f>
        <v/>
      </c>
      <c r="F20" s="6" t="str">
        <f>IFERROR(INDEX([1]Clients!F:F, MATCH(A20, [1]Clients!A:A, 0)), "")</f>
        <v/>
      </c>
    </row>
    <row r="21" spans="2:6" x14ac:dyDescent="0.45">
      <c r="B21" s="5" t="str">
        <f>IFERROR(INDEX([1]Clients!$D:$D, MATCH(A21, [1]Clients!$A:$A, 0)), "")</f>
        <v/>
      </c>
      <c r="E21" s="1" t="str">
        <f>IF(OR(D21="",D21=0),"",D21-SUMIFS('Lessons Log'!$E:$E,'Lessons Log'!$C:$C,A21,'Lessons Log'!$D:$D,"*Package*"))</f>
        <v/>
      </c>
      <c r="F21" s="6" t="str">
        <f>IFERROR(INDEX([1]Clients!F:F, MATCH(A21, [1]Clients!A:A, 0)), "")</f>
        <v/>
      </c>
    </row>
    <row r="22" spans="2:6" x14ac:dyDescent="0.45">
      <c r="B22" s="5" t="str">
        <f>IFERROR(INDEX([1]Clients!$D:$D, MATCH(A22, [1]Clients!$A:$A, 0)), "")</f>
        <v/>
      </c>
      <c r="E22" s="1" t="str">
        <f>IF(OR(D22="",D22=0),"",D22-SUMIFS('Lessons Log'!$E:$E,'Lessons Log'!$C:$C,A22,'Lessons Log'!$D:$D,"*Package*"))</f>
        <v/>
      </c>
      <c r="F22" s="6" t="str">
        <f>IFERROR(INDEX([1]Clients!F:F, MATCH(A22, [1]Clients!A:A, 0)), "")</f>
        <v/>
      </c>
    </row>
    <row r="23" spans="2:6" x14ac:dyDescent="0.45">
      <c r="B23" s="5" t="str">
        <f>IFERROR(INDEX([1]Clients!$D:$D, MATCH(A23, [1]Clients!$A:$A, 0)), "")</f>
        <v/>
      </c>
      <c r="E23" s="1" t="str">
        <f>IF(OR(D23="",D23=0),"",D23-SUMIFS('Lessons Log'!$E:$E,'Lessons Log'!$C:$C,A23,'Lessons Log'!$D:$D,"*Package*"))</f>
        <v/>
      </c>
      <c r="F23" s="6" t="str">
        <f>IFERROR(INDEX([1]Clients!F:F, MATCH(A23, [1]Clients!A:A, 0)), "")</f>
        <v/>
      </c>
    </row>
    <row r="24" spans="2:6" x14ac:dyDescent="0.45">
      <c r="B24" s="5" t="str">
        <f>IFERROR(INDEX([1]Clients!$D:$D, MATCH(A24, [1]Clients!$A:$A, 0)), "")</f>
        <v/>
      </c>
      <c r="E24" s="1" t="str">
        <f>IF(OR(D24="",D24=0),"",D24-SUMIFS('Lessons Log'!$E:$E,'Lessons Log'!$C:$C,A24,'Lessons Log'!$D:$D,"*Package*"))</f>
        <v/>
      </c>
      <c r="F24" s="6" t="str">
        <f>IFERROR(INDEX([1]Clients!F:F, MATCH(A24, [1]Clients!A:A, 0)), "")</f>
        <v/>
      </c>
    </row>
    <row r="25" spans="2:6" x14ac:dyDescent="0.45">
      <c r="B25" s="5" t="str">
        <f>IFERROR(INDEX([1]Clients!$D:$D, MATCH(A25, [1]Clients!$A:$A, 0)), "")</f>
        <v/>
      </c>
      <c r="E25" s="1" t="str">
        <f>IF(OR(D25="",D25=0),"",D25-SUMIFS('Lessons Log'!$E:$E,'Lessons Log'!$C:$C,A25,'Lessons Log'!$D:$D,"*Package*"))</f>
        <v/>
      </c>
      <c r="F25" s="6" t="str">
        <f>IFERROR(INDEX([1]Clients!F:F, MATCH(A25, [1]Clients!A:A, 0)), "")</f>
        <v/>
      </c>
    </row>
    <row r="26" spans="2:6" x14ac:dyDescent="0.45">
      <c r="B26" s="5" t="str">
        <f>IFERROR(INDEX([1]Clients!$D:$D, MATCH(A26, [1]Clients!$A:$A, 0)), "")</f>
        <v/>
      </c>
      <c r="E26" s="1" t="str">
        <f>IF(OR(D26="",D26=0),"",D26-SUMIFS('Lessons Log'!$E:$E,'Lessons Log'!$C:$C,A26,'Lessons Log'!$D:$D,"*Package*"))</f>
        <v/>
      </c>
      <c r="F26" s="6" t="str">
        <f>IFERROR(INDEX([1]Clients!F:F, MATCH(A26, [1]Clients!A:A, 0)), "")</f>
        <v/>
      </c>
    </row>
    <row r="27" spans="2:6" x14ac:dyDescent="0.45">
      <c r="B27" s="5" t="str">
        <f>IFERROR(INDEX([1]Clients!$D:$D, MATCH(A27, [1]Clients!$A:$A, 0)), "")</f>
        <v/>
      </c>
      <c r="E27" s="1" t="str">
        <f>IF(OR(D27="",D27=0),"",D27-SUMIFS('Lessons Log'!$E:$E,'Lessons Log'!$C:$C,A27,'Lessons Log'!$D:$D,"*Package*"))</f>
        <v/>
      </c>
      <c r="F27" s="6" t="str">
        <f>IFERROR(INDEX([1]Clients!F:F, MATCH(A27, [1]Clients!A:A, 0)), "")</f>
        <v/>
      </c>
    </row>
    <row r="28" spans="2:6" x14ac:dyDescent="0.45">
      <c r="B28" s="5" t="str">
        <f>IFERROR(INDEX([1]Clients!$D:$D, MATCH(A28, [1]Clients!$A:$A, 0)), "")</f>
        <v/>
      </c>
      <c r="E28" s="1" t="str">
        <f>IF(OR(D28="",D28=0),"",D28-SUMIFS('Lessons Log'!$E:$E,'Lessons Log'!$C:$C,A28,'Lessons Log'!$D:$D,"*Package*"))</f>
        <v/>
      </c>
      <c r="F28" s="6" t="str">
        <f>IFERROR(INDEX([1]Clients!F:F, MATCH(A28, [1]Clients!A:A, 0)), "")</f>
        <v/>
      </c>
    </row>
    <row r="29" spans="2:6" x14ac:dyDescent="0.45">
      <c r="B29" s="5" t="str">
        <f>IFERROR(INDEX([1]Clients!$D:$D, MATCH(A29, [1]Clients!$A:$A, 0)), "")</f>
        <v/>
      </c>
      <c r="E29" s="1" t="str">
        <f>IF(OR(D29="",D29=0),"",D29-SUMIFS('Lessons Log'!$E:$E,'Lessons Log'!$C:$C,A29,'Lessons Log'!$D:$D,"*Package*"))</f>
        <v/>
      </c>
      <c r="F29" s="6" t="str">
        <f>IFERROR(INDEX([1]Clients!F:F, MATCH(A29, [1]Clients!A:A, 0)), "")</f>
        <v/>
      </c>
    </row>
    <row r="30" spans="2:6" x14ac:dyDescent="0.45">
      <c r="B30" s="5" t="str">
        <f>IFERROR(INDEX([1]Clients!$D:$D, MATCH(A30, [1]Clients!$A:$A, 0)), "")</f>
        <v/>
      </c>
      <c r="E30" s="1" t="str">
        <f>IF(OR(D30="",D30=0),"",D30-SUMIFS('Lessons Log'!$E:$E,'Lessons Log'!$C:$C,A30,'Lessons Log'!$D:$D,"*Package*"))</f>
        <v/>
      </c>
      <c r="F30" s="6" t="str">
        <f>IFERROR(INDEX([1]Clients!F:F, MATCH(A30, [1]Clients!A:A, 0)), "")</f>
        <v/>
      </c>
    </row>
    <row r="31" spans="2:6" x14ac:dyDescent="0.45">
      <c r="B31" s="5" t="str">
        <f>IFERROR(INDEX([1]Clients!$D:$D, MATCH(A31, [1]Clients!$A:$A, 0)), "")</f>
        <v/>
      </c>
      <c r="E31" s="1" t="str">
        <f>IF(OR(D31="",D31=0),"",D31-SUMIFS('Lessons Log'!$E:$E,'Lessons Log'!$C:$C,A31,'Lessons Log'!$D:$D,"*Package*"))</f>
        <v/>
      </c>
      <c r="F31" s="6" t="str">
        <f>IFERROR(INDEX([1]Clients!F:F, MATCH(A31, [1]Clients!A:A, 0)), "")</f>
        <v/>
      </c>
    </row>
    <row r="32" spans="2:6" x14ac:dyDescent="0.45">
      <c r="B32" s="5" t="str">
        <f>IFERROR(INDEX([1]Clients!$D:$D, MATCH(A32, [1]Clients!$A:$A, 0)), "")</f>
        <v/>
      </c>
      <c r="E32" s="1" t="str">
        <f>IF(OR(D32="",D32=0),"",D32-SUMIFS('Lessons Log'!$E:$E,'Lessons Log'!$C:$C,A32,'Lessons Log'!$D:$D,"*Package*"))</f>
        <v/>
      </c>
      <c r="F32" s="6" t="str">
        <f>IFERROR(INDEX([1]Clients!F:F, MATCH(A32, [1]Clients!A:A, 0)), "")</f>
        <v/>
      </c>
    </row>
    <row r="33" spans="2:6" x14ac:dyDescent="0.45">
      <c r="B33" s="5" t="str">
        <f>IFERROR(INDEX([1]Clients!$D:$D, MATCH(A33, [1]Clients!$A:$A, 0)), "")</f>
        <v/>
      </c>
      <c r="E33" s="1" t="str">
        <f>IF(OR(D33="",D33=0),"",D33-SUMIFS('Lessons Log'!$E:$E,'Lessons Log'!$C:$C,A33,'Lessons Log'!$D:$D,"*Package*"))</f>
        <v/>
      </c>
      <c r="F33" s="6" t="str">
        <f>IFERROR(INDEX([1]Clients!F:F, MATCH(A33, [1]Clients!A:A, 0)), "")</f>
        <v/>
      </c>
    </row>
    <row r="34" spans="2:6" x14ac:dyDescent="0.45">
      <c r="B34" s="5" t="str">
        <f>IFERROR(INDEX([1]Clients!$D:$D, MATCH(A34, [1]Clients!$A:$A, 0)), "")</f>
        <v/>
      </c>
      <c r="E34" s="1" t="str">
        <f>IF(OR(D34="",D34=0),"",D34-SUMIFS('Lessons Log'!$E:$E,'Lessons Log'!$C:$C,A34,'Lessons Log'!$D:$D,"*Package*"))</f>
        <v/>
      </c>
      <c r="F34" s="6" t="str">
        <f>IFERROR(INDEX([1]Clients!F:F, MATCH(A34, [1]Clients!A:A, 0)), "")</f>
        <v/>
      </c>
    </row>
    <row r="35" spans="2:6" x14ac:dyDescent="0.45">
      <c r="B35" s="5" t="str">
        <f>IFERROR(INDEX([1]Clients!$D:$D, MATCH(A35, [1]Clients!$A:$A, 0)), "")</f>
        <v/>
      </c>
      <c r="E35" s="1" t="str">
        <f>IF(OR(D35="",D35=0),"",D35-SUMIFS('Lessons Log'!$E:$E,'Lessons Log'!$C:$C,A35,'Lessons Log'!$D:$D,"*Package*"))</f>
        <v/>
      </c>
      <c r="F35" s="6" t="str">
        <f>IFERROR(INDEX([1]Clients!F:F, MATCH(A35, [1]Clients!A:A, 0)), "")</f>
        <v/>
      </c>
    </row>
    <row r="36" spans="2:6" x14ac:dyDescent="0.45">
      <c r="B36" s="5" t="str">
        <f>IFERROR(INDEX([1]Clients!$D:$D, MATCH(A36, [1]Clients!$A:$A, 0)), "")</f>
        <v/>
      </c>
      <c r="E36" s="1" t="str">
        <f>IF(OR(D36="",D36=0),"",D36-SUMIFS('Lessons Log'!$E:$E,'Lessons Log'!$C:$C,A36,'Lessons Log'!$D:$D,"*Package*"))</f>
        <v/>
      </c>
      <c r="F36" s="6" t="str">
        <f>IFERROR(INDEX([1]Clients!F:F, MATCH(A36, [1]Clients!A:A, 0)), "")</f>
        <v/>
      </c>
    </row>
    <row r="37" spans="2:6" x14ac:dyDescent="0.45">
      <c r="B37" s="5" t="str">
        <f>IFERROR(INDEX([1]Clients!$D:$D, MATCH(A37, [1]Clients!$A:$A, 0)), "")</f>
        <v/>
      </c>
      <c r="E37" s="1" t="str">
        <f>IF(OR(D37="",D37=0),"",D37-SUMIFS('Lessons Log'!$E:$E,'Lessons Log'!$C:$C,A37,'Lessons Log'!$D:$D,"*Package*"))</f>
        <v/>
      </c>
      <c r="F37" s="6" t="str">
        <f>IFERROR(INDEX([1]Clients!F:F, MATCH(A37, [1]Clients!A:A, 0)), "")</f>
        <v/>
      </c>
    </row>
    <row r="38" spans="2:6" x14ac:dyDescent="0.45">
      <c r="B38" s="5" t="str">
        <f>IFERROR(INDEX([1]Clients!$D:$D, MATCH(A38, [1]Clients!$A:$A, 0)), "")</f>
        <v/>
      </c>
      <c r="E38" s="1" t="str">
        <f>IF(OR(D38="",D38=0),"",D38-SUMIFS('Lessons Log'!$E:$E,'Lessons Log'!$C:$C,A38,'Lessons Log'!$D:$D,"*Package*"))</f>
        <v/>
      </c>
      <c r="F38" s="6" t="str">
        <f>IFERROR(INDEX([1]Clients!F:F, MATCH(A38, [1]Clients!A:A, 0)), "")</f>
        <v/>
      </c>
    </row>
    <row r="39" spans="2:6" x14ac:dyDescent="0.45">
      <c r="B39" s="5" t="str">
        <f>IFERROR(INDEX([1]Clients!$D:$D, MATCH(A39, [1]Clients!$A:$A, 0)), "")</f>
        <v/>
      </c>
      <c r="E39" s="1" t="str">
        <f>IF(OR(D39="",D39=0),"",D39-SUMIFS('Lessons Log'!$E:$E,'Lessons Log'!$C:$C,A39,'Lessons Log'!$D:$D,"*Package*"))</f>
        <v/>
      </c>
      <c r="F39" s="6" t="str">
        <f>IFERROR(INDEX([1]Clients!F:F, MATCH(A39, [1]Clients!A:A, 0)), "")</f>
        <v/>
      </c>
    </row>
    <row r="40" spans="2:6" x14ac:dyDescent="0.45">
      <c r="B40" s="5" t="str">
        <f>IFERROR(INDEX([1]Clients!$D:$D, MATCH(A40, [1]Clients!$A:$A, 0)), "")</f>
        <v/>
      </c>
      <c r="E40" s="1" t="str">
        <f>IF(OR(D40="",D40=0),"",D40-SUMIFS('Lessons Log'!$E:$E,'Lessons Log'!$C:$C,A40,'Lessons Log'!$D:$D,"*Package*"))</f>
        <v/>
      </c>
      <c r="F40" s="6" t="str">
        <f>IFERROR(INDEX([1]Clients!F:F, MATCH(A40, [1]Clients!A:A, 0)), "")</f>
        <v/>
      </c>
    </row>
    <row r="41" spans="2:6" x14ac:dyDescent="0.45">
      <c r="B41" s="5" t="str">
        <f>IFERROR(INDEX([1]Clients!$D:$D, MATCH(A41, [1]Clients!$A:$A, 0)), "")</f>
        <v/>
      </c>
      <c r="E41" s="1" t="str">
        <f>IF(OR(D41="",D41=0),"",D41-SUMIFS('Lessons Log'!$E:$E,'Lessons Log'!$C:$C,A41,'Lessons Log'!$D:$D,"*Package*"))</f>
        <v/>
      </c>
      <c r="F41" s="6" t="str">
        <f>IFERROR(INDEX([1]Clients!F:F, MATCH(A41, [1]Clients!A:A, 0)), "")</f>
        <v/>
      </c>
    </row>
    <row r="42" spans="2:6" x14ac:dyDescent="0.45">
      <c r="B42" s="5" t="str">
        <f>IFERROR(INDEX([1]Clients!$D:$D, MATCH(A42, [1]Clients!$A:$A, 0)), "")</f>
        <v/>
      </c>
      <c r="E42" s="1" t="str">
        <f>IF(OR(D42="",D42=0),"",D42-SUMIFS('Lessons Log'!$E:$E,'Lessons Log'!$C:$C,A42,'Lessons Log'!$D:$D,"*Package*"))</f>
        <v/>
      </c>
      <c r="F42" s="6" t="str">
        <f>IFERROR(INDEX([1]Clients!F:F, MATCH(A42, [1]Clients!A:A, 0)), "")</f>
        <v/>
      </c>
    </row>
    <row r="43" spans="2:6" x14ac:dyDescent="0.45">
      <c r="B43" s="5" t="str">
        <f>IFERROR(INDEX([1]Clients!$D:$D, MATCH(A43, [1]Clients!$A:$A, 0)), "")</f>
        <v/>
      </c>
      <c r="E43" s="1" t="str">
        <f>IF(OR(D43="",D43=0),"",D43-SUMIFS('Lessons Log'!$E:$E,'Lessons Log'!$C:$C,A43,'Lessons Log'!$D:$D,"*Package*"))</f>
        <v/>
      </c>
      <c r="F43" s="6" t="str">
        <f>IFERROR(INDEX([1]Clients!F:F, MATCH(A43, [1]Clients!A:A, 0)), "")</f>
        <v/>
      </c>
    </row>
    <row r="44" spans="2:6" x14ac:dyDescent="0.45">
      <c r="B44" s="5" t="str">
        <f>IFERROR(INDEX([1]Clients!$D:$D, MATCH(A44, [1]Clients!$A:$A, 0)), "")</f>
        <v/>
      </c>
      <c r="E44" s="1" t="str">
        <f>IF(OR(D44="",D44=0),"",D44-SUMIFS('Lessons Log'!$E:$E,'Lessons Log'!$C:$C,A44,'Lessons Log'!$D:$D,"*Package*"))</f>
        <v/>
      </c>
      <c r="F44" s="6" t="str">
        <f>IFERROR(INDEX([1]Clients!F:F, MATCH(A44, [1]Clients!A:A, 0)), "")</f>
        <v/>
      </c>
    </row>
    <row r="45" spans="2:6" x14ac:dyDescent="0.45">
      <c r="B45" s="5" t="str">
        <f>IFERROR(INDEX([1]Clients!$D:$D, MATCH(A45, [1]Clients!$A:$A, 0)), "")</f>
        <v/>
      </c>
      <c r="E45" s="1" t="str">
        <f>IF(OR(D45="",D45=0),"",D45-SUMIFS('Lessons Log'!$E:$E,'Lessons Log'!$C:$C,A45,'Lessons Log'!$D:$D,"*Package*"))</f>
        <v/>
      </c>
      <c r="F45" s="6" t="str">
        <f>IFERROR(INDEX([1]Clients!F:F, MATCH(A45, [1]Clients!A:A, 0)), "")</f>
        <v/>
      </c>
    </row>
    <row r="46" spans="2:6" x14ac:dyDescent="0.45">
      <c r="B46" s="5" t="str">
        <f>IFERROR(INDEX([1]Clients!$D:$D, MATCH(A46, [1]Clients!$A:$A, 0)), "")</f>
        <v/>
      </c>
      <c r="E46" s="1" t="str">
        <f>IF(OR(D46="",D46=0),"",D46-SUMIFS('Lessons Log'!$E:$E,'Lessons Log'!$C:$C,A46,'Lessons Log'!$D:$D,"*Package*"))</f>
        <v/>
      </c>
      <c r="F46" s="6" t="str">
        <f>IFERROR(INDEX([1]Clients!F:F, MATCH(A46, [1]Clients!A:A, 0)), "")</f>
        <v/>
      </c>
    </row>
    <row r="47" spans="2:6" x14ac:dyDescent="0.45">
      <c r="B47" s="5" t="str">
        <f>IFERROR(INDEX([1]Clients!$D:$D, MATCH(A47, [1]Clients!$A:$A, 0)), "")</f>
        <v/>
      </c>
      <c r="E47" s="1" t="str">
        <f>IF(OR(D47="",D47=0),"",D47-SUMIFS('Lessons Log'!$E:$E,'Lessons Log'!$C:$C,A47,'Lessons Log'!$D:$D,"*Package*"))</f>
        <v/>
      </c>
      <c r="F47" s="6" t="str">
        <f>IFERROR(INDEX([1]Clients!F:F, MATCH(A47, [1]Clients!A:A, 0)), "")</f>
        <v/>
      </c>
    </row>
    <row r="48" spans="2:6" x14ac:dyDescent="0.45">
      <c r="B48" s="5" t="str">
        <f>IFERROR(INDEX([1]Clients!$D:$D, MATCH(A48, [1]Clients!$A:$A, 0)), "")</f>
        <v/>
      </c>
      <c r="E48" s="1" t="str">
        <f>IF(OR(D48="",D48=0),"",D48-SUMIFS('Lessons Log'!$E:$E,'Lessons Log'!$C:$C,A48,'Lessons Log'!$D:$D,"*Package*"))</f>
        <v/>
      </c>
      <c r="F48" s="6" t="str">
        <f>IFERROR(INDEX([1]Clients!F:F, MATCH(A48, [1]Clients!A:A, 0)), "")</f>
        <v/>
      </c>
    </row>
    <row r="49" spans="2:6" x14ac:dyDescent="0.45">
      <c r="B49" s="5" t="str">
        <f>IFERROR(INDEX([1]Clients!$D:$D, MATCH(A49, [1]Clients!$A:$A, 0)), "")</f>
        <v/>
      </c>
      <c r="E49" s="1" t="str">
        <f>IF(OR(D49="",D49=0),"",D49-SUMIFS('Lessons Log'!$E:$E,'Lessons Log'!$C:$C,A49,'Lessons Log'!$D:$D,"*Package*"))</f>
        <v/>
      </c>
      <c r="F49" s="6" t="str">
        <f>IFERROR(INDEX([1]Clients!F:F, MATCH(A49, [1]Clients!A:A, 0)), "")</f>
        <v/>
      </c>
    </row>
    <row r="50" spans="2:6" x14ac:dyDescent="0.45">
      <c r="B50" s="5" t="str">
        <f>IFERROR(INDEX([1]Clients!$D:$D, MATCH(A50, [1]Clients!$A:$A, 0)), "")</f>
        <v/>
      </c>
      <c r="E50" s="1" t="str">
        <f>IF(OR(D50="",D50=0),"",D50-SUMIFS('Lessons Log'!$E:$E,'Lessons Log'!$C:$C,A50,'Lessons Log'!$D:$D,"*Package*"))</f>
        <v/>
      </c>
      <c r="F50" s="6" t="str">
        <f>IFERROR(INDEX([1]Clients!F:F, MATCH(A50, [1]Clients!A:A, 0)), "")</f>
        <v/>
      </c>
    </row>
    <row r="51" spans="2:6" x14ac:dyDescent="0.45">
      <c r="B51" s="5" t="str">
        <f>IFERROR(INDEX([1]Clients!$D:$D, MATCH(A51, [1]Clients!$A:$A, 0)), "")</f>
        <v/>
      </c>
      <c r="E51" s="1" t="str">
        <f>IF(OR(D51="",D51=0),"",D51-SUMIFS('Lessons Log'!$E:$E,'Lessons Log'!$C:$C,A51,'Lessons Log'!$D:$D,"*Package*"))</f>
        <v/>
      </c>
      <c r="F51" s="6" t="str">
        <f>IFERROR(INDEX([1]Clients!F:F, MATCH(A51, [1]Clients!A:A, 0)), "")</f>
        <v/>
      </c>
    </row>
    <row r="52" spans="2:6" x14ac:dyDescent="0.45">
      <c r="B52" s="5" t="str">
        <f>IFERROR(INDEX([1]Clients!$D:$D, MATCH(A52, [1]Clients!$A:$A, 0)), "")</f>
        <v/>
      </c>
      <c r="E52" s="1" t="str">
        <f>IF(OR(D52="",D52=0),"",D52-SUMIFS('Lessons Log'!$E:$E,'Lessons Log'!$C:$C,A52,'Lessons Log'!$D:$D,"*Package*"))</f>
        <v/>
      </c>
      <c r="F52" s="6" t="str">
        <f>IFERROR(INDEX([1]Clients!F:F, MATCH(A52, [1]Clients!A:A, 0)), "")</f>
        <v/>
      </c>
    </row>
    <row r="53" spans="2:6" x14ac:dyDescent="0.45">
      <c r="B53" s="5" t="str">
        <f>IFERROR(INDEX([1]Clients!$D:$D, MATCH(A53, [1]Clients!$A:$A, 0)), "")</f>
        <v/>
      </c>
      <c r="E53" s="1" t="str">
        <f>IF(OR(D53="",D53=0),"",D53-SUMIFS('Lessons Log'!$E:$E,'Lessons Log'!$C:$C,A53,'Lessons Log'!$D:$D,"*Package*"))</f>
        <v/>
      </c>
      <c r="F53" s="6" t="str">
        <f>IFERROR(INDEX([1]Clients!F:F, MATCH(A53, [1]Clients!A:A, 0)), "")</f>
        <v/>
      </c>
    </row>
    <row r="54" spans="2:6" x14ac:dyDescent="0.45">
      <c r="B54" s="5" t="str">
        <f>IFERROR(INDEX([1]Clients!$D:$D, MATCH(A54, [1]Clients!$A:$A, 0)), "")</f>
        <v/>
      </c>
      <c r="E54" s="1" t="str">
        <f>IF(OR(D54="",D54=0),"",D54-SUMIFS('Lessons Log'!$E:$E,'Lessons Log'!$C:$C,A54,'Lessons Log'!$D:$D,"*Package*"))</f>
        <v/>
      </c>
      <c r="F54" s="6" t="str">
        <f>IFERROR(INDEX([1]Clients!F:F, MATCH(A54, [1]Clients!A:A, 0)), "")</f>
        <v/>
      </c>
    </row>
    <row r="55" spans="2:6" x14ac:dyDescent="0.45">
      <c r="B55" s="5" t="str">
        <f>IFERROR(INDEX([1]Clients!$D:$D, MATCH(A55, [1]Clients!$A:$A, 0)), "")</f>
        <v/>
      </c>
      <c r="E55" s="1" t="str">
        <f>IF(OR(D55="",D55=0),"",D55-SUMIFS('Lessons Log'!$E:$E,'Lessons Log'!$C:$C,A55,'Lessons Log'!$D:$D,"*Package*"))</f>
        <v/>
      </c>
      <c r="F55" s="6" t="str">
        <f>IFERROR(INDEX([1]Clients!F:F, MATCH(A55, [1]Clients!A:A, 0)), "")</f>
        <v/>
      </c>
    </row>
    <row r="56" spans="2:6" x14ac:dyDescent="0.45">
      <c r="B56" s="5" t="str">
        <f>IFERROR(INDEX([1]Clients!$D:$D, MATCH(A56, [1]Clients!$A:$A, 0)), "")</f>
        <v/>
      </c>
      <c r="E56" s="1" t="str">
        <f>IF(OR(D56="",D56=0),"",D56-SUMIFS('Lessons Log'!$E:$E,'Lessons Log'!$C:$C,A56,'Lessons Log'!$D:$D,"*Package*"))</f>
        <v/>
      </c>
      <c r="F56" s="6" t="str">
        <f>IFERROR(INDEX([1]Clients!F:F, MATCH(A56, [1]Clients!A:A, 0)), "")</f>
        <v/>
      </c>
    </row>
    <row r="57" spans="2:6" x14ac:dyDescent="0.45">
      <c r="B57" s="5" t="str">
        <f>IFERROR(INDEX([1]Clients!$D:$D, MATCH(A57, [1]Clients!$A:$A, 0)), "")</f>
        <v/>
      </c>
      <c r="E57" s="1" t="str">
        <f>IF(OR(D57="",D57=0),"",D57-SUMIFS('Lessons Log'!$E:$E,'Lessons Log'!$C:$C,A57,'Lessons Log'!$D:$D,"*Package*"))</f>
        <v/>
      </c>
      <c r="F57" s="6" t="str">
        <f>IFERROR(INDEX([1]Clients!F:F, MATCH(A57, [1]Clients!A:A, 0)), "")</f>
        <v/>
      </c>
    </row>
    <row r="58" spans="2:6" x14ac:dyDescent="0.45">
      <c r="B58" s="5" t="str">
        <f>IFERROR(INDEX([1]Clients!$D:$D, MATCH(A58, [1]Clients!$A:$A, 0)), "")</f>
        <v/>
      </c>
      <c r="E58" s="1" t="str">
        <f>IF(OR(D58="",D58=0),"",D58-SUMIFS('Lessons Log'!$E:$E,'Lessons Log'!$C:$C,A58,'Lessons Log'!$D:$D,"*Package*"))</f>
        <v/>
      </c>
      <c r="F58" s="6" t="str">
        <f>IFERROR(INDEX([1]Clients!F:F, MATCH(A58, [1]Clients!A:A, 0)), "")</f>
        <v/>
      </c>
    </row>
    <row r="59" spans="2:6" x14ac:dyDescent="0.45">
      <c r="B59" s="5" t="str">
        <f>IFERROR(INDEX([1]Clients!$D:$D, MATCH(A59, [1]Clients!$A:$A, 0)), "")</f>
        <v/>
      </c>
      <c r="E59" s="1" t="str">
        <f>IF(OR(D59="",D59=0),"",D59-SUMIFS('Lessons Log'!$E:$E,'Lessons Log'!$C:$C,A59,'Lessons Log'!$D:$D,"*Package*"))</f>
        <v/>
      </c>
      <c r="F59" s="6" t="str">
        <f>IFERROR(INDEX([1]Clients!F:F, MATCH(A59, [1]Clients!A:A, 0)), "")</f>
        <v/>
      </c>
    </row>
    <row r="60" spans="2:6" x14ac:dyDescent="0.45">
      <c r="B60" s="5" t="str">
        <f>IFERROR(INDEX([1]Clients!$D:$D, MATCH(A60, [1]Clients!$A:$A, 0)), "")</f>
        <v/>
      </c>
      <c r="E60" s="1" t="str">
        <f>IF(OR(D60="",D60=0),"",D60-SUMIFS('Lessons Log'!$E:$E,'Lessons Log'!$C:$C,A60,'Lessons Log'!$D:$D,"*Package*"))</f>
        <v/>
      </c>
      <c r="F60" s="6" t="str">
        <f>IFERROR(INDEX([1]Clients!F:F, MATCH(A60, [1]Clients!A:A, 0)), "")</f>
        <v/>
      </c>
    </row>
    <row r="61" spans="2:6" x14ac:dyDescent="0.45">
      <c r="B61" s="5" t="str">
        <f>IFERROR(INDEX([1]Clients!$D:$D, MATCH(A61, [1]Clients!$A:$A, 0)), "")</f>
        <v/>
      </c>
      <c r="E61" s="1" t="str">
        <f>IF(OR(D61="",D61=0),"",D61-SUMIFS('Lessons Log'!$E:$E,'Lessons Log'!$C:$C,A61,'Lessons Log'!$D:$D,"*Package*"))</f>
        <v/>
      </c>
      <c r="F61" s="6" t="str">
        <f>IFERROR(INDEX([1]Clients!F:F, MATCH(A61, [1]Clients!A:A, 0)), "")</f>
        <v/>
      </c>
    </row>
    <row r="62" spans="2:6" x14ac:dyDescent="0.45">
      <c r="B62" s="5" t="str">
        <f>IFERROR(INDEX([1]Clients!$D:$D, MATCH(A62, [1]Clients!$A:$A, 0)), "")</f>
        <v/>
      </c>
      <c r="E62" s="1" t="str">
        <f>IF(OR(D62="",D62=0),"",D62-SUMIFS('Lessons Log'!$E:$E,'Lessons Log'!$C:$C,A62,'Lessons Log'!$D:$D,"*Package*"))</f>
        <v/>
      </c>
      <c r="F62" s="6" t="str">
        <f>IFERROR(INDEX([1]Clients!F:F, MATCH(A62, [1]Clients!A:A, 0)), "")</f>
        <v/>
      </c>
    </row>
    <row r="63" spans="2:6" x14ac:dyDescent="0.45">
      <c r="B63" s="5" t="str">
        <f>IFERROR(INDEX([1]Clients!$D:$D, MATCH(A63, [1]Clients!$A:$A, 0)), "")</f>
        <v/>
      </c>
      <c r="E63" s="1" t="str">
        <f>IF(OR(D63="",D63=0),"",D63-SUMIFS('Lessons Log'!$E:$E,'Lessons Log'!$C:$C,A63,'Lessons Log'!$D:$D,"*Package*"))</f>
        <v/>
      </c>
      <c r="F63" s="6" t="str">
        <f>IFERROR(INDEX([1]Clients!F:F, MATCH(A63, [1]Clients!A:A, 0)), "")</f>
        <v/>
      </c>
    </row>
    <row r="64" spans="2:6" x14ac:dyDescent="0.45">
      <c r="B64" s="5" t="str">
        <f>IFERROR(INDEX([1]Clients!$D:$D, MATCH(A64, [1]Clients!$A:$A, 0)), "")</f>
        <v/>
      </c>
      <c r="E64" s="1" t="str">
        <f>IF(OR(D64="",D64=0),"",D64-SUMIFS('Lessons Log'!$E:$E,'Lessons Log'!$C:$C,A64,'Lessons Log'!$D:$D,"*Package*"))</f>
        <v/>
      </c>
      <c r="F64" s="6" t="str">
        <f>IFERROR(INDEX([1]Clients!F:F, MATCH(A64, [1]Clients!A:A, 0)), "")</f>
        <v/>
      </c>
    </row>
    <row r="65" spans="2:6" x14ac:dyDescent="0.45">
      <c r="B65" s="5" t="str">
        <f>IFERROR(INDEX([1]Clients!$D:$D, MATCH(A65, [1]Clients!$A:$A, 0)), "")</f>
        <v/>
      </c>
      <c r="E65" s="1" t="str">
        <f>IF(OR(D65="",D65=0),"",D65-SUMIFS('Lessons Log'!$E:$E,'Lessons Log'!$C:$C,A65,'Lessons Log'!$D:$D,"*Package*"))</f>
        <v/>
      </c>
      <c r="F65" s="6" t="str">
        <f>IFERROR(INDEX([1]Clients!F:F, MATCH(A65, [1]Clients!A:A, 0)), "")</f>
        <v/>
      </c>
    </row>
    <row r="66" spans="2:6" x14ac:dyDescent="0.45">
      <c r="B66" s="5" t="str">
        <f>IFERROR(INDEX([1]Clients!$D:$D, MATCH(A66, [1]Clients!$A:$A, 0)), "")</f>
        <v/>
      </c>
      <c r="E66" s="1" t="str">
        <f>IF(OR(D66="",D66=0),"",D66-SUMIFS('Lessons Log'!$E:$E,'Lessons Log'!$C:$C,A66,'Lessons Log'!$D:$D,"*Package*"))</f>
        <v/>
      </c>
      <c r="F66" s="6" t="str">
        <f>IFERROR(INDEX([1]Clients!F:F, MATCH(A66, [1]Clients!A:A, 0)), "")</f>
        <v/>
      </c>
    </row>
    <row r="67" spans="2:6" x14ac:dyDescent="0.45">
      <c r="B67" s="5" t="str">
        <f>IFERROR(INDEX([1]Clients!$D:$D, MATCH(A67, [1]Clients!$A:$A, 0)), "")</f>
        <v/>
      </c>
      <c r="E67" s="1" t="str">
        <f>IF(OR(D67="",D67=0),"",D67-SUMIFS('Lessons Log'!$E:$E,'Lessons Log'!$C:$C,A67,'Lessons Log'!$D:$D,"*Package*"))</f>
        <v/>
      </c>
      <c r="F67" s="6" t="str">
        <f>IFERROR(INDEX([1]Clients!F:F, MATCH(A67, [1]Clients!A:A, 0)), "")</f>
        <v/>
      </c>
    </row>
    <row r="68" spans="2:6" x14ac:dyDescent="0.45">
      <c r="B68" s="5" t="str">
        <f>IFERROR(INDEX([1]Clients!$D:$D, MATCH(A68, [1]Clients!$A:$A, 0)), "")</f>
        <v/>
      </c>
      <c r="E68" s="1" t="str">
        <f>IF(OR(D68="",D68=0),"",D68-SUMIFS('Lessons Log'!$E:$E,'Lessons Log'!$C:$C,A68,'Lessons Log'!$D:$D,"*Package*"))</f>
        <v/>
      </c>
      <c r="F68" s="6" t="str">
        <f>IFERROR(INDEX([1]Clients!F:F, MATCH(A68, [1]Clients!A:A, 0)), "")</f>
        <v/>
      </c>
    </row>
    <row r="69" spans="2:6" x14ac:dyDescent="0.45">
      <c r="B69" s="5" t="str">
        <f>IFERROR(INDEX([1]Clients!$D:$D, MATCH(A69, [1]Clients!$A:$A, 0)), "")</f>
        <v/>
      </c>
      <c r="E69" s="1" t="str">
        <f>IF(OR(D69="",D69=0),"",D69-SUMIFS('Lessons Log'!$E:$E,'Lessons Log'!$C:$C,A69,'Lessons Log'!$D:$D,"*Package*"))</f>
        <v/>
      </c>
      <c r="F69" s="6" t="str">
        <f>IFERROR(INDEX([1]Clients!F:F, MATCH(A69, [1]Clients!A:A, 0)), "")</f>
        <v/>
      </c>
    </row>
    <row r="70" spans="2:6" x14ac:dyDescent="0.45">
      <c r="B70" s="5" t="str">
        <f>IFERROR(INDEX([1]Clients!$D:$D, MATCH(A70, [1]Clients!$A:$A, 0)), "")</f>
        <v/>
      </c>
      <c r="E70" s="1" t="str">
        <f>IF(OR(D70="",D70=0),"",D70-SUMIFS('Lessons Log'!$E:$E,'Lessons Log'!$C:$C,A70,'Lessons Log'!$D:$D,"*Package*"))</f>
        <v/>
      </c>
      <c r="F70" s="6" t="str">
        <f>IFERROR(INDEX([1]Clients!F:F, MATCH(A70, [1]Clients!A:A, 0)), "")</f>
        <v/>
      </c>
    </row>
    <row r="71" spans="2:6" x14ac:dyDescent="0.45">
      <c r="B71" s="5" t="str">
        <f>IFERROR(INDEX([1]Clients!$D:$D, MATCH(A71, [1]Clients!$A:$A, 0)), "")</f>
        <v/>
      </c>
      <c r="E71" s="1" t="str">
        <f>IF(OR(D71="",D71=0),"",D71-SUMIFS('Lessons Log'!$E:$E,'Lessons Log'!$C:$C,A71,'Lessons Log'!$D:$D,"*Package*"))</f>
        <v/>
      </c>
      <c r="F71" s="6" t="str">
        <f>IFERROR(INDEX([1]Clients!F:F, MATCH(A71, [1]Clients!A:A, 0)), "")</f>
        <v/>
      </c>
    </row>
    <row r="72" spans="2:6" x14ac:dyDescent="0.45">
      <c r="B72" s="5" t="str">
        <f>IFERROR(INDEX([1]Clients!$D:$D, MATCH(A72, [1]Clients!$A:$A, 0)), "")</f>
        <v/>
      </c>
      <c r="E72" s="1" t="str">
        <f>IF(OR(D72="",D72=0),"",D72-SUMIFS('Lessons Log'!$E:$E,'Lessons Log'!$C:$C,A72,'Lessons Log'!$D:$D,"*Package*"))</f>
        <v/>
      </c>
      <c r="F72" s="6" t="str">
        <f>IFERROR(INDEX([1]Clients!F:F, MATCH(A72, [1]Clients!A:A, 0)), "")</f>
        <v/>
      </c>
    </row>
    <row r="73" spans="2:6" x14ac:dyDescent="0.45">
      <c r="B73" s="5" t="str">
        <f>IFERROR(INDEX([1]Clients!$D:$D, MATCH(A73, [1]Clients!$A:$A, 0)), "")</f>
        <v/>
      </c>
      <c r="E73" s="1" t="str">
        <f>IF(OR(D73="",D73=0),"",D73-SUMIFS('Lessons Log'!$E:$E,'Lessons Log'!$C:$C,A73,'Lessons Log'!$D:$D,"*Package*"))</f>
        <v/>
      </c>
      <c r="F73" s="6" t="str">
        <f>IFERROR(INDEX([1]Clients!F:F, MATCH(A73, [1]Clients!A:A, 0)), "")</f>
        <v/>
      </c>
    </row>
    <row r="74" spans="2:6" x14ac:dyDescent="0.45">
      <c r="B74" s="5" t="str">
        <f>IFERROR(INDEX([1]Clients!$D:$D, MATCH(A74, [1]Clients!$A:$A, 0)), "")</f>
        <v/>
      </c>
      <c r="E74" s="1" t="str">
        <f>IF(OR(D74="",D74=0),"",D74-SUMIFS('Lessons Log'!$E:$E,'Lessons Log'!$C:$C,A74,'Lessons Log'!$D:$D,"*Package*"))</f>
        <v/>
      </c>
      <c r="F74" s="6" t="str">
        <f>IFERROR(INDEX([1]Clients!F:F, MATCH(A74, [1]Clients!A:A, 0)), "")</f>
        <v/>
      </c>
    </row>
    <row r="75" spans="2:6" x14ac:dyDescent="0.45">
      <c r="B75" s="5" t="str">
        <f>IFERROR(INDEX([1]Clients!$D:$D, MATCH(A75, [1]Clients!$A:$A, 0)), "")</f>
        <v/>
      </c>
      <c r="E75" s="1" t="str">
        <f>IF(OR(D75="",D75=0),"",D75-SUMIFS('Lessons Log'!$E:$E,'Lessons Log'!$C:$C,A75,'Lessons Log'!$D:$D,"*Package*"))</f>
        <v/>
      </c>
      <c r="F75" s="6" t="str">
        <f>IFERROR(INDEX([1]Clients!F:F, MATCH(A75, [1]Clients!A:A, 0)), "")</f>
        <v/>
      </c>
    </row>
    <row r="76" spans="2:6" x14ac:dyDescent="0.45">
      <c r="B76" s="5" t="str">
        <f>IFERROR(INDEX([1]Clients!$D:$D, MATCH(A76, [1]Clients!$A:$A, 0)), "")</f>
        <v/>
      </c>
      <c r="E76" s="1" t="str">
        <f>IF(OR(D76="",D76=0),"",D76-SUMIFS('Lessons Log'!$E:$E,'Lessons Log'!$C:$C,A76,'Lessons Log'!$D:$D,"*Package*"))</f>
        <v/>
      </c>
      <c r="F76" s="6" t="str">
        <f>IFERROR(INDEX([1]Clients!F:F, MATCH(A76, [1]Clients!A:A, 0)), "")</f>
        <v/>
      </c>
    </row>
    <row r="77" spans="2:6" x14ac:dyDescent="0.45">
      <c r="B77" s="5" t="str">
        <f>IFERROR(INDEX([1]Clients!$D:$D, MATCH(A77, [1]Clients!$A:$A, 0)), "")</f>
        <v/>
      </c>
      <c r="E77" s="1" t="str">
        <f>IF(OR(D77="",D77=0),"",D77-SUMIFS('Lessons Log'!$E:$E,'Lessons Log'!$C:$C,A77,'Lessons Log'!$D:$D,"*Package*"))</f>
        <v/>
      </c>
      <c r="F77" s="6" t="str">
        <f>IFERROR(INDEX([1]Clients!F:F, MATCH(A77, [1]Clients!A:A, 0)), "")</f>
        <v/>
      </c>
    </row>
    <row r="78" spans="2:6" x14ac:dyDescent="0.45">
      <c r="B78" s="5" t="str">
        <f>IFERROR(INDEX([1]Clients!$D:$D, MATCH(A78, [1]Clients!$A:$A, 0)), "")</f>
        <v/>
      </c>
      <c r="E78" s="1" t="str">
        <f>IF(OR(D78="",D78=0),"",D78-SUMIFS('Lessons Log'!$E:$E,'Lessons Log'!$C:$C,A78,'Lessons Log'!$D:$D,"*Package*"))</f>
        <v/>
      </c>
      <c r="F78" s="6" t="str">
        <f>IFERROR(INDEX([1]Clients!F:F, MATCH(A78, [1]Clients!A:A, 0)), "")</f>
        <v/>
      </c>
    </row>
    <row r="79" spans="2:6" x14ac:dyDescent="0.45">
      <c r="B79" s="5" t="str">
        <f>IFERROR(INDEX([1]Clients!$D:$D, MATCH(A79, [1]Clients!$A:$A, 0)), "")</f>
        <v/>
      </c>
      <c r="E79" s="1" t="str">
        <f>IF(OR(D79="",D79=0),"",D79-SUMIFS('Lessons Log'!$E:$E,'Lessons Log'!$C:$C,A79,'Lessons Log'!$D:$D,"*Package*"))</f>
        <v/>
      </c>
      <c r="F79" s="6" t="str">
        <f>IFERROR(INDEX([1]Clients!F:F, MATCH(A79, [1]Clients!A:A, 0)), "")</f>
        <v/>
      </c>
    </row>
    <row r="80" spans="2:6" x14ac:dyDescent="0.45">
      <c r="B80" s="5" t="str">
        <f>IFERROR(INDEX([1]Clients!$D:$D, MATCH(A80, [1]Clients!$A:$A, 0)), "")</f>
        <v/>
      </c>
      <c r="E80" s="1" t="str">
        <f>IF(OR(D80="",D80=0),"",D80-SUMIFS('Lessons Log'!$E:$E,'Lessons Log'!$C:$C,A80,'Lessons Log'!$D:$D,"*Package*"))</f>
        <v/>
      </c>
      <c r="F80" s="6" t="str">
        <f>IFERROR(INDEX([1]Clients!F:F, MATCH(A80, [1]Clients!A:A, 0)), "")</f>
        <v/>
      </c>
    </row>
    <row r="81" spans="2:6" x14ac:dyDescent="0.45">
      <c r="B81" s="5" t="str">
        <f>IFERROR(INDEX([1]Clients!$D:$D, MATCH(A81, [1]Clients!$A:$A, 0)), "")</f>
        <v/>
      </c>
      <c r="E81" s="1" t="str">
        <f>IF(OR(D81="",D81=0),"",D81-SUMIFS('Lessons Log'!$E:$E,'Lessons Log'!$C:$C,A81,'Lessons Log'!$D:$D,"*Package*"))</f>
        <v/>
      </c>
      <c r="F81" s="6" t="str">
        <f>IFERROR(INDEX([1]Clients!F:F, MATCH(A81, [1]Clients!A:A, 0)), "")</f>
        <v/>
      </c>
    </row>
    <row r="82" spans="2:6" x14ac:dyDescent="0.45">
      <c r="B82" s="5" t="str">
        <f>IFERROR(INDEX([1]Clients!$D:$D, MATCH(A82, [1]Clients!$A:$A, 0)), "")</f>
        <v/>
      </c>
      <c r="E82" s="1" t="str">
        <f>IF(OR(D82="",D82=0),"",D82-SUMIFS('Lessons Log'!$E:$E,'Lessons Log'!$C:$C,A82,'Lessons Log'!$D:$D,"*Package*"))</f>
        <v/>
      </c>
      <c r="F82" s="6" t="str">
        <f>IFERROR(INDEX([1]Clients!F:F, MATCH(A82, [1]Clients!A:A, 0)), "")</f>
        <v/>
      </c>
    </row>
    <row r="83" spans="2:6" x14ac:dyDescent="0.45">
      <c r="B83" s="5" t="str">
        <f>IFERROR(INDEX([1]Clients!$D:$D, MATCH(A83, [1]Clients!$A:$A, 0)), "")</f>
        <v/>
      </c>
      <c r="E83" s="1" t="str">
        <f>IF(OR(D83="",D83=0),"",D83-SUMIFS('Lessons Log'!$E:$E,'Lessons Log'!$C:$C,A83,'Lessons Log'!$D:$D,"*Package*"))</f>
        <v/>
      </c>
      <c r="F83" s="6" t="str">
        <f>IFERROR(INDEX([1]Clients!F:F, MATCH(A83, [1]Clients!A:A, 0)), "")</f>
        <v/>
      </c>
    </row>
    <row r="84" spans="2:6" x14ac:dyDescent="0.45">
      <c r="B84" s="5" t="str">
        <f>IFERROR(INDEX([1]Clients!$D:$D, MATCH(A84, [1]Clients!$A:$A, 0)), "")</f>
        <v/>
      </c>
      <c r="E84" s="1" t="str">
        <f>IF(OR(D84="",D84=0),"",D84-SUMIFS('Lessons Log'!$E:$E,'Lessons Log'!$C:$C,A84,'Lessons Log'!$D:$D,"*Package*"))</f>
        <v/>
      </c>
      <c r="F84" s="6" t="str">
        <f>IFERROR(INDEX([1]Clients!F:F, MATCH(A84, [1]Clients!A:A, 0)), "")</f>
        <v/>
      </c>
    </row>
    <row r="85" spans="2:6" x14ac:dyDescent="0.45">
      <c r="B85" s="5" t="str">
        <f>IFERROR(INDEX([1]Clients!$D:$D, MATCH(A85, [1]Clients!$A:$A, 0)), "")</f>
        <v/>
      </c>
      <c r="E85" s="1" t="str">
        <f>IF(OR(D85="",D85=0),"",D85-SUMIFS('Lessons Log'!$E:$E,'Lessons Log'!$C:$C,A85,'Lessons Log'!$D:$D,"*Package*"))</f>
        <v/>
      </c>
      <c r="F85" s="6" t="str">
        <f>IFERROR(INDEX([1]Clients!F:F, MATCH(A85, [1]Clients!A:A, 0)), "")</f>
        <v/>
      </c>
    </row>
    <row r="86" spans="2:6" x14ac:dyDescent="0.45">
      <c r="B86" s="5" t="str">
        <f>IFERROR(INDEX([1]Clients!$D:$D, MATCH(A86, [1]Clients!$A:$A, 0)), "")</f>
        <v/>
      </c>
      <c r="E86" s="1" t="str">
        <f>IF(OR(D86="",D86=0),"",D86-SUMIFS('Lessons Log'!$E:$E,'Lessons Log'!$C:$C,A86,'Lessons Log'!$D:$D,"*Package*"))</f>
        <v/>
      </c>
      <c r="F86" s="6" t="str">
        <f>IFERROR(INDEX([1]Clients!F:F, MATCH(A86, [1]Clients!A:A, 0)), "")</f>
        <v/>
      </c>
    </row>
    <row r="87" spans="2:6" x14ac:dyDescent="0.45">
      <c r="B87" s="5" t="str">
        <f>IFERROR(INDEX([1]Clients!$D:$D, MATCH(A87, [1]Clients!$A:$A, 0)), "")</f>
        <v/>
      </c>
      <c r="E87" s="1" t="str">
        <f>IF(OR(D87="",D87=0),"",D87-SUMIFS('Lessons Log'!$E:$E,'Lessons Log'!$C:$C,A87,'Lessons Log'!$D:$D,"*Package*"))</f>
        <v/>
      </c>
      <c r="F87" s="6" t="str">
        <f>IFERROR(INDEX([1]Clients!F:F, MATCH(A87, [1]Clients!A:A, 0)), "")</f>
        <v/>
      </c>
    </row>
    <row r="88" spans="2:6" x14ac:dyDescent="0.45">
      <c r="B88" s="5" t="str">
        <f>IFERROR(INDEX([1]Clients!$D:$D, MATCH(A88, [1]Clients!$A:$A, 0)), "")</f>
        <v/>
      </c>
      <c r="E88" s="1" t="str">
        <f>IF(OR(D88="",D88=0),"",D88-SUMIFS('Lessons Log'!$E:$E,'Lessons Log'!$C:$C,A88,'Lessons Log'!$D:$D,"*Package*"))</f>
        <v/>
      </c>
      <c r="F88" s="6" t="str">
        <f>IFERROR(INDEX([1]Clients!F:F, MATCH(A88, [1]Clients!A:A, 0)), "")</f>
        <v/>
      </c>
    </row>
    <row r="89" spans="2:6" x14ac:dyDescent="0.45">
      <c r="B89" s="5" t="str">
        <f>IFERROR(INDEX([1]Clients!$D:$D, MATCH(A89, [1]Clients!$A:$A, 0)), "")</f>
        <v/>
      </c>
      <c r="E89" s="1" t="str">
        <f>IF(OR(D89="",D89=0),"",D89-SUMIFS('Lessons Log'!$E:$E,'Lessons Log'!$C:$C,A89,'Lessons Log'!$D:$D,"*Package*"))</f>
        <v/>
      </c>
      <c r="F89" s="6" t="str">
        <f>IFERROR(INDEX([1]Clients!F:F, MATCH(A89, [1]Clients!A:A, 0)), "")</f>
        <v/>
      </c>
    </row>
    <row r="90" spans="2:6" x14ac:dyDescent="0.45">
      <c r="B90" s="5" t="str">
        <f>IFERROR(INDEX([1]Clients!$D:$D, MATCH(A90, [1]Clients!$A:$A, 0)), "")</f>
        <v/>
      </c>
      <c r="E90" s="1" t="str">
        <f>IF(OR(D90="",D90=0),"",D90-SUMIFS('Lessons Log'!$E:$E,'Lessons Log'!$C:$C,A90,'Lessons Log'!$D:$D,"*Package*"))</f>
        <v/>
      </c>
      <c r="F90" s="6" t="str">
        <f>IFERROR(INDEX([1]Clients!F:F, MATCH(A90, [1]Clients!A:A, 0)), "")</f>
        <v/>
      </c>
    </row>
    <row r="91" spans="2:6" x14ac:dyDescent="0.45">
      <c r="B91" s="5" t="str">
        <f>IFERROR(INDEX([1]Clients!$D:$D, MATCH(A91, [1]Clients!$A:$A, 0)), "")</f>
        <v/>
      </c>
      <c r="E91" s="1" t="str">
        <f>IF(OR(D91="",D91=0),"",D91-SUMIFS('Lessons Log'!$E:$E,'Lessons Log'!$C:$C,A91,'Lessons Log'!$D:$D,"*Package*"))</f>
        <v/>
      </c>
      <c r="F91" s="6" t="str">
        <f>IFERROR(INDEX([1]Clients!F:F, MATCH(A91, [1]Clients!A:A, 0)), "")</f>
        <v/>
      </c>
    </row>
    <row r="92" spans="2:6" x14ac:dyDescent="0.45">
      <c r="B92" s="5" t="str">
        <f>IFERROR(INDEX([1]Clients!$D:$D, MATCH(A92, [1]Clients!$A:$A, 0)), "")</f>
        <v/>
      </c>
      <c r="E92" s="1" t="str">
        <f>IF(OR(D92="",D92=0),"",D92-SUMIFS('Lessons Log'!$E:$E,'Lessons Log'!$C:$C,A92,'Lessons Log'!$D:$D,"*Package*"))</f>
        <v/>
      </c>
      <c r="F92" s="6" t="str">
        <f>IFERROR(INDEX([1]Clients!F:F, MATCH(A92, [1]Clients!A:A, 0)), "")</f>
        <v/>
      </c>
    </row>
    <row r="93" spans="2:6" x14ac:dyDescent="0.45">
      <c r="B93" s="5" t="str">
        <f>IFERROR(INDEX([1]Clients!$D:$D, MATCH(A93, [1]Clients!$A:$A, 0)), "")</f>
        <v/>
      </c>
      <c r="E93" s="1" t="str">
        <f>IF(OR(D93="",D93=0),"",D93-SUMIFS('Lessons Log'!$E:$E,'Lessons Log'!$C:$C,A93,'Lessons Log'!$D:$D,"*Package*"))</f>
        <v/>
      </c>
      <c r="F93" s="6" t="str">
        <f>IFERROR(INDEX([1]Clients!F:F, MATCH(A93, [1]Clients!A:A, 0)), "")</f>
        <v/>
      </c>
    </row>
    <row r="94" spans="2:6" x14ac:dyDescent="0.45">
      <c r="B94" s="5" t="str">
        <f>IFERROR(INDEX([1]Clients!$D:$D, MATCH(A94, [1]Clients!$A:$A, 0)), "")</f>
        <v/>
      </c>
      <c r="E94" s="1" t="str">
        <f>IF(OR(D94="",D94=0),"",D94-SUMIFS('Lessons Log'!$E:$E,'Lessons Log'!$C:$C,A94,'Lessons Log'!$D:$D,"*Package*"))</f>
        <v/>
      </c>
      <c r="F94" s="6" t="str">
        <f>IFERROR(INDEX([1]Clients!F:F, MATCH(A94, [1]Clients!A:A, 0)), "")</f>
        <v/>
      </c>
    </row>
    <row r="95" spans="2:6" x14ac:dyDescent="0.45">
      <c r="B95" s="5" t="str">
        <f>IFERROR(INDEX([1]Clients!$D:$D, MATCH(A95, [1]Clients!$A:$A, 0)), "")</f>
        <v/>
      </c>
      <c r="E95" s="1" t="str">
        <f>IF(OR(D95="",D95=0),"",D95-SUMIFS('Lessons Log'!$E:$E,'Lessons Log'!$C:$C,A95,'Lessons Log'!$D:$D,"*Package*"))</f>
        <v/>
      </c>
      <c r="F95" s="6" t="str">
        <f>IFERROR(INDEX([1]Clients!F:F, MATCH(A95, [1]Clients!A:A, 0)), "")</f>
        <v/>
      </c>
    </row>
    <row r="96" spans="2:6" x14ac:dyDescent="0.45">
      <c r="B96" s="5" t="str">
        <f>IFERROR(INDEX([1]Clients!$D:$D, MATCH(A96, [1]Clients!$A:$A, 0)), "")</f>
        <v/>
      </c>
      <c r="E96" s="1" t="str">
        <f>IF(OR(D96="",D96=0),"",D96-SUMIFS('Lessons Log'!$E:$E,'Lessons Log'!$C:$C,A96,'Lessons Log'!$D:$D,"*Package*"))</f>
        <v/>
      </c>
      <c r="F96" s="6" t="str">
        <f>IFERROR(INDEX([1]Clients!F:F, MATCH(A96, [1]Clients!A:A, 0)), "")</f>
        <v/>
      </c>
    </row>
    <row r="97" spans="2:6" x14ac:dyDescent="0.45">
      <c r="B97" s="5" t="str">
        <f>IFERROR(INDEX([1]Clients!$D:$D, MATCH(A97, [1]Clients!$A:$A, 0)), "")</f>
        <v/>
      </c>
      <c r="E97" s="1" t="str">
        <f>IF(OR(D97="",D97=0),"",D97-SUMIFS('Lessons Log'!$E:$E,'Lessons Log'!$C:$C,A97,'Lessons Log'!$D:$D,"*Package*"))</f>
        <v/>
      </c>
      <c r="F97" s="6" t="str">
        <f>IFERROR(INDEX([1]Clients!F:F, MATCH(A97, [1]Clients!A:A, 0)), "")</f>
        <v/>
      </c>
    </row>
    <row r="98" spans="2:6" x14ac:dyDescent="0.45">
      <c r="B98" s="5" t="str">
        <f>IFERROR(INDEX([1]Clients!$D:$D, MATCH(A98, [1]Clients!$A:$A, 0)), "")</f>
        <v/>
      </c>
      <c r="E98" s="1" t="str">
        <f>IF(OR(D98="",D98=0),"",D98-SUMIFS('Lessons Log'!$E:$E,'Lessons Log'!$C:$C,A98,'Lessons Log'!$D:$D,"*Package*"))</f>
        <v/>
      </c>
      <c r="F98" s="6" t="str">
        <f>IFERROR(INDEX([1]Clients!F:F, MATCH(A98, [1]Clients!A:A, 0)), "")</f>
        <v/>
      </c>
    </row>
    <row r="99" spans="2:6" x14ac:dyDescent="0.45">
      <c r="B99" s="5" t="str">
        <f>IFERROR(INDEX([1]Clients!$D:$D, MATCH(A99, [1]Clients!$A:$A, 0)), "")</f>
        <v/>
      </c>
      <c r="E99" s="1" t="str">
        <f>IF(OR(D99="",D99=0),"",D99-SUMIFS('Lessons Log'!$E:$E,'Lessons Log'!$C:$C,A99,'Lessons Log'!$D:$D,"*Package*"))</f>
        <v/>
      </c>
      <c r="F99" s="6" t="str">
        <f>IFERROR(INDEX([1]Clients!F:F, MATCH(A99, [1]Clients!A:A, 0)), "")</f>
        <v/>
      </c>
    </row>
    <row r="100" spans="2:6" x14ac:dyDescent="0.45">
      <c r="B100" s="5" t="str">
        <f>IFERROR(INDEX([1]Clients!$D:$D, MATCH(A100, [1]Clients!$A:$A, 0)), "")</f>
        <v/>
      </c>
      <c r="E100" s="1" t="str">
        <f>IF(OR(D100="",D100=0),"",D100-SUMIFS('Lessons Log'!$E:$E,'Lessons Log'!$C:$C,A100,'Lessons Log'!$D:$D,"*Package*"))</f>
        <v/>
      </c>
      <c r="F100" s="6" t="str">
        <f>IFERROR(INDEX([1]Clients!F:F, MATCH(A100, [1]Clients!A:A, 0)), "")</f>
        <v/>
      </c>
    </row>
    <row r="101" spans="2:6" x14ac:dyDescent="0.45">
      <c r="B101" s="5" t="str">
        <f>IFERROR(INDEX([1]Clients!$D:$D, MATCH(A101, [1]Clients!$A:$A, 0)), "")</f>
        <v/>
      </c>
      <c r="E101" s="1" t="str">
        <f>IF(OR(D101="",D101=0),"",D101-SUMIFS('Lessons Log'!$E:$E,'Lessons Log'!$C:$C,A101,'Lessons Log'!$D:$D,"*Package*"))</f>
        <v/>
      </c>
      <c r="F101" s="6" t="str">
        <f>IFERROR(INDEX([1]Clients!F:F, MATCH(A101, [1]Clients!A:A, 0)), "")</f>
        <v/>
      </c>
    </row>
    <row r="102" spans="2:6" x14ac:dyDescent="0.45">
      <c r="B102" s="5" t="str">
        <f>IFERROR(INDEX([1]Clients!$D:$D, MATCH(A102, [1]Clients!$A:$A, 0)), "")</f>
        <v/>
      </c>
      <c r="E102" s="1" t="str">
        <f>IF(OR(D102="",D102=0),"",D102-SUMIFS('Lessons Log'!$E:$E,'Lessons Log'!$C:$C,A102,'Lessons Log'!$D:$D,"*Package*"))</f>
        <v/>
      </c>
      <c r="F102" s="6" t="str">
        <f>IFERROR(INDEX([1]Clients!F:F, MATCH(A102, [1]Clients!A:A, 0)), "")</f>
        <v/>
      </c>
    </row>
    <row r="103" spans="2:6" x14ac:dyDescent="0.45">
      <c r="B103" s="5" t="str">
        <f>IFERROR(INDEX([1]Clients!$D:$D, MATCH(A103, [1]Clients!$A:$A, 0)), "")</f>
        <v/>
      </c>
      <c r="E103" s="1" t="str">
        <f>IF(OR(D103="",D103=0),"",D103-SUMIFS('Lessons Log'!$E:$E,'Lessons Log'!$C:$C,A103,'Lessons Log'!$D:$D,"*Package*"))</f>
        <v/>
      </c>
      <c r="F103" s="6" t="str">
        <f>IFERROR(INDEX([1]Clients!F:F, MATCH(A103, [1]Clients!A:A, 0)), "")</f>
        <v/>
      </c>
    </row>
    <row r="104" spans="2:6" x14ac:dyDescent="0.45">
      <c r="B104" s="5" t="str">
        <f>IFERROR(INDEX([1]Clients!$D:$D, MATCH(A104, [1]Clients!$A:$A, 0)), "")</f>
        <v/>
      </c>
      <c r="E104" s="1" t="str">
        <f>IF(OR(D104="",D104=0),"",D104-SUMIFS('Lessons Log'!$E:$E,'Lessons Log'!$C:$C,A104,'Lessons Log'!$D:$D,"*Package*"))</f>
        <v/>
      </c>
      <c r="F104" s="6" t="str">
        <f>IFERROR(INDEX([1]Clients!F:F, MATCH(A104, [1]Clients!A:A, 0)), "")</f>
        <v/>
      </c>
    </row>
    <row r="105" spans="2:6" x14ac:dyDescent="0.45">
      <c r="B105" s="5" t="str">
        <f>IFERROR(INDEX([1]Clients!$D:$D, MATCH(A105, [1]Clients!$A:$A, 0)), "")</f>
        <v/>
      </c>
      <c r="E105" s="1" t="str">
        <f>IF(OR(D105="",D105=0),"",D105-SUMIFS('Lessons Log'!$E:$E,'Lessons Log'!$C:$C,A105,'Lessons Log'!$D:$D,"*Package*"))</f>
        <v/>
      </c>
      <c r="F105" s="6" t="str">
        <f>IFERROR(INDEX([1]Clients!F:F, MATCH(A105, [1]Clients!A:A, 0)), "")</f>
        <v/>
      </c>
    </row>
    <row r="106" spans="2:6" x14ac:dyDescent="0.45">
      <c r="B106" s="5" t="str">
        <f>IFERROR(INDEX([1]Clients!$D:$D, MATCH(A106, [1]Clients!$A:$A, 0)), "")</f>
        <v/>
      </c>
      <c r="E106" s="1" t="str">
        <f>IF(OR(D106="",D106=0),"",D106-SUMIFS('Lessons Log'!$E:$E,'Lessons Log'!$C:$C,A106,'Lessons Log'!$D:$D,"*Package*"))</f>
        <v/>
      </c>
      <c r="F106" s="6" t="str">
        <f>IFERROR(INDEX([1]Clients!F:F, MATCH(A106, [1]Clients!A:A, 0)), "")</f>
        <v/>
      </c>
    </row>
    <row r="107" spans="2:6" x14ac:dyDescent="0.45">
      <c r="B107" s="5" t="str">
        <f>IFERROR(INDEX([1]Clients!$D:$D, MATCH(A107, [1]Clients!$A:$A, 0)), "")</f>
        <v/>
      </c>
      <c r="E107" s="1" t="str">
        <f>IF(OR(D107="",D107=0),"",D107-SUMIFS('Lessons Log'!$E:$E,'Lessons Log'!$C:$C,A107,'Lessons Log'!$D:$D,"*Package*"))</f>
        <v/>
      </c>
      <c r="F107" s="6" t="str">
        <f>IFERROR(INDEX([1]Clients!F:F, MATCH(A107, [1]Clients!A:A, 0)), "")</f>
        <v/>
      </c>
    </row>
    <row r="108" spans="2:6" x14ac:dyDescent="0.45">
      <c r="B108" s="5" t="str">
        <f>IFERROR(INDEX([1]Clients!$D:$D, MATCH(A108, [1]Clients!$A:$A, 0)), "")</f>
        <v/>
      </c>
      <c r="E108" s="1" t="str">
        <f>IF(OR(D108="",D108=0),"",D108-SUMIFS('Lessons Log'!$E:$E,'Lessons Log'!$C:$C,A108,'Lessons Log'!$D:$D,"*Package*"))</f>
        <v/>
      </c>
      <c r="F108" s="6" t="str">
        <f>IFERROR(INDEX([1]Clients!F:F, MATCH(A108, [1]Clients!A:A, 0)), "")</f>
        <v/>
      </c>
    </row>
    <row r="109" spans="2:6" x14ac:dyDescent="0.45">
      <c r="B109" s="5" t="str">
        <f>IFERROR(INDEX([1]Clients!$D:$D, MATCH(A109, [1]Clients!$A:$A, 0)), "")</f>
        <v/>
      </c>
      <c r="E109" s="1" t="str">
        <f>IF(OR(D109="",D109=0),"",D109-SUMIFS('Lessons Log'!$E:$E,'Lessons Log'!$C:$C,A109,'Lessons Log'!$D:$D,"*Package*"))</f>
        <v/>
      </c>
      <c r="F109" s="6" t="str">
        <f>IFERROR(INDEX([1]Clients!F:F, MATCH(A109, [1]Clients!A:A, 0)), "")</f>
        <v/>
      </c>
    </row>
    <row r="110" spans="2:6" x14ac:dyDescent="0.45">
      <c r="B110" s="5" t="str">
        <f>IFERROR(INDEX([1]Clients!$D:$D, MATCH(A110, [1]Clients!$A:$A, 0)), "")</f>
        <v/>
      </c>
      <c r="E110" s="1" t="str">
        <f>IF(OR(D110="",D110=0),"",D110-SUMIFS('Lessons Log'!$E:$E,'Lessons Log'!$C:$C,A110,'Lessons Log'!$D:$D,"*Package*"))</f>
        <v/>
      </c>
      <c r="F110" s="6" t="str">
        <f>IFERROR(INDEX([1]Clients!F:F, MATCH(A110, [1]Clients!A:A, 0)), "")</f>
        <v/>
      </c>
    </row>
    <row r="111" spans="2:6" x14ac:dyDescent="0.45">
      <c r="B111" s="5" t="str">
        <f>IFERROR(INDEX([1]Clients!$D:$D, MATCH(A111, [1]Clients!$A:$A, 0)), "")</f>
        <v/>
      </c>
      <c r="E111" s="1" t="str">
        <f>IF(OR(D111="",D111=0),"",D111-SUMIFS('Lessons Log'!$E:$E,'Lessons Log'!$C:$C,A111,'Lessons Log'!$D:$D,"*Package*"))</f>
        <v/>
      </c>
      <c r="F111" s="6" t="str">
        <f>IFERROR(INDEX([1]Clients!F:F, MATCH(A111, [1]Clients!A:A, 0)), "")</f>
        <v/>
      </c>
    </row>
    <row r="112" spans="2:6" x14ac:dyDescent="0.45">
      <c r="B112" s="5" t="str">
        <f>IFERROR(INDEX([1]Clients!$D:$D, MATCH(A112, [1]Clients!$A:$A, 0)), "")</f>
        <v/>
      </c>
      <c r="E112" s="1" t="str">
        <f>IF(OR(D112="",D112=0),"",D112-SUMIFS('Lessons Log'!$E:$E,'Lessons Log'!$C:$C,A112,'Lessons Log'!$D:$D,"*Package*"))</f>
        <v/>
      </c>
      <c r="F112" s="6" t="str">
        <f>IFERROR(INDEX([1]Clients!F:F, MATCH(A112, [1]Clients!A:A, 0)), "")</f>
        <v/>
      </c>
    </row>
    <row r="113" spans="2:6" x14ac:dyDescent="0.45">
      <c r="B113" s="5" t="str">
        <f>IFERROR(INDEX([1]Clients!$D:$D, MATCH(A113, [1]Clients!$A:$A, 0)), "")</f>
        <v/>
      </c>
      <c r="E113" s="1" t="str">
        <f>IF(OR(D113="",D113=0),"",D113-SUMIFS('Lessons Log'!$E:$E,'Lessons Log'!$C:$C,A113,'Lessons Log'!$D:$D,"*Package*"))</f>
        <v/>
      </c>
      <c r="F113" s="6" t="str">
        <f>IFERROR(INDEX([1]Clients!F:F, MATCH(A113, [1]Clients!A:A, 0)), "")</f>
        <v/>
      </c>
    </row>
    <row r="114" spans="2:6" x14ac:dyDescent="0.45">
      <c r="B114" s="5" t="str">
        <f>IFERROR(INDEX([1]Clients!$D:$D, MATCH(A114, [1]Clients!$A:$A, 0)), "")</f>
        <v/>
      </c>
      <c r="E114" s="1" t="str">
        <f>IF(OR(D114="",D114=0),"",D114-SUMIFS('Lessons Log'!$E:$E,'Lessons Log'!$C:$C,A114,'Lessons Log'!$D:$D,"*Package*"))</f>
        <v/>
      </c>
      <c r="F114" s="6" t="str">
        <f>IFERROR(INDEX([1]Clients!F:F, MATCH(A114, [1]Clients!A:A, 0)), "")</f>
        <v/>
      </c>
    </row>
    <row r="115" spans="2:6" x14ac:dyDescent="0.45">
      <c r="B115" s="5" t="str">
        <f>IFERROR(INDEX([1]Clients!$D:$D, MATCH(A115, [1]Clients!$A:$A, 0)), "")</f>
        <v/>
      </c>
      <c r="E115" s="1" t="str">
        <f>IF(OR(D115="",D115=0),"",D115-SUMIFS('Lessons Log'!$E:$E,'Lessons Log'!$C:$C,A115,'Lessons Log'!$D:$D,"*Package*"))</f>
        <v/>
      </c>
      <c r="F115" s="6" t="str">
        <f>IFERROR(INDEX([1]Clients!F:F, MATCH(A115, [1]Clients!A:A, 0)), "")</f>
        <v/>
      </c>
    </row>
    <row r="116" spans="2:6" x14ac:dyDescent="0.45">
      <c r="B116" s="5" t="str">
        <f>IFERROR(INDEX([1]Clients!$D:$D, MATCH(A116, [1]Clients!$A:$A, 0)), "")</f>
        <v/>
      </c>
      <c r="E116" s="1" t="str">
        <f>IF(OR(D116="",D116=0),"",D116-SUMIFS('Lessons Log'!$E:$E,'Lessons Log'!$C:$C,A116,'Lessons Log'!$D:$D,"*Package*"))</f>
        <v/>
      </c>
      <c r="F116" s="6" t="str">
        <f>IFERROR(INDEX([1]Clients!F:F, MATCH(A116, [1]Clients!A:A, 0)), "")</f>
        <v/>
      </c>
    </row>
    <row r="117" spans="2:6" x14ac:dyDescent="0.45">
      <c r="B117" s="5" t="str">
        <f>IFERROR(INDEX([1]Clients!$D:$D, MATCH(A117, [1]Clients!$A:$A, 0)), "")</f>
        <v/>
      </c>
      <c r="E117" s="1" t="str">
        <f>IF(OR(D117="",D117=0),"",D117-SUMIFS('Lessons Log'!$E:$E,'Lessons Log'!$C:$C,A117,'Lessons Log'!$D:$D,"*Package*"))</f>
        <v/>
      </c>
      <c r="F117" s="6" t="str">
        <f>IFERROR(INDEX([1]Clients!F:F, MATCH(A117, [1]Clients!A:A, 0)), "")</f>
        <v/>
      </c>
    </row>
    <row r="118" spans="2:6" x14ac:dyDescent="0.45">
      <c r="B118" s="5" t="str">
        <f>IFERROR(INDEX([1]Clients!$D:$D, MATCH(A118, [1]Clients!$A:$A, 0)), "")</f>
        <v/>
      </c>
      <c r="E118" s="1" t="str">
        <f>IF(OR(D118="",D118=0),"",D118-SUMIFS('Lessons Log'!$E:$E,'Lessons Log'!$C:$C,A118,'Lessons Log'!$D:$D,"*Package*"))</f>
        <v/>
      </c>
      <c r="F118" s="6" t="str">
        <f>IFERROR(INDEX([1]Clients!F:F, MATCH(A118, [1]Clients!A:A, 0)), "")</f>
        <v/>
      </c>
    </row>
    <row r="119" spans="2:6" x14ac:dyDescent="0.45">
      <c r="B119" s="5" t="str">
        <f>IFERROR(INDEX([1]Clients!$D:$D, MATCH(A119, [1]Clients!$A:$A, 0)), "")</f>
        <v/>
      </c>
      <c r="E119" s="1" t="str">
        <f>IF(OR(D119="",D119=0),"",D119-SUMIFS('Lessons Log'!$E:$E,'Lessons Log'!$C:$C,A119,'Lessons Log'!$D:$D,"*Package*"))</f>
        <v/>
      </c>
      <c r="F119" s="6" t="str">
        <f>IFERROR(INDEX([1]Clients!F:F, MATCH(A119, [1]Clients!A:A, 0)), "")</f>
        <v/>
      </c>
    </row>
    <row r="120" spans="2:6" x14ac:dyDescent="0.45">
      <c r="B120" s="5" t="str">
        <f>IFERROR(INDEX([1]Clients!$D:$D, MATCH(A120, [1]Clients!$A:$A, 0)), "")</f>
        <v/>
      </c>
      <c r="E120" s="1" t="str">
        <f>IF(OR(D120="",D120=0),"",D120-SUMIFS('Lessons Log'!$E:$E,'Lessons Log'!$C:$C,A120,'Lessons Log'!$D:$D,"*Package*"))</f>
        <v/>
      </c>
      <c r="F120" s="6" t="str">
        <f>IFERROR(INDEX([1]Clients!F:F, MATCH(A120, [1]Clients!A:A, 0)), "")</f>
        <v/>
      </c>
    </row>
    <row r="121" spans="2:6" x14ac:dyDescent="0.45">
      <c r="B121" s="5" t="str">
        <f>IFERROR(INDEX([1]Clients!$D:$D, MATCH(A121, [1]Clients!$A:$A, 0)), "")</f>
        <v/>
      </c>
      <c r="E121" s="1" t="str">
        <f>IF(OR(D121="",D121=0),"",D121-SUMIFS('Lessons Log'!$E:$E,'Lessons Log'!$C:$C,A121,'Lessons Log'!$D:$D,"*Package*"))</f>
        <v/>
      </c>
      <c r="F121" s="6" t="str">
        <f>IFERROR(INDEX([1]Clients!F:F, MATCH(A121, [1]Clients!A:A, 0)), "")</f>
        <v/>
      </c>
    </row>
    <row r="122" spans="2:6" x14ac:dyDescent="0.45">
      <c r="B122" s="5" t="str">
        <f>IFERROR(INDEX([1]Clients!$D:$D, MATCH(A122, [1]Clients!$A:$A, 0)), "")</f>
        <v/>
      </c>
      <c r="E122" s="1" t="str">
        <f>IF(OR(D122="",D122=0),"",D122-SUMIFS('Lessons Log'!$E:$E,'Lessons Log'!$C:$C,A122,'Lessons Log'!$D:$D,"*Package*"))</f>
        <v/>
      </c>
      <c r="F122" s="6" t="str">
        <f>IFERROR(INDEX([1]Clients!F:F, MATCH(A122, [1]Clients!A:A, 0)), "")</f>
        <v/>
      </c>
    </row>
    <row r="123" spans="2:6" x14ac:dyDescent="0.45">
      <c r="B123" s="5" t="str">
        <f>IFERROR(INDEX([1]Clients!$D:$D, MATCH(A123, [1]Clients!$A:$A, 0)), "")</f>
        <v/>
      </c>
      <c r="E123" s="1" t="str">
        <f>IF(OR(D123="",D123=0),"",D123-SUMIFS('Lessons Log'!$E:$E,'Lessons Log'!$C:$C,A123,'Lessons Log'!$D:$D,"*Package*"))</f>
        <v/>
      </c>
      <c r="F123" s="6" t="str">
        <f>IFERROR(INDEX([1]Clients!F:F, MATCH(A123, [1]Clients!A:A, 0)), "")</f>
        <v/>
      </c>
    </row>
    <row r="124" spans="2:6" x14ac:dyDescent="0.45">
      <c r="B124" s="5" t="str">
        <f>IFERROR(INDEX([1]Clients!$D:$D, MATCH(A124, [1]Clients!$A:$A, 0)), "")</f>
        <v/>
      </c>
      <c r="E124" s="1" t="str">
        <f>IF(OR(D124="",D124=0),"",D124-SUMIFS('Lessons Log'!$E:$E,'Lessons Log'!$C:$C,A124,'Lessons Log'!$D:$D,"*Package*"))</f>
        <v/>
      </c>
      <c r="F124" s="6" t="str">
        <f>IFERROR(INDEX([1]Clients!F:F, MATCH(A124, [1]Clients!A:A, 0)), "")</f>
        <v/>
      </c>
    </row>
    <row r="125" spans="2:6" x14ac:dyDescent="0.45">
      <c r="B125" s="5" t="str">
        <f>IFERROR(INDEX([1]Clients!$D:$D, MATCH(A125, [1]Clients!$A:$A, 0)), "")</f>
        <v/>
      </c>
      <c r="E125" s="1" t="str">
        <f>IF(OR(D125="",D125=0),"",D125-SUMIFS('Lessons Log'!$E:$E,'Lessons Log'!$C:$C,A125,'Lessons Log'!$D:$D,"*Package*"))</f>
        <v/>
      </c>
      <c r="F125" s="6" t="str">
        <f>IFERROR(INDEX([1]Clients!F:F, MATCH(A125, [1]Clients!A:A, 0)), "")</f>
        <v/>
      </c>
    </row>
    <row r="126" spans="2:6" x14ac:dyDescent="0.45">
      <c r="B126" s="5" t="str">
        <f>IFERROR(INDEX([1]Clients!$D:$D, MATCH(A126, [1]Clients!$A:$A, 0)), "")</f>
        <v/>
      </c>
      <c r="E126" s="1" t="str">
        <f>IF(OR(D126="",D126=0),"",D126-SUMIFS('Lessons Log'!$E:$E,'Lessons Log'!$C:$C,A126,'Lessons Log'!$D:$D,"*Package*"))</f>
        <v/>
      </c>
      <c r="F126" s="6" t="str">
        <f>IFERROR(INDEX([1]Clients!F:F, MATCH(A126, [1]Clients!A:A, 0)), "")</f>
        <v/>
      </c>
    </row>
    <row r="127" spans="2:6" x14ac:dyDescent="0.45">
      <c r="B127" s="5" t="str">
        <f>IFERROR(INDEX([1]Clients!$D:$D, MATCH(A127, [1]Clients!$A:$A, 0)), "")</f>
        <v/>
      </c>
      <c r="E127" s="1" t="str">
        <f>IF(OR(D127="",D127=0),"",D127-SUMIFS('Lessons Log'!$E:$E,'Lessons Log'!$C:$C,A127,'Lessons Log'!$D:$D,"*Package*"))</f>
        <v/>
      </c>
      <c r="F127" s="6" t="str">
        <f>IFERROR(INDEX([1]Clients!F:F, MATCH(A127, [1]Clients!A:A, 0)), "")</f>
        <v/>
      </c>
    </row>
    <row r="128" spans="2:6" x14ac:dyDescent="0.45">
      <c r="B128" s="5" t="str">
        <f>IFERROR(INDEX([1]Clients!$D:$D, MATCH(A128, [1]Clients!$A:$A, 0)), "")</f>
        <v/>
      </c>
      <c r="E128" s="1" t="str">
        <f>IF(OR(D128="",D128=0),"",D128-SUMIFS('Lessons Log'!$E:$E,'Lessons Log'!$C:$C,A128,'Lessons Log'!$D:$D,"*Package*"))</f>
        <v/>
      </c>
      <c r="F128" s="6" t="str">
        <f>IFERROR(INDEX([1]Clients!F:F, MATCH(A128, [1]Clients!A:A, 0)), "")</f>
        <v/>
      </c>
    </row>
    <row r="129" spans="2:6" x14ac:dyDescent="0.45">
      <c r="B129" s="5" t="str">
        <f>IFERROR(INDEX([1]Clients!$D:$D, MATCH(A129, [1]Clients!$A:$A, 0)), "")</f>
        <v/>
      </c>
      <c r="E129" s="1" t="str">
        <f>IF(OR(D129="",D129=0),"",D129-SUMIFS('Lessons Log'!$E:$E,'Lessons Log'!$C:$C,A129,'Lessons Log'!$D:$D,"*Package*"))</f>
        <v/>
      </c>
      <c r="F129" s="6" t="str">
        <f>IFERROR(INDEX([1]Clients!F:F, MATCH(A129, [1]Clients!A:A, 0)), "")</f>
        <v/>
      </c>
    </row>
    <row r="130" spans="2:6" x14ac:dyDescent="0.45">
      <c r="B130" s="5" t="str">
        <f>IFERROR(INDEX([1]Clients!$D:$D, MATCH(A130, [1]Clients!$A:$A, 0)), "")</f>
        <v/>
      </c>
      <c r="E130" s="1" t="str">
        <f>IF(OR(D130="",D130=0),"",D130-SUMIFS('Lessons Log'!$E:$E,'Lessons Log'!$C:$C,A130,'Lessons Log'!$D:$D,"*Package*"))</f>
        <v/>
      </c>
      <c r="F130" s="6" t="str">
        <f>IFERROR(INDEX([1]Clients!F:F, MATCH(A130, [1]Clients!A:A, 0)), "")</f>
        <v/>
      </c>
    </row>
    <row r="131" spans="2:6" x14ac:dyDescent="0.45">
      <c r="B131" s="5" t="str">
        <f>IFERROR(INDEX([1]Clients!$D:$D, MATCH(A131, [1]Clients!$A:$A, 0)), "")</f>
        <v/>
      </c>
      <c r="E131" s="1" t="str">
        <f>IF(OR(D131="",D131=0),"",D131-SUMIFS('Lessons Log'!$E:$E,'Lessons Log'!$C:$C,A131,'Lessons Log'!$D:$D,"*Package*"))</f>
        <v/>
      </c>
      <c r="F131" s="6" t="str">
        <f>IFERROR(INDEX([1]Clients!F:F, MATCH(A131, [1]Clients!A:A, 0)), "")</f>
        <v/>
      </c>
    </row>
    <row r="132" spans="2:6" x14ac:dyDescent="0.45">
      <c r="B132" s="5" t="str">
        <f>IFERROR(INDEX([1]Clients!$D:$D, MATCH(A132, [1]Clients!$A:$A, 0)), "")</f>
        <v/>
      </c>
      <c r="E132" s="1" t="str">
        <f>IF(OR(D132="",D132=0),"",D132-SUMIFS('Lessons Log'!$E:$E,'Lessons Log'!$C:$C,A132,'Lessons Log'!$D:$D,"*Package*"))</f>
        <v/>
      </c>
      <c r="F132" s="6" t="str">
        <f>IFERROR(INDEX([1]Clients!F:F, MATCH(A132, [1]Clients!A:A, 0)), "")</f>
        <v/>
      </c>
    </row>
    <row r="133" spans="2:6" x14ac:dyDescent="0.45">
      <c r="B133" s="5" t="str">
        <f>IFERROR(INDEX([1]Clients!$D:$D, MATCH(A133, [1]Clients!$A:$A, 0)), "")</f>
        <v/>
      </c>
      <c r="E133" s="1" t="str">
        <f>IF(OR(D133="",D133=0),"",D133-SUMIFS('Lessons Log'!$E:$E,'Lessons Log'!$C:$C,A133,'Lessons Log'!$D:$D,"*Package*"))</f>
        <v/>
      </c>
      <c r="F133" s="6" t="str">
        <f>IFERROR(INDEX([1]Clients!F:F, MATCH(A133, [1]Clients!A:A, 0)), "")</f>
        <v/>
      </c>
    </row>
    <row r="134" spans="2:6" x14ac:dyDescent="0.45">
      <c r="B134" s="5" t="str">
        <f>IFERROR(INDEX([1]Clients!$D:$D, MATCH(A134, [1]Clients!$A:$A, 0)), "")</f>
        <v/>
      </c>
      <c r="E134" s="1" t="str">
        <f>IF(OR(D134="",D134=0),"",D134-SUMIFS('Lessons Log'!$E:$E,'Lessons Log'!$C:$C,A134,'Lessons Log'!$D:$D,"*Package*"))</f>
        <v/>
      </c>
      <c r="F134" s="6" t="str">
        <f>IFERROR(INDEX([1]Clients!F:F, MATCH(A134, [1]Clients!A:A, 0)), "")</f>
        <v/>
      </c>
    </row>
    <row r="135" spans="2:6" x14ac:dyDescent="0.45">
      <c r="B135" s="5" t="str">
        <f>IFERROR(INDEX([1]Clients!$D:$D, MATCH(A135, [1]Clients!$A:$A, 0)), "")</f>
        <v/>
      </c>
      <c r="E135" s="1" t="str">
        <f>IF(OR(D135="",D135=0),"",D135-SUMIFS('Lessons Log'!$E:$E,'Lessons Log'!$C:$C,A135,'Lessons Log'!$D:$D,"*Package*"))</f>
        <v/>
      </c>
      <c r="F135" s="6" t="str">
        <f>IFERROR(INDEX([1]Clients!F:F, MATCH(A135, [1]Clients!A:A, 0)), "")</f>
        <v/>
      </c>
    </row>
    <row r="136" spans="2:6" x14ac:dyDescent="0.45">
      <c r="B136" s="5" t="str">
        <f>IFERROR(INDEX([1]Clients!$D:$D, MATCH(A136, [1]Clients!$A:$A, 0)), "")</f>
        <v/>
      </c>
      <c r="E136" s="1" t="str">
        <f>IF(OR(D136="",D136=0),"",D136-SUMIFS('Lessons Log'!$E:$E,'Lessons Log'!$C:$C,A136,'Lessons Log'!$D:$D,"*Package*"))</f>
        <v/>
      </c>
      <c r="F136" s="6" t="str">
        <f>IFERROR(INDEX([1]Clients!F:F, MATCH(A136, [1]Clients!A:A, 0)), "")</f>
        <v/>
      </c>
    </row>
    <row r="137" spans="2:6" x14ac:dyDescent="0.45">
      <c r="B137" s="5" t="str">
        <f>IFERROR(INDEX([1]Clients!$D:$D, MATCH(A137, [1]Clients!$A:$A, 0)), "")</f>
        <v/>
      </c>
      <c r="E137" s="1" t="str">
        <f>IF(OR(D137="",D137=0),"",D137-SUMIFS('Lessons Log'!$E:$E,'Lessons Log'!$C:$C,A137,'Lessons Log'!$D:$D,"*Package*"))</f>
        <v/>
      </c>
      <c r="F137" s="6" t="str">
        <f>IFERROR(INDEX([1]Clients!F:F, MATCH(A137, [1]Clients!A:A, 0)), "")</f>
        <v/>
      </c>
    </row>
    <row r="138" spans="2:6" x14ac:dyDescent="0.45">
      <c r="B138" s="5" t="str">
        <f>IFERROR(INDEX([1]Clients!$D:$D, MATCH(A138, [1]Clients!$A:$A, 0)), "")</f>
        <v/>
      </c>
      <c r="E138" s="1" t="str">
        <f>IF(OR(D138="",D138=0),"",D138-SUMIFS('Lessons Log'!$E:$E,'Lessons Log'!$C:$C,A138,'Lessons Log'!$D:$D,"*Package*"))</f>
        <v/>
      </c>
      <c r="F138" s="6" t="str">
        <f>IFERROR(INDEX([1]Clients!F:F, MATCH(A138, [1]Clients!A:A, 0)), "")</f>
        <v/>
      </c>
    </row>
    <row r="139" spans="2:6" x14ac:dyDescent="0.45">
      <c r="B139" s="5" t="str">
        <f>IFERROR(INDEX([1]Clients!$D:$D, MATCH(A139, [1]Clients!$A:$A, 0)), "")</f>
        <v/>
      </c>
      <c r="E139" s="1" t="str">
        <f>IF(OR(D139="",D139=0),"",D139-SUMIFS('Lessons Log'!$E:$E,'Lessons Log'!$C:$C,A139,'Lessons Log'!$D:$D,"*Package*"))</f>
        <v/>
      </c>
      <c r="F139" s="6" t="str">
        <f>IFERROR(INDEX([1]Clients!F:F, MATCH(A139, [1]Clients!A:A, 0)), "")</f>
        <v/>
      </c>
    </row>
    <row r="140" spans="2:6" x14ac:dyDescent="0.45">
      <c r="B140" s="5" t="str">
        <f>IFERROR(INDEX([1]Clients!$D:$D, MATCH(A140, [1]Clients!$A:$A, 0)), "")</f>
        <v/>
      </c>
      <c r="E140" s="1" t="str">
        <f>IF(OR(D140="",D140=0),"",D140-SUMIFS('Lessons Log'!$E:$E,'Lessons Log'!$C:$C,A140,'Lessons Log'!$D:$D,"*Package*"))</f>
        <v/>
      </c>
      <c r="F140" s="6" t="str">
        <f>IFERROR(INDEX([1]Clients!F:F, MATCH(A140, [1]Clients!A:A, 0)), "")</f>
        <v/>
      </c>
    </row>
    <row r="141" spans="2:6" x14ac:dyDescent="0.45">
      <c r="B141" s="5" t="str">
        <f>IFERROR(INDEX([1]Clients!$D:$D, MATCH(A141, [1]Clients!$A:$A, 0)), "")</f>
        <v/>
      </c>
      <c r="E141" s="1" t="str">
        <f>IF(OR(D141="",D141=0),"",D141-SUMIFS('Lessons Log'!$E:$E,'Lessons Log'!$C:$C,A141,'Lessons Log'!$D:$D,"*Package*"))</f>
        <v/>
      </c>
      <c r="F141" s="6" t="str">
        <f>IFERROR(INDEX([1]Clients!F:F, MATCH(A141, [1]Clients!A:A, 0)), "")</f>
        <v/>
      </c>
    </row>
    <row r="142" spans="2:6" x14ac:dyDescent="0.45">
      <c r="B142" s="5" t="str">
        <f>IFERROR(INDEX([1]Clients!$D:$D, MATCH(A142, [1]Clients!$A:$A, 0)), "")</f>
        <v/>
      </c>
      <c r="E142" s="1" t="str">
        <f>IF(OR(D142="",D142=0),"",D142-SUMIFS('Lessons Log'!$E:$E,'Lessons Log'!$C:$C,A142,'Lessons Log'!$D:$D,"*Package*"))</f>
        <v/>
      </c>
      <c r="F142" s="6" t="str">
        <f>IFERROR(INDEX([1]Clients!F:F, MATCH(A142, [1]Clients!A:A, 0)), "")</f>
        <v/>
      </c>
    </row>
    <row r="143" spans="2:6" x14ac:dyDescent="0.45">
      <c r="B143" s="5" t="str">
        <f>IFERROR(INDEX([1]Clients!$D:$D, MATCH(A143, [1]Clients!$A:$A, 0)), "")</f>
        <v/>
      </c>
      <c r="E143" s="1" t="str">
        <f>IF(OR(D143="",D143=0),"",D143-SUMIFS('Lessons Log'!$E:$E,'Lessons Log'!$C:$C,A143,'Lessons Log'!$D:$D,"*Package*"))</f>
        <v/>
      </c>
      <c r="F143" s="6" t="str">
        <f>IFERROR(INDEX([1]Clients!F:F, MATCH(A143, [1]Clients!A:A, 0)), "")</f>
        <v/>
      </c>
    </row>
    <row r="144" spans="2:6" x14ac:dyDescent="0.45">
      <c r="B144" s="5" t="str">
        <f>IFERROR(INDEX([1]Clients!$D:$D, MATCH(A144, [1]Clients!$A:$A, 0)), "")</f>
        <v/>
      </c>
      <c r="E144" s="1" t="str">
        <f>IF(OR(D144="",D144=0),"",D144-SUMIFS('Lessons Log'!$E:$E,'Lessons Log'!$C:$C,A144,'Lessons Log'!$D:$D,"*Package*"))</f>
        <v/>
      </c>
      <c r="F144" s="6" t="str">
        <f>IFERROR(INDEX([1]Clients!F:F, MATCH(A144, [1]Clients!A:A, 0)), "")</f>
        <v/>
      </c>
    </row>
    <row r="145" spans="2:6" x14ac:dyDescent="0.45">
      <c r="B145" s="5" t="str">
        <f>IFERROR(INDEX([1]Clients!$D:$D, MATCH(A145, [1]Clients!$A:$A, 0)), "")</f>
        <v/>
      </c>
      <c r="E145" s="1" t="str">
        <f>IF(OR(D145="",D145=0),"",D145-SUMIFS('Lessons Log'!$E:$E,'Lessons Log'!$C:$C,A145,'Lessons Log'!$D:$D,"*Package*"))</f>
        <v/>
      </c>
      <c r="F145" s="6" t="str">
        <f>IFERROR(INDEX([1]Clients!F:F, MATCH(A145, [1]Clients!A:A, 0)), "")</f>
        <v/>
      </c>
    </row>
    <row r="146" spans="2:6" x14ac:dyDescent="0.45">
      <c r="B146" s="5" t="str">
        <f>IFERROR(INDEX([1]Clients!$D:$D, MATCH(A146, [1]Clients!$A:$A, 0)), "")</f>
        <v/>
      </c>
      <c r="E146" s="1" t="str">
        <f>IF(OR(D146="",D146=0),"",D146-SUMIFS('Lessons Log'!$E:$E,'Lessons Log'!$C:$C,A146,'Lessons Log'!$D:$D,"*Package*"))</f>
        <v/>
      </c>
      <c r="F146" s="6" t="str">
        <f>IFERROR(INDEX([1]Clients!F:F, MATCH(A146, [1]Clients!A:A, 0)), "")</f>
        <v/>
      </c>
    </row>
    <row r="147" spans="2:6" x14ac:dyDescent="0.45">
      <c r="B147" s="5" t="str">
        <f>IFERROR(INDEX([1]Clients!$D:$D, MATCH(A147, [1]Clients!$A:$A, 0)), "")</f>
        <v/>
      </c>
      <c r="E147" s="1" t="str">
        <f>IF(OR(D147="",D147=0),"",D147-SUMIFS('Lessons Log'!$E:$E,'Lessons Log'!$C:$C,A147,'Lessons Log'!$D:$D,"*Package*"))</f>
        <v/>
      </c>
      <c r="F147" s="6" t="str">
        <f>IFERROR(INDEX([1]Clients!F:F, MATCH(A147, [1]Clients!A:A, 0)), "")</f>
        <v/>
      </c>
    </row>
    <row r="148" spans="2:6" x14ac:dyDescent="0.45">
      <c r="B148" s="5" t="str">
        <f>IFERROR(INDEX([1]Clients!$D:$D, MATCH(A148, [1]Clients!$A:$A, 0)), "")</f>
        <v/>
      </c>
      <c r="E148" s="1" t="str">
        <f>IF(OR(D148="",D148=0),"",D148-SUMIFS('Lessons Log'!$E:$E,'Lessons Log'!$C:$C,A148,'Lessons Log'!$D:$D,"*Package*"))</f>
        <v/>
      </c>
      <c r="F148" s="6" t="str">
        <f>IFERROR(INDEX([1]Clients!F:F, MATCH(A148, [1]Clients!A:A, 0)), "")</f>
        <v/>
      </c>
    </row>
    <row r="149" spans="2:6" x14ac:dyDescent="0.45">
      <c r="B149" s="5" t="str">
        <f>IFERROR(INDEX([1]Clients!$D:$D, MATCH(A149, [1]Clients!$A:$A, 0)), "")</f>
        <v/>
      </c>
      <c r="E149" s="1" t="str">
        <f>IF(OR(D149="",D149=0),"",D149-SUMIFS('Lessons Log'!$E:$E,'Lessons Log'!$C:$C,A149,'Lessons Log'!$D:$D,"*Package*"))</f>
        <v/>
      </c>
      <c r="F149" s="6" t="str">
        <f>IFERROR(INDEX([1]Clients!F:F, MATCH(A149, [1]Clients!A:A, 0)), "")</f>
        <v/>
      </c>
    </row>
    <row r="150" spans="2:6" x14ac:dyDescent="0.45">
      <c r="B150" s="5" t="str">
        <f>IFERROR(INDEX([1]Clients!$D:$D, MATCH(A150, [1]Clients!$A:$A, 0)), "")</f>
        <v/>
      </c>
      <c r="E150" s="1" t="str">
        <f>IF(OR(D150="",D150=0),"",D150-SUMIFS('Lessons Log'!$E:$E,'Lessons Log'!$C:$C,A150,'Lessons Log'!$D:$D,"*Package*"))</f>
        <v/>
      </c>
      <c r="F150" s="6" t="str">
        <f>IFERROR(INDEX([1]Clients!F:F, MATCH(A150, [1]Clients!A:A, 0)), "")</f>
        <v/>
      </c>
    </row>
    <row r="151" spans="2:6" x14ac:dyDescent="0.45">
      <c r="B151" s="5" t="str">
        <f>IFERROR(INDEX([1]Clients!$D:$D, MATCH(A151, [1]Clients!$A:$A, 0)), "")</f>
        <v/>
      </c>
      <c r="E151" s="1" t="str">
        <f>IF(OR(D151="",D151=0),"",D151-SUMIFS('Lessons Log'!$E:$E,'Lessons Log'!$C:$C,A151,'Lessons Log'!$D:$D,"*Package*"))</f>
        <v/>
      </c>
      <c r="F151" s="6" t="str">
        <f>IFERROR(INDEX([1]Clients!F:F, MATCH(A151, [1]Clients!A:A, 0)), "")</f>
        <v/>
      </c>
    </row>
    <row r="152" spans="2:6" x14ac:dyDescent="0.45">
      <c r="B152" s="5" t="str">
        <f>IFERROR(INDEX([1]Clients!$D:$D, MATCH(A152, [1]Clients!$A:$A, 0)), "")</f>
        <v/>
      </c>
      <c r="E152" s="1" t="str">
        <f>IF(OR(D152="",D152=0),"",D152-SUMIFS('Lessons Log'!$E:$E,'Lessons Log'!$C:$C,A152,'Lessons Log'!$D:$D,"*Package*"))</f>
        <v/>
      </c>
      <c r="F152" s="6" t="str">
        <f>IFERROR(INDEX([1]Clients!F:F, MATCH(A152, [1]Clients!A:A, 0)), "")</f>
        <v/>
      </c>
    </row>
    <row r="153" spans="2:6" x14ac:dyDescent="0.45">
      <c r="B153" s="5" t="str">
        <f>IFERROR(INDEX([1]Clients!$D:$D, MATCH(A153, [1]Clients!$A:$A, 0)), "")</f>
        <v/>
      </c>
      <c r="E153" s="1" t="str">
        <f>IF(OR(D153="",D153=0),"",D153-SUMIFS('Lessons Log'!$E:$E,'Lessons Log'!$C:$C,A153,'Lessons Log'!$D:$D,"*Package*"))</f>
        <v/>
      </c>
      <c r="F153" s="6" t="str">
        <f>IFERROR(INDEX([1]Clients!F:F, MATCH(A153, [1]Clients!A:A, 0)), "")</f>
        <v/>
      </c>
    </row>
    <row r="154" spans="2:6" x14ac:dyDescent="0.45">
      <c r="B154" s="5" t="str">
        <f>IFERROR(INDEX([1]Clients!$D:$D, MATCH(A154, [1]Clients!$A:$A, 0)), "")</f>
        <v/>
      </c>
      <c r="E154" s="1" t="str">
        <f>IF(OR(D154="",D154=0),"",D154-SUMIFS('Lessons Log'!$E:$E,'Lessons Log'!$C:$C,A154,'Lessons Log'!$D:$D,"*Package*"))</f>
        <v/>
      </c>
      <c r="F154" s="6" t="str">
        <f>IFERROR(INDEX([1]Clients!F:F, MATCH(A154, [1]Clients!A:A, 0)), "")</f>
        <v/>
      </c>
    </row>
    <row r="155" spans="2:6" x14ac:dyDescent="0.45">
      <c r="B155" s="5" t="str">
        <f>IFERROR(INDEX([1]Clients!$D:$D, MATCH(A155, [1]Clients!$A:$A, 0)), "")</f>
        <v/>
      </c>
      <c r="E155" s="1" t="str">
        <f>IF(OR(D155="",D155=0),"",D155-SUMIFS('Lessons Log'!$E:$E,'Lessons Log'!$C:$C,A155,'Lessons Log'!$D:$D,"*Package*"))</f>
        <v/>
      </c>
      <c r="F155" s="6" t="str">
        <f>IFERROR(INDEX([1]Clients!F:F, MATCH(A155, [1]Clients!A:A, 0)), "")</f>
        <v/>
      </c>
    </row>
    <row r="156" spans="2:6" x14ac:dyDescent="0.45">
      <c r="B156" s="5" t="str">
        <f>IFERROR(INDEX([1]Clients!$D:$D, MATCH(A156, [1]Clients!$A:$A, 0)), "")</f>
        <v/>
      </c>
      <c r="E156" s="1" t="str">
        <f>IF(OR(D156="",D156=0),"",D156-SUMIFS('Lessons Log'!$E:$E,'Lessons Log'!$C:$C,A156,'Lessons Log'!$D:$D,"*Package*"))</f>
        <v/>
      </c>
      <c r="F156" s="6" t="str">
        <f>IFERROR(INDEX([1]Clients!F:F, MATCH(A156, [1]Clients!A:A, 0)), "")</f>
        <v/>
      </c>
    </row>
    <row r="157" spans="2:6" x14ac:dyDescent="0.45">
      <c r="B157" s="5" t="str">
        <f>IFERROR(INDEX([1]Clients!$D:$D, MATCH(A157, [1]Clients!$A:$A, 0)), "")</f>
        <v/>
      </c>
      <c r="E157" s="1" t="str">
        <f>IF(OR(D157="",D157=0),"",D157-SUMIFS('Lessons Log'!$E:$E,'Lessons Log'!$C:$C,A157,'Lessons Log'!$D:$D,"*Package*"))</f>
        <v/>
      </c>
      <c r="F157" s="6" t="str">
        <f>IFERROR(INDEX([1]Clients!F:F, MATCH(A157, [1]Clients!A:A, 0)), "")</f>
        <v/>
      </c>
    </row>
    <row r="158" spans="2:6" x14ac:dyDescent="0.45">
      <c r="B158" s="5" t="str">
        <f>IFERROR(INDEX([1]Clients!$D:$D, MATCH(A158, [1]Clients!$A:$A, 0)), "")</f>
        <v/>
      </c>
      <c r="E158" s="1" t="str">
        <f>IF(OR(D158="",D158=0),"",D158-SUMIFS('Lessons Log'!$E:$E,'Lessons Log'!$C:$C,A158,'Lessons Log'!$D:$D,"*Package*"))</f>
        <v/>
      </c>
      <c r="F158" s="6" t="str">
        <f>IFERROR(INDEX([1]Clients!F:F, MATCH(A158, [1]Clients!A:A, 0)), "")</f>
        <v/>
      </c>
    </row>
    <row r="159" spans="2:6" x14ac:dyDescent="0.45">
      <c r="B159" s="5" t="str">
        <f>IFERROR(INDEX([1]Clients!$D:$D, MATCH(A159, [1]Clients!$A:$A, 0)), "")</f>
        <v/>
      </c>
      <c r="E159" s="1" t="str">
        <f>IF(OR(D159="",D159=0),"",D159-SUMIFS('Lessons Log'!$E:$E,'Lessons Log'!$C:$C,A159,'Lessons Log'!$D:$D,"*Package*"))</f>
        <v/>
      </c>
      <c r="F159" s="6" t="str">
        <f>IFERROR(INDEX([1]Clients!F:F, MATCH(A159, [1]Clients!A:A, 0)), "")</f>
        <v/>
      </c>
    </row>
    <row r="160" spans="2:6" x14ac:dyDescent="0.45">
      <c r="B160" s="5" t="str">
        <f>IFERROR(INDEX([1]Clients!$D:$D, MATCH(A160, [1]Clients!$A:$A, 0)), "")</f>
        <v/>
      </c>
      <c r="E160" s="1" t="str">
        <f>IF(OR(D160="",D160=0),"",D160-SUMIFS('Lessons Log'!$E:$E,'Lessons Log'!$C:$C,A160,'Lessons Log'!$D:$D,"*Package*"))</f>
        <v/>
      </c>
      <c r="F160" s="6" t="str">
        <f>IFERROR(INDEX([1]Clients!F:F, MATCH(A160, [1]Clients!A:A, 0)), "")</f>
        <v/>
      </c>
    </row>
    <row r="161" spans="2:6" x14ac:dyDescent="0.45">
      <c r="B161" s="5" t="str">
        <f>IFERROR(INDEX([1]Clients!$D:$D, MATCH(A161, [1]Clients!$A:$A, 0)), "")</f>
        <v/>
      </c>
      <c r="E161" s="1" t="str">
        <f>IF(OR(D161="",D161=0),"",D161-SUMIFS('Lessons Log'!$E:$E,'Lessons Log'!$C:$C,A161,'Lessons Log'!$D:$D,"*Package*"))</f>
        <v/>
      </c>
      <c r="F161" s="6" t="str">
        <f>IFERROR(INDEX([1]Clients!F:F, MATCH(A161, [1]Clients!A:A, 0)), "")</f>
        <v/>
      </c>
    </row>
    <row r="162" spans="2:6" x14ac:dyDescent="0.45">
      <c r="B162" s="5" t="str">
        <f>IFERROR(INDEX([1]Clients!$D:$D, MATCH(A162, [1]Clients!$A:$A, 0)), "")</f>
        <v/>
      </c>
      <c r="E162" s="1" t="str">
        <f>IF(OR(D162="",D162=0),"",D162-SUMIFS('Lessons Log'!$E:$E,'Lessons Log'!$C:$C,A162,'Lessons Log'!$D:$D,"*Package*"))</f>
        <v/>
      </c>
      <c r="F162" s="6" t="str">
        <f>IFERROR(INDEX([1]Clients!F:F, MATCH(A162, [1]Clients!A:A, 0)), "")</f>
        <v/>
      </c>
    </row>
    <row r="163" spans="2:6" x14ac:dyDescent="0.45">
      <c r="B163" s="5" t="str">
        <f>IFERROR(INDEX([1]Clients!$D:$D, MATCH(A163, [1]Clients!$A:$A, 0)), "")</f>
        <v/>
      </c>
      <c r="E163" s="1" t="str">
        <f>IF(OR(D163="",D163=0),"",D163-SUMIFS('Lessons Log'!$E:$E,'Lessons Log'!$C:$C,A163,'Lessons Log'!$D:$D,"*Package*"))</f>
        <v/>
      </c>
      <c r="F163" s="6" t="str">
        <f>IFERROR(INDEX([1]Clients!F:F, MATCH(A163, [1]Clients!A:A, 0)), "")</f>
        <v/>
      </c>
    </row>
    <row r="164" spans="2:6" x14ac:dyDescent="0.45">
      <c r="B164" s="5" t="str">
        <f>IFERROR(INDEX([1]Clients!$D:$D, MATCH(A164, [1]Clients!$A:$A, 0)), "")</f>
        <v/>
      </c>
      <c r="E164" s="1" t="str">
        <f>IF(OR(D164="",D164=0),"",D164-SUMIFS('Lessons Log'!$E:$E,'Lessons Log'!$C:$C,A164,'Lessons Log'!$D:$D,"*Package*"))</f>
        <v/>
      </c>
      <c r="F164" s="6" t="str">
        <f>IFERROR(INDEX([1]Clients!F:F, MATCH(A164, [1]Clients!A:A, 0)), "")</f>
        <v/>
      </c>
    </row>
    <row r="165" spans="2:6" x14ac:dyDescent="0.45">
      <c r="B165" s="5" t="str">
        <f>IFERROR(INDEX([1]Clients!$D:$D, MATCH(A165, [1]Clients!$A:$A, 0)), "")</f>
        <v/>
      </c>
      <c r="E165" s="1" t="str">
        <f>IF(OR(D165="",D165=0),"",D165-SUMIFS('Lessons Log'!$E:$E,'Lessons Log'!$C:$C,A165,'Lessons Log'!$D:$D,"*Package*"))</f>
        <v/>
      </c>
      <c r="F165" s="6" t="str">
        <f>IFERROR(INDEX([1]Clients!F:F, MATCH(A165, [1]Clients!A:A, 0)), "")</f>
        <v/>
      </c>
    </row>
    <row r="166" spans="2:6" x14ac:dyDescent="0.45">
      <c r="B166" s="5" t="str">
        <f>IFERROR(INDEX([1]Clients!$D:$D, MATCH(A166, [1]Clients!$A:$A, 0)), "")</f>
        <v/>
      </c>
      <c r="E166" s="1" t="str">
        <f>IF(OR(D166="",D166=0),"",D166-SUMIFS('Lessons Log'!$E:$E,'Lessons Log'!$C:$C,A166,'Lessons Log'!$D:$D,"*Package*"))</f>
        <v/>
      </c>
      <c r="F166" s="6" t="str">
        <f>IFERROR(INDEX([1]Clients!F:F, MATCH(A166, [1]Clients!A:A, 0)), "")</f>
        <v/>
      </c>
    </row>
    <row r="167" spans="2:6" x14ac:dyDescent="0.45">
      <c r="B167" s="5" t="str">
        <f>IFERROR(INDEX([1]Clients!$D:$D, MATCH(A167, [1]Clients!$A:$A, 0)), "")</f>
        <v/>
      </c>
      <c r="E167" s="1" t="str">
        <f>IF(OR(D167="",D167=0),"",D167-SUMIFS('Lessons Log'!$E:$E,'Lessons Log'!$C:$C,A167,'Lessons Log'!$D:$D,"*Package*"))</f>
        <v/>
      </c>
      <c r="F167" s="6" t="str">
        <f>IFERROR(INDEX([1]Clients!F:F, MATCH(A167, [1]Clients!A:A, 0)), "")</f>
        <v/>
      </c>
    </row>
    <row r="168" spans="2:6" x14ac:dyDescent="0.45">
      <c r="B168" s="5" t="str">
        <f>IFERROR(INDEX([1]Clients!$D:$D, MATCH(A168, [1]Clients!$A:$A, 0)), "")</f>
        <v/>
      </c>
      <c r="E168" s="1" t="str">
        <f>IF(OR(D168="",D168=0),"",D168-SUMIFS('Lessons Log'!$E:$E,'Lessons Log'!$C:$C,A168,'Lessons Log'!$D:$D,"*Package*"))</f>
        <v/>
      </c>
      <c r="F168" s="6" t="str">
        <f>IFERROR(INDEX([1]Clients!F:F, MATCH(A168, [1]Clients!A:A, 0)), "")</f>
        <v/>
      </c>
    </row>
    <row r="169" spans="2:6" x14ac:dyDescent="0.45">
      <c r="B169" s="5" t="str">
        <f>IFERROR(INDEX([1]Clients!$D:$D, MATCH(A169, [1]Clients!$A:$A, 0)), "")</f>
        <v/>
      </c>
      <c r="E169" s="1" t="str">
        <f>IF(OR(D169="",D169=0),"",D169-SUMIFS('Lessons Log'!$E:$E,'Lessons Log'!$C:$C,A169,'Lessons Log'!$D:$D,"*Package*"))</f>
        <v/>
      </c>
      <c r="F169" s="6" t="str">
        <f>IFERROR(INDEX([1]Clients!F:F, MATCH(A169, [1]Clients!A:A, 0)), "")</f>
        <v/>
      </c>
    </row>
    <row r="170" spans="2:6" x14ac:dyDescent="0.45">
      <c r="B170" s="5" t="str">
        <f>IFERROR(INDEX([1]Clients!$D:$D, MATCH(A170, [1]Clients!$A:$A, 0)), "")</f>
        <v/>
      </c>
      <c r="E170" s="1" t="str">
        <f>IF(OR(D170="",D170=0),"",D170-SUMIFS('Lessons Log'!$E:$E,'Lessons Log'!$C:$C,A170,'Lessons Log'!$D:$D,"*Package*"))</f>
        <v/>
      </c>
      <c r="F170" s="6" t="str">
        <f>IFERROR(INDEX([1]Clients!F:F, MATCH(A170, [1]Clients!A:A, 0)), "")</f>
        <v/>
      </c>
    </row>
    <row r="171" spans="2:6" x14ac:dyDescent="0.45">
      <c r="B171" s="5" t="str">
        <f>IFERROR(INDEX([1]Clients!$D:$D, MATCH(A171, [1]Clients!$A:$A, 0)), "")</f>
        <v/>
      </c>
      <c r="E171" s="1" t="str">
        <f>IF(OR(D171="",D171=0),"",D171-SUMIFS('Lessons Log'!$E:$E,'Lessons Log'!$C:$C,A171,'Lessons Log'!$D:$D,"*Package*"))</f>
        <v/>
      </c>
      <c r="F171" s="6" t="str">
        <f>IFERROR(INDEX([1]Clients!F:F, MATCH(A171, [1]Clients!A:A, 0)), "")</f>
        <v/>
      </c>
    </row>
    <row r="172" spans="2:6" x14ac:dyDescent="0.45">
      <c r="B172" s="5" t="str">
        <f>IFERROR(INDEX([1]Clients!$D:$D, MATCH(A172, [1]Clients!$A:$A, 0)), "")</f>
        <v/>
      </c>
      <c r="E172" s="1" t="str">
        <f>IF(OR(D172="",D172=0),"",D172-SUMIFS('Lessons Log'!$E:$E,'Lessons Log'!$C:$C,A172,'Lessons Log'!$D:$D,"*Package*"))</f>
        <v/>
      </c>
      <c r="F172" s="6" t="str">
        <f>IFERROR(INDEX([1]Clients!F:F, MATCH(A172, [1]Clients!A:A, 0)), "")</f>
        <v/>
      </c>
    </row>
    <row r="173" spans="2:6" x14ac:dyDescent="0.45">
      <c r="B173" s="5" t="str">
        <f>IFERROR(INDEX([1]Clients!$D:$D, MATCH(A173, [1]Clients!$A:$A, 0)), "")</f>
        <v/>
      </c>
      <c r="E173" s="1" t="str">
        <f>IF(OR(D173="",D173=0),"",D173-SUMIFS('Lessons Log'!$E:$E,'Lessons Log'!$C:$C,A173,'Lessons Log'!$D:$D,"*Package*"))</f>
        <v/>
      </c>
      <c r="F173" s="6" t="str">
        <f>IFERROR(INDEX([1]Clients!F:F, MATCH(A173, [1]Clients!A:A, 0)), "")</f>
        <v/>
      </c>
    </row>
    <row r="174" spans="2:6" x14ac:dyDescent="0.45">
      <c r="B174" s="5" t="str">
        <f>IFERROR(INDEX([1]Clients!$D:$D, MATCH(A174, [1]Clients!$A:$A, 0)), "")</f>
        <v/>
      </c>
      <c r="E174" s="1" t="str">
        <f>IF(OR(D174="",D174=0),"",D174-SUMIFS('Lessons Log'!$E:$E,'Lessons Log'!$C:$C,A174,'Lessons Log'!$D:$D,"*Package*"))</f>
        <v/>
      </c>
      <c r="F174" s="6" t="str">
        <f>IFERROR(INDEX([1]Clients!F:F, MATCH(A174, [1]Clients!A:A, 0)), "")</f>
        <v/>
      </c>
    </row>
    <row r="175" spans="2:6" x14ac:dyDescent="0.45">
      <c r="B175" s="5" t="str">
        <f>IFERROR(INDEX([1]Clients!$D:$D, MATCH(A175, [1]Clients!$A:$A, 0)), "")</f>
        <v/>
      </c>
      <c r="E175" s="1" t="str">
        <f>IF(OR(D175="",D175=0),"",D175-SUMIFS('Lessons Log'!$E:$E,'Lessons Log'!$C:$C,A175,'Lessons Log'!$D:$D,"*Package*"))</f>
        <v/>
      </c>
      <c r="F175" s="6" t="str">
        <f>IFERROR(INDEX([1]Clients!F:F, MATCH(A175, [1]Clients!A:A, 0)), "")</f>
        <v/>
      </c>
    </row>
    <row r="176" spans="2:6" x14ac:dyDescent="0.45">
      <c r="B176" s="5" t="str">
        <f>IFERROR(INDEX([1]Clients!$D:$D, MATCH(A176, [1]Clients!$A:$A, 0)), "")</f>
        <v/>
      </c>
      <c r="E176" s="1" t="str">
        <f>IF(OR(D176="",D176=0),"",D176-SUMIFS('Lessons Log'!$E:$E,'Lessons Log'!$C:$C,A176,'Lessons Log'!$D:$D,"*Package*"))</f>
        <v/>
      </c>
      <c r="F176" s="6" t="str">
        <f>IFERROR(INDEX([1]Clients!F:F, MATCH(A176, [1]Clients!A:A, 0)), "")</f>
        <v/>
      </c>
    </row>
    <row r="177" spans="2:6" x14ac:dyDescent="0.45">
      <c r="B177" s="5" t="str">
        <f>IFERROR(INDEX([1]Clients!$D:$D, MATCH(A177, [1]Clients!$A:$A, 0)), "")</f>
        <v/>
      </c>
      <c r="E177" s="1" t="str">
        <f>IF(OR(D177="",D177=0),"",D177-SUMIFS('Lessons Log'!$E:$E,'Lessons Log'!$C:$C,A177,'Lessons Log'!$D:$D,"*Package*"))</f>
        <v/>
      </c>
      <c r="F177" s="6" t="str">
        <f>IFERROR(INDEX([1]Clients!F:F, MATCH(A177, [1]Clients!A:A, 0)), "")</f>
        <v/>
      </c>
    </row>
    <row r="178" spans="2:6" x14ac:dyDescent="0.45">
      <c r="B178" s="5" t="str">
        <f>IFERROR(INDEX([1]Clients!$D:$D, MATCH(A178, [1]Clients!$A:$A, 0)), "")</f>
        <v/>
      </c>
      <c r="E178" s="1" t="str">
        <f>IF(OR(D178="",D178=0),"",D178-SUMIFS('Lessons Log'!$E:$E,'Lessons Log'!$C:$C,A178,'Lessons Log'!$D:$D,"*Package*"))</f>
        <v/>
      </c>
      <c r="F178" s="6" t="str">
        <f>IFERROR(INDEX([1]Clients!F:F, MATCH(A178, [1]Clients!A:A, 0)), "")</f>
        <v/>
      </c>
    </row>
    <row r="179" spans="2:6" x14ac:dyDescent="0.45">
      <c r="B179" s="5" t="str">
        <f>IFERROR(INDEX([1]Clients!$D:$D, MATCH(A179, [1]Clients!$A:$A, 0)), "")</f>
        <v/>
      </c>
      <c r="E179" s="1" t="str">
        <f>IF(OR(D179="",D179=0),"",D179-SUMIFS('Lessons Log'!$E:$E,'Lessons Log'!$C:$C,A179,'Lessons Log'!$D:$D,"*Package*"))</f>
        <v/>
      </c>
      <c r="F179" s="6" t="str">
        <f>IFERROR(INDEX([1]Clients!F:F, MATCH(A179, [1]Clients!A:A, 0)), "")</f>
        <v/>
      </c>
    </row>
    <row r="180" spans="2:6" x14ac:dyDescent="0.45">
      <c r="B180" s="5" t="str">
        <f>IFERROR(INDEX([1]Clients!$D:$D, MATCH(A180, [1]Clients!$A:$A, 0)), "")</f>
        <v/>
      </c>
      <c r="E180" s="1" t="str">
        <f>IF(OR(D180="",D180=0),"",D180-SUMIFS('Lessons Log'!$E:$E,'Lessons Log'!$C:$C,A180,'Lessons Log'!$D:$D,"*Package*"))</f>
        <v/>
      </c>
      <c r="F180" s="6" t="str">
        <f>IFERROR(INDEX([1]Clients!F:F, MATCH(A180, [1]Clients!A:A, 0)), "")</f>
        <v/>
      </c>
    </row>
    <row r="181" spans="2:6" x14ac:dyDescent="0.45">
      <c r="B181" s="5" t="str">
        <f>IFERROR(INDEX([1]Clients!$D:$D, MATCH(A181, [1]Clients!$A:$A, 0)), "")</f>
        <v/>
      </c>
      <c r="E181" s="1" t="str">
        <f>IF(OR(D181="",D181=0),"",D181-SUMIFS('Lessons Log'!$E:$E,'Lessons Log'!$C:$C,A181,'Lessons Log'!$D:$D,"*Package*"))</f>
        <v/>
      </c>
      <c r="F181" s="6" t="str">
        <f>IFERROR(INDEX([1]Clients!F:F, MATCH(A181, [1]Clients!A:A, 0)), "")</f>
        <v/>
      </c>
    </row>
    <row r="182" spans="2:6" x14ac:dyDescent="0.45">
      <c r="B182" s="5" t="str">
        <f>IFERROR(INDEX([1]Clients!$D:$D, MATCH(A182, [1]Clients!$A:$A, 0)), "")</f>
        <v/>
      </c>
      <c r="E182" s="1" t="str">
        <f>IF(OR(D182="",D182=0),"",D182-SUMIFS('Lessons Log'!$E:$E,'Lessons Log'!$C:$C,A182,'Lessons Log'!$D:$D,"*Package*"))</f>
        <v/>
      </c>
      <c r="F182" s="6" t="str">
        <f>IFERROR(INDEX([1]Clients!F:F, MATCH(A182, [1]Clients!A:A, 0)), "")</f>
        <v/>
      </c>
    </row>
    <row r="183" spans="2:6" x14ac:dyDescent="0.45">
      <c r="B183" s="5" t="str">
        <f>IFERROR(INDEX([1]Clients!$D:$D, MATCH(A183, [1]Clients!$A:$A, 0)), "")</f>
        <v/>
      </c>
      <c r="E183" s="1" t="str">
        <f>IF(OR(D183="",D183=0),"",D183-SUMIFS('Lessons Log'!$E:$E,'Lessons Log'!$C:$C,A183,'Lessons Log'!$D:$D,"*Package*"))</f>
        <v/>
      </c>
      <c r="F183" s="6" t="str">
        <f>IFERROR(INDEX([1]Clients!F:F, MATCH(A183, [1]Clients!A:A, 0)), "")</f>
        <v/>
      </c>
    </row>
    <row r="184" spans="2:6" x14ac:dyDescent="0.45">
      <c r="B184" s="5" t="str">
        <f>IFERROR(INDEX([1]Clients!$D:$D, MATCH(A184, [1]Clients!$A:$A, 0)), "")</f>
        <v/>
      </c>
      <c r="E184" s="1" t="str">
        <f>IF(OR(D184="",D184=0),"",D184-SUMIFS('Lessons Log'!$E:$E,'Lessons Log'!$C:$C,A184,'Lessons Log'!$D:$D,"*Package*"))</f>
        <v/>
      </c>
      <c r="F184" s="6" t="str">
        <f>IFERROR(INDEX([1]Clients!F:F, MATCH(A184, [1]Clients!A:A, 0)), "")</f>
        <v/>
      </c>
    </row>
    <row r="185" spans="2:6" x14ac:dyDescent="0.45">
      <c r="B185" s="5" t="str">
        <f>IFERROR(INDEX([1]Clients!$D:$D, MATCH(A185, [1]Clients!$A:$A, 0)), "")</f>
        <v/>
      </c>
      <c r="E185" s="1" t="str">
        <f>IF(OR(D185="",D185=0),"",D185-SUMIFS('Lessons Log'!$E:$E,'Lessons Log'!$C:$C,A185,'Lessons Log'!$D:$D,"*Package*"))</f>
        <v/>
      </c>
      <c r="F185" s="6" t="str">
        <f>IFERROR(INDEX([1]Clients!F:F, MATCH(A185, [1]Clients!A:A, 0)), "")</f>
        <v/>
      </c>
    </row>
    <row r="186" spans="2:6" x14ac:dyDescent="0.45">
      <c r="B186" s="5" t="str">
        <f>IFERROR(INDEX([1]Clients!$D:$D, MATCH(A186, [1]Clients!$A:$A, 0)), "")</f>
        <v/>
      </c>
      <c r="E186" s="1" t="str">
        <f>IF(OR(D186="",D186=0),"",D186-SUMIFS('Lessons Log'!$E:$E,'Lessons Log'!$C:$C,A186,'Lessons Log'!$D:$D,"*Package*"))</f>
        <v/>
      </c>
      <c r="F186" s="6" t="str">
        <f>IFERROR(INDEX([1]Clients!F:F, MATCH(A186, [1]Clients!A:A, 0)), "")</f>
        <v/>
      </c>
    </row>
    <row r="187" spans="2:6" x14ac:dyDescent="0.45">
      <c r="B187" s="5" t="str">
        <f>IFERROR(INDEX([1]Clients!$D:$D, MATCH(A187, [1]Clients!$A:$A, 0)), "")</f>
        <v/>
      </c>
      <c r="E187" s="1" t="str">
        <f>IF(OR(D187="",D187=0),"",D187-SUMIFS('Lessons Log'!$E:$E,'Lessons Log'!$C:$C,A187,'Lessons Log'!$D:$D,"*Package*"))</f>
        <v/>
      </c>
      <c r="F187" s="6" t="str">
        <f>IFERROR(INDEX([1]Clients!F:F, MATCH(A187, [1]Clients!A:A, 0)), "")</f>
        <v/>
      </c>
    </row>
    <row r="188" spans="2:6" x14ac:dyDescent="0.45">
      <c r="B188" s="5" t="str">
        <f>IFERROR(INDEX([1]Clients!$D:$D, MATCH(A188, [1]Clients!$A:$A, 0)), "")</f>
        <v/>
      </c>
      <c r="E188" s="1" t="str">
        <f>IF(OR(D188="",D188=0),"",D188-SUMIFS('Lessons Log'!$E:$E,'Lessons Log'!$C:$C,A188,'Lessons Log'!$D:$D,"*Package*"))</f>
        <v/>
      </c>
      <c r="F188" s="6" t="str">
        <f>IFERROR(INDEX([1]Clients!F:F, MATCH(A188, [1]Clients!A:A, 0)), "")</f>
        <v/>
      </c>
    </row>
    <row r="189" spans="2:6" x14ac:dyDescent="0.45">
      <c r="B189" s="5" t="str">
        <f>IFERROR(INDEX([1]Clients!$D:$D, MATCH(A189, [1]Clients!$A:$A, 0)), "")</f>
        <v/>
      </c>
      <c r="E189" s="1" t="str">
        <f>IF(OR(D189="",D189=0),"",D189-SUMIFS('Lessons Log'!$E:$E,'Lessons Log'!$C:$C,A189,'Lessons Log'!$D:$D,"*Package*"))</f>
        <v/>
      </c>
      <c r="F189" s="6" t="str">
        <f>IFERROR(INDEX([1]Clients!F:F, MATCH(A189, [1]Clients!A:A, 0)), "")</f>
        <v/>
      </c>
    </row>
    <row r="190" spans="2:6" x14ac:dyDescent="0.45">
      <c r="B190" s="5" t="str">
        <f>IFERROR(INDEX([1]Clients!$D:$D, MATCH(A190, [1]Clients!$A:$A, 0)), "")</f>
        <v/>
      </c>
      <c r="E190" s="1" t="str">
        <f>IF(OR(D190="",D190=0),"",D190-SUMIFS('Lessons Log'!$E:$E,'Lessons Log'!$C:$C,A190,'Lessons Log'!$D:$D,"*Package*"))</f>
        <v/>
      </c>
      <c r="F190" s="6" t="str">
        <f>IFERROR(INDEX([1]Clients!F:F, MATCH(A190, [1]Clients!A:A, 0)), "")</f>
        <v/>
      </c>
    </row>
    <row r="191" spans="2:6" x14ac:dyDescent="0.45">
      <c r="B191" s="5" t="str">
        <f>IFERROR(INDEX([1]Clients!$D:$D, MATCH(A191, [1]Clients!$A:$A, 0)), "")</f>
        <v/>
      </c>
      <c r="E191" s="1" t="str">
        <f>IF(OR(D191="",D191=0),"",D191-SUMIFS('Lessons Log'!$E:$E,'Lessons Log'!$C:$C,A191,'Lessons Log'!$D:$D,"*Package*"))</f>
        <v/>
      </c>
      <c r="F191" s="6" t="str">
        <f>IFERROR(INDEX([1]Clients!F:F, MATCH(A191, [1]Clients!A:A, 0)), "")</f>
        <v/>
      </c>
    </row>
    <row r="192" spans="2:6" x14ac:dyDescent="0.45">
      <c r="B192" s="5" t="str">
        <f>IFERROR(INDEX([1]Clients!$D:$D, MATCH(A192, [1]Clients!$A:$A, 0)), "")</f>
        <v/>
      </c>
      <c r="E192" s="1" t="str">
        <f>IF(OR(D192="",D192=0),"",D192-SUMIFS('Lessons Log'!$E:$E,'Lessons Log'!$C:$C,A192,'Lessons Log'!$D:$D,"*Package*"))</f>
        <v/>
      </c>
      <c r="F192" s="6" t="str">
        <f>IFERROR(INDEX([1]Clients!F:F, MATCH(A192, [1]Clients!A:A, 0)), "")</f>
        <v/>
      </c>
    </row>
    <row r="193" spans="2:6" x14ac:dyDescent="0.45">
      <c r="B193" s="5" t="str">
        <f>IFERROR(INDEX([1]Clients!$D:$D, MATCH(A193, [1]Clients!$A:$A, 0)), "")</f>
        <v/>
      </c>
      <c r="E193" s="1" t="str">
        <f>IF(OR(D193="",D193=0),"",D193-SUMIFS('Lessons Log'!$E:$E,'Lessons Log'!$C:$C,A193,'Lessons Log'!$D:$D,"*Package*"))</f>
        <v/>
      </c>
      <c r="F193" s="6" t="str">
        <f>IFERROR(INDEX([1]Clients!F:F, MATCH(A193, [1]Clients!A:A, 0)), "")</f>
        <v/>
      </c>
    </row>
    <row r="194" spans="2:6" x14ac:dyDescent="0.45">
      <c r="B194" s="5" t="str">
        <f>IFERROR(INDEX([1]Clients!$D:$D, MATCH(A194, [1]Clients!$A:$A, 0)), "")</f>
        <v/>
      </c>
      <c r="E194" s="1" t="str">
        <f>IF(OR(D194="",D194=0),"",D194-SUMIFS('Lessons Log'!$E:$E,'Lessons Log'!$C:$C,A194,'Lessons Log'!$D:$D,"*Package*"))</f>
        <v/>
      </c>
      <c r="F194" s="6" t="str">
        <f>IFERROR(INDEX([1]Clients!F:F, MATCH(A194, [1]Clients!A:A, 0)), "")</f>
        <v/>
      </c>
    </row>
    <row r="195" spans="2:6" x14ac:dyDescent="0.45">
      <c r="B195" s="5" t="str">
        <f>IFERROR(INDEX([1]Clients!$D:$D, MATCH(A195, [1]Clients!$A:$A, 0)), "")</f>
        <v/>
      </c>
      <c r="E195" s="1" t="str">
        <f>IF(OR(D195="",D195=0),"",D195-SUMIFS('Lessons Log'!$E:$E,'Lessons Log'!$C:$C,A195,'Lessons Log'!$D:$D,"*Package*"))</f>
        <v/>
      </c>
      <c r="F195" s="6" t="str">
        <f>IFERROR(INDEX([1]Clients!F:F, MATCH(A195, [1]Clients!A:A, 0)), "")</f>
        <v/>
      </c>
    </row>
    <row r="196" spans="2:6" x14ac:dyDescent="0.45">
      <c r="B196" s="5" t="str">
        <f>IFERROR(INDEX([1]Clients!$D:$D, MATCH(A196, [1]Clients!$A:$A, 0)), "")</f>
        <v/>
      </c>
      <c r="E196" s="1" t="str">
        <f>IF(OR(D196="",D196=0),"",D196-SUMIFS('Lessons Log'!$E:$E,'Lessons Log'!$C:$C,A196,'Lessons Log'!$D:$D,"*Package*"))</f>
        <v/>
      </c>
      <c r="F196" s="6" t="str">
        <f>IFERROR(INDEX([1]Clients!F:F, MATCH(A196, [1]Clients!A:A, 0)), "")</f>
        <v/>
      </c>
    </row>
    <row r="197" spans="2:6" x14ac:dyDescent="0.45">
      <c r="B197" s="5" t="str">
        <f>IFERROR(INDEX([1]Clients!$D:$D, MATCH(A197, [1]Clients!$A:$A, 0)), "")</f>
        <v/>
      </c>
      <c r="E197" s="1" t="str">
        <f>IF(OR(D197="",D197=0),"",D197-SUMIFS('Lessons Log'!$E:$E,'Lessons Log'!$C:$C,A197,'Lessons Log'!$D:$D,"*Package*"))</f>
        <v/>
      </c>
      <c r="F197" s="6" t="str">
        <f>IFERROR(INDEX([1]Clients!F:F, MATCH(A197, [1]Clients!A:A, 0)), "")</f>
        <v/>
      </c>
    </row>
    <row r="198" spans="2:6" x14ac:dyDescent="0.45">
      <c r="B198" s="5" t="str">
        <f>IFERROR(INDEX([1]Clients!$D:$D, MATCH(A198, [1]Clients!$A:$A, 0)), "")</f>
        <v/>
      </c>
      <c r="E198" s="1" t="str">
        <f>IF(OR(D198="",D198=0),"",D198-SUMIFS('Lessons Log'!$E:$E,'Lessons Log'!$C:$C,A198,'Lessons Log'!$D:$D,"*Package*"))</f>
        <v/>
      </c>
      <c r="F198" s="6" t="str">
        <f>IFERROR(INDEX([1]Clients!F:F, MATCH(A198, [1]Clients!A:A, 0)), "")</f>
        <v/>
      </c>
    </row>
    <row r="199" spans="2:6" x14ac:dyDescent="0.45">
      <c r="B199" s="5" t="str">
        <f>IFERROR(INDEX([1]Clients!$D:$D, MATCH(A199, [1]Clients!$A:$A, 0)), "")</f>
        <v/>
      </c>
      <c r="E199" s="1" t="str">
        <f>IF(OR(D199="",D199=0),"",D199-SUMIFS('Lessons Log'!$E:$E,'Lessons Log'!$C:$C,A199,'Lessons Log'!$D:$D,"*Package*"))</f>
        <v/>
      </c>
      <c r="F199" s="6" t="str">
        <f>IFERROR(INDEX([1]Clients!F:F, MATCH(A199, [1]Clients!A:A, 0)), "")</f>
        <v/>
      </c>
    </row>
    <row r="200" spans="2:6" x14ac:dyDescent="0.45">
      <c r="B200" s="5" t="str">
        <f>IFERROR(INDEX([1]Clients!$D:$D, MATCH(A200, [1]Clients!$A:$A, 0)), "")</f>
        <v/>
      </c>
      <c r="E200" s="1" t="str">
        <f>IF(OR(D200="",D200=0),"",D200-SUMIFS('Lessons Log'!$E:$E,'Lessons Log'!$C:$C,A200,'Lessons Log'!$D:$D,"*Package*"))</f>
        <v/>
      </c>
      <c r="F200" s="6" t="str">
        <f>IFERROR(INDEX([1]Clients!F:F, MATCH(A200, [1]Clients!A:A, 0)), "")</f>
        <v/>
      </c>
    </row>
    <row r="201" spans="2:6" x14ac:dyDescent="0.45">
      <c r="B201" s="5" t="str">
        <f>IFERROR(INDEX([1]Clients!$D:$D, MATCH(A201, [1]Clients!$A:$A, 0)), "")</f>
        <v/>
      </c>
      <c r="E201" s="1" t="str">
        <f>IF(OR(D201="",D201=0),"",D201-SUMIFS('Lessons Log'!$E:$E,'Lessons Log'!$C:$C,A201,'Lessons Log'!$D:$D,"*Package*"))</f>
        <v/>
      </c>
      <c r="F201" s="6" t="str">
        <f>IFERROR(INDEX([1]Clients!F:F, MATCH(A201, [1]Clients!A:A, 0)), "")</f>
        <v/>
      </c>
    </row>
    <row r="202" spans="2:6" x14ac:dyDescent="0.45">
      <c r="B202" s="5" t="str">
        <f>IFERROR(INDEX([1]Clients!$D:$D, MATCH(A202, [1]Clients!$A:$A, 0)), "")</f>
        <v/>
      </c>
      <c r="E202" s="1" t="str">
        <f>IF(OR(D202="",D202=0),"",D202-SUMIFS('Lessons Log'!$E:$E,'Lessons Log'!$C:$C,A202,'Lessons Log'!$D:$D,"*Package*"))</f>
        <v/>
      </c>
      <c r="F202" s="6" t="str">
        <f>IFERROR(INDEX([1]Clients!F:F, MATCH(A202, [1]Clients!A:A, 0)), "")</f>
        <v/>
      </c>
    </row>
    <row r="203" spans="2:6" x14ac:dyDescent="0.45">
      <c r="B203" s="5" t="str">
        <f>IFERROR(INDEX([1]Clients!$D:$D, MATCH(A203, [1]Clients!$A:$A, 0)), "")</f>
        <v/>
      </c>
      <c r="E203" s="1" t="str">
        <f>IF(OR(D203="",D203=0),"",D203-SUMIFS('Lessons Log'!$E:$E,'Lessons Log'!$C:$C,A203,'Lessons Log'!$D:$D,"*Package*"))</f>
        <v/>
      </c>
      <c r="F203" s="6" t="str">
        <f>IFERROR(INDEX([1]Clients!F:F, MATCH(A203, [1]Clients!A:A, 0)), "")</f>
        <v/>
      </c>
    </row>
    <row r="204" spans="2:6" x14ac:dyDescent="0.45">
      <c r="B204" s="5" t="str">
        <f>IFERROR(INDEX([1]Clients!$D:$D, MATCH(A204, [1]Clients!$A:$A, 0)), "")</f>
        <v/>
      </c>
      <c r="E204" s="1" t="str">
        <f>IF(OR(D204="",D204=0),"",D204-SUMIFS('Lessons Log'!$E:$E,'Lessons Log'!$C:$C,A204,'Lessons Log'!$D:$D,"*Package*"))</f>
        <v/>
      </c>
      <c r="F204" s="6" t="str">
        <f>IFERROR(INDEX([1]Clients!F:F, MATCH(A204, [1]Clients!A:A, 0)), "")</f>
        <v/>
      </c>
    </row>
    <row r="205" spans="2:6" x14ac:dyDescent="0.45">
      <c r="B205" s="5" t="str">
        <f>IFERROR(INDEX([1]Clients!$D:$D, MATCH(A205, [1]Clients!$A:$A, 0)), "")</f>
        <v/>
      </c>
      <c r="E205" s="1" t="str">
        <f>IF(OR(D205="",D205=0),"",D205-SUMIFS('Lessons Log'!$E:$E,'Lessons Log'!$C:$C,A205,'Lessons Log'!$D:$D,"*Package*"))</f>
        <v/>
      </c>
      <c r="F205" s="6" t="str">
        <f>IFERROR(INDEX([1]Clients!F:F, MATCH(A205, [1]Clients!A:A, 0)), "")</f>
        <v/>
      </c>
    </row>
    <row r="206" spans="2:6" x14ac:dyDescent="0.45">
      <c r="B206" s="5" t="str">
        <f>IFERROR(INDEX([1]Clients!$D:$D, MATCH(A206, [1]Clients!$A:$A, 0)), "")</f>
        <v/>
      </c>
      <c r="E206" s="1" t="str">
        <f>IF(OR(D206="",D206=0),"",D206-SUMIFS('Lessons Log'!$E:$E,'Lessons Log'!$C:$C,A206,'Lessons Log'!$D:$D,"*Package*"))</f>
        <v/>
      </c>
      <c r="F206" s="6" t="str">
        <f>IFERROR(INDEX([1]Clients!F:F, MATCH(A206, [1]Clients!A:A, 0)), "")</f>
        <v/>
      </c>
    </row>
    <row r="207" spans="2:6" x14ac:dyDescent="0.45">
      <c r="B207" s="5" t="str">
        <f>IFERROR(INDEX([1]Clients!$D:$D, MATCH(A207, [1]Clients!$A:$A, 0)), "")</f>
        <v/>
      </c>
      <c r="E207" s="1" t="str">
        <f>IF(OR(D207="",D207=0),"",D207-SUMIFS('Lessons Log'!$E:$E,'Lessons Log'!$C:$C,A207,'Lessons Log'!$D:$D,"*Package*"))</f>
        <v/>
      </c>
      <c r="F207" s="6" t="str">
        <f>IFERROR(INDEX([1]Clients!F:F, MATCH(A207, [1]Clients!A:A, 0)), "")</f>
        <v/>
      </c>
    </row>
    <row r="208" spans="2:6" x14ac:dyDescent="0.45">
      <c r="B208" s="5" t="str">
        <f>IFERROR(INDEX([1]Clients!$D:$D, MATCH(A208, [1]Clients!$A:$A, 0)), "")</f>
        <v/>
      </c>
      <c r="E208" s="1" t="str">
        <f>IF(OR(D208="",D208=0),"",D208-SUMIFS('Lessons Log'!$E:$E,'Lessons Log'!$C:$C,A208,'Lessons Log'!$D:$D,"*Package*"))</f>
        <v/>
      </c>
      <c r="F208" s="6" t="str">
        <f>IFERROR(INDEX([1]Clients!F:F, MATCH(A208, [1]Clients!A:A, 0)), "")</f>
        <v/>
      </c>
    </row>
    <row r="209" spans="2:6" x14ac:dyDescent="0.45">
      <c r="B209" s="5" t="str">
        <f>IFERROR(INDEX([1]Clients!$D:$D, MATCH(A209, [1]Clients!$A:$A, 0)), "")</f>
        <v/>
      </c>
      <c r="E209" s="1" t="str">
        <f>IF(OR(D209="",D209=0),"",D209-SUMIFS('Lessons Log'!$E:$E,'Lessons Log'!$C:$C,A209,'Lessons Log'!$D:$D,"*Package*"))</f>
        <v/>
      </c>
      <c r="F209" s="6" t="str">
        <f>IFERROR(INDEX([1]Clients!F:F, MATCH(A209, [1]Clients!A:A, 0)), "")</f>
        <v/>
      </c>
    </row>
    <row r="210" spans="2:6" x14ac:dyDescent="0.45">
      <c r="B210" s="5" t="str">
        <f>IFERROR(INDEX([1]Clients!$D:$D, MATCH(A210, [1]Clients!$A:$A, 0)), "")</f>
        <v/>
      </c>
      <c r="E210" s="1" t="str">
        <f>IF(OR(D210="",D210=0),"",D210-SUMIFS('Lessons Log'!$E:$E,'Lessons Log'!$C:$C,A210,'Lessons Log'!$D:$D,"*Package*"))</f>
        <v/>
      </c>
      <c r="F210" s="6" t="str">
        <f>IFERROR(INDEX([1]Clients!F:F, MATCH(A210, [1]Clients!A:A, 0)), "")</f>
        <v/>
      </c>
    </row>
    <row r="211" spans="2:6" x14ac:dyDescent="0.45">
      <c r="B211" s="5" t="str">
        <f>IFERROR(INDEX([1]Clients!$D:$D, MATCH(A211, [1]Clients!$A:$A, 0)), "")</f>
        <v/>
      </c>
      <c r="E211" s="1" t="str">
        <f>IF(OR(D211="",D211=0),"",D211-SUMIFS('Lessons Log'!$E:$E,'Lessons Log'!$C:$C,A211,'Lessons Log'!$D:$D,"*Package*"))</f>
        <v/>
      </c>
      <c r="F211" s="6" t="str">
        <f>IFERROR(INDEX([1]Clients!F:F, MATCH(A211, [1]Clients!A:A, 0)), "")</f>
        <v/>
      </c>
    </row>
    <row r="212" spans="2:6" x14ac:dyDescent="0.45">
      <c r="B212" s="5" t="str">
        <f>IFERROR(INDEX([1]Clients!$D:$D, MATCH(A212, [1]Clients!$A:$A, 0)), "")</f>
        <v/>
      </c>
      <c r="E212" s="1" t="str">
        <f>IF(OR(D212="",D212=0),"",D212-SUMIFS('Lessons Log'!$E:$E,'Lessons Log'!$C:$C,A212,'Lessons Log'!$D:$D,"*Package*"))</f>
        <v/>
      </c>
      <c r="F212" s="6" t="str">
        <f>IFERROR(INDEX([1]Clients!F:F, MATCH(A212, [1]Clients!A:A, 0)), "")</f>
        <v/>
      </c>
    </row>
    <row r="213" spans="2:6" x14ac:dyDescent="0.45">
      <c r="B213" s="5" t="str">
        <f>IFERROR(INDEX([1]Clients!$D:$D, MATCH(A213, [1]Clients!$A:$A, 0)), "")</f>
        <v/>
      </c>
      <c r="E213" s="1" t="str">
        <f>IF(OR(D213="",D213=0),"",D213-SUMIFS('Lessons Log'!$E:$E,'Lessons Log'!$C:$C,A213,'Lessons Log'!$D:$D,"*Package*"))</f>
        <v/>
      </c>
      <c r="F213" s="6" t="str">
        <f>IFERROR(INDEX([1]Clients!F:F, MATCH(A213, [1]Clients!A:A, 0)), "")</f>
        <v/>
      </c>
    </row>
    <row r="214" spans="2:6" x14ac:dyDescent="0.45">
      <c r="B214" s="5" t="str">
        <f>IFERROR(INDEX([1]Clients!$D:$D, MATCH(A214, [1]Clients!$A:$A, 0)), "")</f>
        <v/>
      </c>
      <c r="E214" s="1" t="str">
        <f>IF(OR(D214="",D214=0),"",D214-SUMIFS('Lessons Log'!$E:$E,'Lessons Log'!$C:$C,A214,'Lessons Log'!$D:$D,"*Package*"))</f>
        <v/>
      </c>
      <c r="F214" s="6" t="str">
        <f>IFERROR(INDEX([1]Clients!F:F, MATCH(A214, [1]Clients!A:A, 0)), "")</f>
        <v/>
      </c>
    </row>
    <row r="215" spans="2:6" x14ac:dyDescent="0.45">
      <c r="B215" s="5" t="str">
        <f>IFERROR(INDEX([1]Clients!$D:$D, MATCH(A215, [1]Clients!$A:$A, 0)), "")</f>
        <v/>
      </c>
      <c r="E215" s="1" t="str">
        <f>IF(OR(D215="",D215=0),"",D215-SUMIFS('Lessons Log'!$E:$E,'Lessons Log'!$C:$C,A215,'Lessons Log'!$D:$D,"*Package*"))</f>
        <v/>
      </c>
      <c r="F215" s="6" t="str">
        <f>IFERROR(INDEX([1]Clients!F:F, MATCH(A215, [1]Clients!A:A, 0)), "")</f>
        <v/>
      </c>
    </row>
    <row r="216" spans="2:6" x14ac:dyDescent="0.45">
      <c r="B216" s="5" t="str">
        <f>IFERROR(INDEX([1]Clients!$D:$D, MATCH(A216, [1]Clients!$A:$A, 0)), "")</f>
        <v/>
      </c>
      <c r="E216" s="1" t="str">
        <f>IF(OR(D216="",D216=0),"",D216-SUMIFS('Lessons Log'!$E:$E,'Lessons Log'!$C:$C,A216,'Lessons Log'!$D:$D,"*Package*"))</f>
        <v/>
      </c>
      <c r="F216" s="6" t="str">
        <f>IFERROR(INDEX([1]Clients!F:F, MATCH(A216, [1]Clients!A:A, 0)), "")</f>
        <v/>
      </c>
    </row>
    <row r="217" spans="2:6" x14ac:dyDescent="0.45">
      <c r="B217" s="5" t="str">
        <f>IFERROR(INDEX([1]Clients!$D:$D, MATCH(A217, [1]Clients!$A:$A, 0)), "")</f>
        <v/>
      </c>
      <c r="E217" s="1" t="str">
        <f>IF(OR(D217="",D217=0),"",D217-SUMIFS('Lessons Log'!$E:$E,'Lessons Log'!$C:$C,A217,'Lessons Log'!$D:$D,"*Package*"))</f>
        <v/>
      </c>
      <c r="F217" s="6" t="str">
        <f>IFERROR(INDEX([1]Clients!F:F, MATCH(A217, [1]Clients!A:A, 0)), "")</f>
        <v/>
      </c>
    </row>
    <row r="218" spans="2:6" x14ac:dyDescent="0.45">
      <c r="B218" s="5" t="str">
        <f>IFERROR(INDEX([1]Clients!$D:$D, MATCH(A218, [1]Clients!$A:$A, 0)), "")</f>
        <v/>
      </c>
      <c r="E218" s="1" t="str">
        <f>IF(OR(D218="",D218=0),"",D218-SUMIFS('Lessons Log'!$E:$E,'Lessons Log'!$C:$C,A218,'Lessons Log'!$D:$D,"*Package*"))</f>
        <v/>
      </c>
      <c r="F218" s="6" t="str">
        <f>IFERROR(INDEX([1]Clients!F:F, MATCH(A218, [1]Clients!A:A, 0)), "")</f>
        <v/>
      </c>
    </row>
    <row r="219" spans="2:6" x14ac:dyDescent="0.45">
      <c r="B219" s="5" t="str">
        <f>IFERROR(INDEX([1]Clients!$D:$D, MATCH(A219, [1]Clients!$A:$A, 0)), "")</f>
        <v/>
      </c>
      <c r="E219" s="1" t="str">
        <f>IF(OR(D219="",D219=0),"",D219-SUMIFS('Lessons Log'!$E:$E,'Lessons Log'!$C:$C,A219,'Lessons Log'!$D:$D,"*Package*"))</f>
        <v/>
      </c>
      <c r="F219" s="6" t="str">
        <f>IFERROR(INDEX([1]Clients!F:F, MATCH(A219, [1]Clients!A:A, 0)), "")</f>
        <v/>
      </c>
    </row>
    <row r="220" spans="2:6" x14ac:dyDescent="0.45">
      <c r="B220" s="5" t="str">
        <f>IFERROR(INDEX([1]Clients!$D:$D, MATCH(A220, [1]Clients!$A:$A, 0)), "")</f>
        <v/>
      </c>
      <c r="E220" s="1" t="str">
        <f>IF(OR(D220="",D220=0),"",D220-SUMIFS('Lessons Log'!$E:$E,'Lessons Log'!$C:$C,A220,'Lessons Log'!$D:$D,"*Package*"))</f>
        <v/>
      </c>
      <c r="F220" s="6" t="str">
        <f>IFERROR(INDEX([1]Clients!F:F, MATCH(A220, [1]Clients!A:A, 0)), "")</f>
        <v/>
      </c>
    </row>
    <row r="221" spans="2:6" x14ac:dyDescent="0.45">
      <c r="B221" s="5" t="str">
        <f>IFERROR(INDEX([1]Clients!$D:$D, MATCH(A221, [1]Clients!$A:$A, 0)), "")</f>
        <v/>
      </c>
      <c r="E221" s="1" t="str">
        <f>IF(OR(D221="",D221=0),"",D221-SUMIFS('Lessons Log'!$E:$E,'Lessons Log'!$C:$C,A221,'Lessons Log'!$D:$D,"*Package*"))</f>
        <v/>
      </c>
      <c r="F221" s="6" t="str">
        <f>IFERROR(INDEX([1]Clients!F:F, MATCH(A221, [1]Clients!A:A, 0)), "")</f>
        <v/>
      </c>
    </row>
    <row r="222" spans="2:6" x14ac:dyDescent="0.45">
      <c r="B222" s="5" t="str">
        <f>IFERROR(INDEX([1]Clients!$D:$D, MATCH(A222, [1]Clients!$A:$A, 0)), "")</f>
        <v/>
      </c>
      <c r="E222" s="1" t="str">
        <f>IF(OR(D222="",D222=0),"",D222-SUMIFS('Lessons Log'!$E:$E,'Lessons Log'!$C:$C,A222,'Lessons Log'!$D:$D,"*Package*"))</f>
        <v/>
      </c>
      <c r="F222" s="6" t="str">
        <f>IFERROR(INDEX([1]Clients!F:F, MATCH(A222, [1]Clients!A:A, 0)), "")</f>
        <v/>
      </c>
    </row>
    <row r="223" spans="2:6" x14ac:dyDescent="0.45">
      <c r="B223" s="5" t="str">
        <f>IFERROR(INDEX([1]Clients!$D:$D, MATCH(A223, [1]Clients!$A:$A, 0)), "")</f>
        <v/>
      </c>
      <c r="E223" s="1" t="str">
        <f>IF(OR(D223="",D223=0),"",D223-SUMIFS('Lessons Log'!$E:$E,'Lessons Log'!$C:$C,A223,'Lessons Log'!$D:$D,"*Package*"))</f>
        <v/>
      </c>
      <c r="F223" s="6" t="str">
        <f>IFERROR(INDEX([1]Clients!F:F, MATCH(A223, [1]Clients!A:A, 0)), "")</f>
        <v/>
      </c>
    </row>
    <row r="224" spans="2:6" x14ac:dyDescent="0.45">
      <c r="B224" s="5" t="str">
        <f>IFERROR(INDEX([1]Clients!$D:$D, MATCH(A224, [1]Clients!$A:$A, 0)), "")</f>
        <v/>
      </c>
      <c r="E224" s="1" t="str">
        <f>IF(OR(D224="",D224=0),"",D224-SUMIFS('Lessons Log'!$E:$E,'Lessons Log'!$C:$C,A224,'Lessons Log'!$D:$D,"*Package*"))</f>
        <v/>
      </c>
      <c r="F224" s="6" t="str">
        <f>IFERROR(INDEX([1]Clients!F:F, MATCH(A224, [1]Clients!A:A, 0)), "")</f>
        <v/>
      </c>
    </row>
    <row r="225" spans="2:6" x14ac:dyDescent="0.45">
      <c r="B225" s="5" t="str">
        <f>IFERROR(INDEX([1]Clients!$D:$D, MATCH(A225, [1]Clients!$A:$A, 0)), "")</f>
        <v/>
      </c>
      <c r="E225" s="1" t="str">
        <f>IF(OR(D225="",D225=0),"",D225-SUMIFS('Lessons Log'!$E:$E,'Lessons Log'!$C:$C,A225,'Lessons Log'!$D:$D,"*Package*"))</f>
        <v/>
      </c>
      <c r="F225" s="6" t="str">
        <f>IFERROR(INDEX([1]Clients!F:F, MATCH(A225, [1]Clients!A:A, 0)), "")</f>
        <v/>
      </c>
    </row>
    <row r="226" spans="2:6" x14ac:dyDescent="0.45">
      <c r="B226" s="5" t="str">
        <f>IFERROR(INDEX([1]Clients!$D:$D, MATCH(A226, [1]Clients!$A:$A, 0)), "")</f>
        <v/>
      </c>
      <c r="E226" s="1" t="str">
        <f>IF(OR(D226="",D226=0),"",D226-SUMIFS('Lessons Log'!$E:$E,'Lessons Log'!$C:$C,A226,'Lessons Log'!$D:$D,"*Package*"))</f>
        <v/>
      </c>
      <c r="F226" s="6" t="str">
        <f>IFERROR(INDEX([1]Clients!F:F, MATCH(A226, [1]Clients!A:A, 0)), "")</f>
        <v/>
      </c>
    </row>
    <row r="227" spans="2:6" x14ac:dyDescent="0.45">
      <c r="B227" s="5" t="str">
        <f>IFERROR(INDEX([1]Clients!$D:$D, MATCH(A227, [1]Clients!$A:$A, 0)), "")</f>
        <v/>
      </c>
      <c r="E227" s="1" t="str">
        <f>IF(OR(D227="",D227=0),"",D227-SUMIFS('Lessons Log'!$E:$E,'Lessons Log'!$C:$C,A227,'Lessons Log'!$D:$D,"*Package*"))</f>
        <v/>
      </c>
      <c r="F227" s="6" t="str">
        <f>IFERROR(INDEX([1]Clients!F:F, MATCH(A227, [1]Clients!A:A, 0)), "")</f>
        <v/>
      </c>
    </row>
    <row r="228" spans="2:6" x14ac:dyDescent="0.45">
      <c r="B228" s="5" t="str">
        <f>IFERROR(INDEX([1]Clients!$D:$D, MATCH(A228, [1]Clients!$A:$A, 0)), "")</f>
        <v/>
      </c>
      <c r="E228" s="1" t="str">
        <f>IF(OR(D228="",D228=0),"",D228-SUMIFS('Lessons Log'!$E:$E,'Lessons Log'!$C:$C,A228,'Lessons Log'!$D:$D,"*Package*"))</f>
        <v/>
      </c>
      <c r="F228" s="6" t="str">
        <f>IFERROR(INDEX([1]Clients!F:F, MATCH(A228, [1]Clients!A:A, 0)), "")</f>
        <v/>
      </c>
    </row>
    <row r="229" spans="2:6" x14ac:dyDescent="0.45">
      <c r="B229" s="5" t="str">
        <f>IFERROR(INDEX([1]Clients!$D:$D, MATCH(A229, [1]Clients!$A:$A, 0)), "")</f>
        <v/>
      </c>
      <c r="E229" s="1" t="str">
        <f>IF(OR(D229="",D229=0),"",D229-SUMIFS('Lessons Log'!$E:$E,'Lessons Log'!$C:$C,A229,'Lessons Log'!$D:$D,"*Package*"))</f>
        <v/>
      </c>
      <c r="F229" s="6" t="str">
        <f>IFERROR(INDEX([1]Clients!F:F, MATCH(A229, [1]Clients!A:A, 0)), "")</f>
        <v/>
      </c>
    </row>
    <row r="230" spans="2:6" x14ac:dyDescent="0.45">
      <c r="B230" s="5" t="str">
        <f>IFERROR(INDEX([1]Clients!$D:$D, MATCH(A230, [1]Clients!$A:$A, 0)), "")</f>
        <v/>
      </c>
      <c r="E230" s="1" t="str">
        <f>IF(OR(D230="",D230=0),"",D230-SUMIFS('Lessons Log'!$E:$E,'Lessons Log'!$C:$C,A230,'Lessons Log'!$D:$D,"*Package*"))</f>
        <v/>
      </c>
      <c r="F230" s="6" t="str">
        <f>IFERROR(INDEX([1]Clients!F:F, MATCH(A230, [1]Clients!A:A, 0)), "")</f>
        <v/>
      </c>
    </row>
    <row r="231" spans="2:6" x14ac:dyDescent="0.45">
      <c r="B231" s="5" t="str">
        <f>IFERROR(INDEX([1]Clients!$D:$D, MATCH(A231, [1]Clients!$A:$A, 0)), "")</f>
        <v/>
      </c>
      <c r="E231" s="1" t="str">
        <f>IF(OR(D231="",D231=0),"",D231-SUMIFS('Lessons Log'!$E:$E,'Lessons Log'!$C:$C,A231,'Lessons Log'!$D:$D,"*Package*"))</f>
        <v/>
      </c>
      <c r="F231" s="6" t="str">
        <f>IFERROR(INDEX([1]Clients!F:F, MATCH(A231, [1]Clients!A:A, 0)), "")</f>
        <v/>
      </c>
    </row>
    <row r="232" spans="2:6" x14ac:dyDescent="0.45">
      <c r="B232" s="5" t="str">
        <f>IFERROR(INDEX([1]Clients!$D:$D, MATCH(A232, [1]Clients!$A:$A, 0)), "")</f>
        <v/>
      </c>
      <c r="E232" s="1" t="str">
        <f>IF(OR(D232="",D232=0),"",D232-SUMIFS('Lessons Log'!$E:$E,'Lessons Log'!$C:$C,A232,'Lessons Log'!$D:$D,"*Package*"))</f>
        <v/>
      </c>
      <c r="F232" s="6" t="str">
        <f>IFERROR(INDEX([1]Clients!F:F, MATCH(A232, [1]Clients!A:A, 0)), "")</f>
        <v/>
      </c>
    </row>
    <row r="233" spans="2:6" x14ac:dyDescent="0.45">
      <c r="B233" s="5" t="str">
        <f>IFERROR(INDEX([1]Clients!$D:$D, MATCH(A233, [1]Clients!$A:$A, 0)), "")</f>
        <v/>
      </c>
      <c r="E233" s="1" t="str">
        <f>IF(OR(D233="",D233=0),"",D233-SUMIFS('Lessons Log'!$E:$E,'Lessons Log'!$C:$C,A233,'Lessons Log'!$D:$D,"*Package*"))</f>
        <v/>
      </c>
      <c r="F233" s="6" t="str">
        <f>IFERROR(INDEX([1]Clients!F:F, MATCH(A233, [1]Clients!A:A, 0)), "")</f>
        <v/>
      </c>
    </row>
    <row r="234" spans="2:6" x14ac:dyDescent="0.45">
      <c r="B234" s="5" t="str">
        <f>IFERROR(INDEX([1]Clients!$D:$D, MATCH(A234, [1]Clients!$A:$A, 0)), "")</f>
        <v/>
      </c>
      <c r="E234" s="1" t="str">
        <f>IF(OR(D234="",D234=0),"",D234-SUMIFS('Lessons Log'!$E:$E,'Lessons Log'!$C:$C,A234,'Lessons Log'!$D:$D,"*Package*"))</f>
        <v/>
      </c>
      <c r="F234" s="6" t="str">
        <f>IFERROR(INDEX([1]Clients!F:F, MATCH(A234, [1]Clients!A:A, 0)), "")</f>
        <v/>
      </c>
    </row>
    <row r="235" spans="2:6" x14ac:dyDescent="0.45">
      <c r="B235" s="5" t="str">
        <f>IFERROR(INDEX([1]Clients!$D:$D, MATCH(A235, [1]Clients!$A:$A, 0)), "")</f>
        <v/>
      </c>
      <c r="E235" s="1" t="str">
        <f>IF(OR(D235="",D235=0),"",D235-SUMIFS('Lessons Log'!$E:$E,'Lessons Log'!$C:$C,A235,'Lessons Log'!$D:$D,"*Package*"))</f>
        <v/>
      </c>
      <c r="F235" s="6" t="str">
        <f>IFERROR(INDEX([1]Clients!F:F, MATCH(A235, [1]Clients!A:A, 0)), "")</f>
        <v/>
      </c>
    </row>
    <row r="236" spans="2:6" x14ac:dyDescent="0.45">
      <c r="B236" s="5" t="str">
        <f>IFERROR(INDEX([1]Clients!$D:$D, MATCH(A236, [1]Clients!$A:$A, 0)), "")</f>
        <v/>
      </c>
      <c r="E236" s="1" t="str">
        <f>IF(OR(D236="",D236=0),"",D236-SUMIFS('Lessons Log'!$E:$E,'Lessons Log'!$C:$C,A236,'Lessons Log'!$D:$D,"*Package*"))</f>
        <v/>
      </c>
      <c r="F236" s="6" t="str">
        <f>IFERROR(INDEX([1]Clients!F:F, MATCH(A236, [1]Clients!A:A, 0)), "")</f>
        <v/>
      </c>
    </row>
    <row r="237" spans="2:6" x14ac:dyDescent="0.45">
      <c r="B237" s="5" t="str">
        <f>IFERROR(INDEX([1]Clients!$D:$D, MATCH(A237, [1]Clients!$A:$A, 0)), "")</f>
        <v/>
      </c>
      <c r="E237" s="1" t="str">
        <f>IF(OR(D237="",D237=0),"",D237-SUMIFS('Lessons Log'!$E:$E,'Lessons Log'!$C:$C,A237,'Lessons Log'!$D:$D,"*Package*"))</f>
        <v/>
      </c>
      <c r="F237" s="6" t="str">
        <f>IFERROR(INDEX([1]Clients!F:F, MATCH(A237, [1]Clients!A:A, 0)), "")</f>
        <v/>
      </c>
    </row>
    <row r="238" spans="2:6" x14ac:dyDescent="0.45">
      <c r="B238" s="5" t="str">
        <f>IFERROR(INDEX([1]Clients!$D:$D, MATCH(A238, [1]Clients!$A:$A, 0)), "")</f>
        <v/>
      </c>
      <c r="E238" s="1" t="str">
        <f>IF(OR(D238="",D238=0),"",D238-SUMIFS('Lessons Log'!$E:$E,'Lessons Log'!$C:$C,A238,'Lessons Log'!$D:$D,"*Package*"))</f>
        <v/>
      </c>
      <c r="F238" s="6" t="str">
        <f>IFERROR(INDEX([1]Clients!F:F, MATCH(A238, [1]Clients!A:A, 0)), "")</f>
        <v/>
      </c>
    </row>
    <row r="239" spans="2:6" x14ac:dyDescent="0.45">
      <c r="B239" s="5" t="str">
        <f>IFERROR(INDEX([1]Clients!$D:$D, MATCH(A239, [1]Clients!$A:$A, 0)), "")</f>
        <v/>
      </c>
      <c r="E239" s="1" t="str">
        <f>IF(OR(D239="",D239=0),"",D239-SUMIFS('Lessons Log'!$E:$E,'Lessons Log'!$C:$C,A239,'Lessons Log'!$D:$D,"*Package*"))</f>
        <v/>
      </c>
      <c r="F239" s="6" t="str">
        <f>IFERROR(INDEX([1]Clients!F:F, MATCH(A239, [1]Clients!A:A, 0)), "")</f>
        <v/>
      </c>
    </row>
    <row r="240" spans="2:6" x14ac:dyDescent="0.45">
      <c r="B240" s="5" t="str">
        <f>IFERROR(INDEX([1]Clients!$D:$D, MATCH(A240, [1]Clients!$A:$A, 0)), "")</f>
        <v/>
      </c>
      <c r="E240" s="1" t="str">
        <f>IF(OR(D240="",D240=0),"",D240-SUMIFS('Lessons Log'!$E:$E,'Lessons Log'!$C:$C,A240,'Lessons Log'!$D:$D,"*Package*"))</f>
        <v/>
      </c>
      <c r="F240" s="6" t="str">
        <f>IFERROR(INDEX([1]Clients!F:F, MATCH(A240, [1]Clients!A:A, 0)), "")</f>
        <v/>
      </c>
    </row>
    <row r="241" spans="2:6" x14ac:dyDescent="0.45">
      <c r="B241" s="5" t="str">
        <f>IFERROR(INDEX([1]Clients!$D:$D, MATCH(A241, [1]Clients!$A:$A, 0)), "")</f>
        <v/>
      </c>
      <c r="E241" s="1" t="str">
        <f>IF(OR(D241="",D241=0),"",D241-SUMIFS('Lessons Log'!$E:$E,'Lessons Log'!$C:$C,A241,'Lessons Log'!$D:$D,"*Package*"))</f>
        <v/>
      </c>
      <c r="F241" s="6" t="str">
        <f>IFERROR(INDEX([1]Clients!F:F, MATCH(A241, [1]Clients!A:A, 0)), "")</f>
        <v/>
      </c>
    </row>
    <row r="242" spans="2:6" x14ac:dyDescent="0.45">
      <c r="B242" s="5" t="str">
        <f>IFERROR(INDEX([1]Clients!$D:$D, MATCH(A242, [1]Clients!$A:$A, 0)), "")</f>
        <v/>
      </c>
      <c r="E242" s="1" t="str">
        <f>IF(OR(D242="",D242=0),"",D242-SUMIFS('Lessons Log'!$E:$E,'Lessons Log'!$C:$C,A242,'Lessons Log'!$D:$D,"*Package*"))</f>
        <v/>
      </c>
      <c r="F242" s="6" t="str">
        <f>IFERROR(INDEX([1]Clients!F:F, MATCH(A242, [1]Clients!A:A, 0)), "")</f>
        <v/>
      </c>
    </row>
    <row r="243" spans="2:6" x14ac:dyDescent="0.45">
      <c r="B243" s="5" t="str">
        <f>IFERROR(INDEX([1]Clients!$D:$D, MATCH(A243, [1]Clients!$A:$A, 0)), "")</f>
        <v/>
      </c>
      <c r="E243" s="1" t="str">
        <f>IF(OR(D243="",D243=0),"",D243-SUMIFS('Lessons Log'!$E:$E,'Lessons Log'!$C:$C,A243,'Lessons Log'!$D:$D,"*Package*"))</f>
        <v/>
      </c>
      <c r="F243" s="6" t="str">
        <f>IFERROR(INDEX([1]Clients!F:F, MATCH(A243, [1]Clients!A:A, 0)), "")</f>
        <v/>
      </c>
    </row>
    <row r="244" spans="2:6" x14ac:dyDescent="0.45">
      <c r="B244" s="5" t="str">
        <f>IFERROR(INDEX([1]Clients!$D:$D, MATCH(A244, [1]Clients!$A:$A, 0)), "")</f>
        <v/>
      </c>
      <c r="E244" s="1" t="str">
        <f>IF(OR(D244="",D244=0),"",D244-SUMIFS('Lessons Log'!$E:$E,'Lessons Log'!$C:$C,A244,'Lessons Log'!$D:$D,"*Package*"))</f>
        <v/>
      </c>
      <c r="F244" s="6" t="str">
        <f>IFERROR(INDEX([1]Clients!F:F, MATCH(A244, [1]Clients!A:A, 0)), "")</f>
        <v/>
      </c>
    </row>
    <row r="245" spans="2:6" x14ac:dyDescent="0.45">
      <c r="B245" s="5" t="str">
        <f>IFERROR(INDEX([1]Clients!$D:$D, MATCH(A245, [1]Clients!$A:$A, 0)), "")</f>
        <v/>
      </c>
      <c r="E245" s="1" t="str">
        <f>IF(OR(D245="",D245=0),"",D245-SUMIFS('Lessons Log'!$E:$E,'Lessons Log'!$C:$C,A245,'Lessons Log'!$D:$D,"*Package*"))</f>
        <v/>
      </c>
      <c r="F245" s="6" t="str">
        <f>IFERROR(INDEX([1]Clients!F:F, MATCH(A245, [1]Clients!A:A, 0)), "")</f>
        <v/>
      </c>
    </row>
    <row r="246" spans="2:6" x14ac:dyDescent="0.45">
      <c r="B246" s="5" t="str">
        <f>IFERROR(INDEX([1]Clients!$D:$D, MATCH(A246, [1]Clients!$A:$A, 0)), "")</f>
        <v/>
      </c>
      <c r="E246" s="1" t="str">
        <f>IF(OR(D246="",D246=0),"",D246-SUMIFS('Lessons Log'!$E:$E,'Lessons Log'!$C:$C,A246,'Lessons Log'!$D:$D,"*Package*"))</f>
        <v/>
      </c>
      <c r="F246" s="6" t="str">
        <f>IFERROR(INDEX([1]Clients!F:F, MATCH(A246, [1]Clients!A:A, 0)), "")</f>
        <v/>
      </c>
    </row>
    <row r="247" spans="2:6" x14ac:dyDescent="0.45">
      <c r="B247" s="5" t="str">
        <f>IFERROR(INDEX([1]Clients!$D:$D, MATCH(A247, [1]Clients!$A:$A, 0)), "")</f>
        <v/>
      </c>
      <c r="E247" s="1" t="str">
        <f>IF(OR(D247="",D247=0),"",D247-SUMIFS('Lessons Log'!$E:$E,'Lessons Log'!$C:$C,A247,'Lessons Log'!$D:$D,"*Package*"))</f>
        <v/>
      </c>
      <c r="F247" s="6" t="str">
        <f>IFERROR(INDEX([1]Clients!F:F, MATCH(A247, [1]Clients!A:A, 0)), "")</f>
        <v/>
      </c>
    </row>
    <row r="248" spans="2:6" x14ac:dyDescent="0.45">
      <c r="B248" s="5" t="str">
        <f>IFERROR(INDEX([1]Clients!$D:$D, MATCH(A248, [1]Clients!$A:$A, 0)), "")</f>
        <v/>
      </c>
      <c r="E248" s="1" t="str">
        <f>IF(OR(D248="",D248=0),"",D248-SUMIFS('Lessons Log'!$E:$E,'Lessons Log'!$C:$C,A248,'Lessons Log'!$D:$D,"*Package*"))</f>
        <v/>
      </c>
      <c r="F248" s="6" t="str">
        <f>IFERROR(INDEX([1]Clients!F:F, MATCH(A248, [1]Clients!A:A, 0)), "")</f>
        <v/>
      </c>
    </row>
    <row r="249" spans="2:6" x14ac:dyDescent="0.45">
      <c r="B249" s="5" t="str">
        <f>IFERROR(INDEX([1]Clients!$D:$D, MATCH(A249, [1]Clients!$A:$A, 0)), "")</f>
        <v/>
      </c>
      <c r="E249" s="1" t="str">
        <f>IF(OR(D249="",D249=0),"",D249-SUMIFS('Lessons Log'!$E:$E,'Lessons Log'!$C:$C,A249,'Lessons Log'!$D:$D,"*Package*"))</f>
        <v/>
      </c>
      <c r="F249" s="6" t="str">
        <f>IFERROR(INDEX([1]Clients!F:F, MATCH(A249, [1]Clients!A:A, 0)), "")</f>
        <v/>
      </c>
    </row>
    <row r="250" spans="2:6" x14ac:dyDescent="0.45">
      <c r="B250" s="5" t="str">
        <f>IFERROR(INDEX([1]Clients!$D:$D, MATCH(A250, [1]Clients!$A:$A, 0)), "")</f>
        <v/>
      </c>
      <c r="E250" s="1" t="str">
        <f>IF(OR(D250="",D250=0),"",D250-SUMIFS('Lessons Log'!$E:$E,'Lessons Log'!$C:$C,A250,'Lessons Log'!$D:$D,"*Package*"))</f>
        <v/>
      </c>
      <c r="F250" s="6" t="str">
        <f>IFERROR(INDEX([1]Clients!F:F, MATCH(A250, [1]Clients!A:A, 0)), "")</f>
        <v/>
      </c>
    </row>
    <row r="251" spans="2:6" x14ac:dyDescent="0.45">
      <c r="B251" s="5" t="str">
        <f>IFERROR(INDEX([1]Clients!$D:$D, MATCH(A251, [1]Clients!$A:$A, 0)), "")</f>
        <v/>
      </c>
      <c r="E251" s="1" t="str">
        <f>IF(OR(D251="",D251=0),"",D251-SUMIFS('Lessons Log'!$E:$E,'Lessons Log'!$C:$C,A251,'Lessons Log'!$D:$D,"*Package*"))</f>
        <v/>
      </c>
      <c r="F251" s="6" t="str">
        <f>IFERROR(INDEX([1]Clients!F:F, MATCH(A251, [1]Clients!A:A, 0)), "")</f>
        <v/>
      </c>
    </row>
    <row r="252" spans="2:6" x14ac:dyDescent="0.45">
      <c r="B252" s="5" t="str">
        <f>IFERROR(INDEX([1]Clients!$D:$D, MATCH(A252, [1]Clients!$A:$A, 0)), "")</f>
        <v/>
      </c>
      <c r="E252" s="1" t="str">
        <f>IF(OR(D252="",D252=0),"",D252-SUMIFS('Lessons Log'!$E:$E,'Lessons Log'!$C:$C,A252,'Lessons Log'!$D:$D,"*Package*"))</f>
        <v/>
      </c>
      <c r="F252" s="6" t="str">
        <f>IFERROR(INDEX([1]Clients!F:F, MATCH(A252, [1]Clients!A:A, 0)), "")</f>
        <v/>
      </c>
    </row>
    <row r="253" spans="2:6" x14ac:dyDescent="0.45">
      <c r="B253" s="5" t="str">
        <f>IFERROR(INDEX([1]Clients!$D:$D, MATCH(A253, [1]Clients!$A:$A, 0)), "")</f>
        <v/>
      </c>
      <c r="E253" s="1" t="str">
        <f>IF(OR(D253="",D253=0),"",D253-SUMIFS('Lessons Log'!$E:$E,'Lessons Log'!$C:$C,A253,'Lessons Log'!$D:$D,"*Package*"))</f>
        <v/>
      </c>
      <c r="F253" s="6" t="str">
        <f>IFERROR(INDEX([1]Clients!F:F, MATCH(A253, [1]Clients!A:A, 0)), "")</f>
        <v/>
      </c>
    </row>
    <row r="254" spans="2:6" x14ac:dyDescent="0.45">
      <c r="B254" s="5" t="str">
        <f>IFERROR(INDEX([1]Clients!$D:$D, MATCH(A254, [1]Clients!$A:$A, 0)), "")</f>
        <v/>
      </c>
      <c r="E254" s="1" t="str">
        <f>IF(OR(D254="",D254=0),"",D254-SUMIFS('Lessons Log'!$E:$E,'Lessons Log'!$C:$C,A254,'Lessons Log'!$D:$D,"*Package*"))</f>
        <v/>
      </c>
      <c r="F254" s="6" t="str">
        <f>IFERROR(INDEX([1]Clients!F:F, MATCH(A254, [1]Clients!A:A, 0)), "")</f>
        <v/>
      </c>
    </row>
    <row r="255" spans="2:6" x14ac:dyDescent="0.45">
      <c r="B255" s="5" t="str">
        <f>IFERROR(INDEX([1]Clients!$D:$D, MATCH(A255, [1]Clients!$A:$A, 0)), "")</f>
        <v/>
      </c>
      <c r="E255" s="1" t="str">
        <f>IF(OR(D255="",D255=0),"",D255-SUMIFS('Lessons Log'!$E:$E,'Lessons Log'!$C:$C,A255,'Lessons Log'!$D:$D,"*Package*"))</f>
        <v/>
      </c>
      <c r="F255" s="6" t="str">
        <f>IFERROR(INDEX([1]Clients!F:F, MATCH(A255, [1]Clients!A:A, 0)), "")</f>
        <v/>
      </c>
    </row>
    <row r="256" spans="2:6" x14ac:dyDescent="0.45">
      <c r="B256" s="5" t="str">
        <f>IFERROR(INDEX([1]Clients!$D:$D, MATCH(A256, [1]Clients!$A:$A, 0)), "")</f>
        <v/>
      </c>
      <c r="E256" s="1" t="str">
        <f>IF(OR(D256="",D256=0),"",D256-SUMIFS('Lessons Log'!$E:$E,'Lessons Log'!$C:$C,A256,'Lessons Log'!$D:$D,"*Package*"))</f>
        <v/>
      </c>
      <c r="F256" s="6" t="str">
        <f>IFERROR(INDEX([1]Clients!F:F, MATCH(A256, [1]Clients!A:A, 0)), "")</f>
        <v/>
      </c>
    </row>
    <row r="257" spans="2:6" x14ac:dyDescent="0.45">
      <c r="B257" s="5" t="str">
        <f>IFERROR(INDEX([1]Clients!$D:$D, MATCH(A257, [1]Clients!$A:$A, 0)), "")</f>
        <v/>
      </c>
      <c r="E257" s="1" t="str">
        <f>IF(OR(D257="",D257=0),"",D257-SUMIFS('Lessons Log'!$E:$E,'Lessons Log'!$C:$C,A257,'Lessons Log'!$D:$D,"*Package*"))</f>
        <v/>
      </c>
      <c r="F257" s="6" t="str">
        <f>IFERROR(INDEX([1]Clients!F:F, MATCH(A257, [1]Clients!A:A, 0)), "")</f>
        <v/>
      </c>
    </row>
    <row r="258" spans="2:6" x14ac:dyDescent="0.45">
      <c r="B258" s="5" t="str">
        <f>IFERROR(INDEX([1]Clients!$D:$D, MATCH(A258, [1]Clients!$A:$A, 0)), "")</f>
        <v/>
      </c>
      <c r="E258" s="1" t="str">
        <f>IF(OR(D258="",D258=0),"",D258-SUMIFS('Lessons Log'!$E:$E,'Lessons Log'!$C:$C,A258,'Lessons Log'!$D:$D,"*Package*"))</f>
        <v/>
      </c>
      <c r="F258" s="6" t="str">
        <f>IFERROR(INDEX([1]Clients!F:F, MATCH(A258, [1]Clients!A:A, 0)), "")</f>
        <v/>
      </c>
    </row>
    <row r="259" spans="2:6" x14ac:dyDescent="0.45">
      <c r="B259" s="5" t="str">
        <f>IFERROR(INDEX([1]Clients!$D:$D, MATCH(A259, [1]Clients!$A:$A, 0)), "")</f>
        <v/>
      </c>
      <c r="E259" s="1" t="str">
        <f>IF(OR(D259="",D259=0),"",D259-SUMIFS('Lessons Log'!$E:$E,'Lessons Log'!$C:$C,A259,'Lessons Log'!$D:$D,"*Package*"))</f>
        <v/>
      </c>
      <c r="F259" s="6" t="str">
        <f>IFERROR(INDEX([1]Clients!F:F, MATCH(A259, [1]Clients!A:A, 0)), "")</f>
        <v/>
      </c>
    </row>
    <row r="260" spans="2:6" x14ac:dyDescent="0.45">
      <c r="B260" s="5" t="str">
        <f>IFERROR(INDEX([1]Clients!$D:$D, MATCH(A260, [1]Clients!$A:$A, 0)), "")</f>
        <v/>
      </c>
      <c r="E260" s="1" t="str">
        <f>IF(OR(D260="",D260=0),"",D260-SUMIFS('Lessons Log'!$E:$E,'Lessons Log'!$C:$C,A260,'Lessons Log'!$D:$D,"*Package*"))</f>
        <v/>
      </c>
      <c r="F260" s="6" t="str">
        <f>IFERROR(INDEX([1]Clients!F:F, MATCH(A260, [1]Clients!A:A, 0)), "")</f>
        <v/>
      </c>
    </row>
    <row r="261" spans="2:6" x14ac:dyDescent="0.45">
      <c r="B261" s="5" t="str">
        <f>IFERROR(INDEX([1]Clients!$D:$D, MATCH(A261, [1]Clients!$A:$A, 0)), "")</f>
        <v/>
      </c>
      <c r="E261" s="1" t="str">
        <f>IF(OR(D261="",D261=0),"",D261-SUMIFS('Lessons Log'!$E:$E,'Lessons Log'!$C:$C,A261,'Lessons Log'!$D:$D,"*Package*"))</f>
        <v/>
      </c>
      <c r="F261" s="6" t="str">
        <f>IFERROR(INDEX([1]Clients!F:F, MATCH(A261, [1]Clients!A:A, 0)), "")</f>
        <v/>
      </c>
    </row>
    <row r="262" spans="2:6" x14ac:dyDescent="0.45">
      <c r="B262" s="5" t="str">
        <f>IFERROR(INDEX([1]Clients!$D:$D, MATCH(A262, [1]Clients!$A:$A, 0)), "")</f>
        <v/>
      </c>
      <c r="E262" s="1" t="str">
        <f>IF(OR(D262="",D262=0),"",D262-SUMIFS('Lessons Log'!$E:$E,'Lessons Log'!$C:$C,A262,'Lessons Log'!$D:$D,"*Package*"))</f>
        <v/>
      </c>
      <c r="F262" s="6" t="str">
        <f>IFERROR(INDEX([1]Clients!F:F, MATCH(A262, [1]Clients!A:A, 0)), "")</f>
        <v/>
      </c>
    </row>
    <row r="263" spans="2:6" x14ac:dyDescent="0.45">
      <c r="B263" s="5" t="str">
        <f>IFERROR(INDEX([1]Clients!$D:$D, MATCH(A263, [1]Clients!$A:$A, 0)), "")</f>
        <v/>
      </c>
      <c r="E263" s="1" t="str">
        <f>IF(OR(D263="",D263=0),"",D263-SUMIFS('Lessons Log'!$E:$E,'Lessons Log'!$C:$C,A263,'Lessons Log'!$D:$D,"*Package*"))</f>
        <v/>
      </c>
      <c r="F263" s="6" t="str">
        <f>IFERROR(INDEX([1]Clients!F:F, MATCH(A263, [1]Clients!A:A, 0)), "")</f>
        <v/>
      </c>
    </row>
    <row r="264" spans="2:6" x14ac:dyDescent="0.45">
      <c r="B264" s="5" t="str">
        <f>IFERROR(INDEX([1]Clients!$D:$D, MATCH(A264, [1]Clients!$A:$A, 0)), "")</f>
        <v/>
      </c>
      <c r="E264" s="1" t="str">
        <f>IF(OR(D264="",D264=0),"",D264-SUMIFS('Lessons Log'!$E:$E,'Lessons Log'!$C:$C,A264,'Lessons Log'!$D:$D,"*Package*"))</f>
        <v/>
      </c>
      <c r="F264" s="6" t="str">
        <f>IFERROR(INDEX([1]Clients!F:F, MATCH(A264, [1]Clients!A:A, 0)), "")</f>
        <v/>
      </c>
    </row>
    <row r="265" spans="2:6" x14ac:dyDescent="0.45">
      <c r="B265" s="5" t="str">
        <f>IFERROR(INDEX([1]Clients!$D:$D, MATCH(A265, [1]Clients!$A:$A, 0)), "")</f>
        <v/>
      </c>
      <c r="E265" s="1" t="str">
        <f>IF(OR(D265="",D265=0),"",D265-SUMIFS('Lessons Log'!$E:$E,'Lessons Log'!$C:$C,A265,'Lessons Log'!$D:$D,"*Package*"))</f>
        <v/>
      </c>
      <c r="F265" s="6" t="str">
        <f>IFERROR(INDEX([1]Clients!F:F, MATCH(A265, [1]Clients!A:A, 0)), "")</f>
        <v/>
      </c>
    </row>
    <row r="266" spans="2:6" x14ac:dyDescent="0.45">
      <c r="B266" s="5" t="str">
        <f>IFERROR(INDEX([1]Clients!$D:$D, MATCH(A266, [1]Clients!$A:$A, 0)), "")</f>
        <v/>
      </c>
      <c r="E266" s="1" t="str">
        <f>IF(OR(D266="",D266=0),"",D266-SUMIFS('Lessons Log'!$E:$E,'Lessons Log'!$C:$C,A266,'Lessons Log'!$D:$D,"*Package*"))</f>
        <v/>
      </c>
      <c r="F266" s="6" t="str">
        <f>IFERROR(INDEX([1]Clients!F:F, MATCH(A266, [1]Clients!A:A, 0)), "")</f>
        <v/>
      </c>
    </row>
    <row r="267" spans="2:6" x14ac:dyDescent="0.45">
      <c r="B267" s="5" t="str">
        <f>IFERROR(INDEX([1]Clients!$D:$D, MATCH(A267, [1]Clients!$A:$A, 0)), "")</f>
        <v/>
      </c>
      <c r="E267" s="1" t="str">
        <f>IF(OR(D267="",D267=0),"",D267-SUMIFS('Lessons Log'!$E:$E,'Lessons Log'!$C:$C,A267,'Lessons Log'!$D:$D,"*Package*"))</f>
        <v/>
      </c>
      <c r="F267" s="6" t="str">
        <f>IFERROR(INDEX([1]Clients!F:F, MATCH(A267, [1]Clients!A:A, 0)), "")</f>
        <v/>
      </c>
    </row>
    <row r="268" spans="2:6" x14ac:dyDescent="0.45">
      <c r="B268" s="5" t="str">
        <f>IFERROR(INDEX([1]Clients!$D:$D, MATCH(A268, [1]Clients!$A:$A, 0)), "")</f>
        <v/>
      </c>
      <c r="E268" s="1" t="str">
        <f>IF(OR(D268="",D268=0),"",D268-SUMIFS('Lessons Log'!$E:$E,'Lessons Log'!$C:$C,A268,'Lessons Log'!$D:$D,"*Package*"))</f>
        <v/>
      </c>
      <c r="F268" s="6" t="str">
        <f>IFERROR(INDEX([1]Clients!F:F, MATCH(A268, [1]Clients!A:A, 0)), "")</f>
        <v/>
      </c>
    </row>
    <row r="269" spans="2:6" x14ac:dyDescent="0.45">
      <c r="B269" s="5" t="str">
        <f>IFERROR(INDEX([1]Clients!$D:$D, MATCH(A269, [1]Clients!$A:$A, 0)), "")</f>
        <v/>
      </c>
      <c r="E269" s="1" t="str">
        <f>IF(OR(D269="",D269=0),"",D269-SUMIFS('Lessons Log'!$E:$E,'Lessons Log'!$C:$C,A269,'Lessons Log'!$D:$D,"*Package*"))</f>
        <v/>
      </c>
      <c r="F269" s="6" t="str">
        <f>IFERROR(INDEX([1]Clients!F:F, MATCH(A269, [1]Clients!A:A, 0)), "")</f>
        <v/>
      </c>
    </row>
    <row r="270" spans="2:6" x14ac:dyDescent="0.45">
      <c r="B270" s="5" t="str">
        <f>IFERROR(INDEX([1]Clients!$D:$D, MATCH(A270, [1]Clients!$A:$A, 0)), "")</f>
        <v/>
      </c>
      <c r="E270" s="1" t="str">
        <f>IF(OR(D270="",D270=0),"",D270-SUMIFS('Lessons Log'!$E:$E,'Lessons Log'!$C:$C,A270,'Lessons Log'!$D:$D,"*Package*"))</f>
        <v/>
      </c>
      <c r="F270" s="6" t="str">
        <f>IFERROR(INDEX([1]Clients!F:F, MATCH(A270, [1]Clients!A:A, 0)), "")</f>
        <v/>
      </c>
    </row>
    <row r="271" spans="2:6" x14ac:dyDescent="0.45">
      <c r="B271" s="5" t="str">
        <f>IFERROR(INDEX([1]Clients!$D:$D, MATCH(A271, [1]Clients!$A:$A, 0)), "")</f>
        <v/>
      </c>
      <c r="E271" s="1" t="str">
        <f>IF(OR(D271="",D271=0),"",D271-SUMIFS('Lessons Log'!$E:$E,'Lessons Log'!$C:$C,A271,'Lessons Log'!$D:$D,"*Package*"))</f>
        <v/>
      </c>
      <c r="F271" s="6" t="str">
        <f>IFERROR(INDEX([1]Clients!F:F, MATCH(A271, [1]Clients!A:A, 0)), "")</f>
        <v/>
      </c>
    </row>
    <row r="272" spans="2:6" x14ac:dyDescent="0.45">
      <c r="B272" s="5" t="str">
        <f>IFERROR(INDEX([1]Clients!$D:$D, MATCH(A272, [1]Clients!$A:$A, 0)), "")</f>
        <v/>
      </c>
      <c r="E272" s="1" t="str">
        <f>IF(OR(D272="",D272=0),"",D272-SUMIFS('Lessons Log'!$E:$E,'Lessons Log'!$C:$C,A272,'Lessons Log'!$D:$D,"*Package*"))</f>
        <v/>
      </c>
      <c r="F272" s="6" t="str">
        <f>IFERROR(INDEX([1]Clients!F:F, MATCH(A272, [1]Clients!A:A, 0)), "")</f>
        <v/>
      </c>
    </row>
    <row r="273" spans="2:6" x14ac:dyDescent="0.45">
      <c r="B273" s="5" t="str">
        <f>IFERROR(INDEX([1]Clients!$D:$D, MATCH(A273, [1]Clients!$A:$A, 0)), "")</f>
        <v/>
      </c>
      <c r="E273" s="1" t="str">
        <f>IF(OR(D273="",D273=0),"",D273-SUMIFS('Lessons Log'!$E:$E,'Lessons Log'!$C:$C,A273,'Lessons Log'!$D:$D,"*Package*"))</f>
        <v/>
      </c>
      <c r="F273" s="6" t="str">
        <f>IFERROR(INDEX([1]Clients!F:F, MATCH(A273, [1]Clients!A:A, 0)), "")</f>
        <v/>
      </c>
    </row>
    <row r="274" spans="2:6" x14ac:dyDescent="0.45">
      <c r="B274" s="5" t="str">
        <f>IFERROR(INDEX([1]Clients!$D:$D, MATCH(A274, [1]Clients!$A:$A, 0)), "")</f>
        <v/>
      </c>
      <c r="E274" s="1" t="str">
        <f>IF(OR(D274="",D274=0),"",D274-SUMIFS('Lessons Log'!$E:$E,'Lessons Log'!$C:$C,A274,'Lessons Log'!$D:$D,"*Package*"))</f>
        <v/>
      </c>
      <c r="F274" s="6" t="str">
        <f>IFERROR(INDEX([1]Clients!F:F, MATCH(A274, [1]Clients!A:A, 0)), "")</f>
        <v/>
      </c>
    </row>
    <row r="275" spans="2:6" x14ac:dyDescent="0.45">
      <c r="B275" s="5" t="str">
        <f>IFERROR(INDEX([1]Clients!$D:$D, MATCH(A275, [1]Clients!$A:$A, 0)), "")</f>
        <v/>
      </c>
      <c r="E275" s="1" t="str">
        <f>IF(OR(D275="",D275=0),"",D275-SUMIFS('Lessons Log'!$E:$E,'Lessons Log'!$C:$C,A275,'Lessons Log'!$D:$D,"*Package*"))</f>
        <v/>
      </c>
      <c r="F275" s="6" t="str">
        <f>IFERROR(INDEX([1]Clients!F:F, MATCH(A275, [1]Clients!A:A, 0)), "")</f>
        <v/>
      </c>
    </row>
    <row r="276" spans="2:6" x14ac:dyDescent="0.45">
      <c r="B276" s="5" t="str">
        <f>IFERROR(INDEX([1]Clients!$D:$D, MATCH(A276, [1]Clients!$A:$A, 0)), "")</f>
        <v/>
      </c>
      <c r="E276" s="1" t="str">
        <f>IF(OR(D276="",D276=0),"",D276-SUMIFS('Lessons Log'!$E:$E,'Lessons Log'!$C:$C,A276,'Lessons Log'!$D:$D,"*Package*"))</f>
        <v/>
      </c>
      <c r="F276" s="6" t="str">
        <f>IFERROR(INDEX([1]Clients!F:F, MATCH(A276, [1]Clients!A:A, 0)), "")</f>
        <v/>
      </c>
    </row>
    <row r="277" spans="2:6" x14ac:dyDescent="0.45">
      <c r="B277" s="5" t="str">
        <f>IFERROR(INDEX([1]Clients!$D:$D, MATCH(A277, [1]Clients!$A:$A, 0)), "")</f>
        <v/>
      </c>
      <c r="E277" s="1" t="str">
        <f>IF(OR(D277="",D277=0),"",D277-SUMIFS('Lessons Log'!$E:$E,'Lessons Log'!$C:$C,A277,'Lessons Log'!$D:$D,"*Package*"))</f>
        <v/>
      </c>
      <c r="F277" s="6" t="str">
        <f>IFERROR(INDEX([1]Clients!F:F, MATCH(A277, [1]Clients!A:A, 0)), "")</f>
        <v/>
      </c>
    </row>
    <row r="278" spans="2:6" x14ac:dyDescent="0.45">
      <c r="B278" s="5" t="str">
        <f>IFERROR(INDEX([1]Clients!$D:$D, MATCH(A278, [1]Clients!$A:$A, 0)), "")</f>
        <v/>
      </c>
      <c r="E278" s="1" t="str">
        <f>IF(OR(D278="",D278=0),"",D278-SUMIFS('Lessons Log'!$E:$E,'Lessons Log'!$C:$C,A278,'Lessons Log'!$D:$D,"*Package*"))</f>
        <v/>
      </c>
      <c r="F278" s="6" t="str">
        <f>IFERROR(INDEX([1]Clients!F:F, MATCH(A278, [1]Clients!A:A, 0)), "")</f>
        <v/>
      </c>
    </row>
    <row r="279" spans="2:6" x14ac:dyDescent="0.45">
      <c r="B279" s="5" t="str">
        <f>IFERROR(INDEX([1]Clients!$D:$D, MATCH(A279, [1]Clients!$A:$A, 0)), "")</f>
        <v/>
      </c>
      <c r="E279" s="1" t="str">
        <f>IF(OR(D279="",D279=0),"",D279-SUMIFS('Lessons Log'!$E:$E,'Lessons Log'!$C:$C,A279,'Lessons Log'!$D:$D,"*Package*"))</f>
        <v/>
      </c>
      <c r="F279" s="6" t="str">
        <f>IFERROR(INDEX([1]Clients!F:F, MATCH(A279, [1]Clients!A:A, 0)), "")</f>
        <v/>
      </c>
    </row>
    <row r="280" spans="2:6" x14ac:dyDescent="0.45">
      <c r="B280" s="5" t="str">
        <f>IFERROR(INDEX([1]Clients!$D:$D, MATCH(A280, [1]Clients!$A:$A, 0)), "")</f>
        <v/>
      </c>
      <c r="E280" s="1" t="str">
        <f>IF(OR(D280="",D280=0),"",D280-SUMIFS('Lessons Log'!$E:$E,'Lessons Log'!$C:$C,A280,'Lessons Log'!$D:$D,"*Package*"))</f>
        <v/>
      </c>
      <c r="F280" s="6" t="str">
        <f>IFERROR(INDEX([1]Clients!F:F, MATCH(A280, [1]Clients!A:A, 0)), "")</f>
        <v/>
      </c>
    </row>
    <row r="281" spans="2:6" x14ac:dyDescent="0.45">
      <c r="B281" s="5" t="str">
        <f>IFERROR(INDEX([1]Clients!$D:$D, MATCH(A281, [1]Clients!$A:$A, 0)), "")</f>
        <v/>
      </c>
      <c r="E281" s="1" t="str">
        <f>IF(OR(D281="",D281=0),"",D281-SUMIFS('Lessons Log'!$E:$E,'Lessons Log'!$C:$C,A281,'Lessons Log'!$D:$D,"*Package*"))</f>
        <v/>
      </c>
      <c r="F281" s="6" t="str">
        <f>IFERROR(INDEX([1]Clients!F:F, MATCH(A281, [1]Clients!A:A, 0)), "")</f>
        <v/>
      </c>
    </row>
    <row r="282" spans="2:6" x14ac:dyDescent="0.45">
      <c r="B282" s="5" t="str">
        <f>IFERROR(INDEX([1]Clients!$D:$D, MATCH(A282, [1]Clients!$A:$A, 0)), "")</f>
        <v/>
      </c>
      <c r="E282" s="1" t="str">
        <f>IF(OR(D282="",D282=0),"",D282-SUMIFS('Lessons Log'!$E:$E,'Lessons Log'!$C:$C,A282,'Lessons Log'!$D:$D,"*Package*"))</f>
        <v/>
      </c>
      <c r="F282" s="6" t="str">
        <f>IFERROR(INDEX([1]Clients!F:F, MATCH(A282, [1]Clients!A:A, 0)), "")</f>
        <v/>
      </c>
    </row>
    <row r="283" spans="2:6" x14ac:dyDescent="0.45">
      <c r="B283" s="5" t="str">
        <f>IFERROR(INDEX([1]Clients!$D:$D, MATCH(A283, [1]Clients!$A:$A, 0)), "")</f>
        <v/>
      </c>
      <c r="E283" s="1" t="str">
        <f>IF(OR(D283="",D283=0),"",D283-SUMIFS('Lessons Log'!$E:$E,'Lessons Log'!$C:$C,A283,'Lessons Log'!$D:$D,"*Package*"))</f>
        <v/>
      </c>
      <c r="F283" s="6" t="str">
        <f>IFERROR(INDEX([1]Clients!F:F, MATCH(A283, [1]Clients!A:A, 0)), "")</f>
        <v/>
      </c>
    </row>
    <row r="284" spans="2:6" x14ac:dyDescent="0.45">
      <c r="B284" s="5" t="str">
        <f>IFERROR(INDEX([1]Clients!$D:$D, MATCH(A284, [1]Clients!$A:$A, 0)), "")</f>
        <v/>
      </c>
      <c r="E284" s="1" t="str">
        <f>IF(OR(D284="",D284=0),"",D284-SUMIFS('Lessons Log'!$E:$E,'Lessons Log'!$C:$C,A284,'Lessons Log'!$D:$D,"*Package*"))</f>
        <v/>
      </c>
      <c r="F284" s="6" t="str">
        <f>IFERROR(INDEX([1]Clients!F:F, MATCH(A284, [1]Clients!A:A, 0)), "")</f>
        <v/>
      </c>
    </row>
    <row r="285" spans="2:6" x14ac:dyDescent="0.45">
      <c r="B285" s="5" t="str">
        <f>IFERROR(INDEX([1]Clients!$D:$D, MATCH(A285, [1]Clients!$A:$A, 0)), "")</f>
        <v/>
      </c>
      <c r="E285" s="1" t="str">
        <f>IF(OR(D285="",D285=0),"",D285-SUMIFS('Lessons Log'!$E:$E,'Lessons Log'!$C:$C,A285,'Lessons Log'!$D:$D,"*Package*"))</f>
        <v/>
      </c>
      <c r="F285" s="6" t="str">
        <f>IFERROR(INDEX([1]Clients!F:F, MATCH(A285, [1]Clients!A:A, 0)), "")</f>
        <v/>
      </c>
    </row>
    <row r="286" spans="2:6" x14ac:dyDescent="0.45">
      <c r="B286" s="5" t="str">
        <f>IFERROR(INDEX([1]Clients!$D:$D, MATCH(A286, [1]Clients!$A:$A, 0)), "")</f>
        <v/>
      </c>
      <c r="E286" s="1" t="str">
        <f>IF(OR(D286="",D286=0),"",D286-SUMIFS('Lessons Log'!$E:$E,'Lessons Log'!$C:$C,A286,'Lessons Log'!$D:$D,"*Package*"))</f>
        <v/>
      </c>
      <c r="F286" s="6" t="str">
        <f>IFERROR(INDEX([1]Clients!F:F, MATCH(A286, [1]Clients!A:A, 0)), "")</f>
        <v/>
      </c>
    </row>
    <row r="287" spans="2:6" x14ac:dyDescent="0.45">
      <c r="B287" s="5" t="str">
        <f>IFERROR(INDEX([1]Clients!$D:$D, MATCH(A287, [1]Clients!$A:$A, 0)), "")</f>
        <v/>
      </c>
      <c r="E287" s="1" t="str">
        <f>IF(OR(D287="",D287=0),"",D287-SUMIFS('Lessons Log'!$E:$E,'Lessons Log'!$C:$C,A287,'Lessons Log'!$D:$D,"*Package*"))</f>
        <v/>
      </c>
      <c r="F287" s="6" t="str">
        <f>IFERROR(INDEX([1]Clients!F:F, MATCH(A287, [1]Clients!A:A, 0)), "")</f>
        <v/>
      </c>
    </row>
    <row r="288" spans="2:6" x14ac:dyDescent="0.45">
      <c r="B288" s="5" t="str">
        <f>IFERROR(INDEX([1]Clients!$D:$D, MATCH(A288, [1]Clients!$A:$A, 0)), "")</f>
        <v/>
      </c>
      <c r="E288" s="1" t="str">
        <f>IF(OR(D288="",D288=0),"",D288-SUMIFS('Lessons Log'!$E:$E,'Lessons Log'!$C:$C,A288,'Lessons Log'!$D:$D,"*Package*"))</f>
        <v/>
      </c>
      <c r="F288" s="6" t="str">
        <f>IFERROR(INDEX([1]Clients!F:F, MATCH(A288, [1]Clients!A:A, 0)), "")</f>
        <v/>
      </c>
    </row>
    <row r="289" spans="2:6" x14ac:dyDescent="0.45">
      <c r="B289" s="5" t="str">
        <f>IFERROR(INDEX([1]Clients!$D:$D, MATCH(A289, [1]Clients!$A:$A, 0)), "")</f>
        <v/>
      </c>
      <c r="E289" s="1" t="str">
        <f>IF(OR(D289="",D289=0),"",D289-SUMIFS('Lessons Log'!$E:$E,'Lessons Log'!$C:$C,A289,'Lessons Log'!$D:$D,"*Package*"))</f>
        <v/>
      </c>
      <c r="F289" s="6" t="str">
        <f>IFERROR(INDEX([1]Clients!F:F, MATCH(A289, [1]Clients!A:A, 0)), "")</f>
        <v/>
      </c>
    </row>
    <row r="290" spans="2:6" x14ac:dyDescent="0.45">
      <c r="B290" s="5" t="str">
        <f>IFERROR(INDEX([1]Clients!$D:$D, MATCH(A290, [1]Clients!$A:$A, 0)), "")</f>
        <v/>
      </c>
      <c r="E290" s="1" t="str">
        <f>IF(OR(D290="",D290=0),"",D290-SUMIFS('Lessons Log'!$E:$E,'Lessons Log'!$C:$C,A290,'Lessons Log'!$D:$D,"*Package*"))</f>
        <v/>
      </c>
      <c r="F290" s="6" t="str">
        <f>IFERROR(INDEX([1]Clients!F:F, MATCH(A290, [1]Clients!A:A, 0)), "")</f>
        <v/>
      </c>
    </row>
    <row r="291" spans="2:6" x14ac:dyDescent="0.45">
      <c r="B291" s="5" t="str">
        <f>IFERROR(INDEX([1]Clients!$D:$D, MATCH(A291, [1]Clients!$A:$A, 0)), "")</f>
        <v/>
      </c>
      <c r="E291" s="1" t="str">
        <f>IF(OR(D291="",D291=0),"",D291-SUMIFS('Lessons Log'!$E:$E,'Lessons Log'!$C:$C,A291,'Lessons Log'!$D:$D,"*Package*"))</f>
        <v/>
      </c>
      <c r="F291" s="6" t="str">
        <f>IFERROR(INDEX([1]Clients!F:F, MATCH(A291, [1]Clients!A:A, 0)), "")</f>
        <v/>
      </c>
    </row>
    <row r="292" spans="2:6" x14ac:dyDescent="0.45">
      <c r="B292" s="5" t="str">
        <f>IFERROR(INDEX([1]Clients!$D:$D, MATCH(A292, [1]Clients!$A:$A, 0)), "")</f>
        <v/>
      </c>
      <c r="E292" s="1" t="str">
        <f>IF(OR(D292="",D292=0),"",D292-SUMIFS('Lessons Log'!$E:$E,'Lessons Log'!$C:$C,A292,'Lessons Log'!$D:$D,"*Package*"))</f>
        <v/>
      </c>
      <c r="F292" s="6" t="str">
        <f>IFERROR(INDEX([1]Clients!F:F, MATCH(A292, [1]Clients!A:A, 0)), "")</f>
        <v/>
      </c>
    </row>
    <row r="293" spans="2:6" x14ac:dyDescent="0.45">
      <c r="B293" s="5" t="str">
        <f>IFERROR(INDEX([1]Clients!$D:$D, MATCH(A293, [1]Clients!$A:$A, 0)), "")</f>
        <v/>
      </c>
      <c r="E293" s="1" t="str">
        <f>IF(OR(D293="",D293=0),"",D293-SUMIFS('Lessons Log'!$E:$E,'Lessons Log'!$C:$C,A293,'Lessons Log'!$D:$D,"*Package*"))</f>
        <v/>
      </c>
      <c r="F293" s="6" t="str">
        <f>IFERROR(INDEX([1]Clients!F:F, MATCH(A293, [1]Clients!A:A, 0)), "")</f>
        <v/>
      </c>
    </row>
    <row r="294" spans="2:6" x14ac:dyDescent="0.45">
      <c r="B294" s="5" t="str">
        <f>IFERROR(INDEX([1]Clients!$D:$D, MATCH(A294, [1]Clients!$A:$A, 0)), "")</f>
        <v/>
      </c>
      <c r="E294" s="1" t="str">
        <f>IF(OR(D294="",D294=0),"",D294-SUMIFS('Lessons Log'!$E:$E,'Lessons Log'!$C:$C,A294,'Lessons Log'!$D:$D,"*Package*"))</f>
        <v/>
      </c>
      <c r="F294" s="6" t="str">
        <f>IFERROR(INDEX([1]Clients!F:F, MATCH(A294, [1]Clients!A:A, 0)), "")</f>
        <v/>
      </c>
    </row>
    <row r="295" spans="2:6" x14ac:dyDescent="0.45">
      <c r="B295" s="5" t="str">
        <f>IFERROR(INDEX([1]Clients!$D:$D, MATCH(A295, [1]Clients!$A:$A, 0)), "")</f>
        <v/>
      </c>
      <c r="E295" s="1" t="str">
        <f>IF(OR(D295="",D295=0),"",D295-SUMIFS('Lessons Log'!$E:$E,'Lessons Log'!$C:$C,A295,'Lessons Log'!$D:$D,"*Package*"))</f>
        <v/>
      </c>
      <c r="F295" s="6" t="str">
        <f>IFERROR(INDEX([1]Clients!F:F, MATCH(A295, [1]Clients!A:A, 0)), "")</f>
        <v/>
      </c>
    </row>
    <row r="296" spans="2:6" x14ac:dyDescent="0.45">
      <c r="B296" s="5" t="str">
        <f>IFERROR(INDEX([1]Clients!$D:$D, MATCH(A296, [1]Clients!$A:$A, 0)), "")</f>
        <v/>
      </c>
      <c r="E296" s="1" t="str">
        <f>IF(OR(D296="",D296=0),"",D296-SUMIFS('Lessons Log'!$E:$E,'Lessons Log'!$C:$C,A296,'Lessons Log'!$D:$D,"*Package*"))</f>
        <v/>
      </c>
      <c r="F296" s="6" t="str">
        <f>IFERROR(INDEX([1]Clients!F:F, MATCH(A296, [1]Clients!A:A, 0)), "")</f>
        <v/>
      </c>
    </row>
    <row r="297" spans="2:6" x14ac:dyDescent="0.45">
      <c r="B297" s="5" t="str">
        <f>IFERROR(INDEX([1]Clients!$D:$D, MATCH(A297, [1]Clients!$A:$A, 0)), "")</f>
        <v/>
      </c>
      <c r="E297" s="1" t="str">
        <f>IF(OR(D297="",D297=0),"",D297-SUMIFS('Lessons Log'!$E:$E,'Lessons Log'!$C:$C,A297,'Lessons Log'!$D:$D,"*Package*"))</f>
        <v/>
      </c>
      <c r="F297" s="6" t="str">
        <f>IFERROR(INDEX([1]Clients!F:F, MATCH(A297, [1]Clients!A:A, 0)), "")</f>
        <v/>
      </c>
    </row>
    <row r="298" spans="2:6" x14ac:dyDescent="0.45">
      <c r="B298" s="5" t="str">
        <f>IFERROR(INDEX([1]Clients!$D:$D, MATCH(A298, [1]Clients!$A:$A, 0)), "")</f>
        <v/>
      </c>
      <c r="E298" s="1" t="str">
        <f>IF(OR(D298="",D298=0),"",D298-SUMIFS('Lessons Log'!$E:$E,'Lessons Log'!$C:$C,A298,'Lessons Log'!$D:$D,"*Package*"))</f>
        <v/>
      </c>
      <c r="F298" s="6" t="str">
        <f>IFERROR(INDEX([1]Clients!F:F, MATCH(A298, [1]Clients!A:A, 0)), "")</f>
        <v/>
      </c>
    </row>
    <row r="299" spans="2:6" x14ac:dyDescent="0.45">
      <c r="B299" s="5" t="str">
        <f>IFERROR(INDEX([1]Clients!$D:$D, MATCH(A299, [1]Clients!$A:$A, 0)), "")</f>
        <v/>
      </c>
      <c r="E299" s="1" t="str">
        <f>IF(OR(D299="",D299=0),"",D299-SUMIFS('Lessons Log'!$E:$E,'Lessons Log'!$C:$C,A299,'Lessons Log'!$D:$D,"*Package*"))</f>
        <v/>
      </c>
      <c r="F299" s="6" t="str">
        <f>IFERROR(INDEX([1]Clients!F:F, MATCH(A299, [1]Clients!A:A, 0)), "")</f>
        <v/>
      </c>
    </row>
    <row r="300" spans="2:6" x14ac:dyDescent="0.45">
      <c r="B300" s="5" t="str">
        <f>IFERROR(INDEX([1]Clients!$D:$D, MATCH(A300, [1]Clients!$A:$A, 0)), "")</f>
        <v/>
      </c>
      <c r="E300" s="1" t="str">
        <f>IF(OR(D300="",D300=0),"",D300-SUMIFS('Lessons Log'!$E:$E,'Lessons Log'!$C:$C,A300,'Lessons Log'!$D:$D,"*Package*"))</f>
        <v/>
      </c>
      <c r="F300" s="6" t="str">
        <f>IFERROR(INDEX([1]Clients!F:F, MATCH(A300, [1]Clients!A:A, 0)), "")</f>
        <v/>
      </c>
    </row>
    <row r="301" spans="2:6" x14ac:dyDescent="0.45">
      <c r="B301" s="5" t="str">
        <f>IFERROR(INDEX([1]Clients!$D:$D, MATCH(A301, [1]Clients!$A:$A, 0)), "")</f>
        <v/>
      </c>
      <c r="E301" s="1" t="str">
        <f>IF(OR(D301="",D301=0),"",D301-SUMIFS('Lessons Log'!$E:$E,'Lessons Log'!$C:$C,A301,'Lessons Log'!$D:$D,"*Package*"))</f>
        <v/>
      </c>
      <c r="F301" s="6" t="str">
        <f>IFERROR(INDEX([1]Clients!F:F, MATCH(A301, [1]Clients!A:A, 0)), "")</f>
        <v/>
      </c>
    </row>
    <row r="302" spans="2:6" x14ac:dyDescent="0.45">
      <c r="B302" s="5" t="str">
        <f>IFERROR(INDEX([1]Clients!$D:$D, MATCH(A302, [1]Clients!$A:$A, 0)), "")</f>
        <v/>
      </c>
      <c r="E302" s="1" t="str">
        <f>IF(OR(D302="",D302=0),"",D302-SUMIFS('Lessons Log'!$E:$E,'Lessons Log'!$C:$C,A302,'Lessons Log'!$D:$D,"*Package*"))</f>
        <v/>
      </c>
      <c r="F302" s="6" t="str">
        <f>IFERROR(INDEX([1]Clients!F:F, MATCH(A302, [1]Clients!A:A, 0)), "")</f>
        <v/>
      </c>
    </row>
    <row r="303" spans="2:6" x14ac:dyDescent="0.45">
      <c r="B303" s="5" t="str">
        <f>IFERROR(INDEX([1]Clients!$D:$D, MATCH(A303, [1]Clients!$A:$A, 0)), "")</f>
        <v/>
      </c>
      <c r="E303" s="1" t="str">
        <f>IF(OR(D303="",D303=0),"",D303-SUMIFS('Lessons Log'!$E:$E,'Lessons Log'!$C:$C,A303,'Lessons Log'!$D:$D,"*Package*"))</f>
        <v/>
      </c>
      <c r="F303" s="6" t="str">
        <f>IFERROR(INDEX([1]Clients!F:F, MATCH(A303, [1]Clients!A:A, 0)), "")</f>
        <v/>
      </c>
    </row>
    <row r="304" spans="2:6" x14ac:dyDescent="0.45">
      <c r="B304" s="5" t="str">
        <f>IFERROR(INDEX([1]Clients!$D:$D, MATCH(A304, [1]Clients!$A:$A, 0)), "")</f>
        <v/>
      </c>
      <c r="E304" s="1" t="str">
        <f>IF(OR(D304="",D304=0),"",D304-SUMIFS('Lessons Log'!$E:$E,'Lessons Log'!$C:$C,A304,'Lessons Log'!$D:$D,"*Package*"))</f>
        <v/>
      </c>
      <c r="F304" s="6" t="str">
        <f>IFERROR(INDEX([1]Clients!F:F, MATCH(A304, [1]Clients!A:A, 0)), "")</f>
        <v/>
      </c>
    </row>
    <row r="305" spans="2:6" x14ac:dyDescent="0.45">
      <c r="B305" s="5" t="str">
        <f>IFERROR(INDEX([1]Clients!$D:$D, MATCH(A305, [1]Clients!$A:$A, 0)), "")</f>
        <v/>
      </c>
      <c r="E305" s="1" t="str">
        <f>IF(OR(D305="",D305=0),"",D305-SUMIFS('Lessons Log'!$E:$E,'Lessons Log'!$C:$C,A305,'Lessons Log'!$D:$D,"*Package*"))</f>
        <v/>
      </c>
      <c r="F305" s="6" t="str">
        <f>IFERROR(INDEX([1]Clients!F:F, MATCH(A305, [1]Clients!A:A, 0)), "")</f>
        <v/>
      </c>
    </row>
    <row r="306" spans="2:6" x14ac:dyDescent="0.45">
      <c r="B306" s="5" t="str">
        <f>IFERROR(INDEX([1]Clients!$D:$D, MATCH(A306, [1]Clients!$A:$A, 0)), "")</f>
        <v/>
      </c>
      <c r="E306" s="1" t="str">
        <f>IF(OR(D306="",D306=0),"",D306-SUMIFS('Lessons Log'!$E:$E,'Lessons Log'!$C:$C,A306,'Lessons Log'!$D:$D,"*Package*"))</f>
        <v/>
      </c>
      <c r="F306" s="6" t="str">
        <f>IFERROR(INDEX([1]Clients!F:F, MATCH(A306, [1]Clients!A:A, 0)), "")</f>
        <v/>
      </c>
    </row>
    <row r="307" spans="2:6" x14ac:dyDescent="0.45">
      <c r="B307" s="5" t="str">
        <f>IFERROR(INDEX([1]Clients!$D:$D, MATCH(A307, [1]Clients!$A:$A, 0)), "")</f>
        <v/>
      </c>
      <c r="E307" s="1" t="str">
        <f>IF(OR(D307="",D307=0),"",D307-SUMIFS('Lessons Log'!$E:$E,'Lessons Log'!$C:$C,A307,'Lessons Log'!$D:$D,"*Package*"))</f>
        <v/>
      </c>
      <c r="F307" s="6" t="str">
        <f>IFERROR(INDEX([1]Clients!F:F, MATCH(A307, [1]Clients!A:A, 0)), "")</f>
        <v/>
      </c>
    </row>
    <row r="308" spans="2:6" x14ac:dyDescent="0.45">
      <c r="B308" s="5" t="str">
        <f>IFERROR(INDEX([1]Clients!$D:$D, MATCH(A308, [1]Clients!$A:$A, 0)), "")</f>
        <v/>
      </c>
      <c r="E308" s="1" t="str">
        <f>IF(OR(D308="",D308=0),"",D308-SUMIFS('Lessons Log'!$E:$E,'Lessons Log'!$C:$C,A308,'Lessons Log'!$D:$D,"*Package*"))</f>
        <v/>
      </c>
      <c r="F308" s="6" t="str">
        <f>IFERROR(INDEX([1]Clients!F:F, MATCH(A308, [1]Clients!A:A, 0)), "")</f>
        <v/>
      </c>
    </row>
    <row r="309" spans="2:6" x14ac:dyDescent="0.45">
      <c r="B309" s="5" t="str">
        <f>IFERROR(INDEX([1]Clients!$D:$D, MATCH(A309, [1]Clients!$A:$A, 0)), "")</f>
        <v/>
      </c>
      <c r="E309" s="1" t="str">
        <f>IF(OR(D309="",D309=0),"",D309-SUMIFS('Lessons Log'!$E:$E,'Lessons Log'!$C:$C,A309,'Lessons Log'!$D:$D,"*Package*"))</f>
        <v/>
      </c>
      <c r="F309" s="6" t="str">
        <f>IFERROR(INDEX([1]Clients!F:F, MATCH(A309, [1]Clients!A:A, 0)), "")</f>
        <v/>
      </c>
    </row>
    <row r="310" spans="2:6" x14ac:dyDescent="0.45">
      <c r="B310" s="5" t="str">
        <f>IFERROR(INDEX([1]Clients!$D:$D, MATCH(A310, [1]Clients!$A:$A, 0)), "")</f>
        <v/>
      </c>
      <c r="E310" s="1" t="str">
        <f>IF(OR(D310="",D310=0),"",D310-SUMIFS('Lessons Log'!$E:$E,'Lessons Log'!$C:$C,A310,'Lessons Log'!$D:$D,"*Package*"))</f>
        <v/>
      </c>
      <c r="F310" s="6" t="str">
        <f>IFERROR(INDEX([1]Clients!F:F, MATCH(A310, [1]Clients!A:A, 0)), "")</f>
        <v/>
      </c>
    </row>
    <row r="311" spans="2:6" x14ac:dyDescent="0.45">
      <c r="B311" s="5" t="str">
        <f>IFERROR(INDEX([1]Clients!$D:$D, MATCH(A311, [1]Clients!$A:$A, 0)), "")</f>
        <v/>
      </c>
      <c r="E311" s="1" t="str">
        <f>IF(OR(D311="",D311=0),"",D311-SUMIFS('Lessons Log'!$E:$E,'Lessons Log'!$C:$C,A311,'Lessons Log'!$D:$D,"*Package*"))</f>
        <v/>
      </c>
      <c r="F311" s="6" t="str">
        <f>IFERROR(INDEX([1]Clients!F:F, MATCH(A311, [1]Clients!A:A, 0)), "")</f>
        <v/>
      </c>
    </row>
    <row r="312" spans="2:6" x14ac:dyDescent="0.45">
      <c r="B312" s="5" t="str">
        <f>IFERROR(INDEX([1]Clients!$D:$D, MATCH(A312, [1]Clients!$A:$A, 0)), "")</f>
        <v/>
      </c>
      <c r="E312" s="1" t="str">
        <f>IF(OR(D312="",D312=0),"",D312-SUMIFS('Lessons Log'!$E:$E,'Lessons Log'!$C:$C,A312,'Lessons Log'!$D:$D,"*Package*"))</f>
        <v/>
      </c>
      <c r="F312" s="6" t="str">
        <f>IFERROR(INDEX([1]Clients!F:F, MATCH(A312, [1]Clients!A:A, 0)), "")</f>
        <v/>
      </c>
    </row>
    <row r="313" spans="2:6" x14ac:dyDescent="0.45">
      <c r="B313" s="5" t="str">
        <f>IFERROR(INDEX([1]Clients!$D:$D, MATCH(A313, [1]Clients!$A:$A, 0)), "")</f>
        <v/>
      </c>
      <c r="E313" s="1" t="str">
        <f>IF(OR(D313="",D313=0),"",D313-SUMIFS('Lessons Log'!$E:$E,'Lessons Log'!$C:$C,A313,'Lessons Log'!$D:$D,"*Package*"))</f>
        <v/>
      </c>
      <c r="F313" s="6" t="str">
        <f>IFERROR(INDEX([1]Clients!F:F, MATCH(A313, [1]Clients!A:A, 0)), "")</f>
        <v/>
      </c>
    </row>
    <row r="314" spans="2:6" x14ac:dyDescent="0.45">
      <c r="B314" s="5" t="str">
        <f>IFERROR(INDEX([1]Clients!$D:$D, MATCH(A314, [1]Clients!$A:$A, 0)), "")</f>
        <v/>
      </c>
      <c r="E314" s="1" t="str">
        <f>IF(OR(D314="",D314=0),"",D314-SUMIFS('Lessons Log'!$E:$E,'Lessons Log'!$C:$C,A314,'Lessons Log'!$D:$D,"*Package*"))</f>
        <v/>
      </c>
      <c r="F314" s="6" t="str">
        <f>IFERROR(INDEX([1]Clients!F:F, MATCH(A314, [1]Clients!A:A, 0)), "")</f>
        <v/>
      </c>
    </row>
    <row r="315" spans="2:6" x14ac:dyDescent="0.45">
      <c r="B315" s="5" t="str">
        <f>IFERROR(INDEX([1]Clients!$D:$D, MATCH(A315, [1]Clients!$A:$A, 0)), "")</f>
        <v/>
      </c>
      <c r="E315" s="1" t="str">
        <f>IF(OR(D315="",D315=0),"",D315-SUMIFS('Lessons Log'!$E:$E,'Lessons Log'!$C:$C,A315,'Lessons Log'!$D:$D,"*Package*"))</f>
        <v/>
      </c>
      <c r="F315" s="6" t="str">
        <f>IFERROR(INDEX([1]Clients!F:F, MATCH(A315, [1]Clients!A:A, 0)), "")</f>
        <v/>
      </c>
    </row>
    <row r="316" spans="2:6" x14ac:dyDescent="0.45">
      <c r="B316" s="5" t="str">
        <f>IFERROR(INDEX([1]Clients!$D:$D, MATCH(A316, [1]Clients!$A:$A, 0)), "")</f>
        <v/>
      </c>
      <c r="E316" s="1" t="str">
        <f>IF(OR(D316="",D316=0),"",D316-SUMIFS('Lessons Log'!$E:$E,'Lessons Log'!$C:$C,A316,'Lessons Log'!$D:$D,"*Package*"))</f>
        <v/>
      </c>
      <c r="F316" s="6" t="str">
        <f>IFERROR(INDEX([1]Clients!F:F, MATCH(A316, [1]Clients!A:A, 0)), "")</f>
        <v/>
      </c>
    </row>
    <row r="317" spans="2:6" x14ac:dyDescent="0.45">
      <c r="B317" s="5" t="str">
        <f>IFERROR(INDEX([1]Clients!$D:$D, MATCH(A317, [1]Clients!$A:$A, 0)), "")</f>
        <v/>
      </c>
      <c r="E317" s="1" t="str">
        <f>IF(OR(D317="",D317=0),"",D317-SUMIFS('Lessons Log'!$E:$E,'Lessons Log'!$C:$C,A317,'Lessons Log'!$D:$D,"*Package*"))</f>
        <v/>
      </c>
      <c r="F317" s="6" t="str">
        <f>IFERROR(INDEX([1]Clients!F:F, MATCH(A317, [1]Clients!A:A, 0)), "")</f>
        <v/>
      </c>
    </row>
    <row r="318" spans="2:6" x14ac:dyDescent="0.45">
      <c r="B318" s="5" t="str">
        <f>IFERROR(INDEX([1]Clients!$D:$D, MATCH(A318, [1]Clients!$A:$A, 0)), "")</f>
        <v/>
      </c>
      <c r="E318" s="1" t="str">
        <f>IF(OR(D318="",D318=0),"",D318-SUMIFS('Lessons Log'!$E:$E,'Lessons Log'!$C:$C,A318,'Lessons Log'!$D:$D,"*Package*"))</f>
        <v/>
      </c>
      <c r="F318" s="6" t="str">
        <f>IFERROR(INDEX([1]Clients!F:F, MATCH(A318, [1]Clients!A:A, 0)), "")</f>
        <v/>
      </c>
    </row>
    <row r="319" spans="2:6" x14ac:dyDescent="0.45">
      <c r="B319" s="5" t="str">
        <f>IFERROR(INDEX([1]Clients!$D:$D, MATCH(A319, [1]Clients!$A:$A, 0)), "")</f>
        <v/>
      </c>
      <c r="E319" s="1" t="str">
        <f>IF(OR(D319="",D319=0),"",D319-SUMIFS('Lessons Log'!$E:$E,'Lessons Log'!$C:$C,A319,'Lessons Log'!$D:$D,"*Package*"))</f>
        <v/>
      </c>
      <c r="F319" s="6" t="str">
        <f>IFERROR(INDEX([1]Clients!F:F, MATCH(A319, [1]Clients!A:A, 0)), "")</f>
        <v/>
      </c>
    </row>
    <row r="320" spans="2:6" x14ac:dyDescent="0.45">
      <c r="B320" s="5" t="str">
        <f>IFERROR(INDEX([1]Clients!$D:$D, MATCH(A320, [1]Clients!$A:$A, 0)), "")</f>
        <v/>
      </c>
      <c r="E320" s="1" t="str">
        <f>IF(OR(D320="",D320=0),"",D320-SUMIFS('Lessons Log'!$E:$E,'Lessons Log'!$C:$C,A320,'Lessons Log'!$D:$D,"*Package*"))</f>
        <v/>
      </c>
      <c r="F320" s="6" t="str">
        <f>IFERROR(INDEX([1]Clients!F:F, MATCH(A320, [1]Clients!A:A, 0)), "")</f>
        <v/>
      </c>
    </row>
    <row r="321" spans="2:6" x14ac:dyDescent="0.45">
      <c r="B321" s="5" t="str">
        <f>IFERROR(INDEX([1]Clients!$D:$D, MATCH(A321, [1]Clients!$A:$A, 0)), "")</f>
        <v/>
      </c>
      <c r="E321" s="1" t="str">
        <f>IF(OR(D321="",D321=0),"",D321-SUMIFS('Lessons Log'!$E:$E,'Lessons Log'!$C:$C,A321,'Lessons Log'!$D:$D,"*Package*"))</f>
        <v/>
      </c>
      <c r="F321" s="6" t="str">
        <f>IFERROR(INDEX([1]Clients!F:F, MATCH(A321, [1]Clients!A:A, 0)), "")</f>
        <v/>
      </c>
    </row>
    <row r="322" spans="2:6" x14ac:dyDescent="0.45">
      <c r="B322" s="5" t="str">
        <f>IFERROR(INDEX([1]Clients!$D:$D, MATCH(A322, [1]Clients!$A:$A, 0)), "")</f>
        <v/>
      </c>
      <c r="E322" s="1" t="str">
        <f>IF(OR(D322="",D322=0),"",D322-SUMIFS('Lessons Log'!$E:$E,'Lessons Log'!$C:$C,A322,'Lessons Log'!$D:$D,"*Package*"))</f>
        <v/>
      </c>
      <c r="F322" s="6" t="str">
        <f>IFERROR(INDEX([1]Clients!F:F, MATCH(A322, [1]Clients!A:A, 0)), "")</f>
        <v/>
      </c>
    </row>
    <row r="323" spans="2:6" x14ac:dyDescent="0.45">
      <c r="B323" s="5" t="str">
        <f>IFERROR(INDEX([1]Clients!$D:$D, MATCH(A323, [1]Clients!$A:$A, 0)), "")</f>
        <v/>
      </c>
      <c r="E323" s="1" t="str">
        <f>IF(OR(D323="",D323=0),"",D323-SUMIFS('Lessons Log'!$E:$E,'Lessons Log'!$C:$C,A323,'Lessons Log'!$D:$D,"*Package*"))</f>
        <v/>
      </c>
      <c r="F323" s="6" t="str">
        <f>IFERROR(INDEX([1]Clients!F:F, MATCH(A323, [1]Clients!A:A, 0)), "")</f>
        <v/>
      </c>
    </row>
    <row r="324" spans="2:6" x14ac:dyDescent="0.45">
      <c r="B324" s="5" t="str">
        <f>IFERROR(INDEX([1]Clients!$D:$D, MATCH(A324, [1]Clients!$A:$A, 0)), "")</f>
        <v/>
      </c>
      <c r="E324" s="1" t="str">
        <f>IF(OR(D324="",D324=0),"",D324-SUMIFS('Lessons Log'!$E:$E,'Lessons Log'!$C:$C,A324,'Lessons Log'!$D:$D,"*Package*"))</f>
        <v/>
      </c>
      <c r="F324" s="6" t="str">
        <f>IFERROR(INDEX([1]Clients!F:F, MATCH(A324, [1]Clients!A:A, 0)), "")</f>
        <v/>
      </c>
    </row>
    <row r="325" spans="2:6" x14ac:dyDescent="0.45">
      <c r="B325" s="5" t="str">
        <f>IFERROR(INDEX([1]Clients!$D:$D, MATCH(A325, [1]Clients!$A:$A, 0)), "")</f>
        <v/>
      </c>
      <c r="E325" s="1" t="str">
        <f>IF(OR(D325="",D325=0),"",D325-SUMIFS('Lessons Log'!$E:$E,'Lessons Log'!$C:$C,A325,'Lessons Log'!$D:$D,"*Package*"))</f>
        <v/>
      </c>
      <c r="F325" s="6" t="str">
        <f>IFERROR(INDEX([1]Clients!F:F, MATCH(A325, [1]Clients!A:A, 0)), "")</f>
        <v/>
      </c>
    </row>
    <row r="326" spans="2:6" x14ac:dyDescent="0.45">
      <c r="B326" s="5" t="str">
        <f>IFERROR(INDEX([1]Clients!$D:$D, MATCH(A326, [1]Clients!$A:$A, 0)), "")</f>
        <v/>
      </c>
      <c r="E326" s="1" t="str">
        <f>IF(OR(D326="",D326=0),"",D326-SUMIFS('Lessons Log'!$E:$E,'Lessons Log'!$C:$C,A326,'Lessons Log'!$D:$D,"*Package*"))</f>
        <v/>
      </c>
      <c r="F326" s="6" t="str">
        <f>IFERROR(INDEX([1]Clients!F:F, MATCH(A326, [1]Clients!A:A, 0)), "")</f>
        <v/>
      </c>
    </row>
    <row r="327" spans="2:6" x14ac:dyDescent="0.45">
      <c r="B327" s="5" t="str">
        <f>IFERROR(INDEX([1]Clients!$D:$D, MATCH(A327, [1]Clients!$A:$A, 0)), "")</f>
        <v/>
      </c>
      <c r="E327" s="1" t="str">
        <f>IF(OR(D327="",D327=0),"",D327-SUMIFS('Lessons Log'!$E:$E,'Lessons Log'!$C:$C,A327,'Lessons Log'!$D:$D,"*Package*"))</f>
        <v/>
      </c>
      <c r="F327" s="6" t="str">
        <f>IFERROR(INDEX([1]Clients!F:F, MATCH(A327, [1]Clients!A:A, 0)), "")</f>
        <v/>
      </c>
    </row>
    <row r="328" spans="2:6" x14ac:dyDescent="0.45">
      <c r="B328" s="5" t="str">
        <f>IFERROR(INDEX([1]Clients!$D:$D, MATCH(A328, [1]Clients!$A:$A, 0)), "")</f>
        <v/>
      </c>
      <c r="E328" s="1" t="str">
        <f>IF(OR(D328="",D328=0),"",D328-SUMIFS('Lessons Log'!$E:$E,'Lessons Log'!$C:$C,A328,'Lessons Log'!$D:$D,"*Package*"))</f>
        <v/>
      </c>
      <c r="F328" s="6" t="str">
        <f>IFERROR(INDEX([1]Clients!F:F, MATCH(A328, [1]Clients!A:A, 0)), "")</f>
        <v/>
      </c>
    </row>
    <row r="329" spans="2:6" x14ac:dyDescent="0.45">
      <c r="B329" s="5" t="str">
        <f>IFERROR(INDEX([1]Clients!$D:$D, MATCH(A329, [1]Clients!$A:$A, 0)), "")</f>
        <v/>
      </c>
      <c r="E329" s="1" t="str">
        <f>IF(OR(D329="",D329=0),"",D329-SUMIFS('Lessons Log'!$E:$E,'Lessons Log'!$C:$C,A329,'Lessons Log'!$D:$D,"*Package*"))</f>
        <v/>
      </c>
      <c r="F329" s="6" t="str">
        <f>IFERROR(INDEX([1]Clients!F:F, MATCH(A329, [1]Clients!A:A, 0)), "")</f>
        <v/>
      </c>
    </row>
    <row r="330" spans="2:6" x14ac:dyDescent="0.45">
      <c r="B330" s="5" t="str">
        <f>IFERROR(INDEX([1]Clients!$D:$D, MATCH(A330, [1]Clients!$A:$A, 0)), "")</f>
        <v/>
      </c>
      <c r="E330" s="1" t="str">
        <f>IF(OR(D330="",D330=0),"",D330-SUMIFS('Lessons Log'!$E:$E,'Lessons Log'!$C:$C,A330,'Lessons Log'!$D:$D,"*Package*"))</f>
        <v/>
      </c>
      <c r="F330" s="6" t="str">
        <f>IFERROR(INDEX([1]Clients!F:F, MATCH(A330, [1]Clients!A:A, 0)), "")</f>
        <v/>
      </c>
    </row>
    <row r="331" spans="2:6" x14ac:dyDescent="0.45">
      <c r="B331" s="5" t="str">
        <f>IFERROR(INDEX([1]Clients!$D:$D, MATCH(A331, [1]Clients!$A:$A, 0)), "")</f>
        <v/>
      </c>
      <c r="E331" s="1" t="str">
        <f>IF(OR(D331="",D331=0),"",D331-SUMIFS('Lessons Log'!$E:$E,'Lessons Log'!$C:$C,A331,'Lessons Log'!$D:$D,"*Package*"))</f>
        <v/>
      </c>
      <c r="F331" s="6" t="str">
        <f>IFERROR(INDEX([1]Clients!F:F, MATCH(A331, [1]Clients!A:A, 0)), "")</f>
        <v/>
      </c>
    </row>
    <row r="332" spans="2:6" x14ac:dyDescent="0.45">
      <c r="B332" s="5" t="str">
        <f>IFERROR(INDEX([1]Clients!$D:$D, MATCH(A332, [1]Clients!$A:$A, 0)), "")</f>
        <v/>
      </c>
      <c r="E332" s="1" t="str">
        <f>IF(OR(D332="",D332=0),"",D332-SUMIFS('Lessons Log'!$E:$E,'Lessons Log'!$C:$C,A332,'Lessons Log'!$D:$D,"*Package*"))</f>
        <v/>
      </c>
      <c r="F332" s="6" t="str">
        <f>IFERROR(INDEX([1]Clients!F:F, MATCH(A332, [1]Clients!A:A, 0)), "")</f>
        <v/>
      </c>
    </row>
    <row r="333" spans="2:6" x14ac:dyDescent="0.45">
      <c r="B333" s="5" t="str">
        <f>IFERROR(INDEX([1]Clients!$D:$D, MATCH(A333, [1]Clients!$A:$A, 0)), "")</f>
        <v/>
      </c>
      <c r="E333" s="1" t="str">
        <f>IF(OR(D333="",D333=0),"",D333-SUMIFS('Lessons Log'!$E:$E,'Lessons Log'!$C:$C,A333,'Lessons Log'!$D:$D,"*Package*"))</f>
        <v/>
      </c>
      <c r="F333" s="6" t="str">
        <f>IFERROR(INDEX([1]Clients!F:F, MATCH(A333, [1]Clients!A:A, 0)), "")</f>
        <v/>
      </c>
    </row>
    <row r="334" spans="2:6" x14ac:dyDescent="0.45">
      <c r="B334" s="5" t="str">
        <f>IFERROR(INDEX([1]Clients!$D:$D, MATCH(A334, [1]Clients!$A:$A, 0)), "")</f>
        <v/>
      </c>
      <c r="E334" s="1" t="str">
        <f>IF(OR(D334="",D334=0),"",D334-SUMIFS('Lessons Log'!$E:$E,'Lessons Log'!$C:$C,A334,'Lessons Log'!$D:$D,"*Package*"))</f>
        <v/>
      </c>
      <c r="F334" s="6" t="str">
        <f>IFERROR(INDEX([1]Clients!F:F, MATCH(A334, [1]Clients!A:A, 0)), "")</f>
        <v/>
      </c>
    </row>
    <row r="335" spans="2:6" x14ac:dyDescent="0.45">
      <c r="B335" s="5" t="str">
        <f>IFERROR(INDEX([1]Clients!$D:$D, MATCH(A335, [1]Clients!$A:$A, 0)), "")</f>
        <v/>
      </c>
      <c r="E335" s="1" t="str">
        <f>IF(OR(D335="",D335=0),"",D335-SUMIFS('Lessons Log'!$E:$E,'Lessons Log'!$C:$C,A335,'Lessons Log'!$D:$D,"*Package*"))</f>
        <v/>
      </c>
      <c r="F335" s="6" t="str">
        <f>IFERROR(INDEX([1]Clients!F:F, MATCH(A335, [1]Clients!A:A, 0)), "")</f>
        <v/>
      </c>
    </row>
    <row r="336" spans="2:6" x14ac:dyDescent="0.45">
      <c r="B336" s="5" t="str">
        <f>IFERROR(INDEX([1]Clients!$D:$D, MATCH(A336, [1]Clients!$A:$A, 0)), "")</f>
        <v/>
      </c>
      <c r="E336" s="1" t="str">
        <f>IF(OR(D336="",D336=0),"",D336-SUMIFS('Lessons Log'!$E:$E,'Lessons Log'!$C:$C,A336,'Lessons Log'!$D:$D,"*Package*"))</f>
        <v/>
      </c>
      <c r="F336" s="6" t="str">
        <f>IFERROR(INDEX([1]Clients!F:F, MATCH(A336, [1]Clients!A:A, 0)), "")</f>
        <v/>
      </c>
    </row>
    <row r="337" spans="2:6" x14ac:dyDescent="0.45">
      <c r="B337" s="5" t="str">
        <f>IFERROR(INDEX([1]Clients!$D:$D, MATCH(A337, [1]Clients!$A:$A, 0)), "")</f>
        <v/>
      </c>
      <c r="E337" s="1" t="str">
        <f>IF(OR(D337="",D337=0),"",D337-SUMIFS('Lessons Log'!$E:$E,'Lessons Log'!$C:$C,A337,'Lessons Log'!$D:$D,"*Package*"))</f>
        <v/>
      </c>
      <c r="F337" s="6" t="str">
        <f>IFERROR(INDEX([1]Clients!F:F, MATCH(A337, [1]Clients!A:A, 0)), "")</f>
        <v/>
      </c>
    </row>
    <row r="338" spans="2:6" x14ac:dyDescent="0.45">
      <c r="B338" s="5" t="str">
        <f>IFERROR(INDEX([1]Clients!$D:$D, MATCH(A338, [1]Clients!$A:$A, 0)), "")</f>
        <v/>
      </c>
      <c r="E338" s="1" t="str">
        <f>IF(OR(D338="",D338=0),"",D338-SUMIFS('Lessons Log'!$E:$E,'Lessons Log'!$C:$C,A338,'Lessons Log'!$D:$D,"*Package*"))</f>
        <v/>
      </c>
      <c r="F338" s="6" t="str">
        <f>IFERROR(INDEX([1]Clients!F:F, MATCH(A338, [1]Clients!A:A, 0)), "")</f>
        <v/>
      </c>
    </row>
    <row r="339" spans="2:6" x14ac:dyDescent="0.45">
      <c r="B339" s="5" t="str">
        <f>IFERROR(INDEX([1]Clients!$D:$D, MATCH(A339, [1]Clients!$A:$A, 0)), "")</f>
        <v/>
      </c>
      <c r="E339" s="1" t="str">
        <f>IF(OR(D339="",D339=0),"",D339-SUMIFS('Lessons Log'!$E:$E,'Lessons Log'!$C:$C,A339,'Lessons Log'!$D:$D,"*Package*"))</f>
        <v/>
      </c>
      <c r="F339" s="6" t="str">
        <f>IFERROR(INDEX([1]Clients!F:F, MATCH(A339, [1]Clients!A:A, 0)), "")</f>
        <v/>
      </c>
    </row>
    <row r="340" spans="2:6" x14ac:dyDescent="0.45">
      <c r="B340" s="5" t="str">
        <f>IFERROR(INDEX([1]Clients!$D:$D, MATCH(A340, [1]Clients!$A:$A, 0)), "")</f>
        <v/>
      </c>
      <c r="E340" s="1" t="str">
        <f>IF(OR(D340="",D340=0),"",D340-SUMIFS('Lessons Log'!$E:$E,'Lessons Log'!$C:$C,A340,'Lessons Log'!$D:$D,"*Package*"))</f>
        <v/>
      </c>
      <c r="F340" s="6" t="str">
        <f>IFERROR(INDEX([1]Clients!F:F, MATCH(A340, [1]Clients!A:A, 0)), "")</f>
        <v/>
      </c>
    </row>
    <row r="341" spans="2:6" x14ac:dyDescent="0.45">
      <c r="B341" s="5" t="str">
        <f>IFERROR(INDEX([1]Clients!$D:$D, MATCH(A341, [1]Clients!$A:$A, 0)), "")</f>
        <v/>
      </c>
      <c r="E341" s="1" t="str">
        <f>IF(OR(D341="",D341=0),"",D341-SUMIFS('Lessons Log'!$E:$E,'Lessons Log'!$C:$C,A341,'Lessons Log'!$D:$D,"*Package*"))</f>
        <v/>
      </c>
      <c r="F341" s="6" t="str">
        <f>IFERROR(INDEX([1]Clients!F:F, MATCH(A341, [1]Clients!A:A, 0)), "")</f>
        <v/>
      </c>
    </row>
    <row r="342" spans="2:6" x14ac:dyDescent="0.45">
      <c r="B342" s="5" t="str">
        <f>IFERROR(INDEX([1]Clients!$D:$D, MATCH(A342, [1]Clients!$A:$A, 0)), "")</f>
        <v/>
      </c>
      <c r="E342" s="1" t="str">
        <f>IF(OR(D342="",D342=0),"",D342-SUMIFS('Lessons Log'!$E:$E,'Lessons Log'!$C:$C,A342,'Lessons Log'!$D:$D,"*Package*"))</f>
        <v/>
      </c>
      <c r="F342" s="6" t="str">
        <f>IFERROR(INDEX([1]Clients!F:F, MATCH(A342, [1]Clients!A:A, 0)), "")</f>
        <v/>
      </c>
    </row>
    <row r="343" spans="2:6" x14ac:dyDescent="0.45">
      <c r="B343" s="5" t="str">
        <f>IFERROR(INDEX([1]Clients!$D:$D, MATCH(A343, [1]Clients!$A:$A, 0)), "")</f>
        <v/>
      </c>
      <c r="E343" s="1" t="str">
        <f>IF(OR(D343="",D343=0),"",D343-SUMIFS('Lessons Log'!$E:$E,'Lessons Log'!$C:$C,A343,'Lessons Log'!$D:$D,"*Package*"))</f>
        <v/>
      </c>
      <c r="F343" s="6" t="str">
        <f>IFERROR(INDEX([1]Clients!F:F, MATCH(A343, [1]Clients!A:A, 0)), "")</f>
        <v/>
      </c>
    </row>
    <row r="344" spans="2:6" x14ac:dyDescent="0.45">
      <c r="B344" s="5" t="str">
        <f>IFERROR(INDEX([1]Clients!$D:$D, MATCH(A344, [1]Clients!$A:$A, 0)), "")</f>
        <v/>
      </c>
      <c r="E344" s="1" t="str">
        <f>IF(OR(D344="",D344=0),"",D344-SUMIFS('Lessons Log'!$E:$E,'Lessons Log'!$C:$C,A344,'Lessons Log'!$D:$D,"*Package*"))</f>
        <v/>
      </c>
      <c r="F344" s="6" t="str">
        <f>IFERROR(INDEX([1]Clients!F:F, MATCH(A344, [1]Clients!A:A, 0)), "")</f>
        <v/>
      </c>
    </row>
    <row r="345" spans="2:6" x14ac:dyDescent="0.45">
      <c r="B345" s="5" t="str">
        <f>IFERROR(INDEX([1]Clients!$D:$D, MATCH(A345, [1]Clients!$A:$A, 0)), "")</f>
        <v/>
      </c>
      <c r="E345" s="1" t="str">
        <f>IF(OR(D345="",D345=0),"",D345-SUMIFS('Lessons Log'!$E:$E,'Lessons Log'!$C:$C,A345,'Lessons Log'!$D:$D,"*Package*"))</f>
        <v/>
      </c>
      <c r="F345" s="6" t="str">
        <f>IFERROR(INDEX([1]Clients!F:F, MATCH(A345, [1]Clients!A:A, 0)), "")</f>
        <v/>
      </c>
    </row>
    <row r="346" spans="2:6" x14ac:dyDescent="0.45">
      <c r="B346" s="5" t="str">
        <f>IFERROR(INDEX([1]Clients!$D:$D, MATCH(A346, [1]Clients!$A:$A, 0)), "")</f>
        <v/>
      </c>
      <c r="E346" s="1" t="str">
        <f>IF(OR(D346="",D346=0),"",D346-SUMIFS('Lessons Log'!$E:$E,'Lessons Log'!$C:$C,A346,'Lessons Log'!$D:$D,"*Package*"))</f>
        <v/>
      </c>
      <c r="F346" s="6" t="str">
        <f>IFERROR(INDEX([1]Clients!F:F, MATCH(A346, [1]Clients!A:A, 0)), "")</f>
        <v/>
      </c>
    </row>
    <row r="347" spans="2:6" x14ac:dyDescent="0.45">
      <c r="B347" s="5" t="str">
        <f>IFERROR(INDEX([1]Clients!$D:$D, MATCH(A347, [1]Clients!$A:$A, 0)), "")</f>
        <v/>
      </c>
      <c r="E347" s="1" t="str">
        <f>IF(OR(D347="",D347=0),"",D347-SUMIFS('Lessons Log'!$E:$E,'Lessons Log'!$C:$C,A347,'Lessons Log'!$D:$D,"*Package*"))</f>
        <v/>
      </c>
      <c r="F347" s="6" t="str">
        <f>IFERROR(INDEX([1]Clients!F:F, MATCH(A347, [1]Clients!A:A, 0)), "")</f>
        <v/>
      </c>
    </row>
    <row r="348" spans="2:6" x14ac:dyDescent="0.45">
      <c r="B348" s="5" t="str">
        <f>IFERROR(INDEX([1]Clients!$D:$D, MATCH(A348, [1]Clients!$A:$A, 0)), "")</f>
        <v/>
      </c>
      <c r="E348" s="1" t="str">
        <f>IF(OR(D348="",D348=0),"",D348-SUMIFS('Lessons Log'!$E:$E,'Lessons Log'!$C:$C,A348,'Lessons Log'!$D:$D,"*Package*"))</f>
        <v/>
      </c>
      <c r="F348" s="6" t="str">
        <f>IFERROR(INDEX([1]Clients!F:F, MATCH(A348, [1]Clients!A:A, 0)), "")</f>
        <v/>
      </c>
    </row>
    <row r="349" spans="2:6" x14ac:dyDescent="0.45">
      <c r="B349" s="5" t="str">
        <f>IFERROR(INDEX([1]Clients!$D:$D, MATCH(A349, [1]Clients!$A:$A, 0)), "")</f>
        <v/>
      </c>
      <c r="E349" s="1" t="str">
        <f>IF(OR(D349="",D349=0),"",D349-SUMIFS('Lessons Log'!$E:$E,'Lessons Log'!$C:$C,A349,'Lessons Log'!$D:$D,"*Package*"))</f>
        <v/>
      </c>
      <c r="F349" s="6" t="str">
        <f>IFERROR(INDEX([1]Clients!F:F, MATCH(A349, [1]Clients!A:A, 0)), "")</f>
        <v/>
      </c>
    </row>
    <row r="350" spans="2:6" x14ac:dyDescent="0.45">
      <c r="B350" s="5" t="str">
        <f>IFERROR(INDEX([1]Clients!$D:$D, MATCH(A350, [1]Clients!$A:$A, 0)), "")</f>
        <v/>
      </c>
      <c r="E350" s="1" t="str">
        <f>IF(OR(D350="",D350=0),"",D350-SUMIFS('Lessons Log'!$E:$E,'Lessons Log'!$C:$C,A350,'Lessons Log'!$D:$D,"*Package*"))</f>
        <v/>
      </c>
      <c r="F350" s="6" t="str">
        <f>IFERROR(INDEX([1]Clients!F:F, MATCH(A350, [1]Clients!A:A, 0)), "")</f>
        <v/>
      </c>
    </row>
    <row r="351" spans="2:6" x14ac:dyDescent="0.45">
      <c r="B351" s="5" t="str">
        <f>IFERROR(INDEX([1]Clients!$D:$D, MATCH(A351, [1]Clients!$A:$A, 0)), "")</f>
        <v/>
      </c>
      <c r="E351" s="1" t="str">
        <f>IF(OR(D351="",D351=0),"",D351-SUMIFS('Lessons Log'!$E:$E,'Lessons Log'!$C:$C,A351,'Lessons Log'!$D:$D,"*Package*"))</f>
        <v/>
      </c>
      <c r="F351" s="6" t="str">
        <f>IFERROR(INDEX([1]Clients!F:F, MATCH(A351, [1]Clients!A:A, 0)), "")</f>
        <v/>
      </c>
    </row>
    <row r="352" spans="2:6" x14ac:dyDescent="0.45">
      <c r="B352" s="5" t="str">
        <f>IFERROR(INDEX([1]Clients!$D:$D, MATCH(A352, [1]Clients!$A:$A, 0)), "")</f>
        <v/>
      </c>
      <c r="E352" s="1" t="str">
        <f>IF(OR(D352="",D352=0),"",D352-SUMIFS('Lessons Log'!$E:$E,'Lessons Log'!$C:$C,A352,'Lessons Log'!$D:$D,"*Package*"))</f>
        <v/>
      </c>
      <c r="F352" s="6" t="str">
        <f>IFERROR(INDEX([1]Clients!F:F, MATCH(A352, [1]Clients!A:A, 0)), "")</f>
        <v/>
      </c>
    </row>
    <row r="353" spans="2:6" x14ac:dyDescent="0.45">
      <c r="B353" s="5" t="str">
        <f>IFERROR(INDEX([1]Clients!$D:$D, MATCH(A353, [1]Clients!$A:$A, 0)), "")</f>
        <v/>
      </c>
      <c r="E353" s="1" t="str">
        <f>IF(OR(D353="",D353=0),"",D353-SUMIFS('Lessons Log'!$E:$E,'Lessons Log'!$C:$C,A353,'Lessons Log'!$D:$D,"*Package*"))</f>
        <v/>
      </c>
      <c r="F353" s="6" t="str">
        <f>IFERROR(INDEX([1]Clients!F:F, MATCH(A353, [1]Clients!A:A, 0)), "")</f>
        <v/>
      </c>
    </row>
    <row r="354" spans="2:6" x14ac:dyDescent="0.45">
      <c r="B354" s="5" t="str">
        <f>IFERROR(INDEX([1]Clients!$D:$D, MATCH(A354, [1]Clients!$A:$A, 0)), "")</f>
        <v/>
      </c>
      <c r="E354" s="1" t="str">
        <f>IF(OR(D354="",D354=0),"",D354-SUMIFS('Lessons Log'!$E:$E,'Lessons Log'!$C:$C,A354,'Lessons Log'!$D:$D,"*Package*"))</f>
        <v/>
      </c>
      <c r="F354" s="6" t="str">
        <f>IFERROR(INDEX([1]Clients!F:F, MATCH(A354, [1]Clients!A:A, 0)), "")</f>
        <v/>
      </c>
    </row>
    <row r="355" spans="2:6" x14ac:dyDescent="0.45">
      <c r="B355" s="5" t="str">
        <f>IFERROR(INDEX([1]Clients!$D:$D, MATCH(A355, [1]Clients!$A:$A, 0)), "")</f>
        <v/>
      </c>
      <c r="E355" s="1" t="str">
        <f>IF(OR(D355="",D355=0),"",D355-SUMIFS('Lessons Log'!$E:$E,'Lessons Log'!$C:$C,A355,'Lessons Log'!$D:$D,"*Package*"))</f>
        <v/>
      </c>
      <c r="F355" s="6" t="str">
        <f>IFERROR(INDEX([1]Clients!F:F, MATCH(A355, [1]Clients!A:A, 0)), "")</f>
        <v/>
      </c>
    </row>
    <row r="356" spans="2:6" x14ac:dyDescent="0.45">
      <c r="B356" s="5" t="str">
        <f>IFERROR(INDEX([1]Clients!$D:$D, MATCH(A356, [1]Clients!$A:$A, 0)), "")</f>
        <v/>
      </c>
      <c r="E356" s="1" t="str">
        <f>IF(OR(D356="",D356=0),"",D356-SUMIFS('Lessons Log'!$E:$E,'Lessons Log'!$C:$C,A356,'Lessons Log'!$D:$D,"*Package*"))</f>
        <v/>
      </c>
      <c r="F356" s="6" t="str">
        <f>IFERROR(INDEX([1]Clients!F:F, MATCH(A356, [1]Clients!A:A, 0)), "")</f>
        <v/>
      </c>
    </row>
    <row r="357" spans="2:6" x14ac:dyDescent="0.45">
      <c r="B357" s="5" t="str">
        <f>IFERROR(INDEX([1]Clients!$D:$D, MATCH(A357, [1]Clients!$A:$A, 0)), "")</f>
        <v/>
      </c>
      <c r="E357" s="1" t="str">
        <f>IF(OR(D357="",D357=0),"",D357-SUMIFS('Lessons Log'!$E:$E,'Lessons Log'!$C:$C,A357,'Lessons Log'!$D:$D,"*Package*"))</f>
        <v/>
      </c>
      <c r="F357" s="6" t="str">
        <f>IFERROR(INDEX([1]Clients!F:F, MATCH(A357, [1]Clients!A:A, 0)), "")</f>
        <v/>
      </c>
    </row>
    <row r="358" spans="2:6" x14ac:dyDescent="0.45">
      <c r="B358" s="5" t="str">
        <f>IFERROR(INDEX([1]Clients!$D:$D, MATCH(A358, [1]Clients!$A:$A, 0)), "")</f>
        <v/>
      </c>
      <c r="E358" s="1" t="str">
        <f>IF(OR(D358="",D358=0),"",D358-SUMIFS('Lessons Log'!$E:$E,'Lessons Log'!$C:$C,A358,'Lessons Log'!$D:$D,"*Package*"))</f>
        <v/>
      </c>
      <c r="F358" s="6" t="str">
        <f>IFERROR(INDEX([1]Clients!F:F, MATCH(A358, [1]Clients!A:A, 0)), "")</f>
        <v/>
      </c>
    </row>
    <row r="359" spans="2:6" x14ac:dyDescent="0.45">
      <c r="B359" s="5" t="str">
        <f>IFERROR(INDEX([1]Clients!$D:$D, MATCH(A359, [1]Clients!$A:$A, 0)), "")</f>
        <v/>
      </c>
      <c r="E359" s="1" t="str">
        <f>IF(OR(D359="",D359=0),"",D359-SUMIFS('Lessons Log'!$E:$E,'Lessons Log'!$C:$C,A359,'Lessons Log'!$D:$D,"*Package*"))</f>
        <v/>
      </c>
      <c r="F359" s="6" t="str">
        <f>IFERROR(INDEX([1]Clients!F:F, MATCH(A359, [1]Clients!A:A, 0)), "")</f>
        <v/>
      </c>
    </row>
    <row r="360" spans="2:6" x14ac:dyDescent="0.45">
      <c r="B360" s="5" t="str">
        <f>IFERROR(INDEX([1]Clients!$D:$D, MATCH(A360, [1]Clients!$A:$A, 0)), "")</f>
        <v/>
      </c>
      <c r="E360" s="1" t="str">
        <f>IF(OR(D360="",D360=0),"",D360-SUMIFS('Lessons Log'!$E:$E,'Lessons Log'!$C:$C,A360,'Lessons Log'!$D:$D,"*Package*"))</f>
        <v/>
      </c>
      <c r="F360" s="6" t="str">
        <f>IFERROR(INDEX([1]Clients!F:F, MATCH(A360, [1]Clients!A:A, 0)), "")</f>
        <v/>
      </c>
    </row>
    <row r="361" spans="2:6" x14ac:dyDescent="0.45">
      <c r="B361" s="5" t="str">
        <f>IFERROR(INDEX([1]Clients!$D:$D, MATCH(A361, [1]Clients!$A:$A, 0)), "")</f>
        <v/>
      </c>
      <c r="E361" s="1" t="str">
        <f>IF(OR(D361="",D361=0),"",D361-SUMIFS('Lessons Log'!$E:$E,'Lessons Log'!$C:$C,A361,'Lessons Log'!$D:$D,"*Package*"))</f>
        <v/>
      </c>
      <c r="F361" s="6" t="str">
        <f>IFERROR(INDEX([1]Clients!F:F, MATCH(A361, [1]Clients!A:A, 0)), "")</f>
        <v/>
      </c>
    </row>
    <row r="362" spans="2:6" x14ac:dyDescent="0.45">
      <c r="B362" s="5" t="str">
        <f>IFERROR(INDEX([1]Clients!$D:$D, MATCH(A362, [1]Clients!$A:$A, 0)), "")</f>
        <v/>
      </c>
      <c r="E362" s="1" t="str">
        <f>IF(OR(D362="",D362=0),"",D362-SUMIFS('Lessons Log'!$E:$E,'Lessons Log'!$C:$C,A362,'Lessons Log'!$D:$D,"*Package*"))</f>
        <v/>
      </c>
      <c r="F362" s="6" t="str">
        <f>IFERROR(INDEX([1]Clients!F:F, MATCH(A362, [1]Clients!A:A, 0)), "")</f>
        <v/>
      </c>
    </row>
    <row r="363" spans="2:6" x14ac:dyDescent="0.45">
      <c r="B363" s="5" t="str">
        <f>IFERROR(INDEX([1]Clients!$D:$D, MATCH(A363, [1]Clients!$A:$A, 0)), "")</f>
        <v/>
      </c>
      <c r="E363" s="1" t="str">
        <f>IF(OR(D363="",D363=0),"",D363-SUMIFS('Lessons Log'!$E:$E,'Lessons Log'!$C:$C,A363,'Lessons Log'!$D:$D,"*Package*"))</f>
        <v/>
      </c>
      <c r="F363" s="6" t="str">
        <f>IFERROR(INDEX([1]Clients!F:F, MATCH(A363, [1]Clients!A:A, 0)), "")</f>
        <v/>
      </c>
    </row>
    <row r="364" spans="2:6" x14ac:dyDescent="0.45">
      <c r="B364" s="5" t="str">
        <f>IFERROR(INDEX([1]Clients!$D:$D, MATCH(A364, [1]Clients!$A:$A, 0)), "")</f>
        <v/>
      </c>
      <c r="E364" s="1" t="str">
        <f>IF(OR(D364="",D364=0),"",D364-SUMIFS('Lessons Log'!$E:$E,'Lessons Log'!$C:$C,A364,'Lessons Log'!$D:$D,"*Package*"))</f>
        <v/>
      </c>
      <c r="F364" s="6" t="str">
        <f>IFERROR(INDEX([1]Clients!F:F, MATCH(A364, [1]Clients!A:A, 0)), "")</f>
        <v/>
      </c>
    </row>
    <row r="365" spans="2:6" x14ac:dyDescent="0.45">
      <c r="B365" s="5" t="str">
        <f>IFERROR(INDEX([1]Clients!$D:$D, MATCH(A365, [1]Clients!$A:$A, 0)), "")</f>
        <v/>
      </c>
      <c r="E365" s="1" t="str">
        <f>IF(OR(D365="",D365=0),"",D365-SUMIFS('Lessons Log'!$E:$E,'Lessons Log'!$C:$C,A365,'Lessons Log'!$D:$D,"*Package*"))</f>
        <v/>
      </c>
      <c r="F365" s="6" t="str">
        <f>IFERROR(INDEX([1]Clients!F:F, MATCH(A365, [1]Clients!A:A, 0)), "")</f>
        <v/>
      </c>
    </row>
    <row r="366" spans="2:6" x14ac:dyDescent="0.45">
      <c r="B366" s="5" t="str">
        <f>IFERROR(INDEX([1]Clients!$D:$D, MATCH(A366, [1]Clients!$A:$A, 0)), "")</f>
        <v/>
      </c>
      <c r="E366" s="1" t="str">
        <f>IF(OR(D366="",D366=0),"",D366-SUMIFS('Lessons Log'!$E:$E,'Lessons Log'!$C:$C,A366,'Lessons Log'!$D:$D,"*Package*"))</f>
        <v/>
      </c>
      <c r="F366" s="6" t="str">
        <f>IFERROR(INDEX([1]Clients!F:F, MATCH(A366, [1]Clients!A:A, 0)), "")</f>
        <v/>
      </c>
    </row>
    <row r="367" spans="2:6" x14ac:dyDescent="0.45">
      <c r="B367" s="5" t="str">
        <f>IFERROR(INDEX([1]Clients!$D:$D, MATCH(A367, [1]Clients!$A:$A, 0)), "")</f>
        <v/>
      </c>
      <c r="E367" s="1" t="str">
        <f>IF(OR(D367="",D367=0),"",D367-SUMIFS('Lessons Log'!$E:$E,'Lessons Log'!$C:$C,A367,'Lessons Log'!$D:$D,"*Package*"))</f>
        <v/>
      </c>
      <c r="F367" s="6" t="str">
        <f>IFERROR(INDEX([1]Clients!F:F, MATCH(A367, [1]Clients!A:A, 0)), "")</f>
        <v/>
      </c>
    </row>
    <row r="368" spans="2:6" x14ac:dyDescent="0.45">
      <c r="B368" s="5" t="str">
        <f>IFERROR(INDEX([1]Clients!$D:$D, MATCH(A368, [1]Clients!$A:$A, 0)), "")</f>
        <v/>
      </c>
      <c r="E368" s="1" t="str">
        <f>IF(OR(D368="",D368=0),"",D368-SUMIFS('Lessons Log'!$E:$E,'Lessons Log'!$C:$C,A368,'Lessons Log'!$D:$D,"*Package*"))</f>
        <v/>
      </c>
      <c r="F368" s="6" t="str">
        <f>IFERROR(INDEX([1]Clients!F:F, MATCH(A368, [1]Clients!A:A, 0)), "")</f>
        <v/>
      </c>
    </row>
    <row r="369" spans="2:6" x14ac:dyDescent="0.45">
      <c r="B369" s="5" t="str">
        <f>IFERROR(INDEX([1]Clients!$D:$D, MATCH(A369, [1]Clients!$A:$A, 0)), "")</f>
        <v/>
      </c>
      <c r="E369" s="1" t="str">
        <f>IF(OR(D369="",D369=0),"",D369-SUMIFS('Lessons Log'!$E:$E,'Lessons Log'!$C:$C,A369,'Lessons Log'!$D:$D,"*Package*"))</f>
        <v/>
      </c>
      <c r="F369" s="6" t="str">
        <f>IFERROR(INDEX([1]Clients!F:F, MATCH(A369, [1]Clients!A:A, 0)), "")</f>
        <v/>
      </c>
    </row>
    <row r="370" spans="2:6" x14ac:dyDescent="0.45">
      <c r="B370" s="5" t="str">
        <f>IFERROR(INDEX([1]Clients!$D:$D, MATCH(A370, [1]Clients!$A:$A, 0)), "")</f>
        <v/>
      </c>
      <c r="E370" s="1" t="str">
        <f>IF(OR(D370="",D370=0),"",D370-SUMIFS('Lessons Log'!$E:$E,'Lessons Log'!$C:$C,A370,'Lessons Log'!$D:$D,"*Package*"))</f>
        <v/>
      </c>
      <c r="F370" s="6" t="str">
        <f>IFERROR(INDEX([1]Clients!F:F, MATCH(A370, [1]Clients!A:A, 0)), "")</f>
        <v/>
      </c>
    </row>
    <row r="371" spans="2:6" x14ac:dyDescent="0.45">
      <c r="B371" s="5" t="str">
        <f>IFERROR(INDEX([1]Clients!$D:$D, MATCH(A371, [1]Clients!$A:$A, 0)), "")</f>
        <v/>
      </c>
      <c r="E371" s="1" t="str">
        <f>IF(OR(D371="",D371=0),"",D371-SUMIFS('Lessons Log'!$E:$E,'Lessons Log'!$C:$C,A371,'Lessons Log'!$D:$D,"*Package*"))</f>
        <v/>
      </c>
      <c r="F371" s="6" t="str">
        <f>IFERROR(INDEX([1]Clients!F:F, MATCH(A371, [1]Clients!A:A, 0)), "")</f>
        <v/>
      </c>
    </row>
    <row r="372" spans="2:6" x14ac:dyDescent="0.45">
      <c r="B372" s="5" t="str">
        <f>IFERROR(INDEX([1]Clients!$D:$D, MATCH(A372, [1]Clients!$A:$A, 0)), "")</f>
        <v/>
      </c>
      <c r="E372" s="1" t="str">
        <f>IF(OR(D372="",D372=0),"",D372-SUMIFS('Lessons Log'!$E:$E,'Lessons Log'!$C:$C,A372,'Lessons Log'!$D:$D,"*Package*"))</f>
        <v/>
      </c>
      <c r="F372" s="6" t="str">
        <f>IFERROR(INDEX([1]Clients!F:F, MATCH(A372, [1]Clients!A:A, 0)), "")</f>
        <v/>
      </c>
    </row>
    <row r="373" spans="2:6" x14ac:dyDescent="0.45">
      <c r="B373" s="5" t="str">
        <f>IFERROR(INDEX([1]Clients!$D:$D, MATCH(A373, [1]Clients!$A:$A, 0)), "")</f>
        <v/>
      </c>
      <c r="E373" s="1" t="str">
        <f>IF(OR(D373="",D373=0),"",D373-SUMIFS('Lessons Log'!$E:$E,'Lessons Log'!$C:$C,A373,'Lessons Log'!$D:$D,"*Package*"))</f>
        <v/>
      </c>
      <c r="F373" s="6" t="str">
        <f>IFERROR(INDEX([1]Clients!F:F, MATCH(A373, [1]Clients!A:A, 0)), "")</f>
        <v/>
      </c>
    </row>
    <row r="374" spans="2:6" x14ac:dyDescent="0.45">
      <c r="B374" s="5" t="str">
        <f>IFERROR(INDEX([1]Clients!$D:$D, MATCH(A374, [1]Clients!$A:$A, 0)), "")</f>
        <v/>
      </c>
      <c r="E374" s="1" t="str">
        <f>IF(OR(D374="",D374=0),"",D374-SUMIFS('Lessons Log'!$E:$E,'Lessons Log'!$C:$C,A374,'Lessons Log'!$D:$D,"*Package*"))</f>
        <v/>
      </c>
      <c r="F374" s="6" t="str">
        <f>IFERROR(INDEX([1]Clients!F:F, MATCH(A374, [1]Clients!A:A, 0)), "")</f>
        <v/>
      </c>
    </row>
    <row r="375" spans="2:6" x14ac:dyDescent="0.45">
      <c r="B375" s="5" t="str">
        <f>IFERROR(INDEX([1]Clients!$D:$D, MATCH(A375, [1]Clients!$A:$A, 0)), "")</f>
        <v/>
      </c>
      <c r="E375" s="1" t="str">
        <f>IF(OR(D375="",D375=0),"",D375-SUMIFS('Lessons Log'!$E:$E,'Lessons Log'!$C:$C,A375,'Lessons Log'!$D:$D,"*Package*"))</f>
        <v/>
      </c>
      <c r="F375" s="6" t="str">
        <f>IFERROR(INDEX([1]Clients!F:F, MATCH(A375, [1]Clients!A:A, 0)), "")</f>
        <v/>
      </c>
    </row>
    <row r="376" spans="2:6" x14ac:dyDescent="0.45">
      <c r="B376" s="5" t="str">
        <f>IFERROR(INDEX([1]Clients!$D:$D, MATCH(A376, [1]Clients!$A:$A, 0)), "")</f>
        <v/>
      </c>
      <c r="E376" s="1" t="str">
        <f>IF(OR(D376="",D376=0),"",D376-SUMIFS('Lessons Log'!$E:$E,'Lessons Log'!$C:$C,A376,'Lessons Log'!$D:$D,"*Package*"))</f>
        <v/>
      </c>
      <c r="F376" s="6" t="str">
        <f>IFERROR(INDEX([1]Clients!F:F, MATCH(A376, [1]Clients!A:A, 0)), "")</f>
        <v/>
      </c>
    </row>
    <row r="377" spans="2:6" x14ac:dyDescent="0.45">
      <c r="B377" s="5" t="str">
        <f>IFERROR(INDEX([1]Clients!$D:$D, MATCH(A377, [1]Clients!$A:$A, 0)), "")</f>
        <v/>
      </c>
      <c r="E377" s="1" t="str">
        <f>IF(OR(D377="",D377=0),"",D377-SUMIFS('Lessons Log'!$E:$E,'Lessons Log'!$C:$C,A377,'Lessons Log'!$D:$D,"*Package*"))</f>
        <v/>
      </c>
      <c r="F377" s="6" t="str">
        <f>IFERROR(INDEX([1]Clients!F:F, MATCH(A377, [1]Clients!A:A, 0)), "")</f>
        <v/>
      </c>
    </row>
    <row r="378" spans="2:6" x14ac:dyDescent="0.45">
      <c r="B378" s="5" t="str">
        <f>IFERROR(INDEX([1]Clients!$D:$D, MATCH(A378, [1]Clients!$A:$A, 0)), "")</f>
        <v/>
      </c>
      <c r="E378" s="1" t="str">
        <f>IF(OR(D378="",D378=0),"",D378-SUMIFS('Lessons Log'!$E:$E,'Lessons Log'!$C:$C,A378,'Lessons Log'!$D:$D,"*Package*"))</f>
        <v/>
      </c>
      <c r="F378" s="6" t="str">
        <f>IFERROR(INDEX([1]Clients!F:F, MATCH(A378, [1]Clients!A:A, 0)), "")</f>
        <v/>
      </c>
    </row>
    <row r="379" spans="2:6" x14ac:dyDescent="0.45">
      <c r="B379" s="5" t="str">
        <f>IFERROR(INDEX([1]Clients!$D:$D, MATCH(A379, [1]Clients!$A:$A, 0)), "")</f>
        <v/>
      </c>
      <c r="E379" s="1" t="str">
        <f>IF(OR(D379="",D379=0),"",D379-SUMIFS('Lessons Log'!$E:$E,'Lessons Log'!$C:$C,A379,'Lessons Log'!$D:$D,"*Package*"))</f>
        <v/>
      </c>
      <c r="F379" s="6" t="str">
        <f>IFERROR(INDEX([1]Clients!F:F, MATCH(A379, [1]Clients!A:A, 0)), "")</f>
        <v/>
      </c>
    </row>
    <row r="380" spans="2:6" x14ac:dyDescent="0.45">
      <c r="B380" s="5" t="str">
        <f>IFERROR(INDEX([1]Clients!$D:$D, MATCH(A380, [1]Clients!$A:$A, 0)), "")</f>
        <v/>
      </c>
      <c r="E380" s="1" t="str">
        <f>IF(OR(D380="",D380=0),"",D380-SUMIFS('Lessons Log'!$E:$E,'Lessons Log'!$C:$C,A380,'Lessons Log'!$D:$D,"*Package*"))</f>
        <v/>
      </c>
      <c r="F380" s="6" t="str">
        <f>IFERROR(INDEX([1]Clients!F:F, MATCH(A380, [1]Clients!A:A, 0)), "")</f>
        <v/>
      </c>
    </row>
    <row r="381" spans="2:6" x14ac:dyDescent="0.45">
      <c r="B381" s="5" t="str">
        <f>IFERROR(INDEX([1]Clients!$D:$D, MATCH(A381, [1]Clients!$A:$A, 0)), "")</f>
        <v/>
      </c>
      <c r="E381" s="1" t="str">
        <f>IF(OR(D381="",D381=0),"",D381-SUMIFS('Lessons Log'!$E:$E,'Lessons Log'!$C:$C,A381,'Lessons Log'!$D:$D,"*Package*"))</f>
        <v/>
      </c>
      <c r="F381" s="6" t="str">
        <f>IFERROR(INDEX([1]Clients!F:F, MATCH(A381, [1]Clients!A:A, 0)), "")</f>
        <v/>
      </c>
    </row>
    <row r="382" spans="2:6" x14ac:dyDescent="0.45">
      <c r="B382" s="5" t="str">
        <f>IFERROR(INDEX([1]Clients!$D:$D, MATCH(A382, [1]Clients!$A:$A, 0)), "")</f>
        <v/>
      </c>
      <c r="E382" s="1" t="str">
        <f>IF(OR(D382="",D382=0),"",D382-SUMIFS('Lessons Log'!$E:$E,'Lessons Log'!$C:$C,A382,'Lessons Log'!$D:$D,"*Package*"))</f>
        <v/>
      </c>
      <c r="F382" s="6" t="str">
        <f>IFERROR(INDEX([1]Clients!F:F, MATCH(A382, [1]Clients!A:A, 0)), "")</f>
        <v/>
      </c>
    </row>
    <row r="383" spans="2:6" x14ac:dyDescent="0.45">
      <c r="B383" s="5" t="str">
        <f>IFERROR(INDEX([1]Clients!$D:$D, MATCH(A383, [1]Clients!$A:$A, 0)), "")</f>
        <v/>
      </c>
      <c r="E383" s="1" t="str">
        <f>IF(OR(D383="",D383=0),"",D383-SUMIFS('Lessons Log'!$E:$E,'Lessons Log'!$C:$C,A383,'Lessons Log'!$D:$D,"*Package*"))</f>
        <v/>
      </c>
      <c r="F383" s="6" t="str">
        <f>IFERROR(INDEX([1]Clients!F:F, MATCH(A383, [1]Clients!A:A, 0)), "")</f>
        <v/>
      </c>
    </row>
    <row r="384" spans="2:6" x14ac:dyDescent="0.45">
      <c r="B384" s="5" t="str">
        <f>IFERROR(INDEX([1]Clients!$D:$D, MATCH(A384, [1]Clients!$A:$A, 0)), "")</f>
        <v/>
      </c>
      <c r="E384" s="1" t="str">
        <f>IF(OR(D384="",D384=0),"",D384-SUMIFS('Lessons Log'!$E:$E,'Lessons Log'!$C:$C,A384,'Lessons Log'!$D:$D,"*Package*"))</f>
        <v/>
      </c>
      <c r="F384" s="6" t="str">
        <f>IFERROR(INDEX([1]Clients!F:F, MATCH(A384, [1]Clients!A:A, 0)), "")</f>
        <v/>
      </c>
    </row>
    <row r="385" spans="2:6" x14ac:dyDescent="0.45">
      <c r="B385" s="5" t="str">
        <f>IFERROR(INDEX([1]Clients!$D:$D, MATCH(A385, [1]Clients!$A:$A, 0)), "")</f>
        <v/>
      </c>
      <c r="E385" s="1" t="str">
        <f>IF(OR(D385="",D385=0),"",D385-SUMIFS('Lessons Log'!$E:$E,'Lessons Log'!$C:$C,A385,'Lessons Log'!$D:$D,"*Package*"))</f>
        <v/>
      </c>
      <c r="F385" s="6" t="str">
        <f>IFERROR(INDEX([1]Clients!F:F, MATCH(A385, [1]Clients!A:A, 0)), "")</f>
        <v/>
      </c>
    </row>
    <row r="386" spans="2:6" x14ac:dyDescent="0.45">
      <c r="B386" s="5" t="str">
        <f>IFERROR(INDEX([1]Clients!$D:$D, MATCH(A386, [1]Clients!$A:$A, 0)), "")</f>
        <v/>
      </c>
      <c r="E386" s="1" t="str">
        <f>IF(OR(D386="",D386=0),"",D386-SUMIFS('Lessons Log'!$E:$E,'Lessons Log'!$C:$C,A386,'Lessons Log'!$D:$D,"*Package*"))</f>
        <v/>
      </c>
      <c r="F386" s="6" t="str">
        <f>IFERROR(INDEX([1]Clients!F:F, MATCH(A386, [1]Clients!A:A, 0)), "")</f>
        <v/>
      </c>
    </row>
    <row r="387" spans="2:6" x14ac:dyDescent="0.45">
      <c r="B387" s="5" t="str">
        <f>IFERROR(INDEX([1]Clients!$D:$D, MATCH(A387, [1]Clients!$A:$A, 0)), "")</f>
        <v/>
      </c>
      <c r="E387" s="1" t="str">
        <f>IF(OR(D387="",D387=0),"",D387-SUMIFS('Lessons Log'!$E:$E,'Lessons Log'!$C:$C,A387,'Lessons Log'!$D:$D,"*Package*"))</f>
        <v/>
      </c>
      <c r="F387" s="6" t="str">
        <f>IFERROR(INDEX([1]Clients!F:F, MATCH(A387, [1]Clients!A:A, 0)), "")</f>
        <v/>
      </c>
    </row>
    <row r="388" spans="2:6" x14ac:dyDescent="0.45">
      <c r="B388" s="5" t="str">
        <f>IFERROR(INDEX([1]Clients!$D:$D, MATCH(A388, [1]Clients!$A:$A, 0)), "")</f>
        <v/>
      </c>
      <c r="E388" s="1" t="str">
        <f>IF(OR(D388="",D388=0),"",D388-SUMIFS('Lessons Log'!$E:$E,'Lessons Log'!$C:$C,A388,'Lessons Log'!$D:$D,"*Package*"))</f>
        <v/>
      </c>
      <c r="F388" s="6" t="str">
        <f>IFERROR(INDEX([1]Clients!F:F, MATCH(A388, [1]Clients!A:A, 0)), "")</f>
        <v/>
      </c>
    </row>
    <row r="389" spans="2:6" x14ac:dyDescent="0.45">
      <c r="B389" s="5" t="str">
        <f>IFERROR(INDEX([1]Clients!$D:$D, MATCH(A389, [1]Clients!$A:$A, 0)), "")</f>
        <v/>
      </c>
      <c r="E389" s="1" t="str">
        <f>IF(OR(D389="",D389=0),"",D389-SUMIFS('Lessons Log'!$E:$E,'Lessons Log'!$C:$C,A389,'Lessons Log'!$D:$D,"*Package*"))</f>
        <v/>
      </c>
      <c r="F389" s="6" t="str">
        <f>IFERROR(INDEX([1]Clients!F:F, MATCH(A389, [1]Clients!A:A, 0)), "")</f>
        <v/>
      </c>
    </row>
    <row r="390" spans="2:6" x14ac:dyDescent="0.45">
      <c r="B390" s="5" t="str">
        <f>IFERROR(INDEX([1]Clients!$D:$D, MATCH(A390, [1]Clients!$A:$A, 0)), "")</f>
        <v/>
      </c>
      <c r="E390" s="1" t="str">
        <f>IF(OR(D390="",D390=0),"",D390-SUMIFS('Lessons Log'!$E:$E,'Lessons Log'!$C:$C,A390,'Lessons Log'!$D:$D,"*Package*"))</f>
        <v/>
      </c>
      <c r="F390" s="6" t="str">
        <f>IFERROR(INDEX([1]Clients!F:F, MATCH(A390, [1]Clients!A:A, 0)), "")</f>
        <v/>
      </c>
    </row>
    <row r="391" spans="2:6" x14ac:dyDescent="0.45">
      <c r="B391" s="5" t="str">
        <f>IFERROR(INDEX([1]Clients!$D:$D, MATCH(A391, [1]Clients!$A:$A, 0)), "")</f>
        <v/>
      </c>
      <c r="E391" s="1" t="str">
        <f>IF(OR(D391="",D391=0),"",D391-SUMIFS('Lessons Log'!$E:$E,'Lessons Log'!$C:$C,A391,'Lessons Log'!$D:$D,"*Package*"))</f>
        <v/>
      </c>
      <c r="F391" s="6" t="str">
        <f>IFERROR(INDEX([1]Clients!F:F, MATCH(A391, [1]Clients!A:A, 0)), "")</f>
        <v/>
      </c>
    </row>
    <row r="392" spans="2:6" x14ac:dyDescent="0.45">
      <c r="B392" s="5" t="str">
        <f>IFERROR(INDEX([1]Clients!$D:$D, MATCH(A392, [1]Clients!$A:$A, 0)), "")</f>
        <v/>
      </c>
      <c r="E392" s="1" t="str">
        <f>IF(OR(D392="",D392=0),"",D392-SUMIFS('Lessons Log'!$E:$E,'Lessons Log'!$C:$C,A392,'Lessons Log'!$D:$D,"*Package*"))</f>
        <v/>
      </c>
      <c r="F392" s="6" t="str">
        <f>IFERROR(INDEX([1]Clients!F:F, MATCH(A392, [1]Clients!A:A, 0)), "")</f>
        <v/>
      </c>
    </row>
    <row r="393" spans="2:6" x14ac:dyDescent="0.45">
      <c r="B393" s="5" t="str">
        <f>IFERROR(INDEX([1]Clients!$D:$D, MATCH(A393, [1]Clients!$A:$A, 0)), "")</f>
        <v/>
      </c>
      <c r="E393" s="1" t="str">
        <f>IF(OR(D393="",D393=0),"",D393-SUMIFS('Lessons Log'!$E:$E,'Lessons Log'!$C:$C,A393,'Lessons Log'!$D:$D,"*Package*"))</f>
        <v/>
      </c>
      <c r="F393" s="6" t="str">
        <f>IFERROR(INDEX([1]Clients!F:F, MATCH(A393, [1]Clients!A:A, 0)), "")</f>
        <v/>
      </c>
    </row>
    <row r="394" spans="2:6" x14ac:dyDescent="0.45">
      <c r="B394" s="5" t="str">
        <f>IFERROR(INDEX([1]Clients!$D:$D, MATCH(A394, [1]Clients!$A:$A, 0)), "")</f>
        <v/>
      </c>
      <c r="E394" s="1" t="str">
        <f>IF(OR(D394="",D394=0),"",D394-SUMIFS('Lessons Log'!$E:$E,'Lessons Log'!$C:$C,A394,'Lessons Log'!$D:$D,"*Package*"))</f>
        <v/>
      </c>
      <c r="F394" s="6" t="str">
        <f>IFERROR(INDEX([1]Clients!F:F, MATCH(A394, [1]Clients!A:A, 0)), "")</f>
        <v/>
      </c>
    </row>
    <row r="395" spans="2:6" x14ac:dyDescent="0.45">
      <c r="B395" s="5" t="str">
        <f>IFERROR(INDEX([1]Clients!$D:$D, MATCH(A395, [1]Clients!$A:$A, 0)), "")</f>
        <v/>
      </c>
      <c r="E395" s="1" t="str">
        <f>IF(OR(D395="",D395=0),"",D395-SUMIFS('Lessons Log'!$E:$E,'Lessons Log'!$C:$C,A395,'Lessons Log'!$D:$D,"*Package*"))</f>
        <v/>
      </c>
      <c r="F395" s="6" t="str">
        <f>IFERROR(INDEX([1]Clients!F:F, MATCH(A395, [1]Clients!A:A, 0)), "")</f>
        <v/>
      </c>
    </row>
    <row r="396" spans="2:6" x14ac:dyDescent="0.45">
      <c r="B396" s="5" t="str">
        <f>IFERROR(INDEX([1]Clients!$D:$D, MATCH(A396, [1]Clients!$A:$A, 0)), "")</f>
        <v/>
      </c>
      <c r="E396" s="1" t="str">
        <f>IF(OR(D396="",D396=0),"",D396-SUMIFS('Lessons Log'!$E:$E,'Lessons Log'!$C:$C,A396,'Lessons Log'!$D:$D,"*Package*"))</f>
        <v/>
      </c>
      <c r="F396" s="6" t="str">
        <f>IFERROR(INDEX([1]Clients!F:F, MATCH(A396, [1]Clients!A:A, 0)), "")</f>
        <v/>
      </c>
    </row>
    <row r="397" spans="2:6" x14ac:dyDescent="0.45">
      <c r="B397" s="5" t="str">
        <f>IFERROR(INDEX([1]Clients!$D:$D, MATCH(A397, [1]Clients!$A:$A, 0)), "")</f>
        <v/>
      </c>
      <c r="E397" s="1" t="str">
        <f>IF(OR(D397="",D397=0),"",D397-SUMIFS('Lessons Log'!$E:$E,'Lessons Log'!$C:$C,A397,'Lessons Log'!$D:$D,"*Package*"))</f>
        <v/>
      </c>
      <c r="F397" s="6" t="str">
        <f>IFERROR(INDEX([1]Clients!F:F, MATCH(A397, [1]Clients!A:A, 0)), "")</f>
        <v/>
      </c>
    </row>
    <row r="398" spans="2:6" x14ac:dyDescent="0.45">
      <c r="B398" s="5" t="str">
        <f>IFERROR(INDEX([1]Clients!$D:$D, MATCH(A398, [1]Clients!$A:$A, 0)), "")</f>
        <v/>
      </c>
      <c r="E398" s="1" t="str">
        <f>IF(OR(D398="",D398=0),"",D398-SUMIFS('Lessons Log'!$E:$E,'Lessons Log'!$C:$C,A398,'Lessons Log'!$D:$D,"*Package*"))</f>
        <v/>
      </c>
      <c r="F398" s="6" t="str">
        <f>IFERROR(INDEX([1]Clients!F:F, MATCH(A398, [1]Clients!A:A, 0)), "")</f>
        <v/>
      </c>
    </row>
    <row r="399" spans="2:6" x14ac:dyDescent="0.45">
      <c r="B399" s="5" t="str">
        <f>IFERROR(INDEX([1]Clients!$D:$D, MATCH(A399, [1]Clients!$A:$A, 0)), "")</f>
        <v/>
      </c>
      <c r="E399" s="1" t="str">
        <f>IF(OR(D399="",D399=0),"",D399-SUMIFS('Lessons Log'!$E:$E,'Lessons Log'!$C:$C,A399,'Lessons Log'!$D:$D,"*Package*"))</f>
        <v/>
      </c>
      <c r="F399" s="6" t="str">
        <f>IFERROR(INDEX([1]Clients!F:F, MATCH(A399, [1]Clients!A:A, 0)), "")</f>
        <v/>
      </c>
    </row>
    <row r="400" spans="2:6" x14ac:dyDescent="0.45">
      <c r="B400" s="5" t="str">
        <f>IFERROR(INDEX([1]Clients!$D:$D, MATCH(A400, [1]Clients!$A:$A, 0)), "")</f>
        <v/>
      </c>
      <c r="E400" s="1" t="str">
        <f>IF(OR(D400="",D400=0),"",D400-SUMIFS('Lessons Log'!$E:$E,'Lessons Log'!$C:$C,A400,'Lessons Log'!$D:$D,"*Package*"))</f>
        <v/>
      </c>
      <c r="F400" s="6" t="str">
        <f>IFERROR(INDEX([1]Clients!F:F, MATCH(A400, [1]Clients!A:A, 0)), "")</f>
        <v/>
      </c>
    </row>
    <row r="401" spans="2:6" x14ac:dyDescent="0.45">
      <c r="B401" s="5" t="str">
        <f>IFERROR(INDEX([1]Clients!$D:$D, MATCH(A401, [1]Clients!$A:$A, 0)), "")</f>
        <v/>
      </c>
      <c r="E401" s="1" t="str">
        <f>IF(OR(D401="",D401=0),"",D401-SUMIFS('Lessons Log'!$E:$E,'Lessons Log'!$C:$C,A401,'Lessons Log'!$D:$D,"*Package*"))</f>
        <v/>
      </c>
      <c r="F401" s="6" t="str">
        <f>IFERROR(INDEX([1]Clients!F:F, MATCH(A401, [1]Clients!A:A, 0)), "")</f>
        <v/>
      </c>
    </row>
    <row r="402" spans="2:6" x14ac:dyDescent="0.45">
      <c r="B402" s="5" t="str">
        <f>IFERROR(INDEX([1]Clients!$D:$D, MATCH(A402, [1]Clients!$A:$A, 0)), "")</f>
        <v/>
      </c>
      <c r="E402" s="1" t="str">
        <f>IF(OR(D402="",D402=0),"",D402-SUMIFS('Lessons Log'!$E:$E,'Lessons Log'!$C:$C,A402,'Lessons Log'!$D:$D,"*Package*"))</f>
        <v/>
      </c>
      <c r="F402" s="6" t="str">
        <f>IFERROR(INDEX([1]Clients!F:F, MATCH(A402, [1]Clients!A:A, 0)), "")</f>
        <v/>
      </c>
    </row>
    <row r="403" spans="2:6" x14ac:dyDescent="0.45">
      <c r="B403" s="5" t="str">
        <f>IFERROR(INDEX([1]Clients!$D:$D, MATCH(A403, [1]Clients!$A:$A, 0)), "")</f>
        <v/>
      </c>
      <c r="E403" s="1" t="str">
        <f>IF(OR(D403="",D403=0),"",D403-SUMIFS('Lessons Log'!$E:$E,'Lessons Log'!$C:$C,A403,'Lessons Log'!$D:$D,"*Package*"))</f>
        <v/>
      </c>
      <c r="F403" s="6" t="str">
        <f>IFERROR(INDEX([1]Clients!F:F, MATCH(A403, [1]Clients!A:A, 0)), "")</f>
        <v/>
      </c>
    </row>
    <row r="404" spans="2:6" x14ac:dyDescent="0.45">
      <c r="B404" s="5" t="str">
        <f>IFERROR(INDEX([1]Clients!$D:$D, MATCH(A404, [1]Clients!$A:$A, 0)), "")</f>
        <v/>
      </c>
      <c r="E404" s="1" t="str">
        <f>IF(OR(D404="",D404=0),"",D404-SUMIFS('Lessons Log'!$E:$E,'Lessons Log'!$C:$C,A404,'Lessons Log'!$D:$D,"*Package*"))</f>
        <v/>
      </c>
      <c r="F404" s="6" t="str">
        <f>IFERROR(INDEX([1]Clients!F:F, MATCH(A404, [1]Clients!A:A, 0)), "")</f>
        <v/>
      </c>
    </row>
    <row r="405" spans="2:6" x14ac:dyDescent="0.45">
      <c r="B405" s="5" t="str">
        <f>IFERROR(INDEX([1]Clients!$D:$D, MATCH(A405, [1]Clients!$A:$A, 0)), "")</f>
        <v/>
      </c>
      <c r="E405" s="1" t="str">
        <f>IF(OR(D405="",D405=0),"",D405-SUMIFS('Lessons Log'!$E:$E,'Lessons Log'!$C:$C,A405,'Lessons Log'!$D:$D,"*Package*"))</f>
        <v/>
      </c>
      <c r="F405" s="6" t="str">
        <f>IFERROR(INDEX([1]Clients!F:F, MATCH(A405, [1]Clients!A:A, 0)), "")</f>
        <v/>
      </c>
    </row>
    <row r="406" spans="2:6" x14ac:dyDescent="0.45">
      <c r="B406" s="5" t="str">
        <f>IFERROR(INDEX([1]Clients!$D:$D, MATCH(A406, [1]Clients!$A:$A, 0)), "")</f>
        <v/>
      </c>
      <c r="E406" s="1" t="str">
        <f>IF(OR(D406="",D406=0),"",D406-SUMIFS('Lessons Log'!$E:$E,'Lessons Log'!$C:$C,A406,'Lessons Log'!$D:$D,"*Package*"))</f>
        <v/>
      </c>
      <c r="F406" s="6" t="str">
        <f>IFERROR(INDEX([1]Clients!F:F, MATCH(A406, [1]Clients!A:A, 0)), "")</f>
        <v/>
      </c>
    </row>
    <row r="407" spans="2:6" x14ac:dyDescent="0.45">
      <c r="B407" s="5" t="str">
        <f>IFERROR(INDEX([1]Clients!$D:$D, MATCH(A407, [1]Clients!$A:$A, 0)), "")</f>
        <v/>
      </c>
      <c r="E407" s="1" t="str">
        <f>IF(OR(D407="",D407=0),"",D407-SUMIFS('Lessons Log'!$E:$E,'Lessons Log'!$C:$C,A407,'Lessons Log'!$D:$D,"*Package*"))</f>
        <v/>
      </c>
      <c r="F407" s="6" t="str">
        <f>IFERROR(INDEX([1]Clients!F:F, MATCH(A407, [1]Clients!A:A, 0)), "")</f>
        <v/>
      </c>
    </row>
    <row r="408" spans="2:6" x14ac:dyDescent="0.45">
      <c r="B408" s="5" t="str">
        <f>IFERROR(INDEX([1]Clients!$D:$D, MATCH(A408, [1]Clients!$A:$A, 0)), "")</f>
        <v/>
      </c>
      <c r="E408" s="1" t="str">
        <f>IF(OR(D408="",D408=0),"",D408-SUMIFS('Lessons Log'!$E:$E,'Lessons Log'!$C:$C,A408,'Lessons Log'!$D:$D,"*Package*"))</f>
        <v/>
      </c>
      <c r="F408" s="6" t="str">
        <f>IFERROR(INDEX([1]Clients!F:F, MATCH(A408, [1]Clients!A:A, 0)), "")</f>
        <v/>
      </c>
    </row>
    <row r="409" spans="2:6" x14ac:dyDescent="0.45">
      <c r="B409" s="5" t="str">
        <f>IFERROR(INDEX([1]Clients!$D:$D, MATCH(A409, [1]Clients!$A:$A, 0)), "")</f>
        <v/>
      </c>
      <c r="E409" s="1" t="str">
        <f>IF(OR(D409="",D409=0),"",D409-SUMIFS('Lessons Log'!$E:$E,'Lessons Log'!$C:$C,A409,'Lessons Log'!$D:$D,"*Package*"))</f>
        <v/>
      </c>
      <c r="F409" s="6" t="str">
        <f>IFERROR(INDEX([1]Clients!F:F, MATCH(A409, [1]Clients!A:A, 0)), "")</f>
        <v/>
      </c>
    </row>
    <row r="410" spans="2:6" x14ac:dyDescent="0.45">
      <c r="B410" s="5" t="str">
        <f>IFERROR(INDEX([1]Clients!$D:$D, MATCH(A410, [1]Clients!$A:$A, 0)), "")</f>
        <v/>
      </c>
      <c r="E410" s="1" t="str">
        <f>IF(OR(D410="",D410=0),"",D410-SUMIFS('Lessons Log'!$E:$E,'Lessons Log'!$C:$C,A410,'Lessons Log'!$D:$D,"*Package*"))</f>
        <v/>
      </c>
      <c r="F410" s="6" t="str">
        <f>IFERROR(INDEX([1]Clients!F:F, MATCH(A410, [1]Clients!A:A, 0)), "")</f>
        <v/>
      </c>
    </row>
    <row r="411" spans="2:6" x14ac:dyDescent="0.45">
      <c r="B411" s="5" t="str">
        <f>IFERROR(INDEX([1]Clients!$D:$D, MATCH(A411, [1]Clients!$A:$A, 0)), "")</f>
        <v/>
      </c>
      <c r="E411" s="1" t="str">
        <f>IF(OR(D411="",D411=0),"",D411-SUMIFS('Lessons Log'!$E:$E,'Lessons Log'!$C:$C,A411,'Lessons Log'!$D:$D,"*Package*"))</f>
        <v/>
      </c>
      <c r="F411" s="6" t="str">
        <f>IFERROR(INDEX([1]Clients!F:F, MATCH(A411, [1]Clients!A:A, 0)), "")</f>
        <v/>
      </c>
    </row>
    <row r="412" spans="2:6" x14ac:dyDescent="0.45">
      <c r="B412" s="5" t="str">
        <f>IFERROR(INDEX([1]Clients!$D:$D, MATCH(A412, [1]Clients!$A:$A, 0)), "")</f>
        <v/>
      </c>
      <c r="E412" s="1" t="str">
        <f>IF(OR(D412="",D412=0),"",D412-SUMIFS('Lessons Log'!$E:$E,'Lessons Log'!$C:$C,A412,'Lessons Log'!$D:$D,"*Package*"))</f>
        <v/>
      </c>
      <c r="F412" s="6" t="str">
        <f>IFERROR(INDEX([1]Clients!F:F, MATCH(A412, [1]Clients!A:A, 0)), "")</f>
        <v/>
      </c>
    </row>
    <row r="413" spans="2:6" x14ac:dyDescent="0.45">
      <c r="B413" s="5" t="str">
        <f>IFERROR(INDEX([1]Clients!$D:$D, MATCH(A413, [1]Clients!$A:$A, 0)), "")</f>
        <v/>
      </c>
      <c r="E413" s="1" t="str">
        <f>IF(OR(D413="",D413=0),"",D413-SUMIFS('Lessons Log'!$E:$E,'Lessons Log'!$C:$C,A413,'Lessons Log'!$D:$D,"*Package*"))</f>
        <v/>
      </c>
      <c r="F413" s="6" t="str">
        <f>IFERROR(INDEX([1]Clients!F:F, MATCH(A413, [1]Clients!A:A, 0)), "")</f>
        <v/>
      </c>
    </row>
    <row r="414" spans="2:6" x14ac:dyDescent="0.45">
      <c r="B414" s="5" t="str">
        <f>IFERROR(INDEX([1]Clients!$D:$D, MATCH(A414, [1]Clients!$A:$A, 0)), "")</f>
        <v/>
      </c>
      <c r="E414" s="1" t="str">
        <f>IF(OR(D414="",D414=0),"",D414-SUMIFS('Lessons Log'!$E:$E,'Lessons Log'!$C:$C,A414,'Lessons Log'!$D:$D,"*Package*"))</f>
        <v/>
      </c>
      <c r="F414" s="6" t="str">
        <f>IFERROR(INDEX([1]Clients!F:F, MATCH(A414, [1]Clients!A:A, 0)), "")</f>
        <v/>
      </c>
    </row>
    <row r="415" spans="2:6" x14ac:dyDescent="0.45">
      <c r="B415" s="5" t="str">
        <f>IFERROR(INDEX([1]Clients!$D:$D, MATCH(A415, [1]Clients!$A:$A, 0)), "")</f>
        <v/>
      </c>
      <c r="E415" s="1" t="str">
        <f>IF(OR(D415="",D415=0),"",D415-SUMIFS('Lessons Log'!$E:$E,'Lessons Log'!$C:$C,A415,'Lessons Log'!$D:$D,"*Package*"))</f>
        <v/>
      </c>
      <c r="F415" s="6" t="str">
        <f>IFERROR(INDEX([1]Clients!F:F, MATCH(A415, [1]Clients!A:A, 0)), "")</f>
        <v/>
      </c>
    </row>
    <row r="416" spans="2:6" x14ac:dyDescent="0.45">
      <c r="B416" s="5" t="str">
        <f>IFERROR(INDEX([1]Clients!$D:$D, MATCH(A416, [1]Clients!$A:$A, 0)), "")</f>
        <v/>
      </c>
      <c r="E416" s="1" t="str">
        <f>IF(OR(D416="",D416=0),"",D416-SUMIFS('Lessons Log'!$E:$E,'Lessons Log'!$C:$C,A416,'Lessons Log'!$D:$D,"*Package*"))</f>
        <v/>
      </c>
      <c r="F416" s="6" t="str">
        <f>IFERROR(INDEX([1]Clients!F:F, MATCH(A416, [1]Clients!A:A, 0)), "")</f>
        <v/>
      </c>
    </row>
    <row r="417" spans="2:6" x14ac:dyDescent="0.45">
      <c r="B417" s="5" t="str">
        <f>IFERROR(INDEX([1]Clients!$D:$D, MATCH(A417, [1]Clients!$A:$A, 0)), "")</f>
        <v/>
      </c>
      <c r="E417" s="1" t="str">
        <f>IF(OR(D417="",D417=0),"",D417-SUMIFS('Lessons Log'!$E:$E,'Lessons Log'!$C:$C,A417,'Lessons Log'!$D:$D,"*Package*"))</f>
        <v/>
      </c>
      <c r="F417" s="6" t="str">
        <f>IFERROR(INDEX([1]Clients!F:F, MATCH(A417, [1]Clients!A:A, 0)), "")</f>
        <v/>
      </c>
    </row>
    <row r="418" spans="2:6" x14ac:dyDescent="0.45">
      <c r="B418" s="5" t="str">
        <f>IFERROR(INDEX([1]Clients!$D:$D, MATCH(A418, [1]Clients!$A:$A, 0)), "")</f>
        <v/>
      </c>
      <c r="E418" s="1" t="str">
        <f>IF(OR(D418="",D418=0),"",D418-SUMIFS('Lessons Log'!$E:$E,'Lessons Log'!$C:$C,A418,'Lessons Log'!$D:$D,"*Package*"))</f>
        <v/>
      </c>
      <c r="F418" s="6" t="str">
        <f>IFERROR(INDEX([1]Clients!F:F, MATCH(A418, [1]Clients!A:A, 0)), "")</f>
        <v/>
      </c>
    </row>
    <row r="419" spans="2:6" x14ac:dyDescent="0.45">
      <c r="B419" s="5" t="str">
        <f>IFERROR(INDEX([1]Clients!$D:$D, MATCH(A419, [1]Clients!$A:$A, 0)), "")</f>
        <v/>
      </c>
      <c r="E419" s="1" t="str">
        <f>IF(OR(D419="",D419=0),"",D419-SUMIFS('Lessons Log'!$E:$E,'Lessons Log'!$C:$C,A419,'Lessons Log'!$D:$D,"*Package*"))</f>
        <v/>
      </c>
      <c r="F419" s="6" t="str">
        <f>IFERROR(INDEX([1]Clients!F:F, MATCH(A419, [1]Clients!A:A, 0)), "")</f>
        <v/>
      </c>
    </row>
    <row r="420" spans="2:6" x14ac:dyDescent="0.45">
      <c r="B420" s="5" t="str">
        <f>IFERROR(INDEX([1]Clients!$D:$D, MATCH(A420, [1]Clients!$A:$A, 0)), "")</f>
        <v/>
      </c>
      <c r="E420" s="1" t="str">
        <f>IF(OR(D420="",D420=0),"",D420-SUMIFS('Lessons Log'!$E:$E,'Lessons Log'!$C:$C,A420,'Lessons Log'!$D:$D,"*Package*"))</f>
        <v/>
      </c>
      <c r="F420" s="6" t="str">
        <f>IFERROR(INDEX([1]Clients!F:F, MATCH(A420, [1]Clients!A:A, 0)), "")</f>
        <v/>
      </c>
    </row>
    <row r="421" spans="2:6" x14ac:dyDescent="0.45">
      <c r="B421" s="5" t="str">
        <f>IFERROR(INDEX([1]Clients!$D:$D, MATCH(A421, [1]Clients!$A:$A, 0)), "")</f>
        <v/>
      </c>
      <c r="E421" s="1" t="str">
        <f>IF(OR(D421="",D421=0),"",D421-SUMIFS('Lessons Log'!$E:$E,'Lessons Log'!$C:$C,A421,'Lessons Log'!$D:$D,"*Package*"))</f>
        <v/>
      </c>
      <c r="F421" s="6" t="str">
        <f>IFERROR(INDEX([1]Clients!F:F, MATCH(A421, [1]Clients!A:A, 0)), "")</f>
        <v/>
      </c>
    </row>
    <row r="422" spans="2:6" x14ac:dyDescent="0.45">
      <c r="B422" s="5" t="str">
        <f>IFERROR(INDEX([1]Clients!$D:$D, MATCH(A422, [1]Clients!$A:$A, 0)), "")</f>
        <v/>
      </c>
      <c r="E422" s="1" t="str">
        <f>IF(OR(D422="",D422=0),"",D422-SUMIFS('Lessons Log'!$E:$E,'Lessons Log'!$C:$C,A422,'Lessons Log'!$D:$D,"*Package*"))</f>
        <v/>
      </c>
      <c r="F422" s="6" t="str">
        <f>IFERROR(INDEX([1]Clients!F:F, MATCH(A422, [1]Clients!A:A, 0)), "")</f>
        <v/>
      </c>
    </row>
    <row r="423" spans="2:6" x14ac:dyDescent="0.45">
      <c r="B423" s="5" t="str">
        <f>IFERROR(INDEX([1]Clients!$D:$D, MATCH(A423, [1]Clients!$A:$A, 0)), "")</f>
        <v/>
      </c>
      <c r="E423" s="1" t="str">
        <f>IF(OR(D423="",D423=0),"",D423-SUMIFS('Lessons Log'!$E:$E,'Lessons Log'!$C:$C,A423,'Lessons Log'!$D:$D,"*Package*"))</f>
        <v/>
      </c>
      <c r="F423" s="6" t="str">
        <f>IFERROR(INDEX([1]Clients!F:F, MATCH(A423, [1]Clients!A:A, 0)), "")</f>
        <v/>
      </c>
    </row>
    <row r="424" spans="2:6" x14ac:dyDescent="0.45">
      <c r="B424" s="5" t="str">
        <f>IFERROR(INDEX([1]Clients!$D:$D, MATCH(A424, [1]Clients!$A:$A, 0)), "")</f>
        <v/>
      </c>
      <c r="E424" s="1" t="str">
        <f>IF(OR(D424="",D424=0),"",D424-SUMIFS('Lessons Log'!$E:$E,'Lessons Log'!$C:$C,A424,'Lessons Log'!$D:$D,"*Package*"))</f>
        <v/>
      </c>
      <c r="F424" s="6" t="str">
        <f>IFERROR(INDEX([1]Clients!F:F, MATCH(A424, [1]Clients!A:A, 0)), "")</f>
        <v/>
      </c>
    </row>
    <row r="425" spans="2:6" x14ac:dyDescent="0.45">
      <c r="B425" s="5" t="str">
        <f>IFERROR(INDEX([1]Clients!$D:$D, MATCH(A425, [1]Clients!$A:$A, 0)), "")</f>
        <v/>
      </c>
      <c r="E425" s="1" t="str">
        <f>IF(OR(D425="",D425=0),"",D425-SUMIFS('Lessons Log'!$E:$E,'Lessons Log'!$C:$C,A425,'Lessons Log'!$D:$D,"*Package*"))</f>
        <v/>
      </c>
      <c r="F425" s="6" t="str">
        <f>IFERROR(INDEX([1]Clients!F:F, MATCH(A425, [1]Clients!A:A, 0)), "")</f>
        <v/>
      </c>
    </row>
    <row r="426" spans="2:6" x14ac:dyDescent="0.45">
      <c r="B426" s="5" t="str">
        <f>IFERROR(INDEX([1]Clients!$D:$D, MATCH(A426, [1]Clients!$A:$A, 0)), "")</f>
        <v/>
      </c>
      <c r="E426" s="1" t="str">
        <f>IF(OR(D426="",D426=0),"",D426-SUMIFS('Lessons Log'!$E:$E,'Lessons Log'!$C:$C,A426,'Lessons Log'!$D:$D,"*Package*"))</f>
        <v/>
      </c>
      <c r="F426" s="6" t="str">
        <f>IFERROR(INDEX([1]Clients!F:F, MATCH(A426, [1]Clients!A:A, 0)), "")</f>
        <v/>
      </c>
    </row>
    <row r="427" spans="2:6" x14ac:dyDescent="0.45">
      <c r="B427" s="5" t="str">
        <f>IFERROR(INDEX([1]Clients!$D:$D, MATCH(A427, [1]Clients!$A:$A, 0)), "")</f>
        <v/>
      </c>
      <c r="E427" s="1" t="str">
        <f>IF(OR(D427="",D427=0),"",D427-SUMIFS('Lessons Log'!$E:$E,'Lessons Log'!$C:$C,A427,'Lessons Log'!$D:$D,"*Package*"))</f>
        <v/>
      </c>
      <c r="F427" s="6" t="str">
        <f>IFERROR(INDEX([1]Clients!F:F, MATCH(A427, [1]Clients!A:A, 0)), "")</f>
        <v/>
      </c>
    </row>
    <row r="428" spans="2:6" x14ac:dyDescent="0.45">
      <c r="B428" s="5" t="str">
        <f>IFERROR(INDEX([1]Clients!$D:$D, MATCH(A428, [1]Clients!$A:$A, 0)), "")</f>
        <v/>
      </c>
      <c r="E428" s="1" t="str">
        <f>IF(OR(D428="",D428=0),"",D428-SUMIFS('Lessons Log'!$E:$E,'Lessons Log'!$C:$C,A428,'Lessons Log'!$D:$D,"*Package*"))</f>
        <v/>
      </c>
      <c r="F428" s="6" t="str">
        <f>IFERROR(INDEX([1]Clients!F:F, MATCH(A428, [1]Clients!A:A, 0)), "")</f>
        <v/>
      </c>
    </row>
    <row r="429" spans="2:6" x14ac:dyDescent="0.45">
      <c r="B429" s="5" t="str">
        <f>IFERROR(INDEX([1]Clients!$D:$D, MATCH(A429, [1]Clients!$A:$A, 0)), "")</f>
        <v/>
      </c>
      <c r="E429" s="1" t="str">
        <f>IF(OR(D429="",D429=0),"",D429-SUMIFS('Lessons Log'!$E:$E,'Lessons Log'!$C:$C,A429,'Lessons Log'!$D:$D,"*Package*"))</f>
        <v/>
      </c>
      <c r="F429" s="6" t="str">
        <f>IFERROR(INDEX([1]Clients!F:F, MATCH(A429, [1]Clients!A:A, 0)), "")</f>
        <v/>
      </c>
    </row>
    <row r="430" spans="2:6" x14ac:dyDescent="0.45">
      <c r="B430" s="5" t="str">
        <f>IFERROR(INDEX([1]Clients!$D:$D, MATCH(A430, [1]Clients!$A:$A, 0)), "")</f>
        <v/>
      </c>
      <c r="E430" s="1" t="str">
        <f>IF(OR(D430="",D430=0),"",D430-SUMIFS('Lessons Log'!$E:$E,'Lessons Log'!$C:$C,A430,'Lessons Log'!$D:$D,"*Package*"))</f>
        <v/>
      </c>
      <c r="F430" s="6" t="str">
        <f>IFERROR(INDEX([1]Clients!F:F, MATCH(A430, [1]Clients!A:A, 0)), "")</f>
        <v/>
      </c>
    </row>
    <row r="431" spans="2:6" x14ac:dyDescent="0.45">
      <c r="B431" s="5" t="str">
        <f>IFERROR(INDEX([1]Clients!$D:$D, MATCH(A431, [1]Clients!$A:$A, 0)), "")</f>
        <v/>
      </c>
      <c r="E431" s="1" t="str">
        <f>IF(OR(D431="",D431=0),"",D431-SUMIFS('Lessons Log'!$E:$E,'Lessons Log'!$C:$C,A431,'Lessons Log'!$D:$D,"*Package*"))</f>
        <v/>
      </c>
      <c r="F431" s="6" t="str">
        <f>IFERROR(INDEX([1]Clients!F:F, MATCH(A431, [1]Clients!A:A, 0)), "")</f>
        <v/>
      </c>
    </row>
    <row r="432" spans="2:6" x14ac:dyDescent="0.45">
      <c r="B432" s="5" t="str">
        <f>IFERROR(INDEX([1]Clients!$D:$D, MATCH(A432, [1]Clients!$A:$A, 0)), "")</f>
        <v/>
      </c>
      <c r="E432" s="1" t="str">
        <f>IF(OR(D432="",D432=0),"",D432-SUMIFS('Lessons Log'!$E:$E,'Lessons Log'!$C:$C,A432,'Lessons Log'!$D:$D,"*Package*"))</f>
        <v/>
      </c>
      <c r="F432" s="6" t="str">
        <f>IFERROR(INDEX([1]Clients!F:F, MATCH(A432, [1]Clients!A:A, 0)), "")</f>
        <v/>
      </c>
    </row>
    <row r="433" spans="2:6" x14ac:dyDescent="0.45">
      <c r="B433" s="5" t="str">
        <f>IFERROR(INDEX([1]Clients!$D:$D, MATCH(A433, [1]Clients!$A:$A, 0)), "")</f>
        <v/>
      </c>
      <c r="E433" s="1" t="str">
        <f>IF(OR(D433="",D433=0),"",D433-SUMIFS('Lessons Log'!$E:$E,'Lessons Log'!$C:$C,A433,'Lessons Log'!$D:$D,"*Package*"))</f>
        <v/>
      </c>
      <c r="F433" s="6" t="str">
        <f>IFERROR(INDEX([1]Clients!F:F, MATCH(A433, [1]Clients!A:A, 0)), "")</f>
        <v/>
      </c>
    </row>
    <row r="434" spans="2:6" x14ac:dyDescent="0.45">
      <c r="B434" s="5" t="str">
        <f>IFERROR(INDEX([1]Clients!$D:$D, MATCH(A434, [1]Clients!$A:$A, 0)), "")</f>
        <v/>
      </c>
      <c r="E434" s="1" t="str">
        <f>IF(OR(D434="",D434=0),"",D434-SUMIFS('Lessons Log'!$E:$E,'Lessons Log'!$C:$C,A434,'Lessons Log'!$D:$D,"*Package*"))</f>
        <v/>
      </c>
      <c r="F434" s="6" t="str">
        <f>IFERROR(INDEX([1]Clients!F:F, MATCH(A434, [1]Clients!A:A, 0)), "")</f>
        <v/>
      </c>
    </row>
    <row r="435" spans="2:6" x14ac:dyDescent="0.45">
      <c r="B435" s="5" t="str">
        <f>IFERROR(INDEX([1]Clients!$D:$D, MATCH(A435, [1]Clients!$A:$A, 0)), "")</f>
        <v/>
      </c>
      <c r="E435" s="1" t="str">
        <f>IF(OR(D435="",D435=0),"",D435-SUMIFS('Lessons Log'!$E:$E,'Lessons Log'!$C:$C,A435,'Lessons Log'!$D:$D,"*Package*"))</f>
        <v/>
      </c>
      <c r="F435" s="6" t="str">
        <f>IFERROR(INDEX([1]Clients!F:F, MATCH(A435, [1]Clients!A:A, 0)), "")</f>
        <v/>
      </c>
    </row>
    <row r="436" spans="2:6" x14ac:dyDescent="0.45">
      <c r="B436" s="5" t="str">
        <f>IFERROR(INDEX([1]Clients!$D:$D, MATCH(A436, [1]Clients!$A:$A, 0)), "")</f>
        <v/>
      </c>
      <c r="E436" s="1" t="str">
        <f>IF(OR(D436="",D436=0),"",D436-SUMIFS('Lessons Log'!$E:$E,'Lessons Log'!$C:$C,A436,'Lessons Log'!$D:$D,"*Package*"))</f>
        <v/>
      </c>
      <c r="F436" s="6" t="str">
        <f>IFERROR(INDEX([1]Clients!F:F, MATCH(A436, [1]Clients!A:A, 0)), "")</f>
        <v/>
      </c>
    </row>
    <row r="437" spans="2:6" x14ac:dyDescent="0.45">
      <c r="B437" s="5" t="str">
        <f>IFERROR(INDEX([1]Clients!$D:$D, MATCH(A437, [1]Clients!$A:$A, 0)), "")</f>
        <v/>
      </c>
      <c r="E437" s="1" t="str">
        <f>IF(OR(D437="",D437=0),"",D437-SUMIFS('Lessons Log'!$E:$E,'Lessons Log'!$C:$C,A437,'Lessons Log'!$D:$D,"*Package*"))</f>
        <v/>
      </c>
      <c r="F437" s="6" t="str">
        <f>IFERROR(INDEX([1]Clients!F:F, MATCH(A437, [1]Clients!A:A, 0)), "")</f>
        <v/>
      </c>
    </row>
    <row r="438" spans="2:6" x14ac:dyDescent="0.45">
      <c r="B438" s="5" t="str">
        <f>IFERROR(INDEX([1]Clients!$D:$D, MATCH(A438, [1]Clients!$A:$A, 0)), "")</f>
        <v/>
      </c>
      <c r="E438" s="1" t="str">
        <f>IF(OR(D438="",D438=0),"",D438-SUMIFS('Lessons Log'!$E:$E,'Lessons Log'!$C:$C,A438,'Lessons Log'!$D:$D,"*Package*"))</f>
        <v/>
      </c>
      <c r="F438" s="6" t="str">
        <f>IFERROR(INDEX([1]Clients!F:F, MATCH(A438, [1]Clients!A:A, 0)), "")</f>
        <v/>
      </c>
    </row>
    <row r="439" spans="2:6" x14ac:dyDescent="0.45">
      <c r="B439" s="5" t="str">
        <f>IFERROR(INDEX([1]Clients!$D:$D, MATCH(A439, [1]Clients!$A:$A, 0)), "")</f>
        <v/>
      </c>
      <c r="E439" s="1" t="str">
        <f>IF(OR(D439="",D439=0),"",D439-SUMIFS('Lessons Log'!$E:$E,'Lessons Log'!$C:$C,A439,'Lessons Log'!$D:$D,"*Package*"))</f>
        <v/>
      </c>
      <c r="F439" s="6" t="str">
        <f>IFERROR(INDEX([1]Clients!F:F, MATCH(A439, [1]Clients!A:A, 0)), "")</f>
        <v/>
      </c>
    </row>
    <row r="440" spans="2:6" x14ac:dyDescent="0.45">
      <c r="B440" s="5" t="str">
        <f>IFERROR(INDEX([1]Clients!$D:$D, MATCH(A440, [1]Clients!$A:$A, 0)), "")</f>
        <v/>
      </c>
      <c r="E440" s="1" t="str">
        <f>IF(OR(D440="",D440=0),"",D440-SUMIFS('Lessons Log'!$E:$E,'Lessons Log'!$C:$C,A440,'Lessons Log'!$D:$D,"*Package*"))</f>
        <v/>
      </c>
      <c r="F440" s="6" t="str">
        <f>IFERROR(INDEX([1]Clients!F:F, MATCH(A440, [1]Clients!A:A, 0)), "")</f>
        <v/>
      </c>
    </row>
    <row r="441" spans="2:6" x14ac:dyDescent="0.45">
      <c r="B441" s="5" t="str">
        <f>IFERROR(INDEX([1]Clients!$D:$D, MATCH(A441, [1]Clients!$A:$A, 0)), "")</f>
        <v/>
      </c>
      <c r="E441" s="1" t="str">
        <f>IF(OR(D441="",D441=0),"",D441-SUMIFS('Lessons Log'!$E:$E,'Lessons Log'!$C:$C,A441,'Lessons Log'!$D:$D,"*Package*"))</f>
        <v/>
      </c>
      <c r="F441" s="6" t="str">
        <f>IFERROR(INDEX([1]Clients!F:F, MATCH(A441, [1]Clients!A:A, 0)), "")</f>
        <v/>
      </c>
    </row>
    <row r="442" spans="2:6" x14ac:dyDescent="0.45">
      <c r="B442" s="5" t="str">
        <f>IFERROR(INDEX([1]Clients!$D:$D, MATCH(A442, [1]Clients!$A:$A, 0)), "")</f>
        <v/>
      </c>
      <c r="E442" s="1" t="str">
        <f>IF(OR(D442="",D442=0),"",D442-SUMIFS('Lessons Log'!$E:$E,'Lessons Log'!$C:$C,A442,'Lessons Log'!$D:$D,"*Package*"))</f>
        <v/>
      </c>
      <c r="F442" s="6" t="str">
        <f>IFERROR(INDEX([1]Clients!F:F, MATCH(A442, [1]Clients!A:A, 0)), "")</f>
        <v/>
      </c>
    </row>
    <row r="443" spans="2:6" x14ac:dyDescent="0.45">
      <c r="B443" s="5" t="str">
        <f>IFERROR(INDEX([1]Clients!$D:$D, MATCH(A443, [1]Clients!$A:$A, 0)), "")</f>
        <v/>
      </c>
      <c r="E443" s="1" t="str">
        <f>IF(OR(D443="",D443=0),"",D443-SUMIFS('Lessons Log'!$E:$E,'Lessons Log'!$C:$C,A443,'Lessons Log'!$D:$D,"*Package*"))</f>
        <v/>
      </c>
      <c r="F443" s="6" t="str">
        <f>IFERROR(INDEX([1]Clients!F:F, MATCH(A443, [1]Clients!A:A, 0)), "")</f>
        <v/>
      </c>
    </row>
    <row r="444" spans="2:6" x14ac:dyDescent="0.45">
      <c r="B444" s="5" t="str">
        <f>IFERROR(INDEX([1]Clients!$D:$D, MATCH(A444, [1]Clients!$A:$A, 0)), "")</f>
        <v/>
      </c>
      <c r="E444" s="1" t="str">
        <f>IF(OR(D444="",D444=0),"",D444-SUMIFS('Lessons Log'!$E:$E,'Lessons Log'!$C:$C,A444,'Lessons Log'!$D:$D,"*Package*"))</f>
        <v/>
      </c>
      <c r="F444" s="6" t="str">
        <f>IFERROR(INDEX([1]Clients!F:F, MATCH(A444, [1]Clients!A:A, 0)), "")</f>
        <v/>
      </c>
    </row>
    <row r="445" spans="2:6" x14ac:dyDescent="0.45">
      <c r="B445" s="5" t="str">
        <f>IFERROR(INDEX([1]Clients!$D:$D, MATCH(A445, [1]Clients!$A:$A, 0)), "")</f>
        <v/>
      </c>
      <c r="E445" s="1" t="str">
        <f>IF(OR(D445="",D445=0),"",D445-SUMIFS('Lessons Log'!$E:$E,'Lessons Log'!$C:$C,A445,'Lessons Log'!$D:$D,"*Package*"))</f>
        <v/>
      </c>
      <c r="F445" s="6" t="str">
        <f>IFERROR(INDEX([1]Clients!F:F, MATCH(A445, [1]Clients!A:A, 0)), "")</f>
        <v/>
      </c>
    </row>
    <row r="446" spans="2:6" x14ac:dyDescent="0.45">
      <c r="B446" s="5" t="str">
        <f>IFERROR(INDEX([1]Clients!$D:$D, MATCH(A446, [1]Clients!$A:$A, 0)), "")</f>
        <v/>
      </c>
      <c r="E446" s="1" t="str">
        <f>IF(OR(D446="",D446=0),"",D446-SUMIFS('Lessons Log'!$E:$E,'Lessons Log'!$C:$C,A446,'Lessons Log'!$D:$D,"*Package*"))</f>
        <v/>
      </c>
      <c r="F446" s="6" t="str">
        <f>IFERROR(INDEX([1]Clients!F:F, MATCH(A446, [1]Clients!A:A, 0)), "")</f>
        <v/>
      </c>
    </row>
    <row r="447" spans="2:6" x14ac:dyDescent="0.45">
      <c r="B447" s="5" t="str">
        <f>IFERROR(INDEX([1]Clients!$D:$D, MATCH(A447, [1]Clients!$A:$A, 0)), "")</f>
        <v/>
      </c>
      <c r="E447" s="1" t="str">
        <f>IF(OR(D447="",D447=0),"",D447-SUMIFS('Lessons Log'!$E:$E,'Lessons Log'!$C:$C,A447,'Lessons Log'!$D:$D,"*Package*"))</f>
        <v/>
      </c>
      <c r="F447" s="6" t="str">
        <f>IFERROR(INDEX([1]Clients!F:F, MATCH(A447, [1]Clients!A:A, 0)), "")</f>
        <v/>
      </c>
    </row>
    <row r="448" spans="2:6" x14ac:dyDescent="0.45">
      <c r="B448" s="5" t="str">
        <f>IFERROR(INDEX([1]Clients!$D:$D, MATCH(A448, [1]Clients!$A:$A, 0)), "")</f>
        <v/>
      </c>
      <c r="E448" s="1" t="str">
        <f>IF(OR(D448="",D448=0),"",D448-SUMIFS('Lessons Log'!$E:$E,'Lessons Log'!$C:$C,A448,'Lessons Log'!$D:$D,"*Package*"))</f>
        <v/>
      </c>
      <c r="F448" s="6" t="str">
        <f>IFERROR(INDEX([1]Clients!F:F, MATCH(A448, [1]Clients!A:A, 0)), "")</f>
        <v/>
      </c>
    </row>
    <row r="449" spans="2:6" x14ac:dyDescent="0.45">
      <c r="B449" s="5" t="str">
        <f>IFERROR(INDEX([1]Clients!$D:$D, MATCH(A449, [1]Clients!$A:$A, 0)), "")</f>
        <v/>
      </c>
      <c r="E449" s="1" t="str">
        <f>IF(OR(D449="",D449=0),"",D449-SUMIFS('Lessons Log'!$E:$E,'Lessons Log'!$C:$C,A449,'Lessons Log'!$D:$D,"*Package*"))</f>
        <v/>
      </c>
      <c r="F449" s="6" t="str">
        <f>IFERROR(INDEX([1]Clients!F:F, MATCH(A449, [1]Clients!A:A, 0)), "")</f>
        <v/>
      </c>
    </row>
    <row r="450" spans="2:6" x14ac:dyDescent="0.45">
      <c r="B450" s="5" t="str">
        <f>IFERROR(INDEX([1]Clients!$D:$D, MATCH(A450, [1]Clients!$A:$A, 0)), "")</f>
        <v/>
      </c>
      <c r="E450" s="1" t="str">
        <f>IF(OR(D450="",D450=0),"",D450-SUMIFS('Lessons Log'!$E:$E,'Lessons Log'!$C:$C,A450,'Lessons Log'!$D:$D,"*Package*"))</f>
        <v/>
      </c>
      <c r="F450" s="6" t="str">
        <f>IFERROR(INDEX([1]Clients!F:F, MATCH(A450, [1]Clients!A:A, 0)), "")</f>
        <v/>
      </c>
    </row>
    <row r="451" spans="2:6" x14ac:dyDescent="0.45">
      <c r="B451" s="5" t="str">
        <f>IFERROR(INDEX([1]Clients!$D:$D, MATCH(A451, [1]Clients!$A:$A, 0)), "")</f>
        <v/>
      </c>
      <c r="E451" s="1" t="str">
        <f>IF(OR(D451="",D451=0),"",D451-SUMIFS('Lessons Log'!$E:$E,'Lessons Log'!$C:$C,A451,'Lessons Log'!$D:$D,"*Package*"))</f>
        <v/>
      </c>
      <c r="F451" s="6" t="str">
        <f>IFERROR(INDEX([1]Clients!F:F, MATCH(A451, [1]Clients!A:A, 0)), "")</f>
        <v/>
      </c>
    </row>
    <row r="452" spans="2:6" x14ac:dyDescent="0.45">
      <c r="B452" s="5" t="str">
        <f>IFERROR(INDEX([1]Clients!$D:$D, MATCH(A452, [1]Clients!$A:$A, 0)), "")</f>
        <v/>
      </c>
      <c r="E452" s="1" t="str">
        <f>IF(OR(D452="",D452=0),"",D452-SUMIFS('Lessons Log'!$E:$E,'Lessons Log'!$C:$C,A452,'Lessons Log'!$D:$D,"*Package*"))</f>
        <v/>
      </c>
      <c r="F452" s="6" t="str">
        <f>IFERROR(INDEX([1]Clients!F:F, MATCH(A452, [1]Clients!A:A, 0)), "")</f>
        <v/>
      </c>
    </row>
    <row r="453" spans="2:6" x14ac:dyDescent="0.45">
      <c r="B453" s="5" t="str">
        <f>IFERROR(INDEX([1]Clients!$D:$D, MATCH(A453, [1]Clients!$A:$A, 0)), "")</f>
        <v/>
      </c>
      <c r="E453" s="1" t="str">
        <f>IF(OR(D453="",D453=0),"",D453-SUMIFS('Lessons Log'!$E:$E,'Lessons Log'!$C:$C,A453,'Lessons Log'!$D:$D,"*Package*"))</f>
        <v/>
      </c>
      <c r="F453" s="6" t="str">
        <f>IFERROR(INDEX([1]Clients!F:F, MATCH(A453, [1]Clients!A:A, 0)), "")</f>
        <v/>
      </c>
    </row>
    <row r="454" spans="2:6" x14ac:dyDescent="0.45">
      <c r="B454" s="5" t="str">
        <f>IFERROR(INDEX([1]Clients!$D:$D, MATCH(A454, [1]Clients!$A:$A, 0)), "")</f>
        <v/>
      </c>
      <c r="E454" s="1" t="str">
        <f>IF(OR(D454="",D454=0),"",D454-SUMIFS('Lessons Log'!$E:$E,'Lessons Log'!$C:$C,A454,'Lessons Log'!$D:$D,"*Package*"))</f>
        <v/>
      </c>
      <c r="F454" s="6" t="str">
        <f>IFERROR(INDEX([1]Clients!F:F, MATCH(A454, [1]Clients!A:A, 0)), "")</f>
        <v/>
      </c>
    </row>
    <row r="455" spans="2:6" x14ac:dyDescent="0.45">
      <c r="B455" s="5" t="str">
        <f>IFERROR(INDEX([1]Clients!$D:$D, MATCH(A455, [1]Clients!$A:$A, 0)), "")</f>
        <v/>
      </c>
      <c r="E455" s="1" t="str">
        <f>IF(OR(D455="",D455=0),"",D455-SUMIFS('Lessons Log'!$E:$E,'Lessons Log'!$C:$C,A455,'Lessons Log'!$D:$D,"*Package*"))</f>
        <v/>
      </c>
      <c r="F455" s="6" t="str">
        <f>IFERROR(INDEX([1]Clients!F:F, MATCH(A455, [1]Clients!A:A, 0)), "")</f>
        <v/>
      </c>
    </row>
    <row r="456" spans="2:6" x14ac:dyDescent="0.45">
      <c r="B456" s="5" t="str">
        <f>IFERROR(INDEX([1]Clients!$D:$D, MATCH(A456, [1]Clients!$A:$A, 0)), "")</f>
        <v/>
      </c>
      <c r="E456" s="1" t="str">
        <f>IF(OR(D456="",D456=0),"",D456-SUMIFS('Lessons Log'!$E:$E,'Lessons Log'!$C:$C,A456,'Lessons Log'!$D:$D,"*Package*"))</f>
        <v/>
      </c>
      <c r="F456" s="6" t="str">
        <f>IFERROR(INDEX([1]Clients!F:F, MATCH(A456, [1]Clients!A:A, 0)), "")</f>
        <v/>
      </c>
    </row>
    <row r="457" spans="2:6" x14ac:dyDescent="0.45">
      <c r="B457" s="5" t="str">
        <f>IFERROR(INDEX([1]Clients!$D:$D, MATCH(A457, [1]Clients!$A:$A, 0)), "")</f>
        <v/>
      </c>
      <c r="E457" s="1" t="str">
        <f>IF(OR(D457="",D457=0),"",D457-SUMIFS('Lessons Log'!$E:$E,'Lessons Log'!$C:$C,A457,'Lessons Log'!$D:$D,"*Package*"))</f>
        <v/>
      </c>
      <c r="F457" s="6" t="str">
        <f>IFERROR(INDEX([1]Clients!F:F, MATCH(A457, [1]Clients!A:A, 0)), "")</f>
        <v/>
      </c>
    </row>
    <row r="458" spans="2:6" x14ac:dyDescent="0.45">
      <c r="B458" s="5" t="str">
        <f>IFERROR(INDEX([1]Clients!$D:$D, MATCH(A458, [1]Clients!$A:$A, 0)), "")</f>
        <v/>
      </c>
      <c r="E458" s="1" t="str">
        <f>IF(OR(D458="",D458=0),"",D458-SUMIFS('Lessons Log'!$E:$E,'Lessons Log'!$C:$C,A458,'Lessons Log'!$D:$D,"*Package*"))</f>
        <v/>
      </c>
      <c r="F458" s="6" t="str">
        <f>IFERROR(INDEX([1]Clients!F:F, MATCH(A458, [1]Clients!A:A, 0)), "")</f>
        <v/>
      </c>
    </row>
    <row r="459" spans="2:6" x14ac:dyDescent="0.45">
      <c r="B459" s="5" t="str">
        <f>IFERROR(INDEX([1]Clients!$D:$D, MATCH(A459, [1]Clients!$A:$A, 0)), "")</f>
        <v/>
      </c>
      <c r="E459" s="1" t="str">
        <f>IF(OR(D459="",D459=0),"",D459-SUMIFS('Lessons Log'!$E:$E,'Lessons Log'!$C:$C,A459,'Lessons Log'!$D:$D,"*Package*"))</f>
        <v/>
      </c>
      <c r="F459" s="6" t="str">
        <f>IFERROR(INDEX([1]Clients!F:F, MATCH(A459, [1]Clients!A:A, 0)), "")</f>
        <v/>
      </c>
    </row>
    <row r="460" spans="2:6" x14ac:dyDescent="0.45">
      <c r="B460" s="5" t="str">
        <f>IFERROR(INDEX([1]Clients!$D:$D, MATCH(A460, [1]Clients!$A:$A, 0)), "")</f>
        <v/>
      </c>
      <c r="E460" s="1" t="str">
        <f>IF(OR(D460="",D460=0),"",D460-SUMIFS('Lessons Log'!$E:$E,'Lessons Log'!$C:$C,A460,'Lessons Log'!$D:$D,"*Package*"))</f>
        <v/>
      </c>
      <c r="F460" s="6" t="str">
        <f>IFERROR(INDEX([1]Clients!F:F, MATCH(A460, [1]Clients!A:A, 0)), "")</f>
        <v/>
      </c>
    </row>
    <row r="461" spans="2:6" x14ac:dyDescent="0.45">
      <c r="B461" s="5" t="str">
        <f>IFERROR(INDEX([1]Clients!$D:$D, MATCH(A461, [1]Clients!$A:$A, 0)), "")</f>
        <v/>
      </c>
      <c r="E461" s="1" t="str">
        <f>IF(OR(D461="",D461=0),"",D461-SUMIFS('Lessons Log'!$E:$E,'Lessons Log'!$C:$C,A461,'Lessons Log'!$D:$D,"*Package*"))</f>
        <v/>
      </c>
      <c r="F461" s="6" t="str">
        <f>IFERROR(INDEX([1]Clients!F:F, MATCH(A461, [1]Clients!A:A, 0)), "")</f>
        <v/>
      </c>
    </row>
    <row r="462" spans="2:6" x14ac:dyDescent="0.45">
      <c r="B462" s="5" t="str">
        <f>IFERROR(INDEX([1]Clients!$D:$D, MATCH(A462, [1]Clients!$A:$A, 0)), "")</f>
        <v/>
      </c>
      <c r="E462" s="1" t="str">
        <f>IF(OR(D462="",D462=0),"",D462-SUMIFS('Lessons Log'!$E:$E,'Lessons Log'!$C:$C,A462,'Lessons Log'!$D:$D,"*Package*"))</f>
        <v/>
      </c>
      <c r="F462" s="6" t="str">
        <f>IFERROR(INDEX([1]Clients!F:F, MATCH(A462, [1]Clients!A:A, 0)), "")</f>
        <v/>
      </c>
    </row>
    <row r="463" spans="2:6" x14ac:dyDescent="0.45">
      <c r="B463" s="5" t="str">
        <f>IFERROR(INDEX([1]Clients!$D:$D, MATCH(A463, [1]Clients!$A:$A, 0)), "")</f>
        <v/>
      </c>
      <c r="E463" s="1" t="str">
        <f>IF(OR(D463="",D463=0),"",D463-SUMIFS('Lessons Log'!$E:$E,'Lessons Log'!$C:$C,A463,'Lessons Log'!$D:$D,"*Package*"))</f>
        <v/>
      </c>
      <c r="F463" s="6" t="str">
        <f>IFERROR(INDEX([1]Clients!F:F, MATCH(A463, [1]Clients!A:A, 0)), "")</f>
        <v/>
      </c>
    </row>
    <row r="464" spans="2:6" x14ac:dyDescent="0.45">
      <c r="B464" s="5" t="str">
        <f>IFERROR(INDEX([1]Clients!$D:$D, MATCH(A464, [1]Clients!$A:$A, 0)), "")</f>
        <v/>
      </c>
      <c r="E464" s="1" t="str">
        <f>IF(OR(D464="",D464=0),"",D464-SUMIFS('Lessons Log'!$E:$E,'Lessons Log'!$C:$C,A464,'Lessons Log'!$D:$D,"*Package*"))</f>
        <v/>
      </c>
      <c r="F464" s="6" t="str">
        <f>IFERROR(INDEX([1]Clients!F:F, MATCH(A464, [1]Clients!A:A, 0)), "")</f>
        <v/>
      </c>
    </row>
    <row r="465" spans="2:6" x14ac:dyDescent="0.45">
      <c r="B465" s="5" t="str">
        <f>IFERROR(INDEX([1]Clients!$D:$D, MATCH(A465, [1]Clients!$A:$A, 0)), "")</f>
        <v/>
      </c>
      <c r="E465" s="1" t="str">
        <f>IF(OR(D465="",D465=0),"",D465-SUMIFS('Lessons Log'!$E:$E,'Lessons Log'!$C:$C,A465,'Lessons Log'!$D:$D,"*Package*"))</f>
        <v/>
      </c>
      <c r="F465" s="6" t="str">
        <f>IFERROR(INDEX([1]Clients!F:F, MATCH(A465, [1]Clients!A:A, 0)), "")</f>
        <v/>
      </c>
    </row>
    <row r="466" spans="2:6" x14ac:dyDescent="0.45">
      <c r="B466" s="5" t="str">
        <f>IFERROR(INDEX([1]Clients!$D:$D, MATCH(A466, [1]Clients!$A:$A, 0)), "")</f>
        <v/>
      </c>
      <c r="E466" s="1" t="str">
        <f>IF(OR(D466="",D466=0),"",D466-SUMIFS('Lessons Log'!$E:$E,'Lessons Log'!$C:$C,A466,'Lessons Log'!$D:$D,"*Package*"))</f>
        <v/>
      </c>
      <c r="F466" s="6" t="str">
        <f>IFERROR(INDEX([1]Clients!F:F, MATCH(A466, [1]Clients!A:A, 0)), "")</f>
        <v/>
      </c>
    </row>
    <row r="467" spans="2:6" x14ac:dyDescent="0.45">
      <c r="B467" s="5" t="str">
        <f>IFERROR(INDEX([1]Clients!$D:$D, MATCH(A467, [1]Clients!$A:$A, 0)), "")</f>
        <v/>
      </c>
      <c r="E467" s="1" t="str">
        <f>IF(OR(D467="",D467=0),"",D467-SUMIFS('Lessons Log'!$E:$E,'Lessons Log'!$C:$C,A467,'Lessons Log'!$D:$D,"*Package*"))</f>
        <v/>
      </c>
      <c r="F467" s="6" t="str">
        <f>IFERROR(INDEX([1]Clients!F:F, MATCH(A467, [1]Clients!A:A, 0)), "")</f>
        <v/>
      </c>
    </row>
    <row r="468" spans="2:6" x14ac:dyDescent="0.45">
      <c r="B468" s="5" t="str">
        <f>IFERROR(INDEX([1]Clients!$D:$D, MATCH(A468, [1]Clients!$A:$A, 0)), "")</f>
        <v/>
      </c>
      <c r="E468" s="1" t="str">
        <f>IF(OR(D468="",D468=0),"",D468-SUMIFS('Lessons Log'!$E:$E,'Lessons Log'!$C:$C,A468,'Lessons Log'!$D:$D,"*Package*"))</f>
        <v/>
      </c>
      <c r="F468" s="6" t="str">
        <f>IFERROR(INDEX([1]Clients!F:F, MATCH(A468, [1]Clients!A:A, 0)), "")</f>
        <v/>
      </c>
    </row>
    <row r="469" spans="2:6" x14ac:dyDescent="0.45">
      <c r="B469" s="5" t="str">
        <f>IFERROR(INDEX([1]Clients!$D:$D, MATCH(A469, [1]Clients!$A:$A, 0)), "")</f>
        <v/>
      </c>
      <c r="E469" s="1" t="str">
        <f>IF(OR(D469="",D469=0),"",D469-SUMIFS('Lessons Log'!$E:$E,'Lessons Log'!$C:$C,A469,'Lessons Log'!$D:$D,"*Package*"))</f>
        <v/>
      </c>
      <c r="F469" s="6" t="str">
        <f>IFERROR(INDEX([1]Clients!F:F, MATCH(A469, [1]Clients!A:A, 0)), "")</f>
        <v/>
      </c>
    </row>
    <row r="470" spans="2:6" x14ac:dyDescent="0.45">
      <c r="B470" s="5" t="str">
        <f>IFERROR(INDEX([1]Clients!$D:$D, MATCH(A470, [1]Clients!$A:$A, 0)), "")</f>
        <v/>
      </c>
      <c r="E470" s="1" t="str">
        <f>IF(OR(D470="",D470=0),"",D470-SUMIFS('Lessons Log'!$E:$E,'Lessons Log'!$C:$C,A470,'Lessons Log'!$D:$D,"*Package*"))</f>
        <v/>
      </c>
      <c r="F470" s="6" t="str">
        <f>IFERROR(INDEX([1]Clients!F:F, MATCH(A470, [1]Clients!A:A, 0)), "")</f>
        <v/>
      </c>
    </row>
    <row r="471" spans="2:6" x14ac:dyDescent="0.45">
      <c r="B471" s="5" t="str">
        <f>IFERROR(INDEX([1]Clients!$D:$D, MATCH(A471, [1]Clients!$A:$A, 0)), "")</f>
        <v/>
      </c>
      <c r="E471" s="1" t="str">
        <f>IF(OR(D471="",D471=0),"",D471-SUMIFS('Lessons Log'!$E:$E,'Lessons Log'!$C:$C,A471,'Lessons Log'!$D:$D,"*Package*"))</f>
        <v/>
      </c>
      <c r="F471" s="6" t="str">
        <f>IFERROR(INDEX([1]Clients!F:F, MATCH(A471, [1]Clients!A:A, 0)), "")</f>
        <v/>
      </c>
    </row>
    <row r="472" spans="2:6" x14ac:dyDescent="0.45">
      <c r="B472" s="5" t="str">
        <f>IFERROR(INDEX([1]Clients!$D:$D, MATCH(A472, [1]Clients!$A:$A, 0)), "")</f>
        <v/>
      </c>
      <c r="E472" s="1" t="str">
        <f>IF(OR(D472="",D472=0),"",D472-SUMIFS('Lessons Log'!$E:$E,'Lessons Log'!$C:$C,A472,'Lessons Log'!$D:$D,"*Package*"))</f>
        <v/>
      </c>
      <c r="F472" s="6" t="str">
        <f>IFERROR(INDEX([1]Clients!F:F, MATCH(A472, [1]Clients!A:A, 0)), "")</f>
        <v/>
      </c>
    </row>
    <row r="473" spans="2:6" x14ac:dyDescent="0.45">
      <c r="B473" s="5" t="str">
        <f>IFERROR(INDEX([1]Clients!$D:$D, MATCH(A473, [1]Clients!$A:$A, 0)), "")</f>
        <v/>
      </c>
      <c r="E473" s="1" t="str">
        <f>IF(OR(D473="",D473=0),"",D473-SUMIFS('Lessons Log'!$E:$E,'Lessons Log'!$C:$C,A473,'Lessons Log'!$D:$D,"*Package*"))</f>
        <v/>
      </c>
      <c r="F473" s="6" t="str">
        <f>IFERROR(INDEX([1]Clients!F:F, MATCH(A473, [1]Clients!A:A, 0)), "")</f>
        <v/>
      </c>
    </row>
    <row r="474" spans="2:6" x14ac:dyDescent="0.45">
      <c r="B474" s="5" t="str">
        <f>IFERROR(INDEX([1]Clients!$D:$D, MATCH(A474, [1]Clients!$A:$A, 0)), "")</f>
        <v/>
      </c>
      <c r="E474" s="1" t="str">
        <f>IF(OR(D474="",D474=0),"",D474-SUMIFS('Lessons Log'!$E:$E,'Lessons Log'!$C:$C,A474,'Lessons Log'!$D:$D,"*Package*"))</f>
        <v/>
      </c>
      <c r="F474" s="6" t="str">
        <f>IFERROR(INDEX([1]Clients!F:F, MATCH(A474, [1]Clients!A:A, 0)), "")</f>
        <v/>
      </c>
    </row>
    <row r="475" spans="2:6" x14ac:dyDescent="0.45">
      <c r="B475" s="5" t="str">
        <f>IFERROR(INDEX([1]Clients!$D:$D, MATCH(A475, [1]Clients!$A:$A, 0)), "")</f>
        <v/>
      </c>
      <c r="E475" s="1" t="str">
        <f>IF(OR(D475="",D475=0),"",D475-SUMIFS('Lessons Log'!$E:$E,'Lessons Log'!$C:$C,A475,'Lessons Log'!$D:$D,"*Package*"))</f>
        <v/>
      </c>
      <c r="F475" s="6" t="str">
        <f>IFERROR(INDEX([1]Clients!F:F, MATCH(A475, [1]Clients!A:A, 0)), "")</f>
        <v/>
      </c>
    </row>
    <row r="476" spans="2:6" x14ac:dyDescent="0.45">
      <c r="B476" s="5" t="str">
        <f>IFERROR(INDEX([1]Clients!$D:$D, MATCH(A476, [1]Clients!$A:$A, 0)), "")</f>
        <v/>
      </c>
      <c r="E476" s="1" t="str">
        <f>IF(OR(D476="",D476=0),"",D476-SUMIFS('Lessons Log'!$E:$E,'Lessons Log'!$C:$C,A476,'Lessons Log'!$D:$D,"*Package*"))</f>
        <v/>
      </c>
      <c r="F476" s="6" t="str">
        <f>IFERROR(INDEX([1]Clients!F:F, MATCH(A476, [1]Clients!A:A, 0)), "")</f>
        <v/>
      </c>
    </row>
    <row r="477" spans="2:6" x14ac:dyDescent="0.45">
      <c r="B477" s="5" t="str">
        <f>IFERROR(INDEX([1]Clients!$D:$D, MATCH(A477, [1]Clients!$A:$A, 0)), "")</f>
        <v/>
      </c>
      <c r="E477" s="1" t="str">
        <f>IF(OR(D477="",D477=0),"",D477-SUMIFS('Lessons Log'!$E:$E,'Lessons Log'!$C:$C,A477,'Lessons Log'!$D:$D,"*Package*"))</f>
        <v/>
      </c>
      <c r="F477" s="6" t="str">
        <f>IFERROR(INDEX([1]Clients!F:F, MATCH(A477, [1]Clients!A:A, 0)), "")</f>
        <v/>
      </c>
    </row>
    <row r="478" spans="2:6" x14ac:dyDescent="0.45">
      <c r="B478" s="5" t="str">
        <f>IFERROR(INDEX([1]Clients!$D:$D, MATCH(A478, [1]Clients!$A:$A, 0)), "")</f>
        <v/>
      </c>
      <c r="E478" s="1" t="str">
        <f>IF(OR(D478="",D478=0),"",D478-SUMIFS('Lessons Log'!$E:$E,'Lessons Log'!$C:$C,A478,'Lessons Log'!$D:$D,"*Package*"))</f>
        <v/>
      </c>
      <c r="F478" s="6" t="str">
        <f>IFERROR(INDEX([1]Clients!F:F, MATCH(A478, [1]Clients!A:A, 0)), "")</f>
        <v/>
      </c>
    </row>
    <row r="479" spans="2:6" x14ac:dyDescent="0.45">
      <c r="B479" s="5" t="str">
        <f>IFERROR(INDEX([1]Clients!$D:$D, MATCH(A479, [1]Clients!$A:$A, 0)), "")</f>
        <v/>
      </c>
      <c r="E479" s="1" t="str">
        <f>IF(OR(D479="",D479=0),"",D479-SUMIFS('Lessons Log'!$E:$E,'Lessons Log'!$C:$C,A479,'Lessons Log'!$D:$D,"*Package*"))</f>
        <v/>
      </c>
      <c r="F479" s="6" t="str">
        <f>IFERROR(INDEX([1]Clients!F:F, MATCH(A479, [1]Clients!A:A, 0)), "")</f>
        <v/>
      </c>
    </row>
    <row r="480" spans="2:6" x14ac:dyDescent="0.45">
      <c r="B480" s="5" t="str">
        <f>IFERROR(INDEX([1]Clients!$D:$D, MATCH(A480, [1]Clients!$A:$A, 0)), "")</f>
        <v/>
      </c>
      <c r="E480" s="1" t="str">
        <f>IF(OR(D480="",D480=0),"",D480-SUMIFS('Lessons Log'!$E:$E,'Lessons Log'!$C:$C,A480,'Lessons Log'!$D:$D,"*Package*"))</f>
        <v/>
      </c>
      <c r="F480" s="6" t="str">
        <f>IFERROR(INDEX([1]Clients!F:F, MATCH(A480, [1]Clients!A:A, 0)), "")</f>
        <v/>
      </c>
    </row>
    <row r="481" spans="2:6" x14ac:dyDescent="0.45">
      <c r="B481" s="5" t="str">
        <f>IFERROR(INDEX([1]Clients!$D:$D, MATCH(A481, [1]Clients!$A:$A, 0)), "")</f>
        <v/>
      </c>
      <c r="E481" s="1" t="str">
        <f>IF(OR(D481="",D481=0),"",D481-SUMIFS('Lessons Log'!$E:$E,'Lessons Log'!$C:$C,A481,'Lessons Log'!$D:$D,"*Package*"))</f>
        <v/>
      </c>
      <c r="F481" s="6" t="str">
        <f>IFERROR(INDEX([1]Clients!F:F, MATCH(A481, [1]Clients!A:A, 0)), "")</f>
        <v/>
      </c>
    </row>
    <row r="482" spans="2:6" x14ac:dyDescent="0.45">
      <c r="B482" s="5" t="str">
        <f>IFERROR(INDEX([1]Clients!$D:$D, MATCH(A482, [1]Clients!$A:$A, 0)), "")</f>
        <v/>
      </c>
      <c r="E482" s="1" t="str">
        <f>IF(OR(D482="",D482=0),"",D482-SUMIFS('Lessons Log'!$E:$E,'Lessons Log'!$C:$C,A482,'Lessons Log'!$D:$D,"*Package*"))</f>
        <v/>
      </c>
      <c r="F482" s="6" t="str">
        <f>IFERROR(INDEX([1]Clients!F:F, MATCH(A482, [1]Clients!A:A, 0)), "")</f>
        <v/>
      </c>
    </row>
    <row r="483" spans="2:6" x14ac:dyDescent="0.45">
      <c r="B483" s="5" t="str">
        <f>IFERROR(INDEX([1]Clients!$D:$D, MATCH(A483, [1]Clients!$A:$A, 0)), "")</f>
        <v/>
      </c>
      <c r="E483" s="1" t="str">
        <f>IF(OR(D483="",D483=0),"",D483-SUMIFS('Lessons Log'!$E:$E,'Lessons Log'!$C:$C,A483,'Lessons Log'!$D:$D,"*Package*"))</f>
        <v/>
      </c>
      <c r="F483" s="6" t="str">
        <f>IFERROR(INDEX([1]Clients!F:F, MATCH(A483, [1]Clients!A:A, 0)), "")</f>
        <v/>
      </c>
    </row>
    <row r="484" spans="2:6" x14ac:dyDescent="0.45">
      <c r="B484" s="5" t="str">
        <f>IFERROR(INDEX([1]Clients!$D:$D, MATCH(A484, [1]Clients!$A:$A, 0)), "")</f>
        <v/>
      </c>
      <c r="E484" s="1" t="str">
        <f>IF(OR(D484="",D484=0),"",D484-SUMIFS('Lessons Log'!$E:$E,'Lessons Log'!$C:$C,A484,'Lessons Log'!$D:$D,"*Package*"))</f>
        <v/>
      </c>
      <c r="F484" s="6" t="str">
        <f>IFERROR(INDEX([1]Clients!F:F, MATCH(A484, [1]Clients!A:A, 0)), "")</f>
        <v/>
      </c>
    </row>
    <row r="485" spans="2:6" x14ac:dyDescent="0.45">
      <c r="B485" s="5" t="str">
        <f>IFERROR(INDEX([1]Clients!$D:$D, MATCH(A485, [1]Clients!$A:$A, 0)), "")</f>
        <v/>
      </c>
      <c r="E485" s="1" t="str">
        <f>IF(OR(D485="",D485=0),"",D485-SUMIFS('Lessons Log'!$E:$E,'Lessons Log'!$C:$C,A485,'Lessons Log'!$D:$D,"*Package*"))</f>
        <v/>
      </c>
      <c r="F485" s="6" t="str">
        <f>IFERROR(INDEX([1]Clients!F:F, MATCH(A485, [1]Clients!A:A, 0)), "")</f>
        <v/>
      </c>
    </row>
    <row r="486" spans="2:6" x14ac:dyDescent="0.45">
      <c r="B486" s="5" t="str">
        <f>IFERROR(INDEX([1]Clients!$D:$D, MATCH(A486, [1]Clients!$A:$A, 0)), "")</f>
        <v/>
      </c>
      <c r="E486" s="1" t="str">
        <f>IF(OR(D486="",D486=0),"",D486-SUMIFS('Lessons Log'!$E:$E,'Lessons Log'!$C:$C,A486,'Lessons Log'!$D:$D,"*Package*"))</f>
        <v/>
      </c>
      <c r="F486" s="6" t="str">
        <f>IFERROR(INDEX([1]Clients!F:F, MATCH(A486, [1]Clients!A:A, 0)), "")</f>
        <v/>
      </c>
    </row>
    <row r="487" spans="2:6" x14ac:dyDescent="0.45">
      <c r="B487" s="5" t="str">
        <f>IFERROR(INDEX([1]Clients!$D:$D, MATCH(A487, [1]Clients!$A:$A, 0)), "")</f>
        <v/>
      </c>
      <c r="E487" s="1" t="str">
        <f>IF(OR(D487="",D487=0),"",D487-SUMIFS('Lessons Log'!$E:$E,'Lessons Log'!$C:$C,A487,'Lessons Log'!$D:$D,"*Package*"))</f>
        <v/>
      </c>
      <c r="F487" s="6" t="str">
        <f>IFERROR(INDEX([1]Clients!F:F, MATCH(A487, [1]Clients!A:A, 0)), "")</f>
        <v/>
      </c>
    </row>
    <row r="488" spans="2:6" x14ac:dyDescent="0.45">
      <c r="B488" s="5" t="str">
        <f>IFERROR(INDEX([1]Clients!$D:$D, MATCH(A488, [1]Clients!$A:$A, 0)), "")</f>
        <v/>
      </c>
      <c r="E488" s="1" t="str">
        <f>IF(OR(D488="",D488=0),"",D488-SUMIFS('Lessons Log'!$E:$E,'Lessons Log'!$C:$C,A488,'Lessons Log'!$D:$D,"*Package*"))</f>
        <v/>
      </c>
      <c r="F488" s="6" t="str">
        <f>IFERROR(INDEX([1]Clients!F:F, MATCH(A488, [1]Clients!A:A, 0)), "")</f>
        <v/>
      </c>
    </row>
    <row r="489" spans="2:6" x14ac:dyDescent="0.45">
      <c r="B489" s="5" t="str">
        <f>IFERROR(INDEX([1]Clients!$D:$D, MATCH(A489, [1]Clients!$A:$A, 0)), "")</f>
        <v/>
      </c>
      <c r="E489" s="1" t="str">
        <f>IF(OR(D489="",D489=0),"",D489-SUMIFS('Lessons Log'!$E:$E,'Lessons Log'!$C:$C,A489,'Lessons Log'!$D:$D,"*Package*"))</f>
        <v/>
      </c>
      <c r="F489" s="6" t="str">
        <f>IFERROR(INDEX([1]Clients!F:F, MATCH(A489, [1]Clients!A:A, 0)), "")</f>
        <v/>
      </c>
    </row>
    <row r="490" spans="2:6" x14ac:dyDescent="0.45">
      <c r="B490" s="5" t="str">
        <f>IFERROR(INDEX([1]Clients!$D:$D, MATCH(A490, [1]Clients!$A:$A, 0)), "")</f>
        <v/>
      </c>
      <c r="E490" s="1" t="str">
        <f>IF(OR(D490="",D490=0),"",D490-SUMIFS('Lessons Log'!$E:$E,'Lessons Log'!$C:$C,A490,'Lessons Log'!$D:$D,"*Package*"))</f>
        <v/>
      </c>
      <c r="F490" s="6" t="str">
        <f>IFERROR(INDEX([1]Clients!F:F, MATCH(A490, [1]Clients!A:A, 0)), "")</f>
        <v/>
      </c>
    </row>
    <row r="491" spans="2:6" x14ac:dyDescent="0.45">
      <c r="B491" s="5" t="str">
        <f>IFERROR(INDEX([1]Clients!$D:$D, MATCH(A491, [1]Clients!$A:$A, 0)), "")</f>
        <v/>
      </c>
      <c r="E491" s="1" t="str">
        <f>IF(OR(D491="",D491=0),"",D491-SUMIFS('Lessons Log'!$E:$E,'Lessons Log'!$C:$C,A491,'Lessons Log'!$D:$D,"*Package*"))</f>
        <v/>
      </c>
      <c r="F491" s="6" t="str">
        <f>IFERROR(INDEX([1]Clients!F:F, MATCH(A491, [1]Clients!A:A, 0)), "")</f>
        <v/>
      </c>
    </row>
    <row r="492" spans="2:6" x14ac:dyDescent="0.45">
      <c r="B492" s="5" t="str">
        <f>IFERROR(INDEX([1]Clients!$D:$D, MATCH(A492, [1]Clients!$A:$A, 0)), "")</f>
        <v/>
      </c>
      <c r="E492" s="1" t="str">
        <f>IF(OR(D492="",D492=0),"",D492-SUMIFS('Lessons Log'!$E:$E,'Lessons Log'!$C:$C,A492,'Lessons Log'!$D:$D,"*Package*"))</f>
        <v/>
      </c>
      <c r="F492" s="6" t="str">
        <f>IFERROR(INDEX([1]Clients!F:F, MATCH(A492, [1]Clients!A:A, 0)), "")</f>
        <v/>
      </c>
    </row>
    <row r="493" spans="2:6" x14ac:dyDescent="0.45">
      <c r="B493" s="5" t="str">
        <f>IFERROR(INDEX([1]Clients!$D:$D, MATCH(A493, [1]Clients!$A:$A, 0)), "")</f>
        <v/>
      </c>
      <c r="E493" s="1" t="str">
        <f>IF(OR(D493="",D493=0),"",D493-SUMIFS('Lessons Log'!$E:$E,'Lessons Log'!$C:$C,A493,'Lessons Log'!$D:$D,"*Package*"))</f>
        <v/>
      </c>
      <c r="F493" s="6" t="str">
        <f>IFERROR(INDEX([1]Clients!F:F, MATCH(A493, [1]Clients!A:A, 0)), "")</f>
        <v/>
      </c>
    </row>
    <row r="494" spans="2:6" x14ac:dyDescent="0.45">
      <c r="B494" s="5" t="str">
        <f>IFERROR(INDEX([1]Clients!$D:$D, MATCH(A494, [1]Clients!$A:$A, 0)), "")</f>
        <v/>
      </c>
      <c r="E494" s="1" t="str">
        <f>IF(OR(D494="",D494=0),"",D494-SUMIFS('Lessons Log'!$E:$E,'Lessons Log'!$C:$C,A494,'Lessons Log'!$D:$D,"*Package*"))</f>
        <v/>
      </c>
      <c r="F494" s="6" t="str">
        <f>IFERROR(INDEX([1]Clients!F:F, MATCH(A494, [1]Clients!A:A, 0)), "")</f>
        <v/>
      </c>
    </row>
    <row r="495" spans="2:6" x14ac:dyDescent="0.45">
      <c r="B495" s="5" t="str">
        <f>IFERROR(INDEX([1]Clients!$D:$D, MATCH(A495, [1]Clients!$A:$A, 0)), "")</f>
        <v/>
      </c>
      <c r="E495" s="1" t="str">
        <f>IF(OR(D495="",D495=0),"",D495-SUMIFS('Lessons Log'!$E:$E,'Lessons Log'!$C:$C,A495,'Lessons Log'!$D:$D,"*Package*"))</f>
        <v/>
      </c>
      <c r="F495" s="6" t="str">
        <f>IFERROR(INDEX([1]Clients!F:F, MATCH(A495, [1]Clients!A:A, 0)), "")</f>
        <v/>
      </c>
    </row>
    <row r="496" spans="2:6" x14ac:dyDescent="0.45">
      <c r="B496" s="5" t="str">
        <f>IFERROR(INDEX([1]Clients!$D:$D, MATCH(A496, [1]Clients!$A:$A, 0)), "")</f>
        <v/>
      </c>
      <c r="E496" s="1" t="str">
        <f>IF(OR(D496="",D496=0),"",D496-SUMIFS('Lessons Log'!$E:$E,'Lessons Log'!$C:$C,A496,'Lessons Log'!$D:$D,"*Package*"))</f>
        <v/>
      </c>
      <c r="F496" s="6" t="str">
        <f>IFERROR(INDEX([1]Clients!F:F, MATCH(A496, [1]Clients!A:A, 0)), "")</f>
        <v/>
      </c>
    </row>
    <row r="497" spans="2:6" x14ac:dyDescent="0.45">
      <c r="B497" s="5" t="str">
        <f>IFERROR(INDEX([1]Clients!$D:$D, MATCH(A497, [1]Clients!$A:$A, 0)), "")</f>
        <v/>
      </c>
      <c r="E497" s="1" t="str">
        <f>IF(OR(D497="",D497=0),"",D497-SUMIFS('Lessons Log'!$E:$E,'Lessons Log'!$C:$C,A497,'Lessons Log'!$D:$D,"*Package*"))</f>
        <v/>
      </c>
      <c r="F497" s="6" t="str">
        <f>IFERROR(INDEX([1]Clients!F:F, MATCH(A497, [1]Clients!A:A, 0)), "")</f>
        <v/>
      </c>
    </row>
    <row r="498" spans="2:6" x14ac:dyDescent="0.45">
      <c r="B498" s="5" t="str">
        <f>IFERROR(INDEX([1]Clients!$D:$D, MATCH(A498, [1]Clients!$A:$A, 0)), "")</f>
        <v/>
      </c>
      <c r="E498" s="1" t="str">
        <f>IF(OR(D498="",D498=0),"",D498-SUMIFS('Lessons Log'!$E:$E,'Lessons Log'!$C:$C,A498,'Lessons Log'!$D:$D,"*Package*"))</f>
        <v/>
      </c>
      <c r="F498" s="6" t="str">
        <f>IFERROR(INDEX([1]Clients!F:F, MATCH(A498, [1]Clients!A:A, 0)), "")</f>
        <v/>
      </c>
    </row>
    <row r="499" spans="2:6" x14ac:dyDescent="0.45">
      <c r="B499" s="5" t="str">
        <f>IFERROR(INDEX([1]Clients!$D:$D, MATCH(A499, [1]Clients!$A:$A, 0)), "")</f>
        <v/>
      </c>
      <c r="E499" s="1" t="str">
        <f>IF(OR(D499="",D499=0),"",D499-SUMIFS('Lessons Log'!$E:$E,'Lessons Log'!$C:$C,A499,'Lessons Log'!$D:$D,"*Package*"))</f>
        <v/>
      </c>
      <c r="F499" s="6" t="str">
        <f>IFERROR(INDEX([1]Clients!F:F, MATCH(A499, [1]Clients!A:A, 0)), "")</f>
        <v/>
      </c>
    </row>
    <row r="500" spans="2:6" x14ac:dyDescent="0.45">
      <c r="B500" s="5" t="str">
        <f>IFERROR(INDEX([1]Clients!$D:$D, MATCH(A500, [1]Clients!$A:$A, 0)), "")</f>
        <v/>
      </c>
      <c r="E500" s="1" t="str">
        <f>IF(OR(D500="",D500=0),"",D500-SUMIFS('Lessons Log'!$E:$E,'Lessons Log'!$C:$C,A500,'Lessons Log'!$D:$D,"*Package*"))</f>
        <v/>
      </c>
      <c r="F500" s="6" t="str">
        <f>IFERROR(INDEX([1]Clients!F:F, MATCH(A500, [1]Clients!A:A, 0)), "")</f>
        <v/>
      </c>
    </row>
    <row r="501" spans="2:6" x14ac:dyDescent="0.45">
      <c r="B501" s="5" t="str">
        <f>IFERROR(INDEX([1]Clients!$D:$D, MATCH(A501, [1]Clients!$A:$A, 0)), "")</f>
        <v/>
      </c>
      <c r="E501" s="1" t="str">
        <f>IF(OR(D501="",D501=0),"",D501-SUMIFS('Lessons Log'!$E:$E,'Lessons Log'!$C:$C,A501,'Lessons Log'!$D:$D,"*Package*"))</f>
        <v/>
      </c>
      <c r="F501" s="6" t="str">
        <f>IFERROR(INDEX([1]Clients!F:F, MATCH(A501, [1]Clients!A:A, 0)), "")</f>
        <v/>
      </c>
    </row>
    <row r="502" spans="2:6" x14ac:dyDescent="0.45">
      <c r="B502" s="5" t="str">
        <f>IFERROR(INDEX([1]Clients!$D:$D, MATCH(A502, [1]Clients!$A:$A, 0)), "")</f>
        <v/>
      </c>
      <c r="E502" s="1" t="str">
        <f>IF(OR(D502="",D502=0),"",D502-SUMIFS('Lessons Log'!$E:$E,'Lessons Log'!$C:$C,A502,'Lessons Log'!$D:$D,"*Package*"))</f>
        <v/>
      </c>
      <c r="F502" s="6" t="str">
        <f>IFERROR(INDEX([1]Clients!F:F, MATCH(A502, [1]Clients!A:A, 0)), "")</f>
        <v/>
      </c>
    </row>
    <row r="503" spans="2:6" x14ac:dyDescent="0.45">
      <c r="B503" s="5" t="str">
        <f>IFERROR(INDEX([1]Clients!$D:$D, MATCH(A503, [1]Clients!$A:$A, 0)), "")</f>
        <v/>
      </c>
      <c r="E503" s="1" t="str">
        <f>IF(OR(D503="",D503=0),"",D503-SUMIFS('Lessons Log'!$E:$E,'Lessons Log'!$C:$C,A503,'Lessons Log'!$D:$D,"*Package*"))</f>
        <v/>
      </c>
      <c r="F503" s="6" t="str">
        <f>IFERROR(INDEX([1]Clients!F:F, MATCH(A503, [1]Clients!A:A, 0)), "")</f>
        <v/>
      </c>
    </row>
    <row r="504" spans="2:6" x14ac:dyDescent="0.45">
      <c r="B504" s="5" t="str">
        <f>IFERROR(INDEX([1]Clients!$D:$D, MATCH(A504, [1]Clients!$A:$A, 0)), "")</f>
        <v/>
      </c>
      <c r="E504" s="1" t="str">
        <f>IF(OR(D504="",D504=0),"",D504-SUMIFS('Lessons Log'!$E:$E,'Lessons Log'!$C:$C,A504,'Lessons Log'!$D:$D,"*Package*"))</f>
        <v/>
      </c>
      <c r="F504" s="6" t="str">
        <f>IFERROR(INDEX([1]Clients!F:F, MATCH(A504, [1]Clients!A:A, 0)), "")</f>
        <v/>
      </c>
    </row>
    <row r="505" spans="2:6" x14ac:dyDescent="0.45">
      <c r="B505" s="5" t="str">
        <f>IFERROR(INDEX([1]Clients!$D:$D, MATCH(A505, [1]Clients!$A:$A, 0)), "")</f>
        <v/>
      </c>
      <c r="E505" s="1" t="str">
        <f>IF(OR(D505="",D505=0),"",D505-SUMIFS('Lessons Log'!$E:$E,'Lessons Log'!$C:$C,A505,'Lessons Log'!$D:$D,"*Package*"))</f>
        <v/>
      </c>
      <c r="F505" s="6" t="str">
        <f>IFERROR(INDEX([1]Clients!F:F, MATCH(A505, [1]Clients!A:A, 0)), "")</f>
        <v/>
      </c>
    </row>
    <row r="506" spans="2:6" x14ac:dyDescent="0.45">
      <c r="B506" s="5" t="str">
        <f>IFERROR(INDEX([1]Clients!$D:$D, MATCH(A506, [1]Clients!$A:$A, 0)), "")</f>
        <v/>
      </c>
      <c r="E506" s="1" t="str">
        <f>IF(OR(D506="",D506=0),"",D506-SUMIFS('Lessons Log'!$E:$E,'Lessons Log'!$C:$C,A506,'Lessons Log'!$D:$D,"*Package*"))</f>
        <v/>
      </c>
      <c r="F506" s="6" t="str">
        <f>IFERROR(INDEX([1]Clients!F:F, MATCH(A506, [1]Clients!A:A, 0)), "")</f>
        <v/>
      </c>
    </row>
    <row r="507" spans="2:6" x14ac:dyDescent="0.45">
      <c r="B507" s="5" t="str">
        <f>IFERROR(INDEX([1]Clients!$D:$D, MATCH(A507, [1]Clients!$A:$A, 0)), "")</f>
        <v/>
      </c>
      <c r="E507" s="1" t="str">
        <f>IF(OR(D507="",D507=0),"",D507-SUMIFS('Lessons Log'!$E:$E,'Lessons Log'!$C:$C,A507,'Lessons Log'!$D:$D,"*Package*"))</f>
        <v/>
      </c>
      <c r="F507" s="6" t="str">
        <f>IFERROR(INDEX([1]Clients!F:F, MATCH(A507, [1]Clients!A:A, 0)), "")</f>
        <v/>
      </c>
    </row>
    <row r="508" spans="2:6" x14ac:dyDescent="0.45">
      <c r="B508" s="5" t="str">
        <f>IFERROR(INDEX([1]Clients!$D:$D, MATCH(A508, [1]Clients!$A:$A, 0)), "")</f>
        <v/>
      </c>
      <c r="E508" s="1" t="str">
        <f>IF(OR(D508="",D508=0),"",D508-SUMIFS('Lessons Log'!$E:$E,'Lessons Log'!$C:$C,A508,'Lessons Log'!$D:$D,"*Package*"))</f>
        <v/>
      </c>
      <c r="F508" s="6" t="str">
        <f>IFERROR(INDEX([1]Clients!F:F, MATCH(A508, [1]Clients!A:A, 0)), "")</f>
        <v/>
      </c>
    </row>
    <row r="509" spans="2:6" x14ac:dyDescent="0.45">
      <c r="B509" s="5" t="str">
        <f>IFERROR(INDEX([1]Clients!$D:$D, MATCH(A509, [1]Clients!$A:$A, 0)), "")</f>
        <v/>
      </c>
      <c r="E509" s="1" t="str">
        <f>IF(OR(D509="",D509=0),"",D509-SUMIFS('Lessons Log'!$E:$E,'Lessons Log'!$C:$C,A509,'Lessons Log'!$D:$D,"*Package*"))</f>
        <v/>
      </c>
      <c r="F509" s="6" t="str">
        <f>IFERROR(INDEX([1]Clients!F:F, MATCH(A509, [1]Clients!A:A, 0)), "")</f>
        <v/>
      </c>
    </row>
    <row r="510" spans="2:6" x14ac:dyDescent="0.45">
      <c r="B510" s="5" t="str">
        <f>IFERROR(INDEX([1]Clients!$D:$D, MATCH(A510, [1]Clients!$A:$A, 0)), "")</f>
        <v/>
      </c>
      <c r="E510" s="1" t="str">
        <f>IF(OR(D510="",D510=0),"",D510-SUMIFS('Lessons Log'!$E:$E,'Lessons Log'!$C:$C,A510,'Lessons Log'!$D:$D,"*Package*"))</f>
        <v/>
      </c>
      <c r="F510" s="6" t="str">
        <f>IFERROR(INDEX([1]Clients!F:F, MATCH(A510, [1]Clients!A:A, 0)), "")</f>
        <v/>
      </c>
    </row>
    <row r="511" spans="2:6" x14ac:dyDescent="0.45">
      <c r="B511" s="5" t="str">
        <f>IFERROR(INDEX([1]Clients!$D:$D, MATCH(A511, [1]Clients!$A:$A, 0)), "")</f>
        <v/>
      </c>
      <c r="E511" s="1" t="str">
        <f>IF(OR(D511="",D511=0),"",D511-SUMIFS('Lessons Log'!$E:$E,'Lessons Log'!$C:$C,A511,'Lessons Log'!$D:$D,"*Package*"))</f>
        <v/>
      </c>
      <c r="F511" s="6" t="str">
        <f>IFERROR(INDEX([1]Clients!F:F, MATCH(A511, [1]Clients!A:A, 0)), "")</f>
        <v/>
      </c>
    </row>
    <row r="512" spans="2:6" x14ac:dyDescent="0.45">
      <c r="B512" s="5" t="str">
        <f>IFERROR(INDEX([1]Clients!$D:$D, MATCH(A512, [1]Clients!$A:$A, 0)), "")</f>
        <v/>
      </c>
      <c r="E512" s="1" t="str">
        <f>IF(OR(D512="",D512=0),"",D512-SUMIFS('Lessons Log'!$E:$E,'Lessons Log'!$C:$C,A512,'Lessons Log'!$D:$D,"*Package*"))</f>
        <v/>
      </c>
      <c r="F512" s="6" t="str">
        <f>IFERROR(INDEX([1]Clients!F:F, MATCH(A512, [1]Clients!A:A, 0)), "")</f>
        <v/>
      </c>
    </row>
    <row r="513" spans="2:6" x14ac:dyDescent="0.45">
      <c r="B513" s="5" t="str">
        <f>IFERROR(INDEX([1]Clients!$D:$D, MATCH(A513, [1]Clients!$A:$A, 0)), "")</f>
        <v/>
      </c>
      <c r="E513" s="1" t="str">
        <f>IF(OR(D513="",D513=0),"",D513-SUMIFS('Lessons Log'!$E:$E,'Lessons Log'!$C:$C,A513,'Lessons Log'!$D:$D,"*Package*"))</f>
        <v/>
      </c>
      <c r="F513" s="6" t="str">
        <f>IFERROR(INDEX([1]Clients!F:F, MATCH(A513, [1]Clients!A:A, 0)), "")</f>
        <v/>
      </c>
    </row>
    <row r="514" spans="2:6" x14ac:dyDescent="0.45">
      <c r="B514" s="5" t="str">
        <f>IFERROR(INDEX([1]Clients!$D:$D, MATCH(A514, [1]Clients!$A:$A, 0)), "")</f>
        <v/>
      </c>
      <c r="E514" s="1" t="str">
        <f>IF(OR(D514="",D514=0),"",D514-SUMIFS('Lessons Log'!$E:$E,'Lessons Log'!$C:$C,A514,'Lessons Log'!$D:$D,"*Package*"))</f>
        <v/>
      </c>
      <c r="F514" s="6" t="str">
        <f>IFERROR(INDEX([1]Clients!F:F, MATCH(A514, [1]Clients!A:A, 0)), "")</f>
        <v/>
      </c>
    </row>
    <row r="515" spans="2:6" x14ac:dyDescent="0.45">
      <c r="B515" s="5" t="str">
        <f>IFERROR(INDEX([1]Clients!$D:$D, MATCH(A515, [1]Clients!$A:$A, 0)), "")</f>
        <v/>
      </c>
      <c r="E515" s="1" t="str">
        <f>IF(OR(D515="",D515=0),"",D515-SUMIFS('Lessons Log'!$E:$E,'Lessons Log'!$C:$C,A515,'Lessons Log'!$D:$D,"*Package*"))</f>
        <v/>
      </c>
      <c r="F515" s="6" t="str">
        <f>IFERROR(INDEX([1]Clients!F:F, MATCH(A515, [1]Clients!A:A, 0)), "")</f>
        <v/>
      </c>
    </row>
    <row r="516" spans="2:6" x14ac:dyDescent="0.45">
      <c r="B516" s="5" t="str">
        <f>IFERROR(INDEX([1]Clients!$D:$D, MATCH(A516, [1]Clients!$A:$A, 0)), "")</f>
        <v/>
      </c>
      <c r="E516" s="1" t="str">
        <f>IF(OR(D516="",D516=0),"",D516-SUMIFS('Lessons Log'!$E:$E,'Lessons Log'!$C:$C,A516,'Lessons Log'!$D:$D,"*Package*"))</f>
        <v/>
      </c>
      <c r="F516" s="6" t="str">
        <f>IFERROR(INDEX([1]Clients!F:F, MATCH(A516, [1]Clients!A:A, 0)), "")</f>
        <v/>
      </c>
    </row>
    <row r="517" spans="2:6" x14ac:dyDescent="0.45">
      <c r="B517" s="5" t="str">
        <f>IFERROR(INDEX([1]Clients!$D:$D, MATCH(A517, [1]Clients!$A:$A, 0)), "")</f>
        <v/>
      </c>
      <c r="E517" s="1" t="str">
        <f>IF(OR(D517="",D517=0),"",D517-SUMIFS('Lessons Log'!$E:$E,'Lessons Log'!$C:$C,A517,'Lessons Log'!$D:$D,"*Package*"))</f>
        <v/>
      </c>
      <c r="F517" s="6" t="str">
        <f>IFERROR(INDEX([1]Clients!F:F, MATCH(A517, [1]Clients!A:A, 0)), "")</f>
        <v/>
      </c>
    </row>
    <row r="518" spans="2:6" x14ac:dyDescent="0.45">
      <c r="B518" s="5" t="str">
        <f>IFERROR(INDEX([1]Clients!$D:$D, MATCH(A518, [1]Clients!$A:$A, 0)), "")</f>
        <v/>
      </c>
      <c r="E518" s="1" t="str">
        <f>IF(OR(D518="",D518=0),"",D518-SUMIFS('Lessons Log'!$E:$E,'Lessons Log'!$C:$C,A518,'Lessons Log'!$D:$D,"*Package*"))</f>
        <v/>
      </c>
      <c r="F518" s="6" t="str">
        <f>IFERROR(INDEX([1]Clients!F:F, MATCH(A518, [1]Clients!A:A, 0)), "")</f>
        <v/>
      </c>
    </row>
    <row r="519" spans="2:6" x14ac:dyDescent="0.45">
      <c r="B519" s="5" t="str">
        <f>IFERROR(INDEX([1]Clients!$D:$D, MATCH(A519, [1]Clients!$A:$A, 0)), "")</f>
        <v/>
      </c>
      <c r="E519" s="1" t="str">
        <f>IF(OR(D519="",D519=0),"",D519-SUMIFS('Lessons Log'!$E:$E,'Lessons Log'!$C:$C,A519,'Lessons Log'!$D:$D,"*Package*"))</f>
        <v/>
      </c>
      <c r="F519" s="6" t="str">
        <f>IFERROR(INDEX([1]Clients!F:F, MATCH(A519, [1]Clients!A:A, 0)), "")</f>
        <v/>
      </c>
    </row>
    <row r="520" spans="2:6" x14ac:dyDescent="0.45">
      <c r="B520" s="5" t="str">
        <f>IFERROR(INDEX([1]Clients!$D:$D, MATCH(A520, [1]Clients!$A:$A, 0)), "")</f>
        <v/>
      </c>
      <c r="E520" s="1" t="str">
        <f>IF(OR(D520="",D520=0),"",D520-SUMIFS('Lessons Log'!$E:$E,'Lessons Log'!$C:$C,A520,'Lessons Log'!$D:$D,"*Package*"))</f>
        <v/>
      </c>
      <c r="F520" s="6" t="str">
        <f>IFERROR(INDEX([1]Clients!F:F, MATCH(A520, [1]Clients!A:A, 0)), "")</f>
        <v/>
      </c>
    </row>
    <row r="521" spans="2:6" x14ac:dyDescent="0.45">
      <c r="B521" s="5" t="str">
        <f>IFERROR(INDEX([1]Clients!$D:$D, MATCH(A521, [1]Clients!$A:$A, 0)), "")</f>
        <v/>
      </c>
      <c r="E521" s="1" t="str">
        <f>IF(OR(D521="",D521=0),"",D521-SUMIFS('Lessons Log'!$E:$E,'Lessons Log'!$C:$C,A521,'Lessons Log'!$D:$D,"*Package*"))</f>
        <v/>
      </c>
      <c r="F521" s="6" t="str">
        <f>IFERROR(INDEX([1]Clients!F:F, MATCH(A521, [1]Clients!A:A, 0)), "")</f>
        <v/>
      </c>
    </row>
    <row r="522" spans="2:6" x14ac:dyDescent="0.45">
      <c r="B522" s="5" t="str">
        <f>IFERROR(INDEX([1]Clients!$D:$D, MATCH(A522, [1]Clients!$A:$A, 0)), "")</f>
        <v/>
      </c>
      <c r="E522" s="1" t="str">
        <f>IF(OR(D522="",D522=0),"",D522-SUMIFS('Lessons Log'!$E:$E,'Lessons Log'!$C:$C,A522,'Lessons Log'!$D:$D,"*Package*"))</f>
        <v/>
      </c>
      <c r="F522" s="6" t="str">
        <f>IFERROR(INDEX([1]Clients!F:F, MATCH(A522, [1]Clients!A:A, 0)), "")</f>
        <v/>
      </c>
    </row>
    <row r="523" spans="2:6" x14ac:dyDescent="0.45">
      <c r="B523" s="5" t="str">
        <f>IFERROR(INDEX([1]Clients!$D:$D, MATCH(A523, [1]Clients!$A:$A, 0)), "")</f>
        <v/>
      </c>
      <c r="E523" s="1" t="str">
        <f>IF(OR(D523="",D523=0),"",D523-SUMIFS('Lessons Log'!$E:$E,'Lessons Log'!$C:$C,A523,'Lessons Log'!$D:$D,"*Package*"))</f>
        <v/>
      </c>
      <c r="F523" s="6" t="str">
        <f>IFERROR(INDEX([1]Clients!F:F, MATCH(A523, [1]Clients!A:A, 0)), "")</f>
        <v/>
      </c>
    </row>
    <row r="524" spans="2:6" x14ac:dyDescent="0.45">
      <c r="B524" s="5" t="str">
        <f>IFERROR(INDEX([1]Clients!$D:$D, MATCH(A524, [1]Clients!$A:$A, 0)), "")</f>
        <v/>
      </c>
      <c r="E524" s="1" t="str">
        <f>IF(OR(D524="",D524=0),"",D524-SUMIFS('Lessons Log'!$E:$E,'Lessons Log'!$C:$C,A524,'Lessons Log'!$D:$D,"*Package*"))</f>
        <v/>
      </c>
      <c r="F524" s="6" t="str">
        <f>IFERROR(INDEX([1]Clients!F:F, MATCH(A524, [1]Clients!A:A, 0)), "")</f>
        <v/>
      </c>
    </row>
    <row r="525" spans="2:6" x14ac:dyDescent="0.45">
      <c r="B525" s="5" t="str">
        <f>IFERROR(INDEX([1]Clients!$D:$D, MATCH(A525, [1]Clients!$A:$A, 0)), "")</f>
        <v/>
      </c>
      <c r="E525" s="1" t="str">
        <f>IF(OR(D525="",D525=0),"",D525-SUMIFS('Lessons Log'!$E:$E,'Lessons Log'!$C:$C,A525,'Lessons Log'!$D:$D,"*Package*"))</f>
        <v/>
      </c>
      <c r="F525" s="6" t="str">
        <f>IFERROR(INDEX([1]Clients!F:F, MATCH(A525, [1]Clients!A:A, 0)), "")</f>
        <v/>
      </c>
    </row>
    <row r="526" spans="2:6" x14ac:dyDescent="0.45">
      <c r="B526" s="5" t="str">
        <f>IFERROR(INDEX([1]Clients!$D:$D, MATCH(A526, [1]Clients!$A:$A, 0)), "")</f>
        <v/>
      </c>
      <c r="E526" s="1" t="str">
        <f>IF(OR(D526="",D526=0),"",D526-SUMIFS('Lessons Log'!$E:$E,'Lessons Log'!$C:$C,A526,'Lessons Log'!$D:$D,"*Package*"))</f>
        <v/>
      </c>
      <c r="F526" s="6" t="str">
        <f>IFERROR(INDEX([1]Clients!F:F, MATCH(A526, [1]Clients!A:A, 0)), "")</f>
        <v/>
      </c>
    </row>
    <row r="527" spans="2:6" x14ac:dyDescent="0.45">
      <c r="B527" s="5" t="str">
        <f>IFERROR(INDEX([1]Clients!$D:$D, MATCH(A527, [1]Clients!$A:$A, 0)), "")</f>
        <v/>
      </c>
      <c r="E527" s="1" t="str">
        <f>IF(OR(D527="",D527=0),"",D527-SUMIFS('Lessons Log'!$E:$E,'Lessons Log'!$C:$C,A527,'Lessons Log'!$D:$D,"*Package*"))</f>
        <v/>
      </c>
      <c r="F527" s="6" t="str">
        <f>IFERROR(INDEX([1]Clients!F:F, MATCH(A527, [1]Clients!A:A, 0)), "")</f>
        <v/>
      </c>
    </row>
    <row r="528" spans="2:6" x14ac:dyDescent="0.45">
      <c r="B528" s="5" t="str">
        <f>IFERROR(INDEX([1]Clients!$D:$D, MATCH(A528, [1]Clients!$A:$A, 0)), "")</f>
        <v/>
      </c>
      <c r="E528" s="1" t="str">
        <f>IF(OR(D528="",D528=0),"",D528-SUMIFS('Lessons Log'!$E:$E,'Lessons Log'!$C:$C,A528,'Lessons Log'!$D:$D,"*Package*"))</f>
        <v/>
      </c>
      <c r="F528" s="6" t="str">
        <f>IFERROR(INDEX([1]Clients!F:F, MATCH(A528, [1]Clients!A:A, 0)), "")</f>
        <v/>
      </c>
    </row>
    <row r="529" spans="2:6" x14ac:dyDescent="0.45">
      <c r="B529" s="5" t="str">
        <f>IFERROR(INDEX([1]Clients!$D:$D, MATCH(A529, [1]Clients!$A:$A, 0)), "")</f>
        <v/>
      </c>
      <c r="E529" s="1" t="str">
        <f>IF(OR(D529="",D529=0),"",D529-SUMIFS('Lessons Log'!$E:$E,'Lessons Log'!$C:$C,A529,'Lessons Log'!$D:$D,"*Package*"))</f>
        <v/>
      </c>
      <c r="F529" s="6" t="str">
        <f>IFERROR(INDEX([1]Clients!F:F, MATCH(A529, [1]Clients!A:A, 0)), "")</f>
        <v/>
      </c>
    </row>
    <row r="530" spans="2:6" x14ac:dyDescent="0.45">
      <c r="B530" s="5" t="str">
        <f>IFERROR(INDEX([1]Clients!$D:$D, MATCH(A530, [1]Clients!$A:$A, 0)), "")</f>
        <v/>
      </c>
      <c r="E530" s="1" t="str">
        <f>IF(OR(D530="",D530=0),"",D530-SUMIFS('Lessons Log'!$E:$E,'Lessons Log'!$C:$C,A530,'Lessons Log'!$D:$D,"*Package*"))</f>
        <v/>
      </c>
      <c r="F530" s="6" t="str">
        <f>IFERROR(INDEX([1]Clients!F:F, MATCH(A530, [1]Clients!A:A, 0)), "")</f>
        <v/>
      </c>
    </row>
    <row r="531" spans="2:6" x14ac:dyDescent="0.45">
      <c r="B531" s="5" t="str">
        <f>IFERROR(INDEX([1]Clients!$D:$D, MATCH(A531, [1]Clients!$A:$A, 0)), "")</f>
        <v/>
      </c>
      <c r="E531" s="1" t="str">
        <f>IF(OR(D531="",D531=0),"",D531-SUMIFS('Lessons Log'!$E:$E,'Lessons Log'!$C:$C,A531,'Lessons Log'!$D:$D,"*Package*"))</f>
        <v/>
      </c>
      <c r="F531" s="6" t="str">
        <f>IFERROR(INDEX([1]Clients!F:F, MATCH(A531, [1]Clients!A:A, 0)), "")</f>
        <v/>
      </c>
    </row>
    <row r="532" spans="2:6" x14ac:dyDescent="0.45">
      <c r="B532" s="5" t="str">
        <f>IFERROR(INDEX([1]Clients!$D:$D, MATCH(A532, [1]Clients!$A:$A, 0)), "")</f>
        <v/>
      </c>
      <c r="E532" s="1" t="str">
        <f>IF(OR(D532="",D532=0),"",D532-SUMIFS('Lessons Log'!$E:$E,'Lessons Log'!$C:$C,A532,'Lessons Log'!$D:$D,"*Package*"))</f>
        <v/>
      </c>
      <c r="F532" s="6" t="str">
        <f>IFERROR(INDEX([1]Clients!F:F, MATCH(A532, [1]Clients!A:A, 0)), "")</f>
        <v/>
      </c>
    </row>
    <row r="533" spans="2:6" x14ac:dyDescent="0.45">
      <c r="B533" s="5" t="str">
        <f>IFERROR(INDEX([1]Clients!$D:$D, MATCH(A533, [1]Clients!$A:$A, 0)), "")</f>
        <v/>
      </c>
      <c r="E533" s="1" t="str">
        <f>IF(OR(D533="",D533=0),"",D533-SUMIFS('Lessons Log'!$E:$E,'Lessons Log'!$C:$C,A533,'Lessons Log'!$D:$D,"*Package*"))</f>
        <v/>
      </c>
      <c r="F533" s="6" t="str">
        <f>IFERROR(INDEX([1]Clients!F:F, MATCH(A533, [1]Clients!A:A, 0)), "")</f>
        <v/>
      </c>
    </row>
    <row r="534" spans="2:6" x14ac:dyDescent="0.45">
      <c r="B534" s="5" t="str">
        <f>IFERROR(INDEX([1]Clients!$D:$D, MATCH(A534, [1]Clients!$A:$A, 0)), "")</f>
        <v/>
      </c>
      <c r="E534" s="1" t="str">
        <f>IF(OR(D534="",D534=0),"",D534-SUMIFS('Lessons Log'!$E:$E,'Lessons Log'!$C:$C,A534,'Lessons Log'!$D:$D,"*Package*"))</f>
        <v/>
      </c>
      <c r="F534" s="6" t="str">
        <f>IFERROR(INDEX([1]Clients!F:F, MATCH(A534, [1]Clients!A:A, 0)), "")</f>
        <v/>
      </c>
    </row>
    <row r="535" spans="2:6" x14ac:dyDescent="0.45">
      <c r="B535" s="5" t="str">
        <f>IFERROR(INDEX([1]Clients!$D:$D, MATCH(A535, [1]Clients!$A:$A, 0)), "")</f>
        <v/>
      </c>
      <c r="E535" s="1" t="str">
        <f>IF(OR(D535="",D535=0),"",D535-SUMIFS('Lessons Log'!$E:$E,'Lessons Log'!$C:$C,A535,'Lessons Log'!$D:$D,"*Package*"))</f>
        <v/>
      </c>
      <c r="F535" s="6" t="str">
        <f>IFERROR(INDEX([1]Clients!F:F, MATCH(A535, [1]Clients!A:A, 0)), "")</f>
        <v/>
      </c>
    </row>
    <row r="536" spans="2:6" x14ac:dyDescent="0.45">
      <c r="B536" s="5" t="str">
        <f>IFERROR(INDEX([1]Clients!$D:$D, MATCH(A536, [1]Clients!$A:$A, 0)), "")</f>
        <v/>
      </c>
      <c r="E536" s="1" t="str">
        <f>IF(OR(D536="",D536=0),"",D536-SUMIFS('Lessons Log'!$E:$E,'Lessons Log'!$C:$C,A536,'Lessons Log'!$D:$D,"*Package*"))</f>
        <v/>
      </c>
      <c r="F536" s="6" t="str">
        <f>IFERROR(INDEX([1]Clients!F:F, MATCH(A536, [1]Clients!A:A, 0)), "")</f>
        <v/>
      </c>
    </row>
    <row r="537" spans="2:6" x14ac:dyDescent="0.45">
      <c r="B537" s="5" t="str">
        <f>IFERROR(INDEX([1]Clients!$D:$D, MATCH(A537, [1]Clients!$A:$A, 0)), "")</f>
        <v/>
      </c>
      <c r="E537" s="1" t="str">
        <f>IF(OR(D537="",D537=0),"",D537-SUMIFS('Lessons Log'!$E:$E,'Lessons Log'!$C:$C,A537,'Lessons Log'!$D:$D,"*Package*"))</f>
        <v/>
      </c>
      <c r="F537" s="6" t="str">
        <f>IFERROR(INDEX([1]Clients!F:F, MATCH(A537, [1]Clients!A:A, 0)), "")</f>
        <v/>
      </c>
    </row>
    <row r="538" spans="2:6" x14ac:dyDescent="0.45">
      <c r="B538" s="5" t="str">
        <f>IFERROR(INDEX([1]Clients!$D:$D, MATCH(A538, [1]Clients!$A:$A, 0)), "")</f>
        <v/>
      </c>
      <c r="E538" s="1" t="str">
        <f>IF(OR(D538="",D538=0),"",D538-SUMIFS('Lessons Log'!$E:$E,'Lessons Log'!$C:$C,A538,'Lessons Log'!$D:$D,"*Package*"))</f>
        <v/>
      </c>
      <c r="F538" s="6" t="str">
        <f>IFERROR(INDEX([1]Clients!F:F, MATCH(A538, [1]Clients!A:A, 0)), "")</f>
        <v/>
      </c>
    </row>
    <row r="539" spans="2:6" x14ac:dyDescent="0.45">
      <c r="B539" s="5" t="str">
        <f>IFERROR(INDEX([1]Clients!$D:$D, MATCH(A539, [1]Clients!$A:$A, 0)), "")</f>
        <v/>
      </c>
      <c r="E539" s="1" t="str">
        <f>IF(OR(D539="",D539=0),"",D539-SUMIFS('Lessons Log'!$E:$E,'Lessons Log'!$C:$C,A539,'Lessons Log'!$D:$D,"*Package*"))</f>
        <v/>
      </c>
      <c r="F539" s="6" t="str">
        <f>IFERROR(INDEX([1]Clients!F:F, MATCH(A539, [1]Clients!A:A, 0)), "")</f>
        <v/>
      </c>
    </row>
    <row r="540" spans="2:6" x14ac:dyDescent="0.45">
      <c r="B540" s="5" t="str">
        <f>IFERROR(INDEX([1]Clients!$D:$D, MATCH(A540, [1]Clients!$A:$A, 0)), "")</f>
        <v/>
      </c>
      <c r="E540" s="1" t="str">
        <f>IF(OR(D540="",D540=0),"",D540-SUMIFS('Lessons Log'!$E:$E,'Lessons Log'!$C:$C,A540,'Lessons Log'!$D:$D,"*Package*"))</f>
        <v/>
      </c>
      <c r="F540" s="6" t="str">
        <f>IFERROR(INDEX([1]Clients!F:F, MATCH(A540, [1]Clients!A:A, 0)), "")</f>
        <v/>
      </c>
    </row>
    <row r="541" spans="2:6" x14ac:dyDescent="0.45">
      <c r="B541" s="5" t="str">
        <f>IFERROR(INDEX([1]Clients!$D:$D, MATCH(A541, [1]Clients!$A:$A, 0)), "")</f>
        <v/>
      </c>
      <c r="E541" s="1" t="str">
        <f>IF(OR(D541="",D541=0),"",D541-SUMIFS('Lessons Log'!$E:$E,'Lessons Log'!$C:$C,A541,'Lessons Log'!$D:$D,"*Package*"))</f>
        <v/>
      </c>
      <c r="F541" s="6" t="str">
        <f>IFERROR(INDEX([1]Clients!F:F, MATCH(A541, [1]Clients!A:A, 0)), "")</f>
        <v/>
      </c>
    </row>
    <row r="542" spans="2:6" x14ac:dyDescent="0.45">
      <c r="B542" s="5" t="str">
        <f>IFERROR(INDEX([1]Clients!$D:$D, MATCH(A542, [1]Clients!$A:$A, 0)), "")</f>
        <v/>
      </c>
      <c r="E542" s="1" t="str">
        <f>IF(OR(D542="",D542=0),"",D542-SUMIFS('Lessons Log'!$E:$E,'Lessons Log'!$C:$C,A542,'Lessons Log'!$D:$D,"*Package*"))</f>
        <v/>
      </c>
      <c r="F542" s="6" t="str">
        <f>IFERROR(INDEX([1]Clients!F:F, MATCH(A542, [1]Clients!A:A, 0)), "")</f>
        <v/>
      </c>
    </row>
    <row r="543" spans="2:6" x14ac:dyDescent="0.45">
      <c r="B543" s="5" t="str">
        <f>IFERROR(INDEX([1]Clients!$D:$D, MATCH(A543, [1]Clients!$A:$A, 0)), "")</f>
        <v/>
      </c>
      <c r="E543" s="1" t="str">
        <f>IF(OR(D543="",D543=0),"",D543-SUMIFS('Lessons Log'!$E:$E,'Lessons Log'!$C:$C,A543,'Lessons Log'!$D:$D,"*Package*"))</f>
        <v/>
      </c>
      <c r="F543" s="6" t="str">
        <f>IFERROR(INDEX([1]Clients!F:F, MATCH(A543, [1]Clients!A:A, 0)), "")</f>
        <v/>
      </c>
    </row>
    <row r="544" spans="2:6" x14ac:dyDescent="0.45">
      <c r="B544" s="5" t="str">
        <f>IFERROR(INDEX([1]Clients!$D:$D, MATCH(A544, [1]Clients!$A:$A, 0)), "")</f>
        <v/>
      </c>
      <c r="E544" s="1" t="str">
        <f>IF(OR(D544="",D544=0),"",D544-SUMIFS('Lessons Log'!$E:$E,'Lessons Log'!$C:$C,A544,'Lessons Log'!$D:$D,"*Package*"))</f>
        <v/>
      </c>
      <c r="F544" s="6" t="str">
        <f>IFERROR(INDEX([1]Clients!F:F, MATCH(A544, [1]Clients!A:A, 0)), "")</f>
        <v/>
      </c>
    </row>
    <row r="545" spans="2:6" x14ac:dyDescent="0.45">
      <c r="B545" s="5" t="str">
        <f>IFERROR(INDEX([1]Clients!$D:$D, MATCH(A545, [1]Clients!$A:$A, 0)), "")</f>
        <v/>
      </c>
      <c r="E545" s="1" t="str">
        <f>IF(OR(D545="",D545=0),"",D545-SUMIFS('Lessons Log'!$E:$E,'Lessons Log'!$C:$C,A545,'Lessons Log'!$D:$D,"*Package*"))</f>
        <v/>
      </c>
      <c r="F545" s="6" t="str">
        <f>IFERROR(INDEX([1]Clients!F:F, MATCH(A545, [1]Clients!A:A, 0)), "")</f>
        <v/>
      </c>
    </row>
    <row r="546" spans="2:6" x14ac:dyDescent="0.45">
      <c r="B546" s="5" t="str">
        <f>IFERROR(INDEX([1]Clients!$D:$D, MATCH(A546, [1]Clients!$A:$A, 0)), "")</f>
        <v/>
      </c>
      <c r="E546" s="1" t="str">
        <f>IF(OR(D546="",D546=0),"",D546-SUMIFS('Lessons Log'!$E:$E,'Lessons Log'!$C:$C,A546,'Lessons Log'!$D:$D,"*Package*"))</f>
        <v/>
      </c>
      <c r="F546" s="6" t="str">
        <f>IFERROR(INDEX([1]Clients!F:F, MATCH(A546, [1]Clients!A:A, 0)), "")</f>
        <v/>
      </c>
    </row>
    <row r="547" spans="2:6" x14ac:dyDescent="0.45">
      <c r="B547" s="5" t="str">
        <f>IFERROR(INDEX([1]Clients!$D:$D, MATCH(A547, [1]Clients!$A:$A, 0)), "")</f>
        <v/>
      </c>
      <c r="E547" s="1" t="str">
        <f>IF(OR(D547="",D547=0),"",D547-SUMIFS('Lessons Log'!$E:$E,'Lessons Log'!$C:$C,A547,'Lessons Log'!$D:$D,"*Package*"))</f>
        <v/>
      </c>
      <c r="F547" s="6" t="str">
        <f>IFERROR(INDEX([1]Clients!F:F, MATCH(A547, [1]Clients!A:A, 0)), "")</f>
        <v/>
      </c>
    </row>
    <row r="548" spans="2:6" x14ac:dyDescent="0.45">
      <c r="B548" s="5" t="str">
        <f>IFERROR(INDEX([1]Clients!$D:$D, MATCH(A548, [1]Clients!$A:$A, 0)), "")</f>
        <v/>
      </c>
      <c r="E548" s="1" t="str">
        <f>IF(OR(D548="",D548=0),"",D548-SUMIFS('Lessons Log'!$E:$E,'Lessons Log'!$C:$C,A548,'Lessons Log'!$D:$D,"*Package*"))</f>
        <v/>
      </c>
      <c r="F548" s="6" t="str">
        <f>IFERROR(INDEX([1]Clients!F:F, MATCH(A548, [1]Clients!A:A, 0)), "")</f>
        <v/>
      </c>
    </row>
    <row r="549" spans="2:6" x14ac:dyDescent="0.45">
      <c r="B549" s="5" t="str">
        <f>IFERROR(INDEX([1]Clients!$D:$D, MATCH(A549, [1]Clients!$A:$A, 0)), "")</f>
        <v/>
      </c>
      <c r="E549" s="1" t="str">
        <f>IF(OR(D549="",D549=0),"",D549-SUMIFS('Lessons Log'!$E:$E,'Lessons Log'!$C:$C,A549,'Lessons Log'!$D:$D,"*Package*"))</f>
        <v/>
      </c>
      <c r="F549" s="6" t="str">
        <f>IFERROR(INDEX([1]Clients!F:F, MATCH(A549, [1]Clients!A:A, 0)), "")</f>
        <v/>
      </c>
    </row>
    <row r="550" spans="2:6" x14ac:dyDescent="0.45">
      <c r="B550" s="5" t="str">
        <f>IFERROR(INDEX([1]Clients!$D:$D, MATCH(A550, [1]Clients!$A:$A, 0)), "")</f>
        <v/>
      </c>
      <c r="E550" s="1" t="str">
        <f>IF(OR(D550="",D550=0),"",D550-SUMIFS('Lessons Log'!$E:$E,'Lessons Log'!$C:$C,A550,'Lessons Log'!$D:$D,"*Package*"))</f>
        <v/>
      </c>
      <c r="F550" s="6" t="str">
        <f>IFERROR(INDEX([1]Clients!F:F, MATCH(A550, [1]Clients!A:A, 0)), "")</f>
        <v/>
      </c>
    </row>
    <row r="551" spans="2:6" x14ac:dyDescent="0.45">
      <c r="B551" s="5" t="str">
        <f>IFERROR(INDEX([1]Clients!$D:$D, MATCH(A551, [1]Clients!$A:$A, 0)), "")</f>
        <v/>
      </c>
      <c r="E551" s="1" t="str">
        <f>IF(OR(D551="",D551=0),"",D551-SUMIFS('Lessons Log'!$E:$E,'Lessons Log'!$C:$C,A551,'Lessons Log'!$D:$D,"*Package*"))</f>
        <v/>
      </c>
      <c r="F551" s="6" t="str">
        <f>IFERROR(INDEX([1]Clients!F:F, MATCH(A551, [1]Clients!A:A, 0)), "")</f>
        <v/>
      </c>
    </row>
    <row r="552" spans="2:6" x14ac:dyDescent="0.45">
      <c r="B552" s="5" t="str">
        <f>IFERROR(INDEX([1]Clients!$D:$D, MATCH(A552, [1]Clients!$A:$A, 0)), "")</f>
        <v/>
      </c>
      <c r="E552" s="1" t="str">
        <f>IF(OR(D552="",D552=0),"",D552-SUMIFS('Lessons Log'!$E:$E,'Lessons Log'!$C:$C,A552,'Lessons Log'!$D:$D,"*Package*"))</f>
        <v/>
      </c>
      <c r="F552" s="6" t="str">
        <f>IFERROR(INDEX([1]Clients!F:F, MATCH(A552, [1]Clients!A:A, 0)), "")</f>
        <v/>
      </c>
    </row>
    <row r="553" spans="2:6" x14ac:dyDescent="0.45">
      <c r="B553" s="5" t="str">
        <f>IFERROR(INDEX([1]Clients!$D:$D, MATCH(A553, [1]Clients!$A:$A, 0)), "")</f>
        <v/>
      </c>
      <c r="E553" s="1" t="str">
        <f>IF(OR(D553="",D553=0),"",D553-SUMIFS('Lessons Log'!$E:$E,'Lessons Log'!$C:$C,A553,'Lessons Log'!$D:$D,"*Package*"))</f>
        <v/>
      </c>
      <c r="F553" s="6" t="str">
        <f>IFERROR(INDEX([1]Clients!F:F, MATCH(A553, [1]Clients!A:A, 0)), "")</f>
        <v/>
      </c>
    </row>
    <row r="554" spans="2:6" x14ac:dyDescent="0.45">
      <c r="B554" s="5" t="str">
        <f>IFERROR(INDEX([1]Clients!$D:$D, MATCH(A554, [1]Clients!$A:$A, 0)), "")</f>
        <v/>
      </c>
      <c r="E554" s="1" t="str">
        <f>IF(OR(D554="",D554=0),"",D554-SUMIFS('Lessons Log'!$E:$E,'Lessons Log'!$C:$C,A554,'Lessons Log'!$D:$D,"*Package*"))</f>
        <v/>
      </c>
      <c r="F554" s="6" t="str">
        <f>IFERROR(INDEX([1]Clients!F:F, MATCH(A554, [1]Clients!A:A, 0)), "")</f>
        <v/>
      </c>
    </row>
    <row r="555" spans="2:6" x14ac:dyDescent="0.45">
      <c r="B555" s="5" t="str">
        <f>IFERROR(INDEX([1]Clients!$D:$D, MATCH(A555, [1]Clients!$A:$A, 0)), "")</f>
        <v/>
      </c>
      <c r="E555" s="1" t="str">
        <f>IF(OR(D555="",D555=0),"",D555-SUMIFS('Lessons Log'!$E:$E,'Lessons Log'!$C:$C,A555,'Lessons Log'!$D:$D,"*Package*"))</f>
        <v/>
      </c>
      <c r="F555" s="6" t="str">
        <f>IFERROR(INDEX([1]Clients!F:F, MATCH(A555, [1]Clients!A:A, 0)), "")</f>
        <v/>
      </c>
    </row>
    <row r="556" spans="2:6" x14ac:dyDescent="0.45">
      <c r="B556" s="5" t="str">
        <f>IFERROR(INDEX([1]Clients!$D:$D, MATCH(A556, [1]Clients!$A:$A, 0)), "")</f>
        <v/>
      </c>
      <c r="E556" s="1" t="str">
        <f>IF(OR(D556="",D556=0),"",D556-SUMIFS('Lessons Log'!$E:$E,'Lessons Log'!$C:$C,A556,'Lessons Log'!$D:$D,"*Package*"))</f>
        <v/>
      </c>
      <c r="F556" s="6" t="str">
        <f>IFERROR(INDEX([1]Clients!F:F, MATCH(A556, [1]Clients!A:A, 0)), "")</f>
        <v/>
      </c>
    </row>
    <row r="557" spans="2:6" x14ac:dyDescent="0.45">
      <c r="B557" s="5" t="str">
        <f>IFERROR(INDEX([1]Clients!$D:$D, MATCH(A557, [1]Clients!$A:$A, 0)), "")</f>
        <v/>
      </c>
      <c r="E557" s="1" t="str">
        <f>IF(OR(D557="",D557=0),"",D557-SUMIFS('Lessons Log'!$E:$E,'Lessons Log'!$C:$C,A557,'Lessons Log'!$D:$D,"*Package*"))</f>
        <v/>
      </c>
      <c r="F557" s="6" t="str">
        <f>IFERROR(INDEX([1]Clients!F:F, MATCH(A557, [1]Clients!A:A, 0)), "")</f>
        <v/>
      </c>
    </row>
    <row r="558" spans="2:6" x14ac:dyDescent="0.45">
      <c r="B558" s="5" t="str">
        <f>IFERROR(INDEX([1]Clients!$D:$D, MATCH(A558, [1]Clients!$A:$A, 0)), "")</f>
        <v/>
      </c>
      <c r="E558" s="1" t="str">
        <f>IF(OR(D558="",D558=0),"",D558-SUMIFS('Lessons Log'!$E:$E,'Lessons Log'!$C:$C,A558,'Lessons Log'!$D:$D,"*Package*"))</f>
        <v/>
      </c>
      <c r="F558" s="6" t="str">
        <f>IFERROR(INDEX([1]Clients!F:F, MATCH(A558, [1]Clients!A:A, 0)), "")</f>
        <v/>
      </c>
    </row>
    <row r="559" spans="2:6" x14ac:dyDescent="0.45">
      <c r="B559" s="5" t="str">
        <f>IFERROR(INDEX([1]Clients!$D:$D, MATCH(A559, [1]Clients!$A:$A, 0)), "")</f>
        <v/>
      </c>
      <c r="E559" s="1" t="str">
        <f>IF(OR(D559="",D559=0),"",D559-SUMIFS('Lessons Log'!$E:$E,'Lessons Log'!$C:$C,A559,'Lessons Log'!$D:$D,"*Package*"))</f>
        <v/>
      </c>
      <c r="F559" s="6" t="str">
        <f>IFERROR(INDEX([1]Clients!F:F, MATCH(A559, [1]Clients!A:A, 0)), "")</f>
        <v/>
      </c>
    </row>
    <row r="560" spans="2:6" x14ac:dyDescent="0.45">
      <c r="B560" s="5" t="str">
        <f>IFERROR(INDEX([1]Clients!$D:$D, MATCH(A560, [1]Clients!$A:$A, 0)), "")</f>
        <v/>
      </c>
      <c r="E560" s="1" t="str">
        <f>IF(OR(D560="",D560=0),"",D560-SUMIFS('Lessons Log'!$E:$E,'Lessons Log'!$C:$C,A560,'Lessons Log'!$D:$D,"*Package*"))</f>
        <v/>
      </c>
      <c r="F560" s="6" t="str">
        <f>IFERROR(INDEX([1]Clients!F:F, MATCH(A560, [1]Clients!A:A, 0)), "")</f>
        <v/>
      </c>
    </row>
    <row r="561" spans="2:6" x14ac:dyDescent="0.45">
      <c r="B561" s="5" t="str">
        <f>IFERROR(INDEX([1]Clients!$D:$D, MATCH(A561, [1]Clients!$A:$A, 0)), "")</f>
        <v/>
      </c>
      <c r="E561" s="1" t="str">
        <f>IF(OR(D561="",D561=0),"",D561-SUMIFS('Lessons Log'!$E:$E,'Lessons Log'!$C:$C,A561,'Lessons Log'!$D:$D,"*Package*"))</f>
        <v/>
      </c>
      <c r="F561" s="6" t="str">
        <f>IFERROR(INDEX([1]Clients!F:F, MATCH(A561, [1]Clients!A:A, 0)), "")</f>
        <v/>
      </c>
    </row>
    <row r="562" spans="2:6" x14ac:dyDescent="0.45">
      <c r="B562" s="5" t="str">
        <f>IFERROR(INDEX([1]Clients!$D:$D, MATCH(A562, [1]Clients!$A:$A, 0)), "")</f>
        <v/>
      </c>
      <c r="E562" s="1" t="str">
        <f>IF(OR(D562="",D562=0),"",D562-SUMIFS('Lessons Log'!$E:$E,'Lessons Log'!$C:$C,A562,'Lessons Log'!$D:$D,"*Package*"))</f>
        <v/>
      </c>
      <c r="F562" s="6" t="str">
        <f>IFERROR(INDEX([1]Clients!F:F, MATCH(A562, [1]Clients!A:A, 0)), "")</f>
        <v/>
      </c>
    </row>
    <row r="563" spans="2:6" x14ac:dyDescent="0.45">
      <c r="B563" s="5" t="str">
        <f>IFERROR(INDEX([1]Clients!$D:$D, MATCH(A563, [1]Clients!$A:$A, 0)), "")</f>
        <v/>
      </c>
      <c r="E563" s="1" t="str">
        <f>IF(OR(D563="",D563=0),"",D563-SUMIFS('Lessons Log'!$E:$E,'Lessons Log'!$C:$C,A563,'Lessons Log'!$D:$D,"*Package*"))</f>
        <v/>
      </c>
      <c r="F563" s="6" t="str">
        <f>IFERROR(INDEX([1]Clients!F:F, MATCH(A563, [1]Clients!A:A, 0)), "")</f>
        <v/>
      </c>
    </row>
    <row r="564" spans="2:6" x14ac:dyDescent="0.45">
      <c r="B564" s="5" t="str">
        <f>IFERROR(INDEX([1]Clients!$D:$D, MATCH(A564, [1]Clients!$A:$A, 0)), "")</f>
        <v/>
      </c>
      <c r="E564" s="1" t="str">
        <f>IF(OR(D564="",D564=0),"",D564-SUMIFS('Lessons Log'!$E:$E,'Lessons Log'!$C:$C,A564,'Lessons Log'!$D:$D,"*Package*"))</f>
        <v/>
      </c>
      <c r="F564" s="6" t="str">
        <f>IFERROR(INDEX([1]Clients!F:F, MATCH(A564, [1]Clients!A:A, 0)), "")</f>
        <v/>
      </c>
    </row>
    <row r="565" spans="2:6" x14ac:dyDescent="0.45">
      <c r="B565" s="5" t="str">
        <f>IFERROR(INDEX([1]Clients!$D:$D, MATCH(A565, [1]Clients!$A:$A, 0)), "")</f>
        <v/>
      </c>
      <c r="E565" s="1" t="str">
        <f>IF(OR(D565="",D565=0),"",D565-SUMIFS('Lessons Log'!$E:$E,'Lessons Log'!$C:$C,A565,'Lessons Log'!$D:$D,"*Package*"))</f>
        <v/>
      </c>
      <c r="F565" s="6" t="str">
        <f>IFERROR(INDEX([1]Clients!F:F, MATCH(A565, [1]Clients!A:A, 0)), "")</f>
        <v/>
      </c>
    </row>
    <row r="566" spans="2:6" x14ac:dyDescent="0.45">
      <c r="B566" s="5" t="str">
        <f>IFERROR(INDEX([1]Clients!$D:$D, MATCH(A566, [1]Clients!$A:$A, 0)), "")</f>
        <v/>
      </c>
      <c r="E566" s="1" t="str">
        <f>IF(OR(D566="",D566=0),"",D566-SUMIFS('Lessons Log'!$E:$E,'Lessons Log'!$C:$C,A566,'Lessons Log'!$D:$D,"*Package*"))</f>
        <v/>
      </c>
      <c r="F566" s="6" t="str">
        <f>IFERROR(INDEX([1]Clients!F:F, MATCH(A566, [1]Clients!A:A, 0)), "")</f>
        <v/>
      </c>
    </row>
    <row r="567" spans="2:6" x14ac:dyDescent="0.45">
      <c r="B567" s="5" t="str">
        <f>IFERROR(INDEX([1]Clients!$D:$D, MATCH(A567, [1]Clients!$A:$A, 0)), "")</f>
        <v/>
      </c>
      <c r="E567" s="1" t="str">
        <f>IF(OR(D567="",D567=0),"",D567-SUMIFS('Lessons Log'!$E:$E,'Lessons Log'!$C:$C,A567,'Lessons Log'!$D:$D,"*Package*"))</f>
        <v/>
      </c>
      <c r="F567" s="6" t="str">
        <f>IFERROR(INDEX([1]Clients!F:F, MATCH(A567, [1]Clients!A:A, 0)), "")</f>
        <v/>
      </c>
    </row>
    <row r="568" spans="2:6" x14ac:dyDescent="0.45">
      <c r="B568" s="5" t="str">
        <f>IFERROR(INDEX([1]Clients!$D:$D, MATCH(A568, [1]Clients!$A:$A, 0)), "")</f>
        <v/>
      </c>
      <c r="E568" s="1" t="str">
        <f>IF(OR(D568="",D568=0),"",D568-SUMIFS('Lessons Log'!$E:$E,'Lessons Log'!$C:$C,A568,'Lessons Log'!$D:$D,"*Package*"))</f>
        <v/>
      </c>
      <c r="F568" s="6" t="str">
        <f>IFERROR(INDEX([1]Clients!F:F, MATCH(A568, [1]Clients!A:A, 0)), "")</f>
        <v/>
      </c>
    </row>
    <row r="569" spans="2:6" x14ac:dyDescent="0.45">
      <c r="B569" s="5" t="str">
        <f>IFERROR(INDEX([1]Clients!$D:$D, MATCH(A569, [1]Clients!$A:$A, 0)), "")</f>
        <v/>
      </c>
      <c r="E569" s="1" t="str">
        <f>IF(OR(D569="",D569=0),"",D569-SUMIFS('Lessons Log'!$E:$E,'Lessons Log'!$C:$C,A569,'Lessons Log'!$D:$D,"*Package*"))</f>
        <v/>
      </c>
      <c r="F569" s="6" t="str">
        <f>IFERROR(INDEX([1]Clients!F:F, MATCH(A569, [1]Clients!A:A, 0)), "")</f>
        <v/>
      </c>
    </row>
    <row r="570" spans="2:6" x14ac:dyDescent="0.45">
      <c r="B570" s="5" t="str">
        <f>IFERROR(INDEX([1]Clients!$D:$D, MATCH(A570, [1]Clients!$A:$A, 0)), "")</f>
        <v/>
      </c>
      <c r="E570" s="1" t="str">
        <f>IF(OR(D570="",D570=0),"",D570-SUMIFS('Lessons Log'!$E:$E,'Lessons Log'!$C:$C,A570,'Lessons Log'!$D:$D,"*Package*"))</f>
        <v/>
      </c>
      <c r="F570" s="6" t="str">
        <f>IFERROR(INDEX([1]Clients!F:F, MATCH(A570, [1]Clients!A:A, 0)), "")</f>
        <v/>
      </c>
    </row>
    <row r="571" spans="2:6" x14ac:dyDescent="0.45">
      <c r="B571" s="5" t="str">
        <f>IFERROR(INDEX([1]Clients!$D:$D, MATCH(A571, [1]Clients!$A:$A, 0)), "")</f>
        <v/>
      </c>
      <c r="E571" s="1" t="str">
        <f>IF(OR(D571="",D571=0),"",D571-SUMIFS('Lessons Log'!$E:$E,'Lessons Log'!$C:$C,A571,'Lessons Log'!$D:$D,"*Package*"))</f>
        <v/>
      </c>
      <c r="F571" s="6" t="str">
        <f>IFERROR(INDEX([1]Clients!F:F, MATCH(A571, [1]Clients!A:A, 0)), "")</f>
        <v/>
      </c>
    </row>
    <row r="572" spans="2:6" x14ac:dyDescent="0.45">
      <c r="B572" s="5" t="str">
        <f>IFERROR(INDEX([1]Clients!$D:$D, MATCH(A572, [1]Clients!$A:$A, 0)), "")</f>
        <v/>
      </c>
      <c r="E572" s="1" t="str">
        <f>IF(OR(D572="",D572=0),"",D572-SUMIFS('Lessons Log'!$E:$E,'Lessons Log'!$C:$C,A572,'Lessons Log'!$D:$D,"*Package*"))</f>
        <v/>
      </c>
      <c r="F572" s="6" t="str">
        <f>IFERROR(INDEX([1]Clients!F:F, MATCH(A572, [1]Clients!A:A, 0)), "")</f>
        <v/>
      </c>
    </row>
    <row r="573" spans="2:6" x14ac:dyDescent="0.45">
      <c r="B573" s="5" t="str">
        <f>IFERROR(INDEX([1]Clients!$D:$D, MATCH(A573, [1]Clients!$A:$A, 0)), "")</f>
        <v/>
      </c>
      <c r="E573" s="1" t="str">
        <f>IF(OR(D573="",D573=0),"",D573-SUMIFS('Lessons Log'!$E:$E,'Lessons Log'!$C:$C,A573,'Lessons Log'!$D:$D,"*Package*"))</f>
        <v/>
      </c>
      <c r="F573" s="6" t="str">
        <f>IFERROR(INDEX([1]Clients!F:F, MATCH(A573, [1]Clients!A:A, 0)), "")</f>
        <v/>
      </c>
    </row>
    <row r="574" spans="2:6" x14ac:dyDescent="0.45">
      <c r="B574" s="5" t="str">
        <f>IFERROR(INDEX([1]Clients!$D:$D, MATCH(A574, [1]Clients!$A:$A, 0)), "")</f>
        <v/>
      </c>
      <c r="E574" s="1" t="str">
        <f>IF(OR(D574="",D574=0),"",D574-SUMIFS('Lessons Log'!$E:$E,'Lessons Log'!$C:$C,A574,'Lessons Log'!$D:$D,"*Package*"))</f>
        <v/>
      </c>
      <c r="F574" s="6" t="str">
        <f>IFERROR(INDEX([1]Clients!F:F, MATCH(A574, [1]Clients!A:A, 0)), "")</f>
        <v/>
      </c>
    </row>
    <row r="575" spans="2:6" x14ac:dyDescent="0.45">
      <c r="B575" s="5" t="str">
        <f>IFERROR(INDEX([1]Clients!$D:$D, MATCH(A575, [1]Clients!$A:$A, 0)), "")</f>
        <v/>
      </c>
      <c r="E575" s="1" t="str">
        <f>IF(OR(D575="",D575=0),"",D575-SUMIFS('Lessons Log'!$E:$E,'Lessons Log'!$C:$C,A575,'Lessons Log'!$D:$D,"*Package*"))</f>
        <v/>
      </c>
      <c r="F575" s="6" t="str">
        <f>IFERROR(INDEX([1]Clients!F:F, MATCH(A575, [1]Clients!A:A, 0)), "")</f>
        <v/>
      </c>
    </row>
    <row r="576" spans="2:6" x14ac:dyDescent="0.45">
      <c r="B576" s="5" t="str">
        <f>IFERROR(INDEX([1]Clients!$D:$D, MATCH(A576, [1]Clients!$A:$A, 0)), "")</f>
        <v/>
      </c>
      <c r="E576" s="1" t="str">
        <f>IF(OR(D576="",D576=0),"",D576-SUMIFS('Lessons Log'!$E:$E,'Lessons Log'!$C:$C,A576,'Lessons Log'!$D:$D,"*Package*"))</f>
        <v/>
      </c>
      <c r="F576" s="6" t="str">
        <f>IFERROR(INDEX([1]Clients!F:F, MATCH(A576, [1]Clients!A:A, 0)), "")</f>
        <v/>
      </c>
    </row>
    <row r="577" spans="2:6" x14ac:dyDescent="0.45">
      <c r="B577" s="5" t="str">
        <f>IFERROR(INDEX([1]Clients!$D:$D, MATCH(A577, [1]Clients!$A:$A, 0)), "")</f>
        <v/>
      </c>
      <c r="E577" s="1" t="str">
        <f>IF(OR(D577="",D577=0),"",D577-SUMIFS('Lessons Log'!$E:$E,'Lessons Log'!$C:$C,A577,'Lessons Log'!$D:$D,"*Package*"))</f>
        <v/>
      </c>
      <c r="F577" s="6" t="str">
        <f>IFERROR(INDEX([1]Clients!F:F, MATCH(A577, [1]Clients!A:A, 0)), "")</f>
        <v/>
      </c>
    </row>
    <row r="578" spans="2:6" x14ac:dyDescent="0.45">
      <c r="B578" s="5" t="str">
        <f>IFERROR(INDEX([1]Clients!$D:$D, MATCH(A578, [1]Clients!$A:$A, 0)), "")</f>
        <v/>
      </c>
      <c r="E578" s="1" t="str">
        <f>IF(OR(D578="",D578=0),"",D578-SUMIFS('Lessons Log'!$E:$E,'Lessons Log'!$C:$C,A578,'Lessons Log'!$D:$D,"*Package*"))</f>
        <v/>
      </c>
      <c r="F578" s="6" t="str">
        <f>IFERROR(INDEX([1]Clients!F:F, MATCH(A578, [1]Clients!A:A, 0)), "")</f>
        <v/>
      </c>
    </row>
    <row r="579" spans="2:6" x14ac:dyDescent="0.45">
      <c r="B579" s="5" t="str">
        <f>IFERROR(INDEX([1]Clients!$D:$D, MATCH(A579, [1]Clients!$A:$A, 0)), "")</f>
        <v/>
      </c>
      <c r="E579" s="1" t="str">
        <f>IF(OR(D579="",D579=0),"",D579-SUMIFS('Lessons Log'!$E:$E,'Lessons Log'!$C:$C,A579,'Lessons Log'!$D:$D,"*Package*"))</f>
        <v/>
      </c>
      <c r="F579" s="6" t="str">
        <f>IFERROR(INDEX([1]Clients!F:F, MATCH(A579, [1]Clients!A:A, 0)), "")</f>
        <v/>
      </c>
    </row>
    <row r="580" spans="2:6" x14ac:dyDescent="0.45">
      <c r="B580" s="5" t="str">
        <f>IFERROR(INDEX([1]Clients!$D:$D, MATCH(A580, [1]Clients!$A:$A, 0)), "")</f>
        <v/>
      </c>
      <c r="E580" s="1" t="str">
        <f>IF(OR(D580="",D580=0),"",D580-SUMIFS('Lessons Log'!$E:$E,'Lessons Log'!$C:$C,A580,'Lessons Log'!$D:$D,"*Package*"))</f>
        <v/>
      </c>
      <c r="F580" s="6" t="str">
        <f>IFERROR(INDEX([1]Clients!F:F, MATCH(A580, [1]Clients!A:A, 0)), "")</f>
        <v/>
      </c>
    </row>
    <row r="581" spans="2:6" x14ac:dyDescent="0.45">
      <c r="B581" s="5" t="str">
        <f>IFERROR(INDEX([1]Clients!$D:$D, MATCH(A581, [1]Clients!$A:$A, 0)), "")</f>
        <v/>
      </c>
      <c r="E581" s="1" t="str">
        <f>IF(OR(D581="",D581=0),"",D581-SUMIFS('Lessons Log'!$E:$E,'Lessons Log'!$C:$C,A581,'Lessons Log'!$D:$D,"*Package*"))</f>
        <v/>
      </c>
      <c r="F581" s="6" t="str">
        <f>IFERROR(INDEX([1]Clients!F:F, MATCH(A581, [1]Clients!A:A, 0)), "")</f>
        <v/>
      </c>
    </row>
    <row r="582" spans="2:6" x14ac:dyDescent="0.45">
      <c r="B582" s="5" t="str">
        <f>IFERROR(INDEX([1]Clients!$D:$D, MATCH(A582, [1]Clients!$A:$A, 0)), "")</f>
        <v/>
      </c>
      <c r="E582" s="1" t="str">
        <f>IF(OR(D582="",D582=0),"",D582-SUMIFS('Lessons Log'!$E:$E,'Lessons Log'!$C:$C,A582,'Lessons Log'!$D:$D,"*Package*"))</f>
        <v/>
      </c>
      <c r="F582" s="6" t="str">
        <f>IFERROR(INDEX([1]Clients!F:F, MATCH(A582, [1]Clients!A:A, 0)), "")</f>
        <v/>
      </c>
    </row>
    <row r="583" spans="2:6" x14ac:dyDescent="0.45">
      <c r="B583" s="5" t="str">
        <f>IFERROR(INDEX([1]Clients!$D:$D, MATCH(A583, [1]Clients!$A:$A, 0)), "")</f>
        <v/>
      </c>
      <c r="E583" s="1" t="str">
        <f>IF(OR(D583="",D583=0),"",D583-SUMIFS('Lessons Log'!$E:$E,'Lessons Log'!$C:$C,A583,'Lessons Log'!$D:$D,"*Package*"))</f>
        <v/>
      </c>
      <c r="F583" s="6" t="str">
        <f>IFERROR(INDEX([1]Clients!F:F, MATCH(A583, [1]Clients!A:A, 0)), "")</f>
        <v/>
      </c>
    </row>
    <row r="584" spans="2:6" x14ac:dyDescent="0.45">
      <c r="B584" s="5" t="str">
        <f>IFERROR(INDEX([1]Clients!$D:$D, MATCH(A584, [1]Clients!$A:$A, 0)), "")</f>
        <v/>
      </c>
      <c r="E584" s="1" t="str">
        <f>IF(OR(D584="",D584=0),"",D584-SUMIFS('Lessons Log'!$E:$E,'Lessons Log'!$C:$C,A584,'Lessons Log'!$D:$D,"*Package*"))</f>
        <v/>
      </c>
      <c r="F584" s="6" t="str">
        <f>IFERROR(INDEX([1]Clients!F:F, MATCH(A584, [1]Clients!A:A, 0)), "")</f>
        <v/>
      </c>
    </row>
    <row r="585" spans="2:6" x14ac:dyDescent="0.45">
      <c r="B585" s="5" t="str">
        <f>IFERROR(INDEX([1]Clients!$D:$D, MATCH(A585, [1]Clients!$A:$A, 0)), "")</f>
        <v/>
      </c>
      <c r="E585" s="1" t="str">
        <f>IF(OR(D585="",D585=0),"",D585-SUMIFS('Lessons Log'!$E:$E,'Lessons Log'!$C:$C,A585,'Lessons Log'!$D:$D,"*Package*"))</f>
        <v/>
      </c>
      <c r="F585" s="6" t="str">
        <f>IFERROR(INDEX([1]Clients!F:F, MATCH(A585, [1]Clients!A:A, 0)), "")</f>
        <v/>
      </c>
    </row>
    <row r="586" spans="2:6" x14ac:dyDescent="0.45">
      <c r="B586" s="5" t="str">
        <f>IFERROR(INDEX([1]Clients!$D:$D, MATCH(A586, [1]Clients!$A:$A, 0)), "")</f>
        <v/>
      </c>
      <c r="E586" s="1" t="str">
        <f>IF(OR(D586="",D586=0),"",D586-SUMIFS('Lessons Log'!$E:$E,'Lessons Log'!$C:$C,A586,'Lessons Log'!$D:$D,"*Package*"))</f>
        <v/>
      </c>
      <c r="F586" s="6" t="str">
        <f>IFERROR(INDEX([1]Clients!F:F, MATCH(A586, [1]Clients!A:A, 0)), "")</f>
        <v/>
      </c>
    </row>
    <row r="587" spans="2:6" x14ac:dyDescent="0.45">
      <c r="B587" s="5" t="str">
        <f>IFERROR(INDEX([1]Clients!$D:$D, MATCH(A587, [1]Clients!$A:$A, 0)), "")</f>
        <v/>
      </c>
      <c r="E587" s="1" t="str">
        <f>IF(OR(D587="",D587=0),"",D587-SUMIFS('Lessons Log'!$E:$E,'Lessons Log'!$C:$C,A587,'Lessons Log'!$D:$D,"*Package*"))</f>
        <v/>
      </c>
      <c r="F587" s="6" t="str">
        <f>IFERROR(INDEX([1]Clients!F:F, MATCH(A587, [1]Clients!A:A, 0)), "")</f>
        <v/>
      </c>
    </row>
    <row r="588" spans="2:6" x14ac:dyDescent="0.45">
      <c r="B588" s="5" t="str">
        <f>IFERROR(INDEX([1]Clients!$D:$D, MATCH(A588, [1]Clients!$A:$A, 0)), "")</f>
        <v/>
      </c>
      <c r="E588" s="1" t="str">
        <f>IF(OR(D588="",D588=0),"",D588-SUMIFS('Lessons Log'!$E:$E,'Lessons Log'!$C:$C,A588,'Lessons Log'!$D:$D,"*Package*"))</f>
        <v/>
      </c>
      <c r="F588" s="6" t="str">
        <f>IFERROR(INDEX([1]Clients!F:F, MATCH(A588, [1]Clients!A:A, 0)), "")</f>
        <v/>
      </c>
    </row>
    <row r="589" spans="2:6" x14ac:dyDescent="0.45">
      <c r="B589" s="5" t="str">
        <f>IFERROR(INDEX([1]Clients!$D:$D, MATCH(A589, [1]Clients!$A:$A, 0)), "")</f>
        <v/>
      </c>
      <c r="E589" s="1" t="str">
        <f>IF(OR(D589="",D589=0),"",D589-SUMIFS('Lessons Log'!$E:$E,'Lessons Log'!$C:$C,A589,'Lessons Log'!$D:$D,"*Package*"))</f>
        <v/>
      </c>
      <c r="F589" s="6" t="str">
        <f>IFERROR(INDEX([1]Clients!F:F, MATCH(A589, [1]Clients!A:A, 0)), "")</f>
        <v/>
      </c>
    </row>
    <row r="590" spans="2:6" x14ac:dyDescent="0.45">
      <c r="B590" s="5" t="str">
        <f>IFERROR(INDEX([1]Clients!$D:$D, MATCH(A590, [1]Clients!$A:$A, 0)), "")</f>
        <v/>
      </c>
      <c r="E590" s="1" t="str">
        <f>IF(OR(D590="",D590=0),"",D590-SUMIFS('Lessons Log'!$E:$E,'Lessons Log'!$C:$C,A590,'Lessons Log'!$D:$D,"*Package*"))</f>
        <v/>
      </c>
      <c r="F590" s="6" t="str">
        <f>IFERROR(INDEX([1]Clients!F:F, MATCH(A590, [1]Clients!A:A, 0)), "")</f>
        <v/>
      </c>
    </row>
    <row r="591" spans="2:6" x14ac:dyDescent="0.45">
      <c r="B591" s="5" t="str">
        <f>IFERROR(INDEX([1]Clients!$D:$D, MATCH(A591, [1]Clients!$A:$A, 0)), "")</f>
        <v/>
      </c>
      <c r="E591" s="1" t="str">
        <f>IF(OR(D591="",D591=0),"",D591-SUMIFS('Lessons Log'!$E:$E,'Lessons Log'!$C:$C,A591,'Lessons Log'!$D:$D,"*Package*"))</f>
        <v/>
      </c>
      <c r="F591" s="6" t="str">
        <f>IFERROR(INDEX([1]Clients!F:F, MATCH(A591, [1]Clients!A:A, 0)), "")</f>
        <v/>
      </c>
    </row>
    <row r="592" spans="2:6" x14ac:dyDescent="0.45">
      <c r="B592" s="5" t="str">
        <f>IFERROR(INDEX([1]Clients!$D:$D, MATCH(A592, [1]Clients!$A:$A, 0)), "")</f>
        <v/>
      </c>
      <c r="E592" s="1" t="str">
        <f>IF(OR(D592="",D592=0),"",D592-SUMIFS('Lessons Log'!$E:$E,'Lessons Log'!$C:$C,A592,'Lessons Log'!$D:$D,"*Package*"))</f>
        <v/>
      </c>
      <c r="F592" s="6" t="str">
        <f>IFERROR(INDEX([1]Clients!F:F, MATCH(A592, [1]Clients!A:A, 0)), "")</f>
        <v/>
      </c>
    </row>
    <row r="593" spans="2:6" x14ac:dyDescent="0.45">
      <c r="B593" s="5" t="str">
        <f>IFERROR(INDEX([1]Clients!$D:$D, MATCH(A593, [1]Clients!$A:$A, 0)), "")</f>
        <v/>
      </c>
      <c r="E593" s="1" t="str">
        <f>IF(OR(D593="",D593=0),"",D593-SUMIFS('Lessons Log'!$E:$E,'Lessons Log'!$C:$C,A593,'Lessons Log'!$D:$D,"*Package*"))</f>
        <v/>
      </c>
      <c r="F593" s="6" t="str">
        <f>IFERROR(INDEX([1]Clients!F:F, MATCH(A593, [1]Clients!A:A, 0)), "")</f>
        <v/>
      </c>
    </row>
    <row r="594" spans="2:6" x14ac:dyDescent="0.45">
      <c r="B594" s="5" t="str">
        <f>IFERROR(INDEX([1]Clients!$D:$D, MATCH(A594, [1]Clients!$A:$A, 0)), "")</f>
        <v/>
      </c>
      <c r="E594" s="1" t="str">
        <f>IF(OR(D594="",D594=0),"",D594-SUMIFS('Lessons Log'!$E:$E,'Lessons Log'!$C:$C,A594,'Lessons Log'!$D:$D,"*Package*"))</f>
        <v/>
      </c>
      <c r="F594" s="6" t="str">
        <f>IFERROR(INDEX([1]Clients!F:F, MATCH(A594, [1]Clients!A:A, 0)), "")</f>
        <v/>
      </c>
    </row>
    <row r="595" spans="2:6" x14ac:dyDescent="0.45">
      <c r="B595" s="5" t="str">
        <f>IFERROR(INDEX([1]Clients!$D:$D, MATCH(A595, [1]Clients!$A:$A, 0)), "")</f>
        <v/>
      </c>
      <c r="E595" s="1" t="str">
        <f>IF(OR(D595="",D595=0),"",D595-SUMIFS('Lessons Log'!$E:$E,'Lessons Log'!$C:$C,A595,'Lessons Log'!$D:$D,"*Package*"))</f>
        <v/>
      </c>
      <c r="F595" s="6" t="str">
        <f>IFERROR(INDEX([1]Clients!F:F, MATCH(A595, [1]Clients!A:A, 0)), "")</f>
        <v/>
      </c>
    </row>
    <row r="596" spans="2:6" x14ac:dyDescent="0.45">
      <c r="B596" s="5" t="str">
        <f>IFERROR(INDEX([1]Clients!$D:$D, MATCH(A596, [1]Clients!$A:$A, 0)), "")</f>
        <v/>
      </c>
      <c r="E596" s="1" t="str">
        <f>IF(OR(D596="",D596=0),"",D596-SUMIFS('Lessons Log'!$E:$E,'Lessons Log'!$C:$C,A596,'Lessons Log'!$D:$D,"*Package*"))</f>
        <v/>
      </c>
      <c r="F596" s="6" t="str">
        <f>IFERROR(INDEX([1]Clients!F:F, MATCH(A596, [1]Clients!A:A, 0)), "")</f>
        <v/>
      </c>
    </row>
    <row r="597" spans="2:6" x14ac:dyDescent="0.45">
      <c r="B597" s="5" t="str">
        <f>IFERROR(INDEX([1]Clients!$D:$D, MATCH(A597, [1]Clients!$A:$A, 0)), "")</f>
        <v/>
      </c>
      <c r="E597" s="1" t="str">
        <f>IF(OR(D597="",D597=0),"",D597-SUMIFS('Lessons Log'!$E:$E,'Lessons Log'!$C:$C,A597,'Lessons Log'!$D:$D,"*Package*"))</f>
        <v/>
      </c>
      <c r="F597" s="6" t="str">
        <f>IFERROR(INDEX([1]Clients!F:F, MATCH(A597, [1]Clients!A:A, 0)), "")</f>
        <v/>
      </c>
    </row>
    <row r="598" spans="2:6" x14ac:dyDescent="0.45">
      <c r="B598" s="5" t="str">
        <f>IFERROR(INDEX([1]Clients!$D:$D, MATCH(A598, [1]Clients!$A:$A, 0)), "")</f>
        <v/>
      </c>
      <c r="E598" s="1" t="str">
        <f>IF(OR(D598="",D598=0),"",D598-SUMIFS('Lessons Log'!$E:$E,'Lessons Log'!$C:$C,A598,'Lessons Log'!$D:$D,"*Package*"))</f>
        <v/>
      </c>
      <c r="F598" s="6" t="str">
        <f>IFERROR(INDEX([1]Clients!F:F, MATCH(A598, [1]Clients!A:A, 0)), "")</f>
        <v/>
      </c>
    </row>
    <row r="599" spans="2:6" x14ac:dyDescent="0.45">
      <c r="B599" s="5" t="str">
        <f>IFERROR(INDEX([1]Clients!$D:$D, MATCH(A599, [1]Clients!$A:$A, 0)), "")</f>
        <v/>
      </c>
      <c r="E599" s="1" t="str">
        <f>IF(OR(D599="",D599=0),"",D599-SUMIFS('Lessons Log'!$E:$E,'Lessons Log'!$C:$C,A599,'Lessons Log'!$D:$D,"*Package*"))</f>
        <v/>
      </c>
      <c r="F599" s="6" t="str">
        <f>IFERROR(INDEX([1]Clients!F:F, MATCH(A599, [1]Clients!A:A, 0)), "")</f>
        <v/>
      </c>
    </row>
    <row r="600" spans="2:6" x14ac:dyDescent="0.45">
      <c r="B600" s="5" t="str">
        <f>IFERROR(INDEX([1]Clients!$D:$D, MATCH(A600, [1]Clients!$A:$A, 0)), "")</f>
        <v/>
      </c>
      <c r="E600" s="1" t="str">
        <f>IF(OR(D600="",D600=0),"",D600-SUMIFS('Lessons Log'!$E:$E,'Lessons Log'!$C:$C,A600,'Lessons Log'!$D:$D,"*Package*"))</f>
        <v/>
      </c>
      <c r="F600" s="6" t="str">
        <f>IFERROR(INDEX([1]Clients!F:F, MATCH(A600, [1]Clients!A:A, 0)), "")</f>
        <v/>
      </c>
    </row>
    <row r="601" spans="2:6" x14ac:dyDescent="0.45">
      <c r="B601" s="5" t="str">
        <f>IFERROR(INDEX([1]Clients!$D:$D, MATCH(A601, [1]Clients!$A:$A, 0)), "")</f>
        <v/>
      </c>
      <c r="E601" s="1" t="str">
        <f>IF(OR(D601="",D601=0),"",D601-SUMIFS('Lessons Log'!$E:$E,'Lessons Log'!$C:$C,A601,'Lessons Log'!$D:$D,"*Package*"))</f>
        <v/>
      </c>
      <c r="F601" s="6" t="str">
        <f>IFERROR(INDEX([1]Clients!F:F, MATCH(A601, [1]Clients!A:A, 0)), "")</f>
        <v/>
      </c>
    </row>
    <row r="602" spans="2:6" x14ac:dyDescent="0.45">
      <c r="B602" s="5" t="str">
        <f>IFERROR(INDEX([1]Clients!$D:$D, MATCH(A602, [1]Clients!$A:$A, 0)), "")</f>
        <v/>
      </c>
      <c r="E602" s="1" t="str">
        <f>IF(OR(D602="",D602=0),"",D602-SUMIFS('Lessons Log'!$E:$E,'Lessons Log'!$C:$C,A602,'Lessons Log'!$D:$D,"*Package*"))</f>
        <v/>
      </c>
      <c r="F602" s="6" t="str">
        <f>IFERROR(INDEX([1]Clients!F:F, MATCH(A602, [1]Clients!A:A, 0)), "")</f>
        <v/>
      </c>
    </row>
    <row r="603" spans="2:6" x14ac:dyDescent="0.45">
      <c r="B603" s="5" t="str">
        <f>IFERROR(INDEX([1]Clients!$D:$D, MATCH(A603, [1]Clients!$A:$A, 0)), "")</f>
        <v/>
      </c>
      <c r="E603" s="1" t="str">
        <f>IF(OR(D603="",D603=0),"",D603-SUMIFS('Lessons Log'!$E:$E,'Lessons Log'!$C:$C,A603,'Lessons Log'!$D:$D,"*Package*"))</f>
        <v/>
      </c>
      <c r="F603" s="6" t="str">
        <f>IFERROR(INDEX([1]Clients!F:F, MATCH(A603, [1]Clients!A:A, 0)), "")</f>
        <v/>
      </c>
    </row>
    <row r="604" spans="2:6" x14ac:dyDescent="0.45">
      <c r="B604" s="5" t="str">
        <f>IFERROR(INDEX([1]Clients!$D:$D, MATCH(A604, [1]Clients!$A:$A, 0)), "")</f>
        <v/>
      </c>
      <c r="E604" s="1" t="str">
        <f>IF(OR(D604="",D604=0),"",D604-SUMIFS('Lessons Log'!$E:$E,'Lessons Log'!$C:$C,A604,'Lessons Log'!$D:$D,"*Package*"))</f>
        <v/>
      </c>
      <c r="F604" s="6" t="str">
        <f>IFERROR(INDEX([1]Clients!F:F, MATCH(A604, [1]Clients!A:A, 0)), "")</f>
        <v/>
      </c>
    </row>
    <row r="605" spans="2:6" x14ac:dyDescent="0.45">
      <c r="B605" s="5" t="str">
        <f>IFERROR(INDEX([1]Clients!$D:$D, MATCH(A605, [1]Clients!$A:$A, 0)), "")</f>
        <v/>
      </c>
      <c r="E605" s="1" t="str">
        <f>IF(OR(D605="",D605=0),"",D605-SUMIFS('Lessons Log'!$E:$E,'Lessons Log'!$C:$C,A605,'Lessons Log'!$D:$D,"*Package*"))</f>
        <v/>
      </c>
      <c r="F605" s="6" t="str">
        <f>IFERROR(INDEX([1]Clients!F:F, MATCH(A605, [1]Clients!A:A, 0)), "")</f>
        <v/>
      </c>
    </row>
    <row r="606" spans="2:6" x14ac:dyDescent="0.45">
      <c r="B606" s="5" t="str">
        <f>IFERROR(INDEX([1]Clients!$D:$D, MATCH(A606, [1]Clients!$A:$A, 0)), "")</f>
        <v/>
      </c>
      <c r="E606" s="1" t="str">
        <f>IF(OR(D606="",D606=0),"",D606-SUMIFS('Lessons Log'!$E:$E,'Lessons Log'!$C:$C,A606,'Lessons Log'!$D:$D,"*Package*"))</f>
        <v/>
      </c>
      <c r="F606" s="6" t="str">
        <f>IFERROR(INDEX([1]Clients!F:F, MATCH(A606, [1]Clients!A:A, 0)), "")</f>
        <v/>
      </c>
    </row>
    <row r="607" spans="2:6" x14ac:dyDescent="0.45">
      <c r="B607" s="5" t="str">
        <f>IFERROR(INDEX([1]Clients!$D:$D, MATCH(A607, [1]Clients!$A:$A, 0)), "")</f>
        <v/>
      </c>
      <c r="E607" s="1" t="str">
        <f>IF(OR(D607="",D607=0),"",D607-SUMIFS('Lessons Log'!$E:$E,'Lessons Log'!$C:$C,A607,'Lessons Log'!$D:$D,"*Package*"))</f>
        <v/>
      </c>
      <c r="F607" s="6" t="str">
        <f>IFERROR(INDEX([1]Clients!F:F, MATCH(A607, [1]Clients!A:A, 0)), "")</f>
        <v/>
      </c>
    </row>
    <row r="608" spans="2:6" x14ac:dyDescent="0.45">
      <c r="B608" s="5" t="str">
        <f>IFERROR(INDEX([1]Clients!$D:$D, MATCH(A608, [1]Clients!$A:$A, 0)), "")</f>
        <v/>
      </c>
      <c r="E608" s="1" t="str">
        <f>IF(OR(D608="",D608=0),"",D608-SUMIFS('Lessons Log'!$E:$E,'Lessons Log'!$C:$C,A608,'Lessons Log'!$D:$D,"*Package*"))</f>
        <v/>
      </c>
      <c r="F608" s="6" t="str">
        <f>IFERROR(INDEX([1]Clients!F:F, MATCH(A608, [1]Clients!A:A, 0)), "")</f>
        <v/>
      </c>
    </row>
    <row r="609" spans="2:6" x14ac:dyDescent="0.45">
      <c r="B609" s="5" t="str">
        <f>IFERROR(INDEX([1]Clients!$D:$D, MATCH(A609, [1]Clients!$A:$A, 0)), "")</f>
        <v/>
      </c>
      <c r="E609" s="1" t="str">
        <f>IF(OR(D609="",D609=0),"",D609-SUMIFS('Lessons Log'!$E:$E,'Lessons Log'!$C:$C,A609,'Lessons Log'!$D:$D,"*Package*"))</f>
        <v/>
      </c>
      <c r="F609" s="6" t="str">
        <f>IFERROR(INDEX([1]Clients!F:F, MATCH(A609, [1]Clients!A:A, 0)), "")</f>
        <v/>
      </c>
    </row>
    <row r="610" spans="2:6" x14ac:dyDescent="0.45">
      <c r="B610" s="5" t="str">
        <f>IFERROR(INDEX([1]Clients!$D:$D, MATCH(A610, [1]Clients!$A:$A, 0)), "")</f>
        <v/>
      </c>
      <c r="E610" s="1" t="str">
        <f>IF(OR(D610="",D610=0),"",D610-SUMIFS('Lessons Log'!$E:$E,'Lessons Log'!$C:$C,A610,'Lessons Log'!$D:$D,"*Package*"))</f>
        <v/>
      </c>
      <c r="F610" s="6" t="str">
        <f>IFERROR(INDEX([1]Clients!F:F, MATCH(A610, [1]Clients!A:A, 0)), "")</f>
        <v/>
      </c>
    </row>
    <row r="611" spans="2:6" x14ac:dyDescent="0.45">
      <c r="B611" s="5" t="str">
        <f>IFERROR(INDEX([1]Clients!$D:$D, MATCH(A611, [1]Clients!$A:$A, 0)), "")</f>
        <v/>
      </c>
      <c r="E611" s="1" t="str">
        <f>IF(OR(D611="",D611=0),"",D611-SUMIFS('Lessons Log'!$E:$E,'Lessons Log'!$C:$C,A611,'Lessons Log'!$D:$D,"*Package*"))</f>
        <v/>
      </c>
      <c r="F611" s="6" t="str">
        <f>IFERROR(INDEX([1]Clients!F:F, MATCH(A611, [1]Clients!A:A, 0)), "")</f>
        <v/>
      </c>
    </row>
    <row r="612" spans="2:6" x14ac:dyDescent="0.45">
      <c r="B612" s="5" t="str">
        <f>IFERROR(INDEX([1]Clients!$D:$D, MATCH(A612, [1]Clients!$A:$A, 0)), "")</f>
        <v/>
      </c>
      <c r="E612" s="1" t="str">
        <f>IF(OR(D612="",D612=0),"",D612-SUMIFS('Lessons Log'!$E:$E,'Lessons Log'!$C:$C,A612,'Lessons Log'!$D:$D,"*Package*"))</f>
        <v/>
      </c>
      <c r="F612" s="6" t="str">
        <f>IFERROR(INDEX([1]Clients!F:F, MATCH(A612, [1]Clients!A:A, 0)), "")</f>
        <v/>
      </c>
    </row>
    <row r="613" spans="2:6" x14ac:dyDescent="0.45">
      <c r="B613" s="5" t="str">
        <f>IFERROR(INDEX([1]Clients!$D:$D, MATCH(A613, [1]Clients!$A:$A, 0)), "")</f>
        <v/>
      </c>
      <c r="E613" s="1" t="str">
        <f>IF(OR(D613="",D613=0),"",D613-SUMIFS('Lessons Log'!$E:$E,'Lessons Log'!$C:$C,A613,'Lessons Log'!$D:$D,"*Package*"))</f>
        <v/>
      </c>
      <c r="F613" s="6" t="str">
        <f>IFERROR(INDEX([1]Clients!F:F, MATCH(A613, [1]Clients!A:A, 0)), "")</f>
        <v/>
      </c>
    </row>
    <row r="614" spans="2:6" x14ac:dyDescent="0.45">
      <c r="B614" s="5" t="str">
        <f>IFERROR(INDEX([1]Clients!$D:$D, MATCH(A614, [1]Clients!$A:$A, 0)), "")</f>
        <v/>
      </c>
      <c r="E614" s="1" t="str">
        <f>IF(OR(D614="",D614=0),"",D614-SUMIFS('Lessons Log'!$E:$E,'Lessons Log'!$C:$C,A614,'Lessons Log'!$D:$D,"*Package*"))</f>
        <v/>
      </c>
      <c r="F614" s="6" t="str">
        <f>IFERROR(INDEX([1]Clients!F:F, MATCH(A614, [1]Clients!A:A, 0)), "")</f>
        <v/>
      </c>
    </row>
    <row r="615" spans="2:6" x14ac:dyDescent="0.45">
      <c r="B615" s="5" t="str">
        <f>IFERROR(INDEX([1]Clients!$D:$D, MATCH(A615, [1]Clients!$A:$A, 0)), "")</f>
        <v/>
      </c>
      <c r="E615" s="1" t="str">
        <f>IF(OR(D615="",D615=0),"",D615-SUMIFS('Lessons Log'!$E:$E,'Lessons Log'!$C:$C,A615,'Lessons Log'!$D:$D,"*Package*"))</f>
        <v/>
      </c>
      <c r="F615" s="6" t="str">
        <f>IFERROR(INDEX([1]Clients!F:F, MATCH(A615, [1]Clients!A:A, 0)), "")</f>
        <v/>
      </c>
    </row>
    <row r="616" spans="2:6" x14ac:dyDescent="0.45">
      <c r="B616" s="5" t="str">
        <f>IFERROR(INDEX([1]Clients!$D:$D, MATCH(A616, [1]Clients!$A:$A, 0)), "")</f>
        <v/>
      </c>
      <c r="E616" s="1" t="str">
        <f>IF(OR(D616="",D616=0),"",D616-SUMIFS('Lessons Log'!$E:$E,'Lessons Log'!$C:$C,A616,'Lessons Log'!$D:$D,"*Package*"))</f>
        <v/>
      </c>
      <c r="F616" s="6" t="str">
        <f>IFERROR(INDEX([1]Clients!F:F, MATCH(A616, [1]Clients!A:A, 0)), "")</f>
        <v/>
      </c>
    </row>
    <row r="617" spans="2:6" x14ac:dyDescent="0.45">
      <c r="B617" s="5" t="str">
        <f>IFERROR(INDEX([1]Clients!$D:$D, MATCH(A617, [1]Clients!$A:$A, 0)), "")</f>
        <v/>
      </c>
      <c r="E617" s="1" t="str">
        <f>IF(OR(D617="",D617=0),"",D617-SUMIFS('Lessons Log'!$E:$E,'Lessons Log'!$C:$C,A617,'Lessons Log'!$D:$D,"*Package*"))</f>
        <v/>
      </c>
      <c r="F617" s="6" t="str">
        <f>IFERROR(INDEX([1]Clients!F:F, MATCH(A617, [1]Clients!A:A, 0)), "")</f>
        <v/>
      </c>
    </row>
    <row r="618" spans="2:6" x14ac:dyDescent="0.45">
      <c r="B618" s="5" t="str">
        <f>IFERROR(INDEX([1]Clients!$D:$D, MATCH(A618, [1]Clients!$A:$A, 0)), "")</f>
        <v/>
      </c>
      <c r="E618" s="1" t="str">
        <f>IF(OR(D618="",D618=0),"",D618-SUMIFS('Lessons Log'!$E:$E,'Lessons Log'!$C:$C,A618,'Lessons Log'!$D:$D,"*Package*"))</f>
        <v/>
      </c>
      <c r="F618" s="6" t="str">
        <f>IFERROR(INDEX([1]Clients!F:F, MATCH(A618, [1]Clients!A:A, 0)), "")</f>
        <v/>
      </c>
    </row>
    <row r="619" spans="2:6" x14ac:dyDescent="0.45">
      <c r="B619" s="5" t="str">
        <f>IFERROR(INDEX([1]Clients!$D:$D, MATCH(A619, [1]Clients!$A:$A, 0)), "")</f>
        <v/>
      </c>
      <c r="E619" s="1" t="str">
        <f>IF(OR(D619="",D619=0),"",D619-SUMIFS('Lessons Log'!$E:$E,'Lessons Log'!$C:$C,A619,'Lessons Log'!$D:$D,"*Package*"))</f>
        <v/>
      </c>
      <c r="F619" s="6" t="str">
        <f>IFERROR(INDEX([1]Clients!F:F, MATCH(A619, [1]Clients!A:A, 0)), "")</f>
        <v/>
      </c>
    </row>
    <row r="620" spans="2:6" x14ac:dyDescent="0.45">
      <c r="B620" s="5" t="str">
        <f>IFERROR(INDEX([1]Clients!$D:$D, MATCH(A620, [1]Clients!$A:$A, 0)), "")</f>
        <v/>
      </c>
      <c r="E620" s="1" t="str">
        <f>IF(OR(D620="",D620=0),"",D620-SUMIFS('Lessons Log'!$E:$E,'Lessons Log'!$C:$C,A620,'Lessons Log'!$D:$D,"*Package*"))</f>
        <v/>
      </c>
      <c r="F620" s="6" t="str">
        <f>IFERROR(INDEX([1]Clients!F:F, MATCH(A620, [1]Clients!A:A, 0)), "")</f>
        <v/>
      </c>
    </row>
    <row r="621" spans="2:6" x14ac:dyDescent="0.45">
      <c r="B621" s="5" t="str">
        <f>IFERROR(INDEX([1]Clients!$D:$D, MATCH(A621, [1]Clients!$A:$A, 0)), "")</f>
        <v/>
      </c>
      <c r="E621" s="1" t="str">
        <f>IF(OR(D621="",D621=0),"",D621-SUMIFS('Lessons Log'!$E:$E,'Lessons Log'!$C:$C,A621,'Lessons Log'!$D:$D,"*Package*"))</f>
        <v/>
      </c>
      <c r="F621" s="6" t="str">
        <f>IFERROR(INDEX([1]Clients!F:F, MATCH(A621, [1]Clients!A:A, 0)), "")</f>
        <v/>
      </c>
    </row>
    <row r="622" spans="2:6" x14ac:dyDescent="0.45">
      <c r="B622" s="5" t="str">
        <f>IFERROR(INDEX([1]Clients!$D:$D, MATCH(A622, [1]Clients!$A:$A, 0)), "")</f>
        <v/>
      </c>
      <c r="E622" s="1" t="str">
        <f>IF(OR(D622="",D622=0),"",D622-SUMIFS('Lessons Log'!$E:$E,'Lessons Log'!$C:$C,A622,'Lessons Log'!$D:$D,"*Package*"))</f>
        <v/>
      </c>
      <c r="F622" s="6" t="str">
        <f>IFERROR(INDEX([1]Clients!F:F, MATCH(A622, [1]Clients!A:A, 0)), "")</f>
        <v/>
      </c>
    </row>
    <row r="623" spans="2:6" x14ac:dyDescent="0.45">
      <c r="B623" s="5" t="str">
        <f>IFERROR(INDEX([1]Clients!$D:$D, MATCH(A623, [1]Clients!$A:$A, 0)), "")</f>
        <v/>
      </c>
      <c r="E623" s="1" t="str">
        <f>IF(OR(D623="",D623=0),"",D623-SUMIFS('Lessons Log'!$E:$E,'Lessons Log'!$C:$C,A623,'Lessons Log'!$D:$D,"*Package*"))</f>
        <v/>
      </c>
      <c r="F623" s="6" t="str">
        <f>IFERROR(INDEX([1]Clients!F:F, MATCH(A623, [1]Clients!A:A, 0)), "")</f>
        <v/>
      </c>
    </row>
    <row r="624" spans="2:6" x14ac:dyDescent="0.45">
      <c r="B624" s="5" t="str">
        <f>IFERROR(INDEX([1]Clients!$D:$D, MATCH(A624, [1]Clients!$A:$A, 0)), "")</f>
        <v/>
      </c>
      <c r="E624" s="1" t="str">
        <f>IF(OR(D624="",D624=0),"",D624-SUMIFS('Lessons Log'!$E:$E,'Lessons Log'!$C:$C,A624,'Lessons Log'!$D:$D,"*Package*"))</f>
        <v/>
      </c>
      <c r="F624" s="6" t="str">
        <f>IFERROR(INDEX([1]Clients!F:F, MATCH(A624, [1]Clients!A:A, 0)), "")</f>
        <v/>
      </c>
    </row>
    <row r="625" spans="2:6" x14ac:dyDescent="0.45">
      <c r="B625" s="5" t="str">
        <f>IFERROR(INDEX([1]Clients!$D:$D, MATCH(A625, [1]Clients!$A:$A, 0)), "")</f>
        <v/>
      </c>
      <c r="E625" s="1" t="str">
        <f>IF(OR(D625="",D625=0),"",D625-SUMIFS('Lessons Log'!$E:$E,'Lessons Log'!$C:$C,A625,'Lessons Log'!$D:$D,"*Package*"))</f>
        <v/>
      </c>
      <c r="F625" s="6" t="str">
        <f>IFERROR(INDEX([1]Clients!F:F, MATCH(A625, [1]Clients!A:A, 0)), "")</f>
        <v/>
      </c>
    </row>
    <row r="626" spans="2:6" x14ac:dyDescent="0.45">
      <c r="B626" s="5" t="str">
        <f>IFERROR(INDEX([1]Clients!$D:$D, MATCH(A626, [1]Clients!$A:$A, 0)), "")</f>
        <v/>
      </c>
      <c r="E626" s="1" t="str">
        <f>IF(OR(D626="",D626=0),"",D626-SUMIFS('Lessons Log'!$E:$E,'Lessons Log'!$C:$C,A626,'Lessons Log'!$D:$D,"*Package*"))</f>
        <v/>
      </c>
      <c r="F626" s="6" t="str">
        <f>IFERROR(INDEX([1]Clients!F:F, MATCH(A626, [1]Clients!A:A, 0)), "")</f>
        <v/>
      </c>
    </row>
    <row r="627" spans="2:6" x14ac:dyDescent="0.45">
      <c r="B627" s="5" t="str">
        <f>IFERROR(INDEX([1]Clients!$D:$D, MATCH(A627, [1]Clients!$A:$A, 0)), "")</f>
        <v/>
      </c>
      <c r="E627" s="1" t="str">
        <f>IF(OR(D627="",D627=0),"",D627-SUMIFS('Lessons Log'!$E:$E,'Lessons Log'!$C:$C,A627,'Lessons Log'!$D:$D,"*Package*"))</f>
        <v/>
      </c>
      <c r="F627" s="6" t="str">
        <f>IFERROR(INDEX([1]Clients!F:F, MATCH(A627, [1]Clients!A:A, 0)), "")</f>
        <v/>
      </c>
    </row>
    <row r="628" spans="2:6" x14ac:dyDescent="0.45">
      <c r="B628" s="5" t="str">
        <f>IFERROR(INDEX([1]Clients!$D:$D, MATCH(A628, [1]Clients!$A:$A, 0)), "")</f>
        <v/>
      </c>
      <c r="E628" s="1" t="str">
        <f>IF(OR(D628="",D628=0),"",D628-SUMIFS('Lessons Log'!$E:$E,'Lessons Log'!$C:$C,A628,'Lessons Log'!$D:$D,"*Package*"))</f>
        <v/>
      </c>
      <c r="F628" s="6" t="str">
        <f>IFERROR(INDEX([1]Clients!F:F, MATCH(A628, [1]Clients!A:A, 0)), "")</f>
        <v/>
      </c>
    </row>
    <row r="629" spans="2:6" x14ac:dyDescent="0.45">
      <c r="B629" s="5" t="str">
        <f>IFERROR(INDEX([1]Clients!$D:$D, MATCH(A629, [1]Clients!$A:$A, 0)), "")</f>
        <v/>
      </c>
      <c r="E629" s="1" t="str">
        <f>IF(OR(D629="",D629=0),"",D629-SUMIFS('Lessons Log'!$E:$E,'Lessons Log'!$C:$C,A629,'Lessons Log'!$D:$D,"*Package*"))</f>
        <v/>
      </c>
      <c r="F629" s="6" t="str">
        <f>IFERROR(INDEX([1]Clients!F:F, MATCH(A629, [1]Clients!A:A, 0)), "")</f>
        <v/>
      </c>
    </row>
    <row r="630" spans="2:6" x14ac:dyDescent="0.45">
      <c r="B630" s="5" t="str">
        <f>IFERROR(INDEX([1]Clients!$D:$D, MATCH(A630, [1]Clients!$A:$A, 0)), "")</f>
        <v/>
      </c>
      <c r="E630" s="1" t="str">
        <f>IF(OR(D630="",D630=0),"",D630-SUMIFS('Lessons Log'!$E:$E,'Lessons Log'!$C:$C,A630,'Lessons Log'!$D:$D,"*Package*"))</f>
        <v/>
      </c>
      <c r="F630" s="6" t="str">
        <f>IFERROR(INDEX([1]Clients!F:F, MATCH(A630, [1]Clients!A:A, 0)), "")</f>
        <v/>
      </c>
    </row>
    <row r="631" spans="2:6" x14ac:dyDescent="0.45">
      <c r="B631" s="5" t="str">
        <f>IFERROR(INDEX([1]Clients!$D:$D, MATCH(A631, [1]Clients!$A:$A, 0)), "")</f>
        <v/>
      </c>
      <c r="E631" s="1" t="str">
        <f>IF(OR(D631="",D631=0),"",D631-SUMIFS('Lessons Log'!$E:$E,'Lessons Log'!$C:$C,A631,'Lessons Log'!$D:$D,"*Package*"))</f>
        <v/>
      </c>
      <c r="F631" s="6" t="str">
        <f>IFERROR(INDEX([1]Clients!F:F, MATCH(A631, [1]Clients!A:A, 0)), "")</f>
        <v/>
      </c>
    </row>
    <row r="632" spans="2:6" x14ac:dyDescent="0.45">
      <c r="B632" s="5" t="str">
        <f>IFERROR(INDEX([1]Clients!$D:$D, MATCH(A632, [1]Clients!$A:$A, 0)), "")</f>
        <v/>
      </c>
      <c r="E632" s="1" t="str">
        <f>IF(OR(D632="",D632=0),"",D632-SUMIFS('Lessons Log'!$E:$E,'Lessons Log'!$C:$C,A632,'Lessons Log'!$D:$D,"*Package*"))</f>
        <v/>
      </c>
      <c r="F632" s="6" t="str">
        <f>IFERROR(INDEX([1]Clients!F:F, MATCH(A632, [1]Clients!A:A, 0)), "")</f>
        <v/>
      </c>
    </row>
    <row r="633" spans="2:6" x14ac:dyDescent="0.45">
      <c r="B633" s="5" t="str">
        <f>IFERROR(INDEX([1]Clients!$D:$D, MATCH(A633, [1]Clients!$A:$A, 0)), "")</f>
        <v/>
      </c>
      <c r="E633" s="1" t="str">
        <f>IF(OR(D633="",D633=0),"",D633-SUMIFS('Lessons Log'!$E:$E,'Lessons Log'!$C:$C,A633,'Lessons Log'!$D:$D,"*Package*"))</f>
        <v/>
      </c>
      <c r="F633" s="6" t="str">
        <f>IFERROR(INDEX([1]Clients!F:F, MATCH(A633, [1]Clients!A:A, 0)), "")</f>
        <v/>
      </c>
    </row>
    <row r="634" spans="2:6" x14ac:dyDescent="0.45">
      <c r="B634" s="5" t="str">
        <f>IFERROR(INDEX([1]Clients!$D:$D, MATCH(A634, [1]Clients!$A:$A, 0)), "")</f>
        <v/>
      </c>
      <c r="E634" s="1" t="str">
        <f>IF(OR(D634="",D634=0),"",D634-SUMIFS('Lessons Log'!$E:$E,'Lessons Log'!$C:$C,A634,'Lessons Log'!$D:$D,"*Package*"))</f>
        <v/>
      </c>
      <c r="F634" s="6" t="str">
        <f>IFERROR(INDEX([1]Clients!F:F, MATCH(A634, [1]Clients!A:A, 0)), "")</f>
        <v/>
      </c>
    </row>
    <row r="635" spans="2:6" x14ac:dyDescent="0.45">
      <c r="B635" s="5" t="str">
        <f>IFERROR(INDEX([1]Clients!$D:$D, MATCH(A635, [1]Clients!$A:$A, 0)), "")</f>
        <v/>
      </c>
      <c r="E635" s="1" t="str">
        <f>IF(OR(D635="",D635=0),"",D635-SUMIFS('Lessons Log'!$E:$E,'Lessons Log'!$C:$C,A635,'Lessons Log'!$D:$D,"*Package*"))</f>
        <v/>
      </c>
      <c r="F635" s="6" t="str">
        <f>IFERROR(INDEX([1]Clients!F:F, MATCH(A635, [1]Clients!A:A, 0)), "")</f>
        <v/>
      </c>
    </row>
    <row r="636" spans="2:6" x14ac:dyDescent="0.45">
      <c r="B636" s="5" t="str">
        <f>IFERROR(INDEX([1]Clients!$D:$D, MATCH(A636, [1]Clients!$A:$A, 0)), "")</f>
        <v/>
      </c>
      <c r="E636" s="1" t="str">
        <f>IF(OR(D636="",D636=0),"",D636-SUMIFS('Lessons Log'!$E:$E,'Lessons Log'!$C:$C,A636,'Lessons Log'!$D:$D,"*Package*"))</f>
        <v/>
      </c>
      <c r="F636" s="6" t="str">
        <f>IFERROR(INDEX([1]Clients!F:F, MATCH(A636, [1]Clients!A:A, 0)), "")</f>
        <v/>
      </c>
    </row>
    <row r="637" spans="2:6" x14ac:dyDescent="0.45">
      <c r="B637" s="5" t="str">
        <f>IFERROR(INDEX([1]Clients!$D:$D, MATCH(A637, [1]Clients!$A:$A, 0)), "")</f>
        <v/>
      </c>
      <c r="E637" s="1" t="str">
        <f>IF(OR(D637="",D637=0),"",D637-SUMIFS('Lessons Log'!$E:$E,'Lessons Log'!$C:$C,A637,'Lessons Log'!$D:$D,"*Package*"))</f>
        <v/>
      </c>
      <c r="F637" s="6" t="str">
        <f>IFERROR(INDEX([1]Clients!F:F, MATCH(A637, [1]Clients!A:A, 0)), "")</f>
        <v/>
      </c>
    </row>
    <row r="638" spans="2:6" x14ac:dyDescent="0.45">
      <c r="B638" s="5" t="str">
        <f>IFERROR(INDEX([1]Clients!$D:$D, MATCH(A638, [1]Clients!$A:$A, 0)), "")</f>
        <v/>
      </c>
      <c r="E638" s="1" t="str">
        <f>IF(OR(D638="",D638=0),"",D638-SUMIFS('Lessons Log'!$E:$E,'Lessons Log'!$C:$C,A638,'Lessons Log'!$D:$D,"*Package*"))</f>
        <v/>
      </c>
      <c r="F638" s="6" t="str">
        <f>IFERROR(INDEX([1]Clients!F:F, MATCH(A638, [1]Clients!A:A, 0)), "")</f>
        <v/>
      </c>
    </row>
    <row r="639" spans="2:6" x14ac:dyDescent="0.45">
      <c r="B639" s="5" t="str">
        <f>IFERROR(INDEX([1]Clients!$D:$D, MATCH(A639, [1]Clients!$A:$A, 0)), "")</f>
        <v/>
      </c>
      <c r="E639" s="1" t="str">
        <f>IF(OR(D639="",D639=0),"",D639-SUMIFS('Lessons Log'!$E:$E,'Lessons Log'!$C:$C,A639,'Lessons Log'!$D:$D,"*Package*"))</f>
        <v/>
      </c>
      <c r="F639" s="6" t="str">
        <f>IFERROR(INDEX([1]Clients!F:F, MATCH(A639, [1]Clients!A:A, 0)), "")</f>
        <v/>
      </c>
    </row>
    <row r="640" spans="2:6" x14ac:dyDescent="0.45">
      <c r="B640" s="5" t="str">
        <f>IFERROR(INDEX([1]Clients!$D:$D, MATCH(A640, [1]Clients!$A:$A, 0)), "")</f>
        <v/>
      </c>
      <c r="E640" s="1" t="str">
        <f>IF(OR(D640="",D640=0),"",D640-SUMIFS('Lessons Log'!$E:$E,'Lessons Log'!$C:$C,A640,'Lessons Log'!$D:$D,"*Package*"))</f>
        <v/>
      </c>
      <c r="F640" s="6" t="str">
        <f>IFERROR(INDEX([1]Clients!F:F, MATCH(A640, [1]Clients!A:A, 0)), "")</f>
        <v/>
      </c>
    </row>
    <row r="641" spans="2:6" x14ac:dyDescent="0.45">
      <c r="B641" s="5" t="str">
        <f>IFERROR(INDEX([1]Clients!$D:$D, MATCH(A641, [1]Clients!$A:$A, 0)), "")</f>
        <v/>
      </c>
      <c r="E641" s="1" t="str">
        <f>IF(OR(D641="",D641=0),"",D641-SUMIFS('Lessons Log'!$E:$E,'Lessons Log'!$C:$C,A641,'Lessons Log'!$D:$D,"*Package*"))</f>
        <v/>
      </c>
      <c r="F641" s="6" t="str">
        <f>IFERROR(INDEX([1]Clients!F:F, MATCH(A641, [1]Clients!A:A, 0)), "")</f>
        <v/>
      </c>
    </row>
    <row r="642" spans="2:6" x14ac:dyDescent="0.45">
      <c r="B642" s="5" t="str">
        <f>IFERROR(INDEX([1]Clients!$D:$D, MATCH(A642, [1]Clients!$A:$A, 0)), "")</f>
        <v/>
      </c>
      <c r="E642" s="1" t="str">
        <f>IF(OR(D642="",D642=0),"",D642-SUMIFS('Lessons Log'!$E:$E,'Lessons Log'!$C:$C,A642,'Lessons Log'!$D:$D,"*Package*"))</f>
        <v/>
      </c>
      <c r="F642" s="6" t="str">
        <f>IFERROR(INDEX([1]Clients!F:F, MATCH(A642, [1]Clients!A:A, 0)), "")</f>
        <v/>
      </c>
    </row>
    <row r="643" spans="2:6" x14ac:dyDescent="0.45">
      <c r="B643" s="5" t="str">
        <f>IFERROR(INDEX([1]Clients!$D:$D, MATCH(A643, [1]Clients!$A:$A, 0)), "")</f>
        <v/>
      </c>
      <c r="E643" s="1" t="str">
        <f>IF(OR(D643="",D643=0),"",D643-SUMIFS('Lessons Log'!$E:$E,'Lessons Log'!$C:$C,A643,'Lessons Log'!$D:$D,"*Package*"))</f>
        <v/>
      </c>
      <c r="F643" s="6" t="str">
        <f>IFERROR(INDEX([1]Clients!F:F, MATCH(A643, [1]Clients!A:A, 0)), "")</f>
        <v/>
      </c>
    </row>
    <row r="644" spans="2:6" x14ac:dyDescent="0.45">
      <c r="B644" s="5" t="str">
        <f>IFERROR(INDEX([1]Clients!$D:$D, MATCH(A644, [1]Clients!$A:$A, 0)), "")</f>
        <v/>
      </c>
      <c r="E644" s="1" t="str">
        <f>IF(OR(D644="",D644=0),"",D644-SUMIFS('Lessons Log'!$E:$E,'Lessons Log'!$C:$C,A644,'Lessons Log'!$D:$D,"*Package*"))</f>
        <v/>
      </c>
      <c r="F644" s="6" t="str">
        <f>IFERROR(INDEX([1]Clients!F:F, MATCH(A644, [1]Clients!A:A, 0)), "")</f>
        <v/>
      </c>
    </row>
    <row r="645" spans="2:6" x14ac:dyDescent="0.45">
      <c r="B645" s="5" t="str">
        <f>IFERROR(INDEX([1]Clients!$D:$D, MATCH(A645, [1]Clients!$A:$A, 0)), "")</f>
        <v/>
      </c>
      <c r="E645" s="1" t="str">
        <f>IF(OR(D645="",D645=0),"",D645-SUMIFS('Lessons Log'!$E:$E,'Lessons Log'!$C:$C,A645,'Lessons Log'!$D:$D,"*Package*"))</f>
        <v/>
      </c>
      <c r="F645" s="6" t="str">
        <f>IFERROR(INDEX([1]Clients!F:F, MATCH(A645, [1]Clients!A:A, 0)), "")</f>
        <v/>
      </c>
    </row>
    <row r="646" spans="2:6" x14ac:dyDescent="0.45">
      <c r="B646" s="5" t="str">
        <f>IFERROR(INDEX([1]Clients!$D:$D, MATCH(A646, [1]Clients!$A:$A, 0)), "")</f>
        <v/>
      </c>
      <c r="E646" s="1" t="str">
        <f>IF(OR(D646="",D646=0),"",D646-SUMIFS('Lessons Log'!$E:$E,'Lessons Log'!$C:$C,A646,'Lessons Log'!$D:$D,"*Package*"))</f>
        <v/>
      </c>
      <c r="F646" s="6" t="str">
        <f>IFERROR(INDEX([1]Clients!F:F, MATCH(A646, [1]Clients!A:A, 0)), "")</f>
        <v/>
      </c>
    </row>
    <row r="647" spans="2:6" x14ac:dyDescent="0.45">
      <c r="B647" s="5" t="str">
        <f>IFERROR(INDEX([1]Clients!$D:$D, MATCH(A647, [1]Clients!$A:$A, 0)), "")</f>
        <v/>
      </c>
      <c r="E647" s="1" t="str">
        <f>IF(OR(D647="",D647=0),"",D647-SUMIFS('Lessons Log'!$E:$E,'Lessons Log'!$C:$C,A647,'Lessons Log'!$D:$D,"*Package*"))</f>
        <v/>
      </c>
      <c r="F647" s="6" t="str">
        <f>IFERROR(INDEX([1]Clients!F:F, MATCH(A647, [1]Clients!A:A, 0)), "")</f>
        <v/>
      </c>
    </row>
    <row r="648" spans="2:6" x14ac:dyDescent="0.45">
      <c r="B648" s="5" t="str">
        <f>IFERROR(INDEX([1]Clients!$D:$D, MATCH(A648, [1]Clients!$A:$A, 0)), "")</f>
        <v/>
      </c>
      <c r="E648" s="1" t="str">
        <f>IF(OR(D648="",D648=0),"",D648-SUMIFS('Lessons Log'!$E:$E,'Lessons Log'!$C:$C,A648,'Lessons Log'!$D:$D,"*Package*"))</f>
        <v/>
      </c>
      <c r="F648" s="6" t="str">
        <f>IFERROR(INDEX([1]Clients!F:F, MATCH(A648, [1]Clients!A:A, 0)), "")</f>
        <v/>
      </c>
    </row>
    <row r="649" spans="2:6" x14ac:dyDescent="0.45">
      <c r="B649" s="5" t="str">
        <f>IFERROR(INDEX([1]Clients!$D:$D, MATCH(A649, [1]Clients!$A:$A, 0)), "")</f>
        <v/>
      </c>
      <c r="E649" s="1" t="str">
        <f>IF(OR(D649="",D649=0),"",D649-SUMIFS('Lessons Log'!$E:$E,'Lessons Log'!$C:$C,A649,'Lessons Log'!$D:$D,"*Package*"))</f>
        <v/>
      </c>
      <c r="F649" s="6" t="str">
        <f>IFERROR(INDEX([1]Clients!F:F, MATCH(A649, [1]Clients!A:A, 0)), "")</f>
        <v/>
      </c>
    </row>
    <row r="650" spans="2:6" x14ac:dyDescent="0.45">
      <c r="B650" s="5" t="str">
        <f>IFERROR(INDEX([1]Clients!$D:$D, MATCH(A650, [1]Clients!$A:$A, 0)), "")</f>
        <v/>
      </c>
      <c r="E650" s="1" t="str">
        <f>IF(OR(D650="",D650=0),"",D650-SUMIFS('Lessons Log'!$E:$E,'Lessons Log'!$C:$C,A650,'Lessons Log'!$D:$D,"*Package*"))</f>
        <v/>
      </c>
      <c r="F650" s="6" t="str">
        <f>IFERROR(INDEX([1]Clients!F:F, MATCH(A650, [1]Clients!A:A, 0)), "")</f>
        <v/>
      </c>
    </row>
    <row r="651" spans="2:6" x14ac:dyDescent="0.45">
      <c r="B651" s="5" t="str">
        <f>IFERROR(INDEX([1]Clients!$D:$D, MATCH(A651, [1]Clients!$A:$A, 0)), "")</f>
        <v/>
      </c>
      <c r="E651" s="1" t="str">
        <f>IF(OR(D651="",D651=0),"",D651-SUMIFS('Lessons Log'!$E:$E,'Lessons Log'!$C:$C,A651,'Lessons Log'!$D:$D,"*Package*"))</f>
        <v/>
      </c>
      <c r="F651" s="6" t="str">
        <f>IFERROR(INDEX([1]Clients!F:F, MATCH(A651, [1]Clients!A:A, 0)), "")</f>
        <v/>
      </c>
    </row>
    <row r="652" spans="2:6" x14ac:dyDescent="0.45">
      <c r="B652" s="5" t="str">
        <f>IFERROR(INDEX([1]Clients!$D:$D, MATCH(A652, [1]Clients!$A:$A, 0)), "")</f>
        <v/>
      </c>
      <c r="E652" s="1" t="str">
        <f>IF(OR(D652="",D652=0),"",D652-SUMIFS('Lessons Log'!$E:$E,'Lessons Log'!$C:$C,A652,'Lessons Log'!$D:$D,"*Package*"))</f>
        <v/>
      </c>
      <c r="F652" s="6" t="str">
        <f>IFERROR(INDEX([1]Clients!F:F, MATCH(A652, [1]Clients!A:A, 0)), "")</f>
        <v/>
      </c>
    </row>
    <row r="653" spans="2:6" x14ac:dyDescent="0.45">
      <c r="B653" s="5" t="str">
        <f>IFERROR(INDEX([1]Clients!$D:$D, MATCH(A653, [1]Clients!$A:$A, 0)), "")</f>
        <v/>
      </c>
      <c r="E653" s="1" t="str">
        <f>IF(OR(D653="",D653=0),"",D653-SUMIFS('Lessons Log'!$E:$E,'Lessons Log'!$C:$C,A653,'Lessons Log'!$D:$D,"*Package*"))</f>
        <v/>
      </c>
      <c r="F653" s="6" t="str">
        <f>IFERROR(INDEX([1]Clients!F:F, MATCH(A653, [1]Clients!A:A, 0)), "")</f>
        <v/>
      </c>
    </row>
    <row r="654" spans="2:6" x14ac:dyDescent="0.45">
      <c r="B654" s="5" t="str">
        <f>IFERROR(INDEX([1]Clients!$D:$D, MATCH(A654, [1]Clients!$A:$A, 0)), "")</f>
        <v/>
      </c>
      <c r="E654" s="1" t="str">
        <f>IF(OR(D654="",D654=0),"",D654-SUMIFS('Lessons Log'!$E:$E,'Lessons Log'!$C:$C,A654,'Lessons Log'!$D:$D,"*Package*"))</f>
        <v/>
      </c>
      <c r="F654" s="6" t="str">
        <f>IFERROR(INDEX([1]Clients!F:F, MATCH(A654, [1]Clients!A:A, 0)), "")</f>
        <v/>
      </c>
    </row>
    <row r="655" spans="2:6" x14ac:dyDescent="0.45">
      <c r="B655" s="5" t="str">
        <f>IFERROR(INDEX([1]Clients!$D:$D, MATCH(A655, [1]Clients!$A:$A, 0)), "")</f>
        <v/>
      </c>
      <c r="E655" s="1" t="str">
        <f>IF(OR(D655="",D655=0),"",D655-SUMIFS('Lessons Log'!$E:$E,'Lessons Log'!$C:$C,A655,'Lessons Log'!$D:$D,"*Package*"))</f>
        <v/>
      </c>
      <c r="F655" s="6" t="str">
        <f>IFERROR(INDEX([1]Clients!F:F, MATCH(A655, [1]Clients!A:A, 0)), "")</f>
        <v/>
      </c>
    </row>
    <row r="656" spans="2:6" x14ac:dyDescent="0.45">
      <c r="B656" s="5" t="str">
        <f>IFERROR(INDEX([1]Clients!$D:$D, MATCH(A656, [1]Clients!$A:$A, 0)), "")</f>
        <v/>
      </c>
      <c r="E656" s="1" t="str">
        <f>IF(OR(D656="",D656=0),"",D656-SUMIFS('Lessons Log'!$E:$E,'Lessons Log'!$C:$C,A656,'Lessons Log'!$D:$D,"*Package*"))</f>
        <v/>
      </c>
      <c r="F656" s="6" t="str">
        <f>IFERROR(INDEX([1]Clients!F:F, MATCH(A656, [1]Clients!A:A, 0)), "")</f>
        <v/>
      </c>
    </row>
    <row r="657" spans="2:6" x14ac:dyDescent="0.45">
      <c r="B657" s="5" t="str">
        <f>IFERROR(INDEX([1]Clients!$D:$D, MATCH(A657, [1]Clients!$A:$A, 0)), "")</f>
        <v/>
      </c>
      <c r="E657" s="1" t="str">
        <f>IF(OR(D657="",D657=0),"",D657-SUMIFS('Lessons Log'!$E:$E,'Lessons Log'!$C:$C,A657,'Lessons Log'!$D:$D,"*Package*"))</f>
        <v/>
      </c>
      <c r="F657" s="6" t="str">
        <f>IFERROR(INDEX([1]Clients!F:F, MATCH(A657, [1]Clients!A:A, 0)), "")</f>
        <v/>
      </c>
    </row>
    <row r="658" spans="2:6" x14ac:dyDescent="0.45">
      <c r="B658" s="5" t="str">
        <f>IFERROR(INDEX([1]Clients!$D:$D, MATCH(A658, [1]Clients!$A:$A, 0)), "")</f>
        <v/>
      </c>
      <c r="E658" s="1" t="str">
        <f>IF(OR(D658="",D658=0),"",D658-SUMIFS('Lessons Log'!$E:$E,'Lessons Log'!$C:$C,A658,'Lessons Log'!$D:$D,"*Package*"))</f>
        <v/>
      </c>
      <c r="F658" s="6" t="str">
        <f>IFERROR(INDEX([1]Clients!F:F, MATCH(A658, [1]Clients!A:A, 0)), "")</f>
        <v/>
      </c>
    </row>
    <row r="659" spans="2:6" x14ac:dyDescent="0.45">
      <c r="B659" s="5" t="str">
        <f>IFERROR(INDEX([1]Clients!$D:$D, MATCH(A659, [1]Clients!$A:$A, 0)), "")</f>
        <v/>
      </c>
      <c r="E659" s="1" t="str">
        <f>IF(OR(D659="",D659=0),"",D659-SUMIFS('Lessons Log'!$E:$E,'Lessons Log'!$C:$C,A659,'Lessons Log'!$D:$D,"*Package*"))</f>
        <v/>
      </c>
      <c r="F659" s="6" t="str">
        <f>IFERROR(INDEX([1]Clients!F:F, MATCH(A659, [1]Clients!A:A, 0)), "")</f>
        <v/>
      </c>
    </row>
    <row r="660" spans="2:6" x14ac:dyDescent="0.45">
      <c r="B660" s="5" t="str">
        <f>IFERROR(INDEX([1]Clients!$D:$D, MATCH(A660, [1]Clients!$A:$A, 0)), "")</f>
        <v/>
      </c>
      <c r="E660" s="1" t="str">
        <f>IF(OR(D660="",D660=0),"",D660-SUMIFS('Lessons Log'!$E:$E,'Lessons Log'!$C:$C,A660,'Lessons Log'!$D:$D,"*Package*"))</f>
        <v/>
      </c>
      <c r="F660" s="6" t="str">
        <f>IFERROR(INDEX([1]Clients!F:F, MATCH(A660, [1]Clients!A:A, 0)), "")</f>
        <v/>
      </c>
    </row>
    <row r="661" spans="2:6" x14ac:dyDescent="0.45">
      <c r="B661" s="5" t="str">
        <f>IFERROR(INDEX([1]Clients!$D:$D, MATCH(A661, [1]Clients!$A:$A, 0)), "")</f>
        <v/>
      </c>
      <c r="E661" s="1" t="str">
        <f>IF(OR(D661="",D661=0),"",D661-SUMIFS('Lessons Log'!$E:$E,'Lessons Log'!$C:$C,A661,'Lessons Log'!$D:$D,"*Package*"))</f>
        <v/>
      </c>
      <c r="F661" s="6" t="str">
        <f>IFERROR(INDEX([1]Clients!F:F, MATCH(A661, [1]Clients!A:A, 0)), "")</f>
        <v/>
      </c>
    </row>
    <row r="662" spans="2:6" x14ac:dyDescent="0.45">
      <c r="B662" s="5" t="str">
        <f>IFERROR(INDEX([1]Clients!$D:$D, MATCH(A662, [1]Clients!$A:$A, 0)), "")</f>
        <v/>
      </c>
      <c r="E662" s="1" t="str">
        <f>IF(OR(D662="",D662=0),"",D662-SUMIFS('Lessons Log'!$E:$E,'Lessons Log'!$C:$C,A662,'Lessons Log'!$D:$D,"*Package*"))</f>
        <v/>
      </c>
      <c r="F662" s="6" t="str">
        <f>IFERROR(INDEX([1]Clients!F:F, MATCH(A662, [1]Clients!A:A, 0)), "")</f>
        <v/>
      </c>
    </row>
    <row r="663" spans="2:6" x14ac:dyDescent="0.45">
      <c r="B663" s="5" t="str">
        <f>IFERROR(INDEX([1]Clients!$D:$D, MATCH(A663, [1]Clients!$A:$A, 0)), "")</f>
        <v/>
      </c>
      <c r="E663" s="1" t="str">
        <f>IF(OR(D663="",D663=0),"",D663-SUMIFS('Lessons Log'!$E:$E,'Lessons Log'!$C:$C,A663,'Lessons Log'!$D:$D,"*Package*"))</f>
        <v/>
      </c>
      <c r="F663" s="6" t="str">
        <f>IFERROR(INDEX([1]Clients!F:F, MATCH(A663, [1]Clients!A:A, 0)), "")</f>
        <v/>
      </c>
    </row>
    <row r="664" spans="2:6" x14ac:dyDescent="0.45">
      <c r="B664" s="5" t="str">
        <f>IFERROR(INDEX([1]Clients!$D:$D, MATCH(A664, [1]Clients!$A:$A, 0)), "")</f>
        <v/>
      </c>
      <c r="E664" s="1" t="str">
        <f>IF(OR(D664="",D664=0),"",D664-SUMIFS('Lessons Log'!$E:$E,'Lessons Log'!$C:$C,A664,'Lessons Log'!$D:$D,"*Package*"))</f>
        <v/>
      </c>
      <c r="F664" s="6" t="str">
        <f>IFERROR(INDEX([1]Clients!F:F, MATCH(A664, [1]Clients!A:A, 0)), "")</f>
        <v/>
      </c>
    </row>
    <row r="665" spans="2:6" x14ac:dyDescent="0.45">
      <c r="B665" s="5" t="str">
        <f>IFERROR(INDEX([1]Clients!$D:$D, MATCH(A665, [1]Clients!$A:$A, 0)), "")</f>
        <v/>
      </c>
      <c r="E665" s="1" t="str">
        <f>IF(OR(D665="",D665=0),"",D665-SUMIFS('Lessons Log'!$E:$E,'Lessons Log'!$C:$C,A665,'Lessons Log'!$D:$D,"*Package*"))</f>
        <v/>
      </c>
      <c r="F665" s="6" t="str">
        <f>IFERROR(INDEX([1]Clients!F:F, MATCH(A665, [1]Clients!A:A, 0)), "")</f>
        <v/>
      </c>
    </row>
    <row r="666" spans="2:6" x14ac:dyDescent="0.45">
      <c r="B666" s="5" t="str">
        <f>IFERROR(INDEX([1]Clients!$D:$D, MATCH(A666, [1]Clients!$A:$A, 0)), "")</f>
        <v/>
      </c>
      <c r="E666" s="1" t="str">
        <f>IF(OR(D666="",D666=0),"",D666-SUMIFS('Lessons Log'!$E:$E,'Lessons Log'!$C:$C,A666,'Lessons Log'!$D:$D,"*Package*"))</f>
        <v/>
      </c>
      <c r="F666" s="6" t="str">
        <f>IFERROR(INDEX([1]Clients!F:F, MATCH(A666, [1]Clients!A:A, 0)), "")</f>
        <v/>
      </c>
    </row>
    <row r="667" spans="2:6" x14ac:dyDescent="0.45">
      <c r="B667" s="5" t="str">
        <f>IFERROR(INDEX([1]Clients!$D:$D, MATCH(A667, [1]Clients!$A:$A, 0)), "")</f>
        <v/>
      </c>
      <c r="E667" s="1" t="str">
        <f>IF(OR(D667="",D667=0),"",D667-SUMIFS('Lessons Log'!$E:$E,'Lessons Log'!$C:$C,A667,'Lessons Log'!$D:$D,"*Package*"))</f>
        <v/>
      </c>
      <c r="F667" s="6" t="str">
        <f>IFERROR(INDEX([1]Clients!F:F, MATCH(A667, [1]Clients!A:A, 0)), "")</f>
        <v/>
      </c>
    </row>
    <row r="668" spans="2:6" x14ac:dyDescent="0.45">
      <c r="B668" s="5" t="str">
        <f>IFERROR(INDEX([1]Clients!$D:$D, MATCH(A668, [1]Clients!$A:$A, 0)), "")</f>
        <v/>
      </c>
      <c r="E668" s="1" t="str">
        <f>IF(OR(D668="",D668=0),"",D668-SUMIFS('Lessons Log'!$E:$E,'Lessons Log'!$C:$C,A668,'Lessons Log'!$D:$D,"*Package*"))</f>
        <v/>
      </c>
      <c r="F668" s="6" t="str">
        <f>IFERROR(INDEX([1]Clients!F:F, MATCH(A668, [1]Clients!A:A, 0)), "")</f>
        <v/>
      </c>
    </row>
    <row r="669" spans="2:6" x14ac:dyDescent="0.45">
      <c r="B669" s="5" t="str">
        <f>IFERROR(INDEX([1]Clients!$D:$D, MATCH(A669, [1]Clients!$A:$A, 0)), "")</f>
        <v/>
      </c>
      <c r="E669" s="1" t="str">
        <f>IF(OR(D669="",D669=0),"",D669-SUMIFS('Lessons Log'!$E:$E,'Lessons Log'!$C:$C,A669,'Lessons Log'!$D:$D,"*Package*"))</f>
        <v/>
      </c>
      <c r="F669" s="6" t="str">
        <f>IFERROR(INDEX([1]Clients!F:F, MATCH(A669, [1]Clients!A:A, 0)), "")</f>
        <v/>
      </c>
    </row>
    <row r="670" spans="2:6" x14ac:dyDescent="0.45">
      <c r="B670" s="5" t="str">
        <f>IFERROR(INDEX([1]Clients!$D:$D, MATCH(A670, [1]Clients!$A:$A, 0)), "")</f>
        <v/>
      </c>
      <c r="E670" s="1" t="str">
        <f>IF(OR(D670="",D670=0),"",D670-SUMIFS('Lessons Log'!$E:$E,'Lessons Log'!$C:$C,A670,'Lessons Log'!$D:$D,"*Package*"))</f>
        <v/>
      </c>
      <c r="F670" s="6" t="str">
        <f>IFERROR(INDEX([1]Clients!F:F, MATCH(A670, [1]Clients!A:A, 0)), "")</f>
        <v/>
      </c>
    </row>
    <row r="671" spans="2:6" x14ac:dyDescent="0.45">
      <c r="B671" s="5" t="str">
        <f>IFERROR(INDEX([1]Clients!$D:$D, MATCH(A671, [1]Clients!$A:$A, 0)), "")</f>
        <v/>
      </c>
      <c r="E671" s="1" t="str">
        <f>IF(OR(D671="",D671=0),"",D671-SUMIFS('Lessons Log'!$E:$E,'Lessons Log'!$C:$C,A671,'Lessons Log'!$D:$D,"*Package*"))</f>
        <v/>
      </c>
      <c r="F671" s="6" t="str">
        <f>IFERROR(INDEX([1]Clients!F:F, MATCH(A671, [1]Clients!A:A, 0)), "")</f>
        <v/>
      </c>
    </row>
    <row r="672" spans="2:6" x14ac:dyDescent="0.45">
      <c r="B672" s="5" t="str">
        <f>IFERROR(INDEX([1]Clients!$D:$D, MATCH(A672, [1]Clients!$A:$A, 0)), "")</f>
        <v/>
      </c>
      <c r="E672" s="1" t="str">
        <f>IF(OR(D672="",D672=0),"",D672-SUMIFS('Lessons Log'!$E:$E,'Lessons Log'!$C:$C,A672,'Lessons Log'!$D:$D,"*Package*"))</f>
        <v/>
      </c>
      <c r="F672" s="6" t="str">
        <f>IFERROR(INDEX([1]Clients!F:F, MATCH(A672, [1]Clients!A:A, 0)), "")</f>
        <v/>
      </c>
    </row>
    <row r="673" spans="2:6" x14ac:dyDescent="0.45">
      <c r="B673" s="5" t="str">
        <f>IFERROR(INDEX([1]Clients!$D:$D, MATCH(A673, [1]Clients!$A:$A, 0)), "")</f>
        <v/>
      </c>
      <c r="E673" s="1" t="str">
        <f>IF(OR(D673="",D673=0),"",D673-SUMIFS('Lessons Log'!$E:$E,'Lessons Log'!$C:$C,A673,'Lessons Log'!$D:$D,"*Package*"))</f>
        <v/>
      </c>
      <c r="F673" s="6" t="str">
        <f>IFERROR(INDEX([1]Clients!F:F, MATCH(A673, [1]Clients!A:A, 0)), "")</f>
        <v/>
      </c>
    </row>
    <row r="674" spans="2:6" x14ac:dyDescent="0.45">
      <c r="B674" s="5" t="str">
        <f>IFERROR(INDEX([1]Clients!$D:$D, MATCH(A674, [1]Clients!$A:$A, 0)), "")</f>
        <v/>
      </c>
      <c r="E674" s="1" t="str">
        <f>IF(OR(D674="",D674=0),"",D674-SUMIFS('Lessons Log'!$E:$E,'Lessons Log'!$C:$C,A674,'Lessons Log'!$D:$D,"*Package*"))</f>
        <v/>
      </c>
      <c r="F674" s="6" t="str">
        <f>IFERROR(INDEX([1]Clients!F:F, MATCH(A674, [1]Clients!A:A, 0)), "")</f>
        <v/>
      </c>
    </row>
    <row r="675" spans="2:6" x14ac:dyDescent="0.45">
      <c r="B675" s="5" t="str">
        <f>IFERROR(INDEX([1]Clients!$D:$D, MATCH(A675, [1]Clients!$A:$A, 0)), "")</f>
        <v/>
      </c>
      <c r="E675" s="1" t="str">
        <f>IF(OR(D675="",D675=0),"",D675-SUMIFS('Lessons Log'!$E:$E,'Lessons Log'!$C:$C,A675,'Lessons Log'!$D:$D,"*Package*"))</f>
        <v/>
      </c>
      <c r="F675" s="6" t="str">
        <f>IFERROR(INDEX([1]Clients!F:F, MATCH(A675, [1]Clients!A:A, 0)), "")</f>
        <v/>
      </c>
    </row>
    <row r="676" spans="2:6" x14ac:dyDescent="0.45">
      <c r="B676" s="5" t="str">
        <f>IFERROR(INDEX([1]Clients!$D:$D, MATCH(A676, [1]Clients!$A:$A, 0)), "")</f>
        <v/>
      </c>
      <c r="E676" s="1" t="str">
        <f>IF(OR(D676="",D676=0),"",D676-SUMIFS('Lessons Log'!$E:$E,'Lessons Log'!$C:$C,A676,'Lessons Log'!$D:$D,"*Package*"))</f>
        <v/>
      </c>
      <c r="F676" s="6" t="str">
        <f>IFERROR(INDEX([1]Clients!F:F, MATCH(A676, [1]Clients!A:A, 0)), "")</f>
        <v/>
      </c>
    </row>
    <row r="677" spans="2:6" x14ac:dyDescent="0.45">
      <c r="B677" s="5" t="str">
        <f>IFERROR(INDEX([1]Clients!$D:$D, MATCH(A677, [1]Clients!$A:$A, 0)), "")</f>
        <v/>
      </c>
      <c r="E677" s="1" t="str">
        <f>IF(OR(D677="",D677=0),"",D677-SUMIFS('Lessons Log'!$E:$E,'Lessons Log'!$C:$C,A677,'Lessons Log'!$D:$D,"*Package*"))</f>
        <v/>
      </c>
      <c r="F677" s="6" t="str">
        <f>IFERROR(INDEX([1]Clients!F:F, MATCH(A677, [1]Clients!A:A, 0)), "")</f>
        <v/>
      </c>
    </row>
    <row r="678" spans="2:6" x14ac:dyDescent="0.45">
      <c r="B678" s="5" t="str">
        <f>IFERROR(INDEX([1]Clients!$D:$D, MATCH(A678, [1]Clients!$A:$A, 0)), "")</f>
        <v/>
      </c>
      <c r="E678" s="1" t="str">
        <f>IF(OR(D678="",D678=0),"",D678-SUMIFS('Lessons Log'!$E:$E,'Lessons Log'!$C:$C,A678,'Lessons Log'!$D:$D,"*Package*"))</f>
        <v/>
      </c>
      <c r="F678" s="6" t="str">
        <f>IFERROR(INDEX([1]Clients!F:F, MATCH(A678, [1]Clients!A:A, 0)), "")</f>
        <v/>
      </c>
    </row>
    <row r="679" spans="2:6" x14ac:dyDescent="0.45">
      <c r="B679" s="5" t="str">
        <f>IFERROR(INDEX([1]Clients!$D:$D, MATCH(A679, [1]Clients!$A:$A, 0)), "")</f>
        <v/>
      </c>
      <c r="E679" s="1" t="str">
        <f>IF(OR(D679="",D679=0),"",D679-SUMIFS('Lessons Log'!$E:$E,'Lessons Log'!$C:$C,A679,'Lessons Log'!$D:$D,"*Package*"))</f>
        <v/>
      </c>
      <c r="F679" s="6" t="str">
        <f>IFERROR(INDEX([1]Clients!F:F, MATCH(A679, [1]Clients!A:A, 0)), "")</f>
        <v/>
      </c>
    </row>
    <row r="680" spans="2:6" x14ac:dyDescent="0.45">
      <c r="B680" s="5" t="str">
        <f>IFERROR(INDEX([1]Clients!$D:$D, MATCH(A680, [1]Clients!$A:$A, 0)), "")</f>
        <v/>
      </c>
      <c r="E680" s="1" t="str">
        <f>IF(OR(D680="",D680=0),"",D680-SUMIFS('Lessons Log'!$E:$E,'Lessons Log'!$C:$C,A680,'Lessons Log'!$D:$D,"*Package*"))</f>
        <v/>
      </c>
      <c r="F680" s="6" t="str">
        <f>IFERROR(INDEX([1]Clients!F:F, MATCH(A680, [1]Clients!A:A, 0)), "")</f>
        <v/>
      </c>
    </row>
    <row r="681" spans="2:6" x14ac:dyDescent="0.45">
      <c r="B681" s="5" t="str">
        <f>IFERROR(INDEX([1]Clients!$D:$D, MATCH(A681, [1]Clients!$A:$A, 0)), "")</f>
        <v/>
      </c>
      <c r="E681" s="1" t="str">
        <f>IF(OR(D681="",D681=0),"",D681-SUMIFS('Lessons Log'!$E:$E,'Lessons Log'!$C:$C,A681,'Lessons Log'!$D:$D,"*Package*"))</f>
        <v/>
      </c>
      <c r="F681" s="6" t="str">
        <f>IFERROR(INDEX([1]Clients!F:F, MATCH(A681, [1]Clients!A:A, 0)), "")</f>
        <v/>
      </c>
    </row>
    <row r="682" spans="2:6" x14ac:dyDescent="0.45">
      <c r="B682" s="5" t="str">
        <f>IFERROR(INDEX([1]Clients!$D:$D, MATCH(A682, [1]Clients!$A:$A, 0)), "")</f>
        <v/>
      </c>
      <c r="E682" s="1" t="str">
        <f>IF(OR(D682="",D682=0),"",D682-SUMIFS('Lessons Log'!$E:$E,'Lessons Log'!$C:$C,A682,'Lessons Log'!$D:$D,"*Package*"))</f>
        <v/>
      </c>
      <c r="F682" s="6" t="str">
        <f>IFERROR(INDEX([1]Clients!F:F, MATCH(A682, [1]Clients!A:A, 0)), "")</f>
        <v/>
      </c>
    </row>
    <row r="683" spans="2:6" x14ac:dyDescent="0.45">
      <c r="B683" s="5" t="str">
        <f>IFERROR(INDEX([1]Clients!$D:$D, MATCH(A683, [1]Clients!$A:$A, 0)), "")</f>
        <v/>
      </c>
      <c r="E683" s="1" t="str">
        <f>IF(OR(D683="",D683=0),"",D683-SUMIFS('Lessons Log'!$E:$E,'Lessons Log'!$C:$C,A683,'Lessons Log'!$D:$D,"*Package*"))</f>
        <v/>
      </c>
      <c r="F683" s="6" t="str">
        <f>IFERROR(INDEX([1]Clients!F:F, MATCH(A683, [1]Clients!A:A, 0)), "")</f>
        <v/>
      </c>
    </row>
    <row r="684" spans="2:6" x14ac:dyDescent="0.45">
      <c r="B684" s="5" t="str">
        <f>IFERROR(INDEX([1]Clients!$D:$D, MATCH(A684, [1]Clients!$A:$A, 0)), "")</f>
        <v/>
      </c>
      <c r="E684" s="1" t="str">
        <f>IF(OR(D684="",D684=0),"",D684-SUMIFS('Lessons Log'!$E:$E,'Lessons Log'!$C:$C,A684,'Lessons Log'!$D:$D,"*Package*"))</f>
        <v/>
      </c>
      <c r="F684" s="6" t="str">
        <f>IFERROR(INDEX([1]Clients!F:F, MATCH(A684, [1]Clients!A:A, 0)), "")</f>
        <v/>
      </c>
    </row>
    <row r="685" spans="2:6" x14ac:dyDescent="0.45">
      <c r="B685" s="5" t="str">
        <f>IFERROR(INDEX([1]Clients!$D:$D, MATCH(A685, [1]Clients!$A:$A, 0)), "")</f>
        <v/>
      </c>
      <c r="E685" s="1" t="str">
        <f>IF(OR(D685="",D685=0),"",D685-SUMIFS('Lessons Log'!$E:$E,'Lessons Log'!$C:$C,A685,'Lessons Log'!$D:$D,"*Package*"))</f>
        <v/>
      </c>
      <c r="F685" s="6" t="str">
        <f>IFERROR(INDEX([1]Clients!F:F, MATCH(A685, [1]Clients!A:A, 0)), "")</f>
        <v/>
      </c>
    </row>
    <row r="686" spans="2:6" x14ac:dyDescent="0.45">
      <c r="B686" s="5" t="str">
        <f>IFERROR(INDEX([1]Clients!$D:$D, MATCH(A686, [1]Clients!$A:$A, 0)), "")</f>
        <v/>
      </c>
      <c r="E686" s="1" t="str">
        <f>IF(OR(D686="",D686=0),"",D686-SUMIFS('Lessons Log'!$E:$E,'Lessons Log'!$C:$C,A686,'Lessons Log'!$D:$D,"*Package*"))</f>
        <v/>
      </c>
      <c r="F686" s="6" t="str">
        <f>IFERROR(INDEX([1]Clients!F:F, MATCH(A686, [1]Clients!A:A, 0)), "")</f>
        <v/>
      </c>
    </row>
    <row r="687" spans="2:6" x14ac:dyDescent="0.45">
      <c r="B687" s="5" t="str">
        <f>IFERROR(INDEX([1]Clients!$D:$D, MATCH(A687, [1]Clients!$A:$A, 0)), "")</f>
        <v/>
      </c>
      <c r="E687" s="1" t="str">
        <f>IF(OR(D687="",D687=0),"",D687-SUMIFS('Lessons Log'!$E:$E,'Lessons Log'!$C:$C,A687,'Lessons Log'!$D:$D,"*Package*"))</f>
        <v/>
      </c>
      <c r="F687" s="6" t="str">
        <f>IFERROR(INDEX([1]Clients!F:F, MATCH(A687, [1]Clients!A:A, 0)), "")</f>
        <v/>
      </c>
    </row>
    <row r="688" spans="2:6" x14ac:dyDescent="0.45">
      <c r="B688" s="5" t="str">
        <f>IFERROR(INDEX([1]Clients!$D:$D, MATCH(A688, [1]Clients!$A:$A, 0)), "")</f>
        <v/>
      </c>
      <c r="E688" s="1" t="str">
        <f>IF(OR(D688="",D688=0),"",D688-SUMIFS('Lessons Log'!$E:$E,'Lessons Log'!$C:$C,A688,'Lessons Log'!$D:$D,"*Package*"))</f>
        <v/>
      </c>
      <c r="F688" s="6" t="str">
        <f>IFERROR(INDEX([1]Clients!F:F, MATCH(A688, [1]Clients!A:A, 0)), "")</f>
        <v/>
      </c>
    </row>
    <row r="689" spans="2:6" x14ac:dyDescent="0.45">
      <c r="B689" s="5" t="str">
        <f>IFERROR(INDEX([1]Clients!$D:$D, MATCH(A689, [1]Clients!$A:$A, 0)), "")</f>
        <v/>
      </c>
      <c r="E689" s="1" t="str">
        <f>IF(OR(D689="",D689=0),"",D689-SUMIFS('Lessons Log'!$E:$E,'Lessons Log'!$C:$C,A689,'Lessons Log'!$D:$D,"*Package*"))</f>
        <v/>
      </c>
      <c r="F689" s="6" t="str">
        <f>IFERROR(INDEX([1]Clients!F:F, MATCH(A689, [1]Clients!A:A, 0)), "")</f>
        <v/>
      </c>
    </row>
    <row r="690" spans="2:6" x14ac:dyDescent="0.45">
      <c r="B690" s="5" t="str">
        <f>IFERROR(INDEX([1]Clients!$D:$D, MATCH(A690, [1]Clients!$A:$A, 0)), "")</f>
        <v/>
      </c>
      <c r="E690" s="1" t="str">
        <f>IF(OR(D690="",D690=0),"",D690-SUMIFS('Lessons Log'!$E:$E,'Lessons Log'!$C:$C,A690,'Lessons Log'!$D:$D,"*Package*"))</f>
        <v/>
      </c>
      <c r="F690" s="6" t="str">
        <f>IFERROR(INDEX([1]Clients!F:F, MATCH(A690, [1]Clients!A:A, 0)), "")</f>
        <v/>
      </c>
    </row>
    <row r="691" spans="2:6" x14ac:dyDescent="0.45">
      <c r="B691" s="5" t="str">
        <f>IFERROR(INDEX([1]Clients!$D:$D, MATCH(A691, [1]Clients!$A:$A, 0)), "")</f>
        <v/>
      </c>
      <c r="E691" s="1" t="str">
        <f>IF(OR(D691="",D691=0),"",D691-SUMIFS('Lessons Log'!$E:$E,'Lessons Log'!$C:$C,A691,'Lessons Log'!$D:$D,"*Package*"))</f>
        <v/>
      </c>
      <c r="F691" s="6" t="str">
        <f>IFERROR(INDEX([1]Clients!F:F, MATCH(A691, [1]Clients!A:A, 0)), "")</f>
        <v/>
      </c>
    </row>
    <row r="692" spans="2:6" x14ac:dyDescent="0.45">
      <c r="B692" s="5" t="str">
        <f>IFERROR(INDEX([1]Clients!$D:$D, MATCH(A692, [1]Clients!$A:$A, 0)), "")</f>
        <v/>
      </c>
      <c r="E692" s="1" t="str">
        <f>IF(OR(D692="",D692=0),"",D692-SUMIFS('Lessons Log'!$E:$E,'Lessons Log'!$C:$C,A692,'Lessons Log'!$D:$D,"*Package*"))</f>
        <v/>
      </c>
      <c r="F692" s="6" t="str">
        <f>IFERROR(INDEX([1]Clients!F:F, MATCH(A692, [1]Clients!A:A, 0)), "")</f>
        <v/>
      </c>
    </row>
    <row r="693" spans="2:6" x14ac:dyDescent="0.45">
      <c r="B693" s="5" t="str">
        <f>IFERROR(INDEX([1]Clients!$D:$D, MATCH(A693, [1]Clients!$A:$A, 0)), "")</f>
        <v/>
      </c>
      <c r="E693" s="1" t="str">
        <f>IF(OR(D693="",D693=0),"",D693-SUMIFS('Lessons Log'!$E:$E,'Lessons Log'!$C:$C,A693,'Lessons Log'!$D:$D,"*Package*"))</f>
        <v/>
      </c>
      <c r="F693" s="6" t="str">
        <f>IFERROR(INDEX([1]Clients!F:F, MATCH(A693, [1]Clients!A:A, 0)), "")</f>
        <v/>
      </c>
    </row>
    <row r="694" spans="2:6" x14ac:dyDescent="0.45">
      <c r="B694" s="5" t="str">
        <f>IFERROR(INDEX([1]Clients!$D:$D, MATCH(A694, [1]Clients!$A:$A, 0)), "")</f>
        <v/>
      </c>
      <c r="E694" s="1" t="str">
        <f>IF(OR(D694="",D694=0),"",D694-SUMIFS('Lessons Log'!$E:$E,'Lessons Log'!$C:$C,A694,'Lessons Log'!$D:$D,"*Package*"))</f>
        <v/>
      </c>
      <c r="F694" s="6" t="str">
        <f>IFERROR(INDEX([1]Clients!F:F, MATCH(A694, [1]Clients!A:A, 0)), "")</f>
        <v/>
      </c>
    </row>
    <row r="695" spans="2:6" x14ac:dyDescent="0.45">
      <c r="B695" s="5" t="str">
        <f>IFERROR(INDEX([1]Clients!$D:$D, MATCH(A695, [1]Clients!$A:$A, 0)), "")</f>
        <v/>
      </c>
      <c r="E695" s="1" t="str">
        <f>IF(OR(D695="",D695=0),"",D695-SUMIFS('Lessons Log'!$E:$E,'Lessons Log'!$C:$C,A695,'Lessons Log'!$D:$D,"*Package*"))</f>
        <v/>
      </c>
      <c r="F695" s="6" t="str">
        <f>IFERROR(INDEX([1]Clients!F:F, MATCH(A695, [1]Clients!A:A, 0)), "")</f>
        <v/>
      </c>
    </row>
    <row r="696" spans="2:6" x14ac:dyDescent="0.45">
      <c r="B696" s="5" t="str">
        <f>IFERROR(INDEX([1]Clients!$D:$D, MATCH(A696, [1]Clients!$A:$A, 0)), "")</f>
        <v/>
      </c>
      <c r="E696" s="1" t="str">
        <f>IF(OR(D696="",D696=0),"",D696-SUMIFS('Lessons Log'!$E:$E,'Lessons Log'!$C:$C,A696,'Lessons Log'!$D:$D,"*Package*"))</f>
        <v/>
      </c>
      <c r="F696" s="6" t="str">
        <f>IFERROR(INDEX([1]Clients!F:F, MATCH(A696, [1]Clients!A:A, 0)), "")</f>
        <v/>
      </c>
    </row>
    <row r="697" spans="2:6" x14ac:dyDescent="0.45">
      <c r="B697" s="5" t="str">
        <f>IFERROR(INDEX([1]Clients!$D:$D, MATCH(A697, [1]Clients!$A:$A, 0)), "")</f>
        <v/>
      </c>
      <c r="E697" s="1" t="str">
        <f>IF(OR(D697="",D697=0),"",D697-SUMIFS('Lessons Log'!$E:$E,'Lessons Log'!$C:$C,A697,'Lessons Log'!$D:$D,"*Package*"))</f>
        <v/>
      </c>
      <c r="F697" s="6" t="str">
        <f>IFERROR(INDEX([1]Clients!F:F, MATCH(A697, [1]Clients!A:A, 0)), "")</f>
        <v/>
      </c>
    </row>
    <row r="698" spans="2:6" x14ac:dyDescent="0.45">
      <c r="B698" s="5" t="str">
        <f>IFERROR(INDEX([1]Clients!$D:$D, MATCH(A698, [1]Clients!$A:$A, 0)), "")</f>
        <v/>
      </c>
      <c r="E698" s="1" t="str">
        <f>IF(OR(D698="",D698=0),"",D698-SUMIFS('Lessons Log'!$E:$E,'Lessons Log'!$C:$C,A698,'Lessons Log'!$D:$D,"*Package*"))</f>
        <v/>
      </c>
      <c r="F698" s="6" t="str">
        <f>IFERROR(INDEX([1]Clients!F:F, MATCH(A698, [1]Clients!A:A, 0)), "")</f>
        <v/>
      </c>
    </row>
    <row r="699" spans="2:6" x14ac:dyDescent="0.45">
      <c r="B699" s="5" t="str">
        <f>IFERROR(INDEX([1]Clients!$D:$D, MATCH(A699, [1]Clients!$A:$A, 0)), "")</f>
        <v/>
      </c>
      <c r="E699" s="1" t="str">
        <f>IF(OR(D699="",D699=0),"",D699-SUMIFS('Lessons Log'!$E:$E,'Lessons Log'!$C:$C,A699,'Lessons Log'!$D:$D,"*Package*"))</f>
        <v/>
      </c>
      <c r="F699" s="6" t="str">
        <f>IFERROR(INDEX([1]Clients!F:F, MATCH(A699, [1]Clients!A:A, 0)), "")</f>
        <v/>
      </c>
    </row>
    <row r="700" spans="2:6" x14ac:dyDescent="0.45">
      <c r="B700" s="5" t="str">
        <f>IFERROR(INDEX([1]Clients!$D:$D, MATCH(A700, [1]Clients!$A:$A, 0)), "")</f>
        <v/>
      </c>
      <c r="E700" s="1" t="str">
        <f>IF(OR(D700="",D700=0),"",D700-SUMIFS('Lessons Log'!$E:$E,'Lessons Log'!$C:$C,A700,'Lessons Log'!$D:$D,"*Package*"))</f>
        <v/>
      </c>
      <c r="F700" s="6" t="str">
        <f>IFERROR(INDEX([1]Clients!F:F, MATCH(A700, [1]Clients!A:A, 0)), "")</f>
        <v/>
      </c>
    </row>
    <row r="701" spans="2:6" x14ac:dyDescent="0.45">
      <c r="B701" s="5" t="str">
        <f>IFERROR(INDEX([1]Clients!$D:$D, MATCH(A701, [1]Clients!$A:$A, 0)), "")</f>
        <v/>
      </c>
      <c r="E701" s="1" t="str">
        <f>IF(OR(D701="",D701=0),"",D701-SUMIFS('Lessons Log'!$E:$E,'Lessons Log'!$C:$C,A701,'Lessons Log'!$D:$D,"*Package*"))</f>
        <v/>
      </c>
      <c r="F701" s="6" t="str">
        <f>IFERROR(INDEX([1]Clients!F:F, MATCH(A701, [1]Clients!A:A, 0)), "")</f>
        <v/>
      </c>
    </row>
    <row r="702" spans="2:6" x14ac:dyDescent="0.45">
      <c r="B702" s="5" t="str">
        <f>IFERROR(INDEX([1]Clients!$D:$D, MATCH(A702, [1]Clients!$A:$A, 0)), "")</f>
        <v/>
      </c>
      <c r="E702" s="1" t="str">
        <f>IF(OR(D702="",D702=0),"",D702-SUMIFS('Lessons Log'!$E:$E,'Lessons Log'!$C:$C,A702,'Lessons Log'!$D:$D,"*Package*"))</f>
        <v/>
      </c>
      <c r="F702" s="6" t="str">
        <f>IFERROR(INDEX([1]Clients!F:F, MATCH(A702, [1]Clients!A:A, 0)), "")</f>
        <v/>
      </c>
    </row>
    <row r="703" spans="2:6" x14ac:dyDescent="0.45">
      <c r="B703" s="5" t="str">
        <f>IFERROR(INDEX([1]Clients!$D:$D, MATCH(A703, [1]Clients!$A:$A, 0)), "")</f>
        <v/>
      </c>
      <c r="E703" s="1" t="str">
        <f>IF(OR(D703="",D703=0),"",D703-SUMIFS('Lessons Log'!$E:$E,'Lessons Log'!$C:$C,A703,'Lessons Log'!$D:$D,"*Package*"))</f>
        <v/>
      </c>
      <c r="F703" s="6" t="str">
        <f>IFERROR(INDEX([1]Clients!F:F, MATCH(A703, [1]Clients!A:A, 0)), "")</f>
        <v/>
      </c>
    </row>
    <row r="704" spans="2:6" x14ac:dyDescent="0.45">
      <c r="B704" s="5" t="str">
        <f>IFERROR(INDEX([1]Clients!$D:$D, MATCH(A704, [1]Clients!$A:$A, 0)), "")</f>
        <v/>
      </c>
      <c r="E704" s="1" t="str">
        <f>IF(OR(D704="",D704=0),"",D704-SUMIFS('Lessons Log'!$E:$E,'Lessons Log'!$C:$C,A704,'Lessons Log'!$D:$D,"*Package*"))</f>
        <v/>
      </c>
      <c r="F704" s="6" t="str">
        <f>IFERROR(INDEX([1]Clients!F:F, MATCH(A704, [1]Clients!A:A, 0)), "")</f>
        <v/>
      </c>
    </row>
    <row r="705" spans="2:6" x14ac:dyDescent="0.45">
      <c r="B705" s="5" t="str">
        <f>IFERROR(INDEX([1]Clients!$D:$D, MATCH(A705, [1]Clients!$A:$A, 0)), "")</f>
        <v/>
      </c>
      <c r="E705" s="1" t="str">
        <f>IF(OR(D705="",D705=0),"",D705-SUMIFS('Lessons Log'!$E:$E,'Lessons Log'!$C:$C,A705,'Lessons Log'!$D:$D,"*Package*"))</f>
        <v/>
      </c>
      <c r="F705" s="6" t="str">
        <f>IFERROR(INDEX([1]Clients!F:F, MATCH(A705, [1]Clients!A:A, 0)), "")</f>
        <v/>
      </c>
    </row>
    <row r="706" spans="2:6" x14ac:dyDescent="0.45">
      <c r="B706" s="5" t="str">
        <f>IFERROR(INDEX([1]Clients!$D:$D, MATCH(A706, [1]Clients!$A:$A, 0)), "")</f>
        <v/>
      </c>
      <c r="E706" s="1" t="str">
        <f>IF(OR(D706="",D706=0),"",D706-SUMIFS('Lessons Log'!$E:$E,'Lessons Log'!$C:$C,A706,'Lessons Log'!$D:$D,"*Package*"))</f>
        <v/>
      </c>
      <c r="F706" s="6" t="str">
        <f>IFERROR(INDEX([1]Clients!F:F, MATCH(A706, [1]Clients!A:A, 0)), "")</f>
        <v/>
      </c>
    </row>
    <row r="707" spans="2:6" x14ac:dyDescent="0.45">
      <c r="B707" s="5" t="str">
        <f>IFERROR(INDEX([1]Clients!$D:$D, MATCH(A707, [1]Clients!$A:$A, 0)), "")</f>
        <v/>
      </c>
      <c r="E707" s="1" t="str">
        <f>IF(OR(D707="",D707=0),"",D707-SUMIFS('Lessons Log'!$E:$E,'Lessons Log'!$C:$C,A707,'Lessons Log'!$D:$D,"*Package*"))</f>
        <v/>
      </c>
      <c r="F707" s="6" t="str">
        <f>IFERROR(INDEX([1]Clients!F:F, MATCH(A707, [1]Clients!A:A, 0)), "")</f>
        <v/>
      </c>
    </row>
    <row r="708" spans="2:6" x14ac:dyDescent="0.45">
      <c r="B708" s="5" t="str">
        <f>IFERROR(INDEX([1]Clients!$D:$D, MATCH(A708, [1]Clients!$A:$A, 0)), "")</f>
        <v/>
      </c>
      <c r="E708" s="1" t="str">
        <f>IF(OR(D708="",D708=0),"",D708-SUMIFS('Lessons Log'!$E:$E,'Lessons Log'!$C:$C,A708,'Lessons Log'!$D:$D,"*Package*"))</f>
        <v/>
      </c>
      <c r="F708" s="6" t="str">
        <f>IFERROR(INDEX([1]Clients!F:F, MATCH(A708, [1]Clients!A:A, 0)), "")</f>
        <v/>
      </c>
    </row>
    <row r="709" spans="2:6" x14ac:dyDescent="0.45">
      <c r="B709" s="5" t="str">
        <f>IFERROR(INDEX([1]Clients!$D:$D, MATCH(A709, [1]Clients!$A:$A, 0)), "")</f>
        <v/>
      </c>
      <c r="E709" s="1" t="str">
        <f>IF(OR(D709="",D709=0),"",D709-SUMIFS('Lessons Log'!$E:$E,'Lessons Log'!$C:$C,A709,'Lessons Log'!$D:$D,"*Package*"))</f>
        <v/>
      </c>
      <c r="F709" s="6" t="str">
        <f>IFERROR(INDEX([1]Clients!F:F, MATCH(A709, [1]Clients!A:A, 0)), "")</f>
        <v/>
      </c>
    </row>
    <row r="710" spans="2:6" x14ac:dyDescent="0.45">
      <c r="B710" s="5" t="str">
        <f>IFERROR(INDEX([1]Clients!$D:$D, MATCH(A710, [1]Clients!$A:$A, 0)), "")</f>
        <v/>
      </c>
      <c r="E710" s="1" t="str">
        <f>IF(OR(D710="",D710=0),"",D710-SUMIFS('Lessons Log'!$E:$E,'Lessons Log'!$C:$C,A710,'Lessons Log'!$D:$D,"*Package*"))</f>
        <v/>
      </c>
      <c r="F710" s="6" t="str">
        <f>IFERROR(INDEX([1]Clients!F:F, MATCH(A710, [1]Clients!A:A, 0)), "")</f>
        <v/>
      </c>
    </row>
    <row r="711" spans="2:6" x14ac:dyDescent="0.45">
      <c r="B711" s="5" t="str">
        <f>IFERROR(INDEX([1]Clients!$D:$D, MATCH(A711, [1]Clients!$A:$A, 0)), "")</f>
        <v/>
      </c>
      <c r="E711" s="1" t="str">
        <f>IF(OR(D711="",D711=0),"",D711-SUMIFS('Lessons Log'!$E:$E,'Lessons Log'!$C:$C,A711,'Lessons Log'!$D:$D,"*Package*"))</f>
        <v/>
      </c>
      <c r="F711" s="6" t="str">
        <f>IFERROR(INDEX([1]Clients!F:F, MATCH(A711, [1]Clients!A:A, 0)), "")</f>
        <v/>
      </c>
    </row>
    <row r="712" spans="2:6" x14ac:dyDescent="0.45">
      <c r="B712" s="5" t="str">
        <f>IFERROR(INDEX([1]Clients!$D:$D, MATCH(A712, [1]Clients!$A:$A, 0)), "")</f>
        <v/>
      </c>
      <c r="E712" s="1" t="str">
        <f>IF(OR(D712="",D712=0),"",D712-SUMIFS('Lessons Log'!$E:$E,'Lessons Log'!$C:$C,A712,'Lessons Log'!$D:$D,"*Package*"))</f>
        <v/>
      </c>
      <c r="F712" s="6" t="str">
        <f>IFERROR(INDEX([1]Clients!F:F, MATCH(A712, [1]Clients!A:A, 0)), "")</f>
        <v/>
      </c>
    </row>
    <row r="713" spans="2:6" x14ac:dyDescent="0.45">
      <c r="B713" s="5" t="str">
        <f>IFERROR(INDEX([1]Clients!$D:$D, MATCH(A713, [1]Clients!$A:$A, 0)), "")</f>
        <v/>
      </c>
      <c r="E713" s="1" t="str">
        <f>IF(OR(D713="",D713=0),"",D713-SUMIFS('Lessons Log'!$E:$E,'Lessons Log'!$C:$C,A713,'Lessons Log'!$D:$D,"*Package*"))</f>
        <v/>
      </c>
      <c r="F713" s="6" t="str">
        <f>IFERROR(INDEX([1]Clients!F:F, MATCH(A713, [1]Clients!A:A, 0)), "")</f>
        <v/>
      </c>
    </row>
    <row r="714" spans="2:6" x14ac:dyDescent="0.45">
      <c r="B714" s="5" t="str">
        <f>IFERROR(INDEX([1]Clients!$D:$D, MATCH(A714, [1]Clients!$A:$A, 0)), "")</f>
        <v/>
      </c>
      <c r="E714" s="1" t="str">
        <f>IF(OR(D714="",D714=0),"",D714-SUMIFS('Lessons Log'!$E:$E,'Lessons Log'!$C:$C,A714,'Lessons Log'!$D:$D,"*Package*"))</f>
        <v/>
      </c>
      <c r="F714" s="6" t="str">
        <f>IFERROR(INDEX([1]Clients!F:F, MATCH(A714, [1]Clients!A:A, 0)), "")</f>
        <v/>
      </c>
    </row>
    <row r="715" spans="2:6" x14ac:dyDescent="0.45">
      <c r="B715" s="5" t="str">
        <f>IFERROR(INDEX([1]Clients!$D:$D, MATCH(A715, [1]Clients!$A:$A, 0)), "")</f>
        <v/>
      </c>
      <c r="E715" s="1" t="str">
        <f>IF(OR(D715="",D715=0),"",D715-SUMIFS('Lessons Log'!$E:$E,'Lessons Log'!$C:$C,A715,'Lessons Log'!$D:$D,"*Package*"))</f>
        <v/>
      </c>
      <c r="F715" s="6" t="str">
        <f>IFERROR(INDEX([1]Clients!F:F, MATCH(A715, [1]Clients!A:A, 0)), "")</f>
        <v/>
      </c>
    </row>
    <row r="716" spans="2:6" x14ac:dyDescent="0.45">
      <c r="B716" s="5" t="str">
        <f>IFERROR(INDEX([1]Clients!$D:$D, MATCH(A716, [1]Clients!$A:$A, 0)), "")</f>
        <v/>
      </c>
      <c r="E716" s="1" t="str">
        <f>IF(OR(D716="",D716=0),"",D716-SUMIFS('Lessons Log'!$E:$E,'Lessons Log'!$C:$C,A716,'Lessons Log'!$D:$D,"*Package*"))</f>
        <v/>
      </c>
      <c r="F716" s="6" t="str">
        <f>IFERROR(INDEX([1]Clients!F:F, MATCH(A716, [1]Clients!A:A, 0)), "")</f>
        <v/>
      </c>
    </row>
    <row r="717" spans="2:6" x14ac:dyDescent="0.45">
      <c r="B717" s="5" t="str">
        <f>IFERROR(INDEX([1]Clients!$D:$D, MATCH(A717, [1]Clients!$A:$A, 0)), "")</f>
        <v/>
      </c>
      <c r="E717" s="1" t="str">
        <f>IF(OR(D717="",D717=0),"",D717-SUMIFS('Lessons Log'!$E:$E,'Lessons Log'!$C:$C,A717,'Lessons Log'!$D:$D,"*Package*"))</f>
        <v/>
      </c>
      <c r="F717" s="6" t="str">
        <f>IFERROR(INDEX([1]Clients!F:F, MATCH(A717, [1]Clients!A:A, 0)), "")</f>
        <v/>
      </c>
    </row>
    <row r="718" spans="2:6" x14ac:dyDescent="0.45">
      <c r="B718" s="5" t="str">
        <f>IFERROR(INDEX([1]Clients!$D:$D, MATCH(A718, [1]Clients!$A:$A, 0)), "")</f>
        <v/>
      </c>
      <c r="E718" s="1" t="str">
        <f>IF(OR(D718="",D718=0),"",D718-SUMIFS('Lessons Log'!$E:$E,'Lessons Log'!$C:$C,A718,'Lessons Log'!$D:$D,"*Package*"))</f>
        <v/>
      </c>
      <c r="F718" s="6" t="str">
        <f>IFERROR(INDEX([1]Clients!F:F, MATCH(A718, [1]Clients!A:A, 0)), "")</f>
        <v/>
      </c>
    </row>
    <row r="719" spans="2:6" x14ac:dyDescent="0.45">
      <c r="B719" s="5" t="str">
        <f>IFERROR(INDEX([1]Clients!$D:$D, MATCH(A719, [1]Clients!$A:$A, 0)), "")</f>
        <v/>
      </c>
      <c r="E719" s="1" t="str">
        <f>IF(OR(D719="",D719=0),"",D719-SUMIFS('Lessons Log'!$E:$E,'Lessons Log'!$C:$C,A719,'Lessons Log'!$D:$D,"*Package*"))</f>
        <v/>
      </c>
      <c r="F719" s="6" t="str">
        <f>IFERROR(INDEX([1]Clients!F:F, MATCH(A719, [1]Clients!A:A, 0)), "")</f>
        <v/>
      </c>
    </row>
    <row r="720" spans="2:6" x14ac:dyDescent="0.45">
      <c r="B720" s="5" t="str">
        <f>IFERROR(INDEX([1]Clients!$D:$D, MATCH(A720, [1]Clients!$A:$A, 0)), "")</f>
        <v/>
      </c>
      <c r="E720" s="1" t="str">
        <f>IF(OR(D720="",D720=0),"",D720-SUMIFS('Lessons Log'!$E:$E,'Lessons Log'!$C:$C,A720,'Lessons Log'!$D:$D,"*Package*"))</f>
        <v/>
      </c>
      <c r="F720" s="6" t="str">
        <f>IFERROR(INDEX([1]Clients!F:F, MATCH(A720, [1]Clients!A:A, 0)), "")</f>
        <v/>
      </c>
    </row>
    <row r="721" spans="2:6" x14ac:dyDescent="0.45">
      <c r="B721" s="5" t="str">
        <f>IFERROR(INDEX([1]Clients!$D:$D, MATCH(A721, [1]Clients!$A:$A, 0)), "")</f>
        <v/>
      </c>
      <c r="E721" s="1" t="str">
        <f>IF(OR(D721="",D721=0),"",D721-SUMIFS('Lessons Log'!$E:$E,'Lessons Log'!$C:$C,A721,'Lessons Log'!$D:$D,"*Package*"))</f>
        <v/>
      </c>
      <c r="F721" s="6" t="str">
        <f>IFERROR(INDEX([1]Clients!F:F, MATCH(A721, [1]Clients!A:A, 0)), "")</f>
        <v/>
      </c>
    </row>
    <row r="722" spans="2:6" x14ac:dyDescent="0.45">
      <c r="B722" s="5" t="str">
        <f>IFERROR(INDEX([1]Clients!$D:$D, MATCH(A722, [1]Clients!$A:$A, 0)), "")</f>
        <v/>
      </c>
      <c r="E722" s="1" t="str">
        <f>IF(OR(D722="",D722=0),"",D722-SUMIFS('Lessons Log'!$E:$E,'Lessons Log'!$C:$C,A722,'Lessons Log'!$D:$D,"*Package*"))</f>
        <v/>
      </c>
      <c r="F722" s="6" t="str">
        <f>IFERROR(INDEX([1]Clients!F:F, MATCH(A722, [1]Clients!A:A, 0)), "")</f>
        <v/>
      </c>
    </row>
    <row r="723" spans="2:6" x14ac:dyDescent="0.45">
      <c r="B723" s="5" t="str">
        <f>IFERROR(INDEX([1]Clients!$D:$D, MATCH(A723, [1]Clients!$A:$A, 0)), "")</f>
        <v/>
      </c>
      <c r="E723" s="1" t="str">
        <f>IF(OR(D723="",D723=0),"",D723-SUMIFS('Lessons Log'!$E:$E,'Lessons Log'!$C:$C,A723,'Lessons Log'!$D:$D,"*Package*"))</f>
        <v/>
      </c>
      <c r="F723" s="6" t="str">
        <f>IFERROR(INDEX([1]Clients!F:F, MATCH(A723, [1]Clients!A:A, 0)), "")</f>
        <v/>
      </c>
    </row>
    <row r="724" spans="2:6" x14ac:dyDescent="0.45">
      <c r="B724" s="5" t="str">
        <f>IFERROR(INDEX([1]Clients!$D:$D, MATCH(A724, [1]Clients!$A:$A, 0)), "")</f>
        <v/>
      </c>
      <c r="E724" s="1" t="str">
        <f>IF(OR(D724="",D724=0),"",D724-SUMIFS('Lessons Log'!$E:$E,'Lessons Log'!$C:$C,A724,'Lessons Log'!$D:$D,"*Package*"))</f>
        <v/>
      </c>
      <c r="F724" s="6" t="str">
        <f>IFERROR(INDEX([1]Clients!F:F, MATCH(A724, [1]Clients!A:A, 0)), "")</f>
        <v/>
      </c>
    </row>
    <row r="725" spans="2:6" x14ac:dyDescent="0.45">
      <c r="B725" s="5" t="str">
        <f>IFERROR(INDEX([1]Clients!$D:$D, MATCH(A725, [1]Clients!$A:$A, 0)), "")</f>
        <v/>
      </c>
      <c r="E725" s="1" t="str">
        <f>IF(OR(D725="",D725=0),"",D725-SUMIFS('Lessons Log'!$E:$E,'Lessons Log'!$C:$C,A725,'Lessons Log'!$D:$D,"*Package*"))</f>
        <v/>
      </c>
      <c r="F725" s="6" t="str">
        <f>IFERROR(INDEX([1]Clients!F:F, MATCH(A725, [1]Clients!A:A, 0)), "")</f>
        <v/>
      </c>
    </row>
    <row r="726" spans="2:6" x14ac:dyDescent="0.45">
      <c r="B726" s="5" t="str">
        <f>IFERROR(INDEX([1]Clients!$D:$D, MATCH(A726, [1]Clients!$A:$A, 0)), "")</f>
        <v/>
      </c>
      <c r="E726" s="1" t="str">
        <f>IF(OR(D726="",D726=0),"",D726-SUMIFS('Lessons Log'!$E:$E,'Lessons Log'!$C:$C,A726,'Lessons Log'!$D:$D,"*Package*"))</f>
        <v/>
      </c>
      <c r="F726" s="6" t="str">
        <f>IFERROR(INDEX([1]Clients!F:F, MATCH(A726, [1]Clients!A:A, 0)), "")</f>
        <v/>
      </c>
    </row>
    <row r="727" spans="2:6" x14ac:dyDescent="0.45">
      <c r="B727" s="5" t="str">
        <f>IFERROR(INDEX([1]Clients!$D:$D, MATCH(A727, [1]Clients!$A:$A, 0)), "")</f>
        <v/>
      </c>
      <c r="E727" s="1" t="str">
        <f>IF(OR(D727="",D727=0),"",D727-SUMIFS('Lessons Log'!$E:$E,'Lessons Log'!$C:$C,A727,'Lessons Log'!$D:$D,"*Package*"))</f>
        <v/>
      </c>
      <c r="F727" s="6" t="str">
        <f>IFERROR(INDEX([1]Clients!F:F, MATCH(A727, [1]Clients!A:A, 0)), "")</f>
        <v/>
      </c>
    </row>
    <row r="728" spans="2:6" x14ac:dyDescent="0.45">
      <c r="B728" s="5" t="str">
        <f>IFERROR(INDEX([1]Clients!$D:$D, MATCH(A728, [1]Clients!$A:$A, 0)), "")</f>
        <v/>
      </c>
      <c r="E728" s="1" t="str">
        <f>IF(OR(D728="",D728=0),"",D728-SUMIFS('Lessons Log'!$E:$E,'Lessons Log'!$C:$C,A728,'Lessons Log'!$D:$D,"*Package*"))</f>
        <v/>
      </c>
      <c r="F728" s="6" t="str">
        <f>IFERROR(INDEX([1]Clients!F:F, MATCH(A728, [1]Clients!A:A, 0)), "")</f>
        <v/>
      </c>
    </row>
    <row r="729" spans="2:6" x14ac:dyDescent="0.45">
      <c r="B729" s="5" t="str">
        <f>IFERROR(INDEX([1]Clients!$D:$D, MATCH(A729, [1]Clients!$A:$A, 0)), "")</f>
        <v/>
      </c>
      <c r="E729" s="1" t="str">
        <f>IF(OR(D729="",D729=0),"",D729-SUMIFS('Lessons Log'!$E:$E,'Lessons Log'!$C:$C,A729,'Lessons Log'!$D:$D,"*Package*"))</f>
        <v/>
      </c>
      <c r="F729" s="6" t="str">
        <f>IFERROR(INDEX([1]Clients!F:F, MATCH(A729, [1]Clients!A:A, 0)), "")</f>
        <v/>
      </c>
    </row>
    <row r="730" spans="2:6" x14ac:dyDescent="0.45">
      <c r="B730" s="5" t="str">
        <f>IFERROR(INDEX([1]Clients!$D:$D, MATCH(A730, [1]Clients!$A:$A, 0)), "")</f>
        <v/>
      </c>
      <c r="E730" s="1" t="str">
        <f>IF(OR(D730="",D730=0),"",D730-SUMIFS('Lessons Log'!$E:$E,'Lessons Log'!$C:$C,A730,'Lessons Log'!$D:$D,"*Package*"))</f>
        <v/>
      </c>
      <c r="F730" s="6" t="str">
        <f>IFERROR(INDEX([1]Clients!F:F, MATCH(A730, [1]Clients!A:A, 0)), "")</f>
        <v/>
      </c>
    </row>
    <row r="731" spans="2:6" x14ac:dyDescent="0.45">
      <c r="B731" s="5" t="str">
        <f>IFERROR(INDEX([1]Clients!$D:$D, MATCH(A731, [1]Clients!$A:$A, 0)), "")</f>
        <v/>
      </c>
      <c r="E731" s="1" t="str">
        <f>IF(OR(D731="",D731=0),"",D731-SUMIFS('Lessons Log'!$E:$E,'Lessons Log'!$C:$C,A731,'Lessons Log'!$D:$D,"*Package*"))</f>
        <v/>
      </c>
      <c r="F731" s="6" t="str">
        <f>IFERROR(INDEX([1]Clients!F:F, MATCH(A731, [1]Clients!A:A, 0)), "")</f>
        <v/>
      </c>
    </row>
    <row r="732" spans="2:6" x14ac:dyDescent="0.45">
      <c r="B732" s="5" t="str">
        <f>IFERROR(INDEX([1]Clients!$D:$D, MATCH(A732, [1]Clients!$A:$A, 0)), "")</f>
        <v/>
      </c>
      <c r="E732" s="1" t="str">
        <f>IF(OR(D732="",D732=0),"",D732-SUMIFS('Lessons Log'!$E:$E,'Lessons Log'!$C:$C,A732,'Lessons Log'!$D:$D,"*Package*"))</f>
        <v/>
      </c>
      <c r="F732" s="6" t="str">
        <f>IFERROR(INDEX([1]Clients!F:F, MATCH(A732, [1]Clients!A:A, 0)), "")</f>
        <v/>
      </c>
    </row>
    <row r="733" spans="2:6" x14ac:dyDescent="0.45">
      <c r="B733" s="5" t="str">
        <f>IFERROR(INDEX([1]Clients!$D:$D, MATCH(A733, [1]Clients!$A:$A, 0)), "")</f>
        <v/>
      </c>
      <c r="E733" s="1" t="str">
        <f>IF(OR(D733="",D733=0),"",D733-SUMIFS('Lessons Log'!$E:$E,'Lessons Log'!$C:$C,A733,'Lessons Log'!$D:$D,"*Package*"))</f>
        <v/>
      </c>
      <c r="F733" s="6" t="str">
        <f>IFERROR(INDEX([1]Clients!F:F, MATCH(A733, [1]Clients!A:A, 0)), "")</f>
        <v/>
      </c>
    </row>
    <row r="734" spans="2:6" x14ac:dyDescent="0.45">
      <c r="B734" s="5" t="str">
        <f>IFERROR(INDEX([1]Clients!$D:$D, MATCH(A734, [1]Clients!$A:$A, 0)), "")</f>
        <v/>
      </c>
      <c r="E734" s="1" t="str">
        <f>IF(OR(D734="",D734=0),"",D734-SUMIFS('Lessons Log'!$E:$E,'Lessons Log'!$C:$C,A734,'Lessons Log'!$D:$D,"*Package*"))</f>
        <v/>
      </c>
      <c r="F734" s="6" t="str">
        <f>IFERROR(INDEX([1]Clients!F:F, MATCH(A734, [1]Clients!A:A, 0)), "")</f>
        <v/>
      </c>
    </row>
    <row r="735" spans="2:6" x14ac:dyDescent="0.45">
      <c r="B735" s="5" t="str">
        <f>IFERROR(INDEX([1]Clients!$D:$D, MATCH(A735, [1]Clients!$A:$A, 0)), "")</f>
        <v/>
      </c>
      <c r="E735" s="1" t="str">
        <f>IF(OR(D735="",D735=0),"",D735-SUMIFS('Lessons Log'!$E:$E,'Lessons Log'!$C:$C,A735,'Lessons Log'!$D:$D,"*Package*"))</f>
        <v/>
      </c>
      <c r="F735" s="6" t="str">
        <f>IFERROR(INDEX([1]Clients!F:F, MATCH(A735, [1]Clients!A:A, 0)), "")</f>
        <v/>
      </c>
    </row>
    <row r="736" spans="2:6" x14ac:dyDescent="0.45">
      <c r="B736" s="5" t="str">
        <f>IFERROR(INDEX([1]Clients!$D:$D, MATCH(A736, [1]Clients!$A:$A, 0)), "")</f>
        <v/>
      </c>
      <c r="E736" s="1" t="str">
        <f>IF(OR(D736="",D736=0),"",D736-SUMIFS('Lessons Log'!$E:$E,'Lessons Log'!$C:$C,A736,'Lessons Log'!$D:$D,"*Package*"))</f>
        <v/>
      </c>
      <c r="F736" s="6" t="str">
        <f>IFERROR(INDEX([1]Clients!F:F, MATCH(A736, [1]Clients!A:A, 0)), "")</f>
        <v/>
      </c>
    </row>
    <row r="737" spans="2:6" x14ac:dyDescent="0.45">
      <c r="B737" s="5" t="str">
        <f>IFERROR(INDEX([1]Clients!$D:$D, MATCH(A737, [1]Clients!$A:$A, 0)), "")</f>
        <v/>
      </c>
      <c r="E737" s="1" t="str">
        <f>IF(OR(D737="",D737=0),"",D737-SUMIFS('Lessons Log'!$E:$E,'Lessons Log'!$C:$C,A737,'Lessons Log'!$D:$D,"*Package*"))</f>
        <v/>
      </c>
      <c r="F737" s="6" t="str">
        <f>IFERROR(INDEX([1]Clients!F:F, MATCH(A737, [1]Clients!A:A, 0)), "")</f>
        <v/>
      </c>
    </row>
    <row r="738" spans="2:6" x14ac:dyDescent="0.45">
      <c r="B738" s="5" t="str">
        <f>IFERROR(INDEX([1]Clients!$D:$D, MATCH(A738, [1]Clients!$A:$A, 0)), "")</f>
        <v/>
      </c>
      <c r="E738" s="1" t="str">
        <f>IF(OR(D738="",D738=0),"",D738-SUMIFS('Lessons Log'!$E:$E,'Lessons Log'!$C:$C,A738,'Lessons Log'!$D:$D,"*Package*"))</f>
        <v/>
      </c>
      <c r="F738" s="6" t="str">
        <f>IFERROR(INDEX([1]Clients!F:F, MATCH(A738, [1]Clients!A:A, 0)), "")</f>
        <v/>
      </c>
    </row>
    <row r="739" spans="2:6" x14ac:dyDescent="0.45">
      <c r="B739" s="5" t="str">
        <f>IFERROR(INDEX([1]Clients!$D:$D, MATCH(A739, [1]Clients!$A:$A, 0)), "")</f>
        <v/>
      </c>
      <c r="E739" s="1" t="str">
        <f>IF(OR(D739="",D739=0),"",D739-SUMIFS('Lessons Log'!$E:$E,'Lessons Log'!$C:$C,A739,'Lessons Log'!$D:$D,"*Package*"))</f>
        <v/>
      </c>
      <c r="F739" s="6" t="str">
        <f>IFERROR(INDEX([1]Clients!F:F, MATCH(A739, [1]Clients!A:A, 0)), "")</f>
        <v/>
      </c>
    </row>
    <row r="740" spans="2:6" x14ac:dyDescent="0.45">
      <c r="B740" s="5" t="str">
        <f>IFERROR(INDEX([1]Clients!$D:$D, MATCH(A740, [1]Clients!$A:$A, 0)), "")</f>
        <v/>
      </c>
      <c r="E740" s="1" t="str">
        <f>IF(OR(D740="",D740=0),"",D740-SUMIFS('Lessons Log'!$E:$E,'Lessons Log'!$C:$C,A740,'Lessons Log'!$D:$D,"*Package*"))</f>
        <v/>
      </c>
      <c r="F740" s="6" t="str">
        <f>IFERROR(INDEX([1]Clients!F:F, MATCH(A740, [1]Clients!A:A, 0)), "")</f>
        <v/>
      </c>
    </row>
    <row r="741" spans="2:6" x14ac:dyDescent="0.45">
      <c r="B741" s="5" t="str">
        <f>IFERROR(INDEX([1]Clients!$D:$D, MATCH(A741, [1]Clients!$A:$A, 0)), "")</f>
        <v/>
      </c>
      <c r="E741" s="1" t="str">
        <f>IF(OR(D741="",D741=0),"",D741-SUMIFS('Lessons Log'!$E:$E,'Lessons Log'!$C:$C,A741,'Lessons Log'!$D:$D,"*Package*"))</f>
        <v/>
      </c>
      <c r="F741" s="6" t="str">
        <f>IFERROR(INDEX([1]Clients!F:F, MATCH(A741, [1]Clients!A:A, 0)), "")</f>
        <v/>
      </c>
    </row>
    <row r="742" spans="2:6" x14ac:dyDescent="0.45">
      <c r="B742" s="5" t="str">
        <f>IFERROR(INDEX([1]Clients!$D:$D, MATCH(A742, [1]Clients!$A:$A, 0)), "")</f>
        <v/>
      </c>
      <c r="E742" s="1" t="str">
        <f>IF(OR(D742="",D742=0),"",D742-SUMIFS('Lessons Log'!$E:$E,'Lessons Log'!$C:$C,A742,'Lessons Log'!$D:$D,"*Package*"))</f>
        <v/>
      </c>
      <c r="F742" s="6" t="str">
        <f>IFERROR(INDEX([1]Clients!F:F, MATCH(A742, [1]Clients!A:A, 0)), "")</f>
        <v/>
      </c>
    </row>
    <row r="743" spans="2:6" x14ac:dyDescent="0.45">
      <c r="B743" s="5" t="str">
        <f>IFERROR(INDEX([1]Clients!$D:$D, MATCH(A743, [1]Clients!$A:$A, 0)), "")</f>
        <v/>
      </c>
      <c r="E743" s="1" t="str">
        <f>IF(OR(D743="",D743=0),"",D743-SUMIFS('Lessons Log'!$E:$E,'Lessons Log'!$C:$C,A743,'Lessons Log'!$D:$D,"*Package*"))</f>
        <v/>
      </c>
      <c r="F743" s="6" t="str">
        <f>IFERROR(INDEX([1]Clients!F:F, MATCH(A743, [1]Clients!A:A, 0)), "")</f>
        <v/>
      </c>
    </row>
    <row r="744" spans="2:6" x14ac:dyDescent="0.45">
      <c r="B744" s="5" t="str">
        <f>IFERROR(INDEX([1]Clients!$D:$D, MATCH(A744, [1]Clients!$A:$A, 0)), "")</f>
        <v/>
      </c>
      <c r="E744" s="1" t="str">
        <f>IF(OR(D744="",D744=0),"",D744-SUMIFS('Lessons Log'!$E:$E,'Lessons Log'!$C:$C,A744,'Lessons Log'!$D:$D,"*Package*"))</f>
        <v/>
      </c>
      <c r="F744" s="6" t="str">
        <f>IFERROR(INDEX([1]Clients!F:F, MATCH(A744, [1]Clients!A:A, 0)), "")</f>
        <v/>
      </c>
    </row>
    <row r="745" spans="2:6" x14ac:dyDescent="0.45">
      <c r="B745" s="5" t="str">
        <f>IFERROR(INDEX([1]Clients!$D:$D, MATCH(A745, [1]Clients!$A:$A, 0)), "")</f>
        <v/>
      </c>
      <c r="E745" s="1" t="str">
        <f>IF(OR(D745="",D745=0),"",D745-SUMIFS('Lessons Log'!$E:$E,'Lessons Log'!$C:$C,A745,'Lessons Log'!$D:$D,"*Package*"))</f>
        <v/>
      </c>
      <c r="F745" s="6" t="str">
        <f>IFERROR(INDEX([1]Clients!F:F, MATCH(A745, [1]Clients!A:A, 0)), "")</f>
        <v/>
      </c>
    </row>
    <row r="746" spans="2:6" x14ac:dyDescent="0.45">
      <c r="B746" s="5" t="str">
        <f>IFERROR(INDEX([1]Clients!$D:$D, MATCH(A746, [1]Clients!$A:$A, 0)), "")</f>
        <v/>
      </c>
      <c r="E746" s="1" t="str">
        <f>IF(OR(D746="",D746=0),"",D746-SUMIFS('Lessons Log'!$E:$E,'Lessons Log'!$C:$C,A746,'Lessons Log'!$D:$D,"*Package*"))</f>
        <v/>
      </c>
      <c r="F746" s="6" t="str">
        <f>IFERROR(INDEX([1]Clients!F:F, MATCH(A746, [1]Clients!A:A, 0)), "")</f>
        <v/>
      </c>
    </row>
    <row r="747" spans="2:6" x14ac:dyDescent="0.45">
      <c r="B747" s="5" t="str">
        <f>IFERROR(INDEX([1]Clients!$D:$D, MATCH(A747, [1]Clients!$A:$A, 0)), "")</f>
        <v/>
      </c>
      <c r="E747" s="1" t="str">
        <f>IF(OR(D747="",D747=0),"",D747-SUMIFS('Lessons Log'!$E:$E,'Lessons Log'!$C:$C,A747,'Lessons Log'!$D:$D,"*Package*"))</f>
        <v/>
      </c>
      <c r="F747" s="6" t="str">
        <f>IFERROR(INDEX([1]Clients!F:F, MATCH(A747, [1]Clients!A:A, 0)), "")</f>
        <v/>
      </c>
    </row>
    <row r="748" spans="2:6" x14ac:dyDescent="0.45">
      <c r="B748" s="5" t="str">
        <f>IFERROR(INDEX([1]Clients!$D:$D, MATCH(A748, [1]Clients!$A:$A, 0)), "")</f>
        <v/>
      </c>
      <c r="E748" s="1" t="str">
        <f>IF(OR(D748="",D748=0),"",D748-SUMIFS('Lessons Log'!$E:$E,'Lessons Log'!$C:$C,A748,'Lessons Log'!$D:$D,"*Package*"))</f>
        <v/>
      </c>
      <c r="F748" s="6" t="str">
        <f>IFERROR(INDEX([1]Clients!F:F, MATCH(A748, [1]Clients!A:A, 0)), "")</f>
        <v/>
      </c>
    </row>
    <row r="749" spans="2:6" x14ac:dyDescent="0.45">
      <c r="B749" s="5" t="str">
        <f>IFERROR(INDEX([1]Clients!$D:$D, MATCH(A749, [1]Clients!$A:$A, 0)), "")</f>
        <v/>
      </c>
      <c r="E749" s="1" t="str">
        <f>IF(OR(D749="",D749=0),"",D749-SUMIFS('Lessons Log'!$E:$E,'Lessons Log'!$C:$C,A749,'Lessons Log'!$D:$D,"*Package*"))</f>
        <v/>
      </c>
      <c r="F749" s="6" t="str">
        <f>IFERROR(INDEX([1]Clients!F:F, MATCH(A749, [1]Clients!A:A, 0)), "")</f>
        <v/>
      </c>
    </row>
    <row r="750" spans="2:6" x14ac:dyDescent="0.45">
      <c r="B750" s="5" t="str">
        <f>IFERROR(INDEX([1]Clients!$D:$D, MATCH(A750, [1]Clients!$A:$A, 0)), "")</f>
        <v/>
      </c>
      <c r="E750" s="1" t="str">
        <f>IF(OR(D750="",D750=0),"",D750-SUMIFS('Lessons Log'!$E:$E,'Lessons Log'!$C:$C,A750,'Lessons Log'!$D:$D,"*Package*"))</f>
        <v/>
      </c>
      <c r="F750" s="6" t="str">
        <f>IFERROR(INDEX([1]Clients!F:F, MATCH(A750, [1]Clients!A:A, 0)), "")</f>
        <v/>
      </c>
    </row>
    <row r="751" spans="2:6" x14ac:dyDescent="0.45">
      <c r="B751" s="5" t="str">
        <f>IFERROR(INDEX([1]Clients!$D:$D, MATCH(A751, [1]Clients!$A:$A, 0)), "")</f>
        <v/>
      </c>
      <c r="E751" s="1" t="str">
        <f>IF(OR(D751="",D751=0),"",D751-SUMIFS('Lessons Log'!$E:$E,'Lessons Log'!$C:$C,A751,'Lessons Log'!$D:$D,"*Package*"))</f>
        <v/>
      </c>
      <c r="F751" s="6" t="str">
        <f>IFERROR(INDEX([1]Clients!F:F, MATCH(A751, [1]Clients!A:A, 0)), "")</f>
        <v/>
      </c>
    </row>
    <row r="752" spans="2:6" x14ac:dyDescent="0.45">
      <c r="B752" s="5" t="str">
        <f>IFERROR(INDEX([1]Clients!$D:$D, MATCH(A752, [1]Clients!$A:$A, 0)), "")</f>
        <v/>
      </c>
      <c r="E752" s="1" t="str">
        <f>IF(OR(D752="",D752=0),"",D752-SUMIFS('Lessons Log'!$E:$E,'Lessons Log'!$C:$C,A752,'Lessons Log'!$D:$D,"*Package*"))</f>
        <v/>
      </c>
      <c r="F752" s="6" t="str">
        <f>IFERROR(INDEX([1]Clients!F:F, MATCH(A752, [1]Clients!A:A, 0)), "")</f>
        <v/>
      </c>
    </row>
    <row r="753" spans="2:6" x14ac:dyDescent="0.45">
      <c r="B753" s="5" t="str">
        <f>IFERROR(INDEX([1]Clients!$D:$D, MATCH(A753, [1]Clients!$A:$A, 0)), "")</f>
        <v/>
      </c>
      <c r="E753" s="1" t="str">
        <f>IF(OR(D753="",D753=0),"",D753-SUMIFS('Lessons Log'!$E:$E,'Lessons Log'!$C:$C,A753,'Lessons Log'!$D:$D,"*Package*"))</f>
        <v/>
      </c>
      <c r="F753" s="6" t="str">
        <f>IFERROR(INDEX([1]Clients!F:F, MATCH(A753, [1]Clients!A:A, 0)), "")</f>
        <v/>
      </c>
    </row>
    <row r="754" spans="2:6" x14ac:dyDescent="0.45">
      <c r="B754" s="5" t="str">
        <f>IFERROR(INDEX([1]Clients!$D:$D, MATCH(A754, [1]Clients!$A:$A, 0)), "")</f>
        <v/>
      </c>
      <c r="E754" s="1" t="str">
        <f>IF(OR(D754="",D754=0),"",D754-SUMIFS('Lessons Log'!$E:$E,'Lessons Log'!$C:$C,A754,'Lessons Log'!$D:$D,"*Package*"))</f>
        <v/>
      </c>
      <c r="F754" s="6" t="str">
        <f>IFERROR(INDEX([1]Clients!F:F, MATCH(A754, [1]Clients!A:A, 0)), "")</f>
        <v/>
      </c>
    </row>
    <row r="755" spans="2:6" x14ac:dyDescent="0.45">
      <c r="B755" s="5" t="str">
        <f>IFERROR(INDEX([1]Clients!$D:$D, MATCH(A755, [1]Clients!$A:$A, 0)), "")</f>
        <v/>
      </c>
      <c r="E755" s="1" t="str">
        <f>IF(OR(D755="",D755=0),"",D755-SUMIFS('Lessons Log'!$E:$E,'Lessons Log'!$C:$C,A755,'Lessons Log'!$D:$D,"*Package*"))</f>
        <v/>
      </c>
      <c r="F755" s="6" t="str">
        <f>IFERROR(INDEX([1]Clients!F:F, MATCH(A755, [1]Clients!A:A, 0)), "")</f>
        <v/>
      </c>
    </row>
    <row r="756" spans="2:6" x14ac:dyDescent="0.45">
      <c r="B756" s="5" t="str">
        <f>IFERROR(INDEX([1]Clients!$D:$D, MATCH(A756, [1]Clients!$A:$A, 0)), "")</f>
        <v/>
      </c>
      <c r="E756" s="1" t="str">
        <f>IF(OR(D756="",D756=0),"",D756-SUMIFS('Lessons Log'!$E:$E,'Lessons Log'!$C:$C,A756,'Lessons Log'!$D:$D,"*Package*"))</f>
        <v/>
      </c>
      <c r="F756" s="6" t="str">
        <f>IFERROR(INDEX([1]Clients!F:F, MATCH(A756, [1]Clients!A:A, 0)), "")</f>
        <v/>
      </c>
    </row>
    <row r="757" spans="2:6" x14ac:dyDescent="0.45">
      <c r="B757" s="5" t="str">
        <f>IFERROR(INDEX([1]Clients!$D:$D, MATCH(A757, [1]Clients!$A:$A, 0)), "")</f>
        <v/>
      </c>
      <c r="E757" s="1" t="str">
        <f>IF(OR(D757="",D757=0),"",D757-SUMIFS('Lessons Log'!$E:$E,'Lessons Log'!$C:$C,A757,'Lessons Log'!$D:$D,"*Package*"))</f>
        <v/>
      </c>
      <c r="F757" s="6" t="str">
        <f>IFERROR(INDEX([1]Clients!F:F, MATCH(A757, [1]Clients!A:A, 0)), "")</f>
        <v/>
      </c>
    </row>
    <row r="758" spans="2:6" x14ac:dyDescent="0.45">
      <c r="B758" s="5" t="str">
        <f>IFERROR(INDEX([1]Clients!$D:$D, MATCH(A758, [1]Clients!$A:$A, 0)), "")</f>
        <v/>
      </c>
      <c r="E758" s="1" t="str">
        <f>IF(OR(D758="",D758=0),"",D758-SUMIFS('Lessons Log'!$E:$E,'Lessons Log'!$C:$C,A758,'Lessons Log'!$D:$D,"*Package*"))</f>
        <v/>
      </c>
      <c r="F758" s="6" t="str">
        <f>IFERROR(INDEX([1]Clients!F:F, MATCH(A758, [1]Clients!A:A, 0)), "")</f>
        <v/>
      </c>
    </row>
    <row r="759" spans="2:6" x14ac:dyDescent="0.45">
      <c r="B759" s="5" t="str">
        <f>IFERROR(INDEX([1]Clients!$D:$D, MATCH(A759, [1]Clients!$A:$A, 0)), "")</f>
        <v/>
      </c>
      <c r="E759" s="1" t="str">
        <f>IF(OR(D759="",D759=0),"",D759-SUMIFS('Lessons Log'!$E:$E,'Lessons Log'!$C:$C,A759,'Lessons Log'!$D:$D,"*Package*"))</f>
        <v/>
      </c>
      <c r="F759" s="6" t="str">
        <f>IFERROR(INDEX([1]Clients!F:F, MATCH(A759, [1]Clients!A:A, 0)), "")</f>
        <v/>
      </c>
    </row>
    <row r="760" spans="2:6" x14ac:dyDescent="0.45">
      <c r="B760" s="5" t="str">
        <f>IFERROR(INDEX([1]Clients!$D:$D, MATCH(A760, [1]Clients!$A:$A, 0)), "")</f>
        <v/>
      </c>
      <c r="E760" s="1" t="str">
        <f>IF(OR(D760="",D760=0),"",D760-SUMIFS('Lessons Log'!$E:$E,'Lessons Log'!$C:$C,A760,'Lessons Log'!$D:$D,"*Package*"))</f>
        <v/>
      </c>
      <c r="F760" s="6" t="str">
        <f>IFERROR(INDEX([1]Clients!F:F, MATCH(A760, [1]Clients!A:A, 0)), "")</f>
        <v/>
      </c>
    </row>
    <row r="761" spans="2:6" x14ac:dyDescent="0.45">
      <c r="B761" s="5" t="str">
        <f>IFERROR(INDEX([1]Clients!$D:$D, MATCH(A761, [1]Clients!$A:$A, 0)), "")</f>
        <v/>
      </c>
      <c r="E761" s="1" t="str">
        <f>IF(OR(D761="",D761=0),"",D761-SUMIFS('Lessons Log'!$E:$E,'Lessons Log'!$C:$C,A761,'Lessons Log'!$D:$D,"*Package*"))</f>
        <v/>
      </c>
      <c r="F761" s="6" t="str">
        <f>IFERROR(INDEX([1]Clients!F:F, MATCH(A761, [1]Clients!A:A, 0)), "")</f>
        <v/>
      </c>
    </row>
    <row r="762" spans="2:6" x14ac:dyDescent="0.45">
      <c r="B762" s="5" t="str">
        <f>IFERROR(INDEX([1]Clients!$D:$D, MATCH(A762, [1]Clients!$A:$A, 0)), "")</f>
        <v/>
      </c>
      <c r="E762" s="1" t="str">
        <f>IF(OR(D762="",D762=0),"",D762-SUMIFS('Lessons Log'!$E:$E,'Lessons Log'!$C:$C,A762,'Lessons Log'!$D:$D,"*Package*"))</f>
        <v/>
      </c>
      <c r="F762" s="6" t="str">
        <f>IFERROR(INDEX([1]Clients!F:F, MATCH(A762, [1]Clients!A:A, 0)), "")</f>
        <v/>
      </c>
    </row>
    <row r="763" spans="2:6" x14ac:dyDescent="0.45">
      <c r="B763" s="5" t="str">
        <f>IFERROR(INDEX([1]Clients!$D:$D, MATCH(A763, [1]Clients!$A:$A, 0)), "")</f>
        <v/>
      </c>
      <c r="E763" s="1" t="str">
        <f>IF(OR(D763="",D763=0),"",D763-SUMIFS('Lessons Log'!$E:$E,'Lessons Log'!$C:$C,A763,'Lessons Log'!$D:$D,"*Package*"))</f>
        <v/>
      </c>
      <c r="F763" s="6" t="str">
        <f>IFERROR(INDEX([1]Clients!F:F, MATCH(A763, [1]Clients!A:A, 0)), "")</f>
        <v/>
      </c>
    </row>
    <row r="764" spans="2:6" x14ac:dyDescent="0.45">
      <c r="B764" s="5" t="str">
        <f>IFERROR(INDEX([1]Clients!$D:$D, MATCH(A764, [1]Clients!$A:$A, 0)), "")</f>
        <v/>
      </c>
      <c r="E764" s="1" t="str">
        <f>IF(OR(D764="",D764=0),"",D764-SUMIFS('Lessons Log'!$E:$E,'Lessons Log'!$C:$C,A764,'Lessons Log'!$D:$D,"*Package*"))</f>
        <v/>
      </c>
      <c r="F764" s="6" t="str">
        <f>IFERROR(INDEX([1]Clients!F:F, MATCH(A764, [1]Clients!A:A, 0)), "")</f>
        <v/>
      </c>
    </row>
    <row r="765" spans="2:6" x14ac:dyDescent="0.45">
      <c r="B765" s="5" t="str">
        <f>IFERROR(INDEX([1]Clients!$D:$D, MATCH(A765, [1]Clients!$A:$A, 0)), "")</f>
        <v/>
      </c>
      <c r="E765" s="1" t="str">
        <f>IF(OR(D765="",D765=0),"",D765-SUMIFS('Lessons Log'!$E:$E,'Lessons Log'!$C:$C,A765,'Lessons Log'!$D:$D,"*Package*"))</f>
        <v/>
      </c>
      <c r="F765" s="6" t="str">
        <f>IFERROR(INDEX([1]Clients!F:F, MATCH(A765, [1]Clients!A:A, 0)), "")</f>
        <v/>
      </c>
    </row>
    <row r="766" spans="2:6" x14ac:dyDescent="0.45">
      <c r="B766" s="5" t="str">
        <f>IFERROR(INDEX([1]Clients!$D:$D, MATCH(A766, [1]Clients!$A:$A, 0)), "")</f>
        <v/>
      </c>
      <c r="E766" s="1" t="str">
        <f>IF(OR(D766="",D766=0),"",D766-SUMIFS('Lessons Log'!$E:$E,'Lessons Log'!$C:$C,A766,'Lessons Log'!$D:$D,"*Package*"))</f>
        <v/>
      </c>
      <c r="F766" s="6" t="str">
        <f>IFERROR(INDEX([1]Clients!F:F, MATCH(A766, [1]Clients!A:A, 0)), "")</f>
        <v/>
      </c>
    </row>
    <row r="767" spans="2:6" x14ac:dyDescent="0.45">
      <c r="B767" s="5" t="str">
        <f>IFERROR(INDEX([1]Clients!$D:$D, MATCH(A767, [1]Clients!$A:$A, 0)), "")</f>
        <v/>
      </c>
      <c r="E767" s="1" t="str">
        <f>IF(OR(D767="",D767=0),"",D767-SUMIFS('Lessons Log'!$E:$E,'Lessons Log'!$C:$C,A767,'Lessons Log'!$D:$D,"*Package*"))</f>
        <v/>
      </c>
      <c r="F767" s="6" t="str">
        <f>IFERROR(INDEX([1]Clients!F:F, MATCH(A767, [1]Clients!A:A, 0)), "")</f>
        <v/>
      </c>
    </row>
    <row r="768" spans="2:6" x14ac:dyDescent="0.45">
      <c r="B768" s="5" t="str">
        <f>IFERROR(INDEX([1]Clients!$D:$D, MATCH(A768, [1]Clients!$A:$A, 0)), "")</f>
        <v/>
      </c>
      <c r="E768" s="1" t="str">
        <f>IF(OR(D768="",D768=0),"",D768-SUMIFS('Lessons Log'!$E:$E,'Lessons Log'!$C:$C,A768,'Lessons Log'!$D:$D,"*Package*"))</f>
        <v/>
      </c>
      <c r="F768" s="6" t="str">
        <f>IFERROR(INDEX([1]Clients!F:F, MATCH(A768, [1]Clients!A:A, 0)), "")</f>
        <v/>
      </c>
    </row>
    <row r="769" spans="2:6" x14ac:dyDescent="0.45">
      <c r="B769" s="5" t="str">
        <f>IFERROR(INDEX([1]Clients!$D:$D, MATCH(A769, [1]Clients!$A:$A, 0)), "")</f>
        <v/>
      </c>
      <c r="E769" s="1" t="str">
        <f>IF(OR(D769="",D769=0),"",D769-SUMIFS('Lessons Log'!$E:$E,'Lessons Log'!$C:$C,A769,'Lessons Log'!$D:$D,"*Package*"))</f>
        <v/>
      </c>
      <c r="F769" s="6" t="str">
        <f>IFERROR(INDEX([1]Clients!F:F, MATCH(A769, [1]Clients!A:A, 0)), "")</f>
        <v/>
      </c>
    </row>
    <row r="770" spans="2:6" x14ac:dyDescent="0.45">
      <c r="B770" s="5" t="str">
        <f>IFERROR(INDEX([1]Clients!$D:$D, MATCH(A770, [1]Clients!$A:$A, 0)), "")</f>
        <v/>
      </c>
      <c r="E770" s="1" t="str">
        <f>IF(OR(D770="",D770=0),"",D770-SUMIFS('Lessons Log'!$E:$E,'Lessons Log'!$C:$C,A770,'Lessons Log'!$D:$D,"*Package*"))</f>
        <v/>
      </c>
      <c r="F770" s="6" t="str">
        <f>IFERROR(INDEX([1]Clients!F:F, MATCH(A770, [1]Clients!A:A, 0)), "")</f>
        <v/>
      </c>
    </row>
    <row r="771" spans="2:6" x14ac:dyDescent="0.45">
      <c r="B771" s="5" t="str">
        <f>IFERROR(INDEX([1]Clients!$D:$D, MATCH(A771, [1]Clients!$A:$A, 0)), "")</f>
        <v/>
      </c>
      <c r="E771" s="1" t="str">
        <f>IF(OR(D771="",D771=0),"",D771-SUMIFS('Lessons Log'!$E:$E,'Lessons Log'!$C:$C,A771,'Lessons Log'!$D:$D,"*Package*"))</f>
        <v/>
      </c>
      <c r="F771" s="6" t="str">
        <f>IFERROR(INDEX([1]Clients!F:F, MATCH(A771, [1]Clients!A:A, 0)), "")</f>
        <v/>
      </c>
    </row>
    <row r="772" spans="2:6" x14ac:dyDescent="0.45">
      <c r="B772" s="5" t="str">
        <f>IFERROR(INDEX([1]Clients!$D:$D, MATCH(A772, [1]Clients!$A:$A, 0)), "")</f>
        <v/>
      </c>
      <c r="E772" s="1" t="str">
        <f>IF(OR(D772="",D772=0),"",D772-SUMIFS('Lessons Log'!$E:$E,'Lessons Log'!$C:$C,A772,'Lessons Log'!$D:$D,"*Package*"))</f>
        <v/>
      </c>
      <c r="F772" s="6" t="str">
        <f>IFERROR(INDEX([1]Clients!F:F, MATCH(A772, [1]Clients!A:A, 0)), "")</f>
        <v/>
      </c>
    </row>
    <row r="773" spans="2:6" x14ac:dyDescent="0.45">
      <c r="B773" s="5" t="str">
        <f>IFERROR(INDEX([1]Clients!$D:$D, MATCH(A773, [1]Clients!$A:$A, 0)), "")</f>
        <v/>
      </c>
      <c r="E773" s="1" t="str">
        <f>IF(OR(D773="",D773=0),"",D773-SUMIFS('Lessons Log'!$E:$E,'Lessons Log'!$C:$C,A773,'Lessons Log'!$D:$D,"*Package*"))</f>
        <v/>
      </c>
      <c r="F773" s="6" t="str">
        <f>IFERROR(INDEX([1]Clients!F:F, MATCH(A773, [1]Clients!A:A, 0)), "")</f>
        <v/>
      </c>
    </row>
    <row r="774" spans="2:6" x14ac:dyDescent="0.45">
      <c r="B774" s="5" t="str">
        <f>IFERROR(INDEX([1]Clients!$D:$D, MATCH(A774, [1]Clients!$A:$A, 0)), "")</f>
        <v/>
      </c>
      <c r="E774" s="1" t="str">
        <f>IF(OR(D774="",D774=0),"",D774-SUMIFS('Lessons Log'!$E:$E,'Lessons Log'!$C:$C,A774,'Lessons Log'!$D:$D,"*Package*"))</f>
        <v/>
      </c>
      <c r="F774" s="6" t="str">
        <f>IFERROR(INDEX([1]Clients!F:F, MATCH(A774, [1]Clients!A:A, 0)), "")</f>
        <v/>
      </c>
    </row>
    <row r="775" spans="2:6" x14ac:dyDescent="0.45">
      <c r="B775" s="5" t="str">
        <f>IFERROR(INDEX([1]Clients!$D:$D, MATCH(A775, [1]Clients!$A:$A, 0)), "")</f>
        <v/>
      </c>
      <c r="E775" s="1" t="str">
        <f>IF(OR(D775="",D775=0),"",D775-SUMIFS('Lessons Log'!$E:$E,'Lessons Log'!$C:$C,A775,'Lessons Log'!$D:$D,"*Package*"))</f>
        <v/>
      </c>
      <c r="F775" s="6" t="str">
        <f>IFERROR(INDEX([1]Clients!F:F, MATCH(A775, [1]Clients!A:A, 0)), "")</f>
        <v/>
      </c>
    </row>
    <row r="776" spans="2:6" x14ac:dyDescent="0.45">
      <c r="B776" s="5" t="str">
        <f>IFERROR(INDEX([1]Clients!$D:$D, MATCH(A776, [1]Clients!$A:$A, 0)), "")</f>
        <v/>
      </c>
      <c r="E776" s="1" t="str">
        <f>IF(OR(D776="",D776=0),"",D776-SUMIFS('Lessons Log'!$E:$E,'Lessons Log'!$C:$C,A776,'Lessons Log'!$D:$D,"*Package*"))</f>
        <v/>
      </c>
      <c r="F776" s="6" t="str">
        <f>IFERROR(INDEX([1]Clients!F:F, MATCH(A776, [1]Clients!A:A, 0)), "")</f>
        <v/>
      </c>
    </row>
    <row r="777" spans="2:6" x14ac:dyDescent="0.45">
      <c r="B777" s="5" t="str">
        <f>IFERROR(INDEX([1]Clients!$D:$D, MATCH(A777, [1]Clients!$A:$A, 0)), "")</f>
        <v/>
      </c>
      <c r="E777" s="1" t="str">
        <f>IF(OR(D777="",D777=0),"",D777-SUMIFS('Lessons Log'!$E:$E,'Lessons Log'!$C:$C,A777,'Lessons Log'!$D:$D,"*Package*"))</f>
        <v/>
      </c>
      <c r="F777" s="6" t="str">
        <f>IFERROR(INDEX([1]Clients!F:F, MATCH(A777, [1]Clients!A:A, 0)), "")</f>
        <v/>
      </c>
    </row>
    <row r="778" spans="2:6" x14ac:dyDescent="0.45">
      <c r="B778" s="5" t="str">
        <f>IFERROR(INDEX([1]Clients!$D:$D, MATCH(A778, [1]Clients!$A:$A, 0)), "")</f>
        <v/>
      </c>
      <c r="E778" s="1" t="str">
        <f>IF(OR(D778="",D778=0),"",D778-SUMIFS('Lessons Log'!$E:$E,'Lessons Log'!$C:$C,A778,'Lessons Log'!$D:$D,"*Package*"))</f>
        <v/>
      </c>
      <c r="F778" s="6" t="str">
        <f>IFERROR(INDEX([1]Clients!F:F, MATCH(A778, [1]Clients!A:A, 0)), "")</f>
        <v/>
      </c>
    </row>
    <row r="779" spans="2:6" x14ac:dyDescent="0.45">
      <c r="B779" s="5" t="str">
        <f>IFERROR(INDEX([1]Clients!$D:$D, MATCH(A779, [1]Clients!$A:$A, 0)), "")</f>
        <v/>
      </c>
      <c r="E779" s="1" t="str">
        <f>IF(OR(D779="",D779=0),"",D779-SUMIFS('Lessons Log'!$E:$E,'Lessons Log'!$C:$C,A779,'Lessons Log'!$D:$D,"*Package*"))</f>
        <v/>
      </c>
      <c r="F779" s="6" t="str">
        <f>IFERROR(INDEX([1]Clients!F:F, MATCH(A779, [1]Clients!A:A, 0)), "")</f>
        <v/>
      </c>
    </row>
    <row r="780" spans="2:6" x14ac:dyDescent="0.45">
      <c r="B780" s="5" t="str">
        <f>IFERROR(INDEX([1]Clients!$D:$D, MATCH(A780, [1]Clients!$A:$A, 0)), "")</f>
        <v/>
      </c>
      <c r="E780" s="1" t="str">
        <f>IF(OR(D780="",D780=0),"",D780-SUMIFS('Lessons Log'!$E:$E,'Lessons Log'!$C:$C,A780,'Lessons Log'!$D:$D,"*Package*"))</f>
        <v/>
      </c>
      <c r="F780" s="6" t="str">
        <f>IFERROR(INDEX([1]Clients!F:F, MATCH(A780, [1]Clients!A:A, 0)), "")</f>
        <v/>
      </c>
    </row>
    <row r="781" spans="2:6" x14ac:dyDescent="0.45">
      <c r="B781" s="5" t="str">
        <f>IFERROR(INDEX([1]Clients!$D:$D, MATCH(A781, [1]Clients!$A:$A, 0)), "")</f>
        <v/>
      </c>
      <c r="E781" s="1" t="str">
        <f>IF(OR(D781="",D781=0),"",D781-SUMIFS('Lessons Log'!$E:$E,'Lessons Log'!$C:$C,A781,'Lessons Log'!$D:$D,"*Package*"))</f>
        <v/>
      </c>
      <c r="F781" s="6" t="str">
        <f>IFERROR(INDEX([1]Clients!F:F, MATCH(A781, [1]Clients!A:A, 0)), "")</f>
        <v/>
      </c>
    </row>
    <row r="782" spans="2:6" x14ac:dyDescent="0.45">
      <c r="B782" s="5" t="str">
        <f>IFERROR(INDEX([1]Clients!$D:$D, MATCH(A782, [1]Clients!$A:$A, 0)), "")</f>
        <v/>
      </c>
      <c r="E782" s="1" t="str">
        <f>IF(OR(D782="",D782=0),"",D782-SUMIFS('Lessons Log'!$E:$E,'Lessons Log'!$C:$C,A782,'Lessons Log'!$D:$D,"*Package*"))</f>
        <v/>
      </c>
      <c r="F782" s="6" t="str">
        <f>IFERROR(INDEX([1]Clients!F:F, MATCH(A782, [1]Clients!A:A, 0)), "")</f>
        <v/>
      </c>
    </row>
    <row r="783" spans="2:6" x14ac:dyDescent="0.45">
      <c r="B783" s="5" t="str">
        <f>IFERROR(INDEX([1]Clients!$D:$D, MATCH(A783, [1]Clients!$A:$A, 0)), "")</f>
        <v/>
      </c>
      <c r="E783" s="1" t="str">
        <f>IF(OR(D783="",D783=0),"",D783-SUMIFS('Lessons Log'!$E:$E,'Lessons Log'!$C:$C,A783,'Lessons Log'!$D:$D,"*Package*"))</f>
        <v/>
      </c>
      <c r="F783" s="6" t="str">
        <f>IFERROR(INDEX([1]Clients!F:F, MATCH(A783, [1]Clients!A:A, 0)), "")</f>
        <v/>
      </c>
    </row>
    <row r="784" spans="2:6" x14ac:dyDescent="0.45">
      <c r="B784" s="5" t="str">
        <f>IFERROR(INDEX([1]Clients!$D:$D, MATCH(A784, [1]Clients!$A:$A, 0)), "")</f>
        <v/>
      </c>
      <c r="E784" s="1" t="str">
        <f>IF(OR(D784="",D784=0),"",D784-SUMIFS('Lessons Log'!$E:$E,'Lessons Log'!$C:$C,A784,'Lessons Log'!$D:$D,"*Package*"))</f>
        <v/>
      </c>
      <c r="F784" s="6" t="str">
        <f>IFERROR(INDEX([1]Clients!F:F, MATCH(A784, [1]Clients!A:A, 0)), "")</f>
        <v/>
      </c>
    </row>
    <row r="785" spans="2:6" x14ac:dyDescent="0.45">
      <c r="B785" s="5" t="str">
        <f>IFERROR(INDEX([1]Clients!$D:$D, MATCH(A785, [1]Clients!$A:$A, 0)), "")</f>
        <v/>
      </c>
      <c r="E785" s="1" t="str">
        <f>IF(OR(D785="",D785=0),"",D785-SUMIFS('Lessons Log'!$E:$E,'Lessons Log'!$C:$C,A785,'Lessons Log'!$D:$D,"*Package*"))</f>
        <v/>
      </c>
      <c r="F785" s="6" t="str">
        <f>IFERROR(INDEX([1]Clients!F:F, MATCH(A785, [1]Clients!A:A, 0)), "")</f>
        <v/>
      </c>
    </row>
    <row r="786" spans="2:6" x14ac:dyDescent="0.45">
      <c r="B786" s="5" t="str">
        <f>IFERROR(INDEX([1]Clients!$D:$D, MATCH(A786, [1]Clients!$A:$A, 0)), "")</f>
        <v/>
      </c>
      <c r="E786" s="1" t="str">
        <f>IF(OR(D786="",D786=0),"",D786-SUMIFS('Lessons Log'!$E:$E,'Lessons Log'!$C:$C,A786,'Lessons Log'!$D:$D,"*Package*"))</f>
        <v/>
      </c>
      <c r="F786" s="6" t="str">
        <f>IFERROR(INDEX([1]Clients!F:F, MATCH(A786, [1]Clients!A:A, 0)), "")</f>
        <v/>
      </c>
    </row>
    <row r="787" spans="2:6" x14ac:dyDescent="0.45">
      <c r="B787" s="5" t="str">
        <f>IFERROR(INDEX([1]Clients!$D:$D, MATCH(A787, [1]Clients!$A:$A, 0)), "")</f>
        <v/>
      </c>
      <c r="E787" s="1" t="str">
        <f>IF(OR(D787="",D787=0),"",D787-SUMIFS('Lessons Log'!$E:$E,'Lessons Log'!$C:$C,A787,'Lessons Log'!$D:$D,"*Package*"))</f>
        <v/>
      </c>
      <c r="F787" s="6" t="str">
        <f>IFERROR(INDEX([1]Clients!F:F, MATCH(A787, [1]Clients!A:A, 0)), "")</f>
        <v/>
      </c>
    </row>
    <row r="788" spans="2:6" x14ac:dyDescent="0.45">
      <c r="B788" s="5" t="str">
        <f>IFERROR(INDEX([1]Clients!$D:$D, MATCH(A788, [1]Clients!$A:$A, 0)), "")</f>
        <v/>
      </c>
      <c r="E788" s="1" t="str">
        <f>IF(OR(D788="",D788=0),"",D788-SUMIFS('Lessons Log'!$E:$E,'Lessons Log'!$C:$C,A788,'Lessons Log'!$D:$D,"*Package*"))</f>
        <v/>
      </c>
      <c r="F788" s="6" t="str">
        <f>IFERROR(INDEX([1]Clients!F:F, MATCH(A788, [1]Clients!A:A, 0)), "")</f>
        <v/>
      </c>
    </row>
    <row r="789" spans="2:6" x14ac:dyDescent="0.45">
      <c r="B789" s="5" t="str">
        <f>IFERROR(INDEX([1]Clients!$D:$D, MATCH(A789, [1]Clients!$A:$A, 0)), "")</f>
        <v/>
      </c>
      <c r="E789" s="1" t="str">
        <f>IF(OR(D789="",D789=0),"",D789-SUMIFS('Lessons Log'!$E:$E,'Lessons Log'!$C:$C,A789,'Lessons Log'!$D:$D,"*Package*"))</f>
        <v/>
      </c>
      <c r="F789" s="6" t="str">
        <f>IFERROR(INDEX([1]Clients!F:F, MATCH(A789, [1]Clients!A:A, 0)), "")</f>
        <v/>
      </c>
    </row>
    <row r="790" spans="2:6" x14ac:dyDescent="0.45">
      <c r="B790" s="5" t="str">
        <f>IFERROR(INDEX([1]Clients!$D:$D, MATCH(A790, [1]Clients!$A:$A, 0)), "")</f>
        <v/>
      </c>
      <c r="E790" s="1" t="str">
        <f>IF(OR(D790="",D790=0),"",D790-SUMIFS('Lessons Log'!$E:$E,'Lessons Log'!$C:$C,A790,'Lessons Log'!$D:$D,"*Package*"))</f>
        <v/>
      </c>
      <c r="F790" s="6" t="str">
        <f>IFERROR(INDEX([1]Clients!F:F, MATCH(A790, [1]Clients!A:A, 0)), "")</f>
        <v/>
      </c>
    </row>
    <row r="791" spans="2:6" x14ac:dyDescent="0.45">
      <c r="B791" s="5" t="str">
        <f>IFERROR(INDEX([1]Clients!$D:$D, MATCH(A791, [1]Clients!$A:$A, 0)), "")</f>
        <v/>
      </c>
      <c r="E791" s="1" t="str">
        <f>IF(OR(D791="",D791=0),"",D791-SUMIFS('Lessons Log'!$E:$E,'Lessons Log'!$C:$C,A791,'Lessons Log'!$D:$D,"*Package*"))</f>
        <v/>
      </c>
      <c r="F791" s="6" t="str">
        <f>IFERROR(INDEX([1]Clients!F:F, MATCH(A791, [1]Clients!A:A, 0)), "")</f>
        <v/>
      </c>
    </row>
    <row r="792" spans="2:6" x14ac:dyDescent="0.45">
      <c r="B792" s="5" t="str">
        <f>IFERROR(INDEX([1]Clients!$D:$D, MATCH(A792, [1]Clients!$A:$A, 0)), "")</f>
        <v/>
      </c>
      <c r="E792" s="1" t="str">
        <f>IF(OR(D792="",D792=0),"",D792-SUMIFS('Lessons Log'!$E:$E,'Lessons Log'!$C:$C,A792,'Lessons Log'!$D:$D,"*Package*"))</f>
        <v/>
      </c>
      <c r="F792" s="6" t="str">
        <f>IFERROR(INDEX([1]Clients!F:F, MATCH(A792, [1]Clients!A:A, 0)), "")</f>
        <v/>
      </c>
    </row>
    <row r="793" spans="2:6" x14ac:dyDescent="0.45">
      <c r="B793" s="5" t="str">
        <f>IFERROR(INDEX([1]Clients!$D:$D, MATCH(A793, [1]Clients!$A:$A, 0)), "")</f>
        <v/>
      </c>
      <c r="E793" s="1" t="str">
        <f>IF(OR(D793="",D793=0),"",D793-SUMIFS('Lessons Log'!$E:$E,'Lessons Log'!$C:$C,A793,'Lessons Log'!$D:$D,"*Package*"))</f>
        <v/>
      </c>
      <c r="F793" s="6" t="str">
        <f>IFERROR(INDEX([1]Clients!F:F, MATCH(A793, [1]Clients!A:A, 0)), "")</f>
        <v/>
      </c>
    </row>
    <row r="794" spans="2:6" x14ac:dyDescent="0.45">
      <c r="B794" s="5" t="str">
        <f>IFERROR(INDEX([1]Clients!$D:$D, MATCH(A794, [1]Clients!$A:$A, 0)), "")</f>
        <v/>
      </c>
      <c r="E794" s="1" t="str">
        <f>IF(OR(D794="",D794=0),"",D794-SUMIFS('Lessons Log'!$E:$E,'Lessons Log'!$C:$C,A794,'Lessons Log'!$D:$D,"*Package*"))</f>
        <v/>
      </c>
      <c r="F794" s="6" t="str">
        <f>IFERROR(INDEX([1]Clients!F:F, MATCH(A794, [1]Clients!A:A, 0)), "")</f>
        <v/>
      </c>
    </row>
    <row r="795" spans="2:6" x14ac:dyDescent="0.45">
      <c r="B795" s="5" t="str">
        <f>IFERROR(INDEX([1]Clients!$D:$D, MATCH(A795, [1]Clients!$A:$A, 0)), "")</f>
        <v/>
      </c>
      <c r="E795" s="1" t="str">
        <f>IF(OR(D795="",D795=0),"",D795-SUMIFS('Lessons Log'!$E:$E,'Lessons Log'!$C:$C,A795,'Lessons Log'!$D:$D,"*Package*"))</f>
        <v/>
      </c>
      <c r="F795" s="6" t="str">
        <f>IFERROR(INDEX([1]Clients!F:F, MATCH(A795, [1]Clients!A:A, 0)), "")</f>
        <v/>
      </c>
    </row>
    <row r="796" spans="2:6" x14ac:dyDescent="0.45">
      <c r="B796" s="5" t="str">
        <f>IFERROR(INDEX([1]Clients!$D:$D, MATCH(A796, [1]Clients!$A:$A, 0)), "")</f>
        <v/>
      </c>
      <c r="E796" s="1" t="str">
        <f>IF(OR(D796="",D796=0),"",D796-SUMIFS('Lessons Log'!$E:$E,'Lessons Log'!$C:$C,A796,'Lessons Log'!$D:$D,"*Package*"))</f>
        <v/>
      </c>
      <c r="F796" s="6" t="str">
        <f>IFERROR(INDEX([1]Clients!F:F, MATCH(A796, [1]Clients!A:A, 0)), "")</f>
        <v/>
      </c>
    </row>
    <row r="797" spans="2:6" x14ac:dyDescent="0.45">
      <c r="B797" s="5" t="str">
        <f>IFERROR(INDEX([1]Clients!$D:$D, MATCH(A797, [1]Clients!$A:$A, 0)), "")</f>
        <v/>
      </c>
      <c r="E797" s="1" t="str">
        <f>IF(OR(D797="",D797=0),"",D797-SUMIFS('Lessons Log'!$E:$E,'Lessons Log'!$C:$C,A797,'Lessons Log'!$D:$D,"*Package*"))</f>
        <v/>
      </c>
      <c r="F797" s="6" t="str">
        <f>IFERROR(INDEX([1]Clients!F:F, MATCH(A797, [1]Clients!A:A, 0)), "")</f>
        <v/>
      </c>
    </row>
    <row r="798" spans="2:6" x14ac:dyDescent="0.45">
      <c r="B798" s="5" t="str">
        <f>IFERROR(INDEX([1]Clients!$D:$D, MATCH(A798, [1]Clients!$A:$A, 0)), "")</f>
        <v/>
      </c>
      <c r="E798" s="1" t="str">
        <f>IF(OR(D798="",D798=0),"",D798-SUMIFS('Lessons Log'!$E:$E,'Lessons Log'!$C:$C,A798,'Lessons Log'!$D:$D,"*Package*"))</f>
        <v/>
      </c>
      <c r="F798" s="6" t="str">
        <f>IFERROR(INDEX([1]Clients!F:F, MATCH(A798, [1]Clients!A:A, 0)), "")</f>
        <v/>
      </c>
    </row>
    <row r="799" spans="2:6" x14ac:dyDescent="0.45">
      <c r="B799" s="5" t="str">
        <f>IFERROR(INDEX([1]Clients!$D:$D, MATCH(A799, [1]Clients!$A:$A, 0)), "")</f>
        <v/>
      </c>
      <c r="E799" s="1" t="str">
        <f>IF(OR(D799="",D799=0),"",D799-SUMIFS('Lessons Log'!$E:$E,'Lessons Log'!$C:$C,A799,'Lessons Log'!$D:$D,"*Package*"))</f>
        <v/>
      </c>
      <c r="F799" s="6" t="str">
        <f>IFERROR(INDEX([1]Clients!F:F, MATCH(A799, [1]Clients!A:A, 0)), "")</f>
        <v/>
      </c>
    </row>
    <row r="800" spans="2:6" x14ac:dyDescent="0.45">
      <c r="B800" s="5" t="str">
        <f>IFERROR(INDEX([1]Clients!$D:$D, MATCH(A800, [1]Clients!$A:$A, 0)), "")</f>
        <v/>
      </c>
      <c r="E800" s="1" t="str">
        <f>IF(OR(D800="",D800=0),"",D800-SUMIFS('Lessons Log'!$E:$E,'Lessons Log'!$C:$C,A800,'Lessons Log'!$D:$D,"*Package*"))</f>
        <v/>
      </c>
      <c r="F800" s="6" t="str">
        <f>IFERROR(INDEX([1]Clients!F:F, MATCH(A800, [1]Clients!A:A, 0)), "")</f>
        <v/>
      </c>
    </row>
    <row r="801" spans="2:6" x14ac:dyDescent="0.45">
      <c r="B801" s="5" t="str">
        <f>IFERROR(INDEX([1]Clients!$D:$D, MATCH(A801, [1]Clients!$A:$A, 0)), "")</f>
        <v/>
      </c>
      <c r="E801" s="1" t="str">
        <f>IF(OR(D801="",D801=0),"",D801-SUMIFS('Lessons Log'!$E:$E,'Lessons Log'!$C:$C,A801,'Lessons Log'!$D:$D,"*Package*"))</f>
        <v/>
      </c>
      <c r="F801" s="6" t="str">
        <f>IFERROR(INDEX([1]Clients!F:F, MATCH(A801, [1]Clients!A:A, 0)), "")</f>
        <v/>
      </c>
    </row>
    <row r="802" spans="2:6" x14ac:dyDescent="0.45">
      <c r="B802" s="5" t="str">
        <f>IFERROR(INDEX([1]Clients!$D:$D, MATCH(A802, [1]Clients!$A:$A, 0)), "")</f>
        <v/>
      </c>
      <c r="E802" s="1" t="str">
        <f>IF(OR(D802="",D802=0),"",D802-SUMIFS('Lessons Log'!$E:$E,'Lessons Log'!$C:$C,A802,'Lessons Log'!$D:$D,"*Package*"))</f>
        <v/>
      </c>
      <c r="F802" s="6" t="str">
        <f>IFERROR(INDEX([1]Clients!F:F, MATCH(A802, [1]Clients!A:A, 0)), "")</f>
        <v/>
      </c>
    </row>
    <row r="803" spans="2:6" x14ac:dyDescent="0.45">
      <c r="B803" s="5" t="str">
        <f>IFERROR(INDEX([1]Clients!$D:$D, MATCH(A803, [1]Clients!$A:$A, 0)), "")</f>
        <v/>
      </c>
      <c r="E803" s="1" t="str">
        <f>IF(OR(D803="",D803=0),"",D803-SUMIFS('Lessons Log'!$E:$E,'Lessons Log'!$C:$C,A803,'Lessons Log'!$D:$D,"*Package*"))</f>
        <v/>
      </c>
      <c r="F803" s="6" t="str">
        <f>IFERROR(INDEX([1]Clients!F:F, MATCH(A803, [1]Clients!A:A, 0)), "")</f>
        <v/>
      </c>
    </row>
    <row r="804" spans="2:6" x14ac:dyDescent="0.45">
      <c r="B804" s="5" t="str">
        <f>IFERROR(INDEX([1]Clients!$D:$D, MATCH(A804, [1]Clients!$A:$A, 0)), "")</f>
        <v/>
      </c>
      <c r="E804" s="1" t="str">
        <f>IF(OR(D804="",D804=0),"",D804-SUMIFS('Lessons Log'!$E:$E,'Lessons Log'!$C:$C,A804,'Lessons Log'!$D:$D,"*Package*"))</f>
        <v/>
      </c>
      <c r="F804" s="6" t="str">
        <f>IFERROR(INDEX([1]Clients!F:F, MATCH(A804, [1]Clients!A:A, 0)), "")</f>
        <v/>
      </c>
    </row>
    <row r="805" spans="2:6" x14ac:dyDescent="0.45">
      <c r="B805" s="5" t="str">
        <f>IFERROR(INDEX([1]Clients!$D:$D, MATCH(A805, [1]Clients!$A:$A, 0)), "")</f>
        <v/>
      </c>
      <c r="E805" s="1" t="str">
        <f>IF(OR(D805="",D805=0),"",D805-SUMIFS('Lessons Log'!$E:$E,'Lessons Log'!$C:$C,A805,'Lessons Log'!$D:$D,"*Package*"))</f>
        <v/>
      </c>
      <c r="F805" s="6" t="str">
        <f>IFERROR(INDEX([1]Clients!F:F, MATCH(A805, [1]Clients!A:A, 0)), "")</f>
        <v/>
      </c>
    </row>
    <row r="806" spans="2:6" x14ac:dyDescent="0.45">
      <c r="B806" s="5" t="str">
        <f>IFERROR(INDEX([1]Clients!$D:$D, MATCH(A806, [1]Clients!$A:$A, 0)), "")</f>
        <v/>
      </c>
      <c r="E806" s="1" t="str">
        <f>IF(OR(D806="",D806=0),"",D806-SUMIFS('Lessons Log'!$E:$E,'Lessons Log'!$C:$C,A806,'Lessons Log'!$D:$D,"*Package*"))</f>
        <v/>
      </c>
      <c r="F806" s="6" t="str">
        <f>IFERROR(INDEX([1]Clients!F:F, MATCH(A806, [1]Clients!A:A, 0)), "")</f>
        <v/>
      </c>
    </row>
    <row r="807" spans="2:6" x14ac:dyDescent="0.45">
      <c r="B807" s="5" t="str">
        <f>IFERROR(INDEX([1]Clients!$D:$D, MATCH(A807, [1]Clients!$A:$A, 0)), "")</f>
        <v/>
      </c>
      <c r="E807" s="1" t="str">
        <f>IF(OR(D807="",D807=0),"",D807-SUMIFS('Lessons Log'!$E:$E,'Lessons Log'!$C:$C,A807,'Lessons Log'!$D:$D,"*Package*"))</f>
        <v/>
      </c>
      <c r="F807" s="6" t="str">
        <f>IFERROR(INDEX([1]Clients!F:F, MATCH(A807, [1]Clients!A:A, 0)), "")</f>
        <v/>
      </c>
    </row>
    <row r="808" spans="2:6" x14ac:dyDescent="0.45">
      <c r="B808" s="5" t="str">
        <f>IFERROR(INDEX([1]Clients!$D:$D, MATCH(A808, [1]Clients!$A:$A, 0)), "")</f>
        <v/>
      </c>
      <c r="E808" s="1" t="str">
        <f>IF(OR(D808="",D808=0),"",D808-SUMIFS('Lessons Log'!$E:$E,'Lessons Log'!$C:$C,A808,'Lessons Log'!$D:$D,"*Package*"))</f>
        <v/>
      </c>
      <c r="F808" s="6" t="str">
        <f>IFERROR(INDEX([1]Clients!F:F, MATCH(A808, [1]Clients!A:A, 0)), "")</f>
        <v/>
      </c>
    </row>
    <row r="809" spans="2:6" x14ac:dyDescent="0.45">
      <c r="B809" s="5" t="str">
        <f>IFERROR(INDEX([1]Clients!$D:$D, MATCH(A809, [1]Clients!$A:$A, 0)), "")</f>
        <v/>
      </c>
      <c r="E809" s="1" t="str">
        <f>IF(OR(D809="",D809=0),"",D809-SUMIFS('Lessons Log'!$E:$E,'Lessons Log'!$C:$C,A809,'Lessons Log'!$D:$D,"*Package*"))</f>
        <v/>
      </c>
      <c r="F809" s="6" t="str">
        <f>IFERROR(INDEX([1]Clients!F:F, MATCH(A809, [1]Clients!A:A, 0)), "")</f>
        <v/>
      </c>
    </row>
    <row r="810" spans="2:6" x14ac:dyDescent="0.45">
      <c r="B810" s="5" t="str">
        <f>IFERROR(INDEX([1]Clients!$D:$D, MATCH(A810, [1]Clients!$A:$A, 0)), "")</f>
        <v/>
      </c>
      <c r="E810" s="1" t="str">
        <f>IF(OR(D810="",D810=0),"",D810-SUMIFS('Lessons Log'!$E:$E,'Lessons Log'!$C:$C,A810,'Lessons Log'!$D:$D,"*Package*"))</f>
        <v/>
      </c>
      <c r="F810" s="6" t="str">
        <f>IFERROR(INDEX([1]Clients!F:F, MATCH(A810, [1]Clients!A:A, 0)), "")</f>
        <v/>
      </c>
    </row>
    <row r="811" spans="2:6" x14ac:dyDescent="0.45">
      <c r="B811" s="5" t="str">
        <f>IFERROR(INDEX([1]Clients!$D:$D, MATCH(A811, [1]Clients!$A:$A, 0)), "")</f>
        <v/>
      </c>
      <c r="E811" s="1" t="str">
        <f>IF(OR(D811="",D811=0),"",D811-SUMIFS('Lessons Log'!$E:$E,'Lessons Log'!$C:$C,A811,'Lessons Log'!$D:$D,"*Package*"))</f>
        <v/>
      </c>
      <c r="F811" s="6" t="str">
        <f>IFERROR(INDEX([1]Clients!F:F, MATCH(A811, [1]Clients!A:A, 0)), "")</f>
        <v/>
      </c>
    </row>
    <row r="812" spans="2:6" x14ac:dyDescent="0.45">
      <c r="B812" s="5" t="str">
        <f>IFERROR(INDEX([1]Clients!$D:$D, MATCH(A812, [1]Clients!$A:$A, 0)), "")</f>
        <v/>
      </c>
      <c r="E812" s="1" t="str">
        <f>IF(OR(D812="",D812=0),"",D812-SUMIFS('Lessons Log'!$E:$E,'Lessons Log'!$C:$C,A812,'Lessons Log'!$D:$D,"*Package*"))</f>
        <v/>
      </c>
      <c r="F812" s="6" t="str">
        <f>IFERROR(INDEX([1]Clients!F:F, MATCH(A812, [1]Clients!A:A, 0)), "")</f>
        <v/>
      </c>
    </row>
    <row r="813" spans="2:6" x14ac:dyDescent="0.45">
      <c r="B813" s="5" t="str">
        <f>IFERROR(INDEX([1]Clients!$D:$D, MATCH(A813, [1]Clients!$A:$A, 0)), "")</f>
        <v/>
      </c>
      <c r="E813" s="1" t="str">
        <f>IF(OR(D813="",D813=0),"",D813-SUMIFS('Lessons Log'!$E:$E,'Lessons Log'!$C:$C,A813,'Lessons Log'!$D:$D,"*Package*"))</f>
        <v/>
      </c>
      <c r="F813" s="6" t="str">
        <f>IFERROR(INDEX([1]Clients!F:F, MATCH(A813, [1]Clients!A:A, 0)), "")</f>
        <v/>
      </c>
    </row>
    <row r="814" spans="2:6" x14ac:dyDescent="0.45">
      <c r="B814" s="5" t="str">
        <f>IFERROR(INDEX([1]Clients!$D:$D, MATCH(A814, [1]Clients!$A:$A, 0)), "")</f>
        <v/>
      </c>
      <c r="E814" s="1" t="str">
        <f>IF(OR(D814="",D814=0),"",D814-SUMIFS('Lessons Log'!$E:$E,'Lessons Log'!$C:$C,A814,'Lessons Log'!$D:$D,"*Package*"))</f>
        <v/>
      </c>
      <c r="F814" s="6" t="str">
        <f>IFERROR(INDEX([1]Clients!F:F, MATCH(A814, [1]Clients!A:A, 0)), "")</f>
        <v/>
      </c>
    </row>
    <row r="815" spans="2:6" x14ac:dyDescent="0.45">
      <c r="B815" s="5" t="str">
        <f>IFERROR(INDEX([1]Clients!$D:$D, MATCH(A815, [1]Clients!$A:$A, 0)), "")</f>
        <v/>
      </c>
      <c r="E815" s="1" t="str">
        <f>IF(OR(D815="",D815=0),"",D815-SUMIFS('Lessons Log'!$E:$E,'Lessons Log'!$C:$C,A815,'Lessons Log'!$D:$D,"*Package*"))</f>
        <v/>
      </c>
      <c r="F815" s="6" t="str">
        <f>IFERROR(INDEX([1]Clients!F:F, MATCH(A815, [1]Clients!A:A, 0)), "")</f>
        <v/>
      </c>
    </row>
    <row r="816" spans="2:6" x14ac:dyDescent="0.45">
      <c r="B816" s="5" t="str">
        <f>IFERROR(INDEX([1]Clients!$D:$D, MATCH(A816, [1]Clients!$A:$A, 0)), "")</f>
        <v/>
      </c>
      <c r="E816" s="1" t="str">
        <f>IF(OR(D816="",D816=0),"",D816-SUMIFS('Lessons Log'!$E:$E,'Lessons Log'!$C:$C,A816,'Lessons Log'!$D:$D,"*Package*"))</f>
        <v/>
      </c>
      <c r="F816" s="6" t="str">
        <f>IFERROR(INDEX([1]Clients!F:F, MATCH(A816, [1]Clients!A:A, 0)), "")</f>
        <v/>
      </c>
    </row>
    <row r="817" spans="2:6" x14ac:dyDescent="0.45">
      <c r="B817" s="5" t="str">
        <f>IFERROR(INDEX([1]Clients!$D:$D, MATCH(A817, [1]Clients!$A:$A, 0)), "")</f>
        <v/>
      </c>
      <c r="E817" s="1" t="str">
        <f>IF(OR(D817="",D817=0),"",D817-SUMIFS('Lessons Log'!$E:$E,'Lessons Log'!$C:$C,A817,'Lessons Log'!$D:$D,"*Package*"))</f>
        <v/>
      </c>
      <c r="F817" s="6" t="str">
        <f>IFERROR(INDEX([1]Clients!F:F, MATCH(A817, [1]Clients!A:A, 0)), "")</f>
        <v/>
      </c>
    </row>
    <row r="818" spans="2:6" x14ac:dyDescent="0.45">
      <c r="B818" s="5" t="str">
        <f>IFERROR(INDEX([1]Clients!$D:$D, MATCH(A818, [1]Clients!$A:$A, 0)), "")</f>
        <v/>
      </c>
      <c r="E818" s="1" t="str">
        <f>IF(OR(D818="",D818=0),"",D818-SUMIFS('Lessons Log'!$E:$E,'Lessons Log'!$C:$C,A818,'Lessons Log'!$D:$D,"*Package*"))</f>
        <v/>
      </c>
      <c r="F818" s="6" t="str">
        <f>IFERROR(INDEX([1]Clients!F:F, MATCH(A818, [1]Clients!A:A, 0)), "")</f>
        <v/>
      </c>
    </row>
    <row r="819" spans="2:6" x14ac:dyDescent="0.45">
      <c r="B819" s="5" t="str">
        <f>IFERROR(INDEX([1]Clients!$D:$D, MATCH(A819, [1]Clients!$A:$A, 0)), "")</f>
        <v/>
      </c>
      <c r="E819" s="1" t="str">
        <f>IF(OR(D819="",D819=0),"",D819-SUMIFS('Lessons Log'!$E:$E,'Lessons Log'!$C:$C,A819,'Lessons Log'!$D:$D,"*Package*"))</f>
        <v/>
      </c>
      <c r="F819" s="6" t="str">
        <f>IFERROR(INDEX([1]Clients!F:F, MATCH(A819, [1]Clients!A:A, 0)), "")</f>
        <v/>
      </c>
    </row>
    <row r="820" spans="2:6" x14ac:dyDescent="0.45">
      <c r="B820" s="5" t="str">
        <f>IFERROR(INDEX([1]Clients!$D:$D, MATCH(A820, [1]Clients!$A:$A, 0)), "")</f>
        <v/>
      </c>
      <c r="E820" s="1" t="str">
        <f>IF(OR(D820="",D820=0),"",D820-SUMIFS('Lessons Log'!$E:$E,'Lessons Log'!$C:$C,A820,'Lessons Log'!$D:$D,"*Package*"))</f>
        <v/>
      </c>
      <c r="F820" s="6" t="str">
        <f>IFERROR(INDEX([1]Clients!F:F, MATCH(A820, [1]Clients!A:A, 0)), "")</f>
        <v/>
      </c>
    </row>
    <row r="821" spans="2:6" x14ac:dyDescent="0.45">
      <c r="B821" s="5" t="str">
        <f>IFERROR(INDEX([1]Clients!$D:$D, MATCH(A821, [1]Clients!$A:$A, 0)), "")</f>
        <v/>
      </c>
      <c r="E821" s="1" t="str">
        <f>IF(OR(D821="",D821=0),"",D821-SUMIFS('Lessons Log'!$E:$E,'Lessons Log'!$C:$C,A821,'Lessons Log'!$D:$D,"*Package*"))</f>
        <v/>
      </c>
      <c r="F821" s="6" t="str">
        <f>IFERROR(INDEX([1]Clients!F:F, MATCH(A821, [1]Clients!A:A, 0)), "")</f>
        <v/>
      </c>
    </row>
    <row r="822" spans="2:6" x14ac:dyDescent="0.45">
      <c r="B822" s="5" t="str">
        <f>IFERROR(INDEX([1]Clients!$D:$D, MATCH(A822, [1]Clients!$A:$A, 0)), "")</f>
        <v/>
      </c>
      <c r="E822" s="1" t="str">
        <f>IF(OR(D822="",D822=0),"",D822-SUMIFS('Lessons Log'!$E:$E,'Lessons Log'!$C:$C,A822,'Lessons Log'!$D:$D,"*Package*"))</f>
        <v/>
      </c>
      <c r="F822" s="6" t="str">
        <f>IFERROR(INDEX([1]Clients!F:F, MATCH(A822, [1]Clients!A:A, 0)), "")</f>
        <v/>
      </c>
    </row>
    <row r="823" spans="2:6" x14ac:dyDescent="0.45">
      <c r="B823" s="5" t="str">
        <f>IFERROR(INDEX([1]Clients!$D:$D, MATCH(A823, [1]Clients!$A:$A, 0)), "")</f>
        <v/>
      </c>
      <c r="E823" s="1" t="str">
        <f>IF(OR(D823="",D823=0),"",D823-SUMIFS('Lessons Log'!$E:$E,'Lessons Log'!$C:$C,A823,'Lessons Log'!$D:$D,"*Package*"))</f>
        <v/>
      </c>
      <c r="F823" s="6" t="str">
        <f>IFERROR(INDEX([1]Clients!F:F, MATCH(A823, [1]Clients!A:A, 0)), "")</f>
        <v/>
      </c>
    </row>
    <row r="824" spans="2:6" x14ac:dyDescent="0.45">
      <c r="B824" s="5" t="str">
        <f>IFERROR(INDEX([1]Clients!$D:$D, MATCH(A824, [1]Clients!$A:$A, 0)), "")</f>
        <v/>
      </c>
      <c r="E824" s="1" t="str">
        <f>IF(OR(D824="",D824=0),"",D824-SUMIFS('Lessons Log'!$E:$E,'Lessons Log'!$C:$C,A824,'Lessons Log'!$D:$D,"*Package*"))</f>
        <v/>
      </c>
      <c r="F824" s="6" t="str">
        <f>IFERROR(INDEX([1]Clients!F:F, MATCH(A824, [1]Clients!A:A, 0)), "")</f>
        <v/>
      </c>
    </row>
    <row r="825" spans="2:6" x14ac:dyDescent="0.45">
      <c r="B825" s="5" t="str">
        <f>IFERROR(INDEX([1]Clients!$D:$D, MATCH(A825, [1]Clients!$A:$A, 0)), "")</f>
        <v/>
      </c>
      <c r="E825" s="1" t="str">
        <f>IF(OR(D825="",D825=0),"",D825-SUMIFS('Lessons Log'!$E:$E,'Lessons Log'!$C:$C,A825,'Lessons Log'!$D:$D,"*Package*"))</f>
        <v/>
      </c>
      <c r="F825" s="6" t="str">
        <f>IFERROR(INDEX([1]Clients!F:F, MATCH(A825, [1]Clients!A:A, 0)), "")</f>
        <v/>
      </c>
    </row>
    <row r="826" spans="2:6" x14ac:dyDescent="0.45">
      <c r="B826" s="5" t="str">
        <f>IFERROR(INDEX([1]Clients!$D:$D, MATCH(A826, [1]Clients!$A:$A, 0)), "")</f>
        <v/>
      </c>
      <c r="E826" s="1" t="str">
        <f>IF(OR(D826="",D826=0),"",D826-SUMIFS('Lessons Log'!$E:$E,'Lessons Log'!$C:$C,A826,'Lessons Log'!$D:$D,"*Package*"))</f>
        <v/>
      </c>
      <c r="F826" s="6" t="str">
        <f>IFERROR(INDEX([1]Clients!F:F, MATCH(A826, [1]Clients!A:A, 0)), "")</f>
        <v/>
      </c>
    </row>
    <row r="827" spans="2:6" x14ac:dyDescent="0.45">
      <c r="B827" s="5" t="str">
        <f>IFERROR(INDEX([1]Clients!$D:$D, MATCH(A827, [1]Clients!$A:$A, 0)), "")</f>
        <v/>
      </c>
      <c r="E827" s="1" t="str">
        <f>IF(OR(D827="",D827=0),"",D827-SUMIFS('Lessons Log'!$E:$E,'Lessons Log'!$C:$C,A827,'Lessons Log'!$D:$D,"*Package*"))</f>
        <v/>
      </c>
      <c r="F827" s="6" t="str">
        <f>IFERROR(INDEX([1]Clients!F:F, MATCH(A827, [1]Clients!A:A, 0)), "")</f>
        <v/>
      </c>
    </row>
    <row r="828" spans="2:6" x14ac:dyDescent="0.45">
      <c r="B828" s="5" t="str">
        <f>IFERROR(INDEX([1]Clients!$D:$D, MATCH(A828, [1]Clients!$A:$A, 0)), "")</f>
        <v/>
      </c>
      <c r="E828" s="1" t="str">
        <f>IF(OR(D828="",D828=0),"",D828-SUMIFS('Lessons Log'!$E:$E,'Lessons Log'!$C:$C,A828,'Lessons Log'!$D:$D,"*Package*"))</f>
        <v/>
      </c>
      <c r="F828" s="6" t="str">
        <f>IFERROR(INDEX([1]Clients!F:F, MATCH(A828, [1]Clients!A:A, 0)), "")</f>
        <v/>
      </c>
    </row>
    <row r="829" spans="2:6" x14ac:dyDescent="0.45">
      <c r="B829" s="5" t="str">
        <f>IFERROR(INDEX([1]Clients!$D:$D, MATCH(A829, [1]Clients!$A:$A, 0)), "")</f>
        <v/>
      </c>
      <c r="E829" s="1" t="str">
        <f>IF(OR(D829="",D829=0),"",D829-SUMIFS('Lessons Log'!$E:$E,'Lessons Log'!$C:$C,A829,'Lessons Log'!$D:$D,"*Package*"))</f>
        <v/>
      </c>
      <c r="F829" s="6" t="str">
        <f>IFERROR(INDEX([1]Clients!F:F, MATCH(A829, [1]Clients!A:A, 0)), "")</f>
        <v/>
      </c>
    </row>
    <row r="830" spans="2:6" x14ac:dyDescent="0.45">
      <c r="B830" s="5" t="str">
        <f>IFERROR(INDEX([1]Clients!$D:$D, MATCH(A830, [1]Clients!$A:$A, 0)), "")</f>
        <v/>
      </c>
      <c r="E830" s="1" t="str">
        <f>IF(OR(D830="",D830=0),"",D830-SUMIFS('Lessons Log'!$E:$E,'Lessons Log'!$C:$C,A830,'Lessons Log'!$D:$D,"*Package*"))</f>
        <v/>
      </c>
      <c r="F830" s="6" t="str">
        <f>IFERROR(INDEX([1]Clients!F:F, MATCH(A830, [1]Clients!A:A, 0)), "")</f>
        <v/>
      </c>
    </row>
    <row r="831" spans="2:6" x14ac:dyDescent="0.45">
      <c r="B831" s="5" t="str">
        <f>IFERROR(INDEX([1]Clients!$D:$D, MATCH(A831, [1]Clients!$A:$A, 0)), "")</f>
        <v/>
      </c>
      <c r="E831" s="1" t="str">
        <f>IF(OR(D831="",D831=0),"",D831-SUMIFS('Lessons Log'!$E:$E,'Lessons Log'!$C:$C,A831,'Lessons Log'!$D:$D,"*Package*"))</f>
        <v/>
      </c>
      <c r="F831" s="6" t="str">
        <f>IFERROR(INDEX([1]Clients!F:F, MATCH(A831, [1]Clients!A:A, 0)), "")</f>
        <v/>
      </c>
    </row>
    <row r="832" spans="2:6" x14ac:dyDescent="0.45">
      <c r="B832" s="5" t="str">
        <f>IFERROR(INDEX([1]Clients!$D:$D, MATCH(A832, [1]Clients!$A:$A, 0)), "")</f>
        <v/>
      </c>
      <c r="E832" s="1" t="str">
        <f>IF(OR(D832="",D832=0),"",D832-SUMIFS('Lessons Log'!$E:$E,'Lessons Log'!$C:$C,A832,'Lessons Log'!$D:$D,"*Package*"))</f>
        <v/>
      </c>
      <c r="F832" s="6" t="str">
        <f>IFERROR(INDEX([1]Clients!F:F, MATCH(A832, [1]Clients!A:A, 0)), "")</f>
        <v/>
      </c>
    </row>
    <row r="833" spans="2:6" x14ac:dyDescent="0.45">
      <c r="B833" s="5" t="str">
        <f>IFERROR(INDEX([1]Clients!$D:$D, MATCH(A833, [1]Clients!$A:$A, 0)), "")</f>
        <v/>
      </c>
      <c r="E833" s="1" t="str">
        <f>IF(OR(D833="",D833=0),"",D833-SUMIFS('Lessons Log'!$E:$E,'Lessons Log'!$C:$C,A833,'Lessons Log'!$D:$D,"*Package*"))</f>
        <v/>
      </c>
      <c r="F833" s="6" t="str">
        <f>IFERROR(INDEX([1]Clients!F:F, MATCH(A833, [1]Clients!A:A, 0)), "")</f>
        <v/>
      </c>
    </row>
    <row r="834" spans="2:6" x14ac:dyDescent="0.45">
      <c r="B834" s="5" t="str">
        <f>IFERROR(INDEX([1]Clients!$D:$D, MATCH(A834, [1]Clients!$A:$A, 0)), "")</f>
        <v/>
      </c>
      <c r="E834" s="1" t="str">
        <f>IF(OR(D834="",D834=0),"",D834-SUMIFS('Lessons Log'!$E:$E,'Lessons Log'!$C:$C,A834,'Lessons Log'!$D:$D,"*Package*"))</f>
        <v/>
      </c>
      <c r="F834" s="6" t="str">
        <f>IFERROR(INDEX([1]Clients!F:F, MATCH(A834, [1]Clients!A:A, 0)), "")</f>
        <v/>
      </c>
    </row>
    <row r="835" spans="2:6" x14ac:dyDescent="0.45">
      <c r="B835" s="5" t="str">
        <f>IFERROR(INDEX([1]Clients!$D:$D, MATCH(A835, [1]Clients!$A:$A, 0)), "")</f>
        <v/>
      </c>
      <c r="E835" s="1" t="str">
        <f>IF(OR(D835="",D835=0),"",D835-SUMIFS('Lessons Log'!$E:$E,'Lessons Log'!$C:$C,A835,'Lessons Log'!$D:$D,"*Package*"))</f>
        <v/>
      </c>
      <c r="F835" s="6" t="str">
        <f>IFERROR(INDEX([1]Clients!F:F, MATCH(A835, [1]Clients!A:A, 0)), "")</f>
        <v/>
      </c>
    </row>
    <row r="836" spans="2:6" x14ac:dyDescent="0.45">
      <c r="B836" s="5" t="str">
        <f>IFERROR(INDEX([1]Clients!$D:$D, MATCH(A836, [1]Clients!$A:$A, 0)), "")</f>
        <v/>
      </c>
      <c r="E836" s="1" t="str">
        <f>IF(OR(D836="",D836=0),"",D836-SUMIFS('Lessons Log'!$E:$E,'Lessons Log'!$C:$C,A836,'Lessons Log'!$D:$D,"*Package*"))</f>
        <v/>
      </c>
      <c r="F836" s="6" t="str">
        <f>IFERROR(INDEX([1]Clients!F:F, MATCH(A836, [1]Clients!A:A, 0)), "")</f>
        <v/>
      </c>
    </row>
    <row r="837" spans="2:6" x14ac:dyDescent="0.45">
      <c r="B837" s="5" t="str">
        <f>IFERROR(INDEX([1]Clients!$D:$D, MATCH(A837, [1]Clients!$A:$A, 0)), "")</f>
        <v/>
      </c>
      <c r="E837" s="1" t="str">
        <f>IF(OR(D837="",D837=0),"",D837-SUMIFS('Lessons Log'!$E:$E,'Lessons Log'!$C:$C,A837,'Lessons Log'!$D:$D,"*Package*"))</f>
        <v/>
      </c>
      <c r="F837" s="6" t="str">
        <f>IFERROR(INDEX([1]Clients!F:F, MATCH(A837, [1]Clients!A:A, 0)), "")</f>
        <v/>
      </c>
    </row>
    <row r="838" spans="2:6" x14ac:dyDescent="0.45">
      <c r="B838" s="5" t="str">
        <f>IFERROR(INDEX([1]Clients!$D:$D, MATCH(A838, [1]Clients!$A:$A, 0)), "")</f>
        <v/>
      </c>
      <c r="E838" s="1" t="str">
        <f>IF(OR(D838="",D838=0),"",D838-SUMIFS('Lessons Log'!$E:$E,'Lessons Log'!$C:$C,A838,'Lessons Log'!$D:$D,"*Package*"))</f>
        <v/>
      </c>
      <c r="F838" s="6" t="str">
        <f>IFERROR(INDEX([1]Clients!F:F, MATCH(A838, [1]Clients!A:A, 0)), "")</f>
        <v/>
      </c>
    </row>
    <row r="839" spans="2:6" x14ac:dyDescent="0.45">
      <c r="B839" s="5" t="str">
        <f>IFERROR(INDEX([1]Clients!$D:$D, MATCH(A839, [1]Clients!$A:$A, 0)), "")</f>
        <v/>
      </c>
      <c r="E839" s="1" t="str">
        <f>IF(OR(D839="",D839=0),"",D839-SUMIFS('Lessons Log'!$E:$E,'Lessons Log'!$C:$C,A839,'Lessons Log'!$D:$D,"*Package*"))</f>
        <v/>
      </c>
      <c r="F839" s="6" t="str">
        <f>IFERROR(INDEX([1]Clients!F:F, MATCH(A839, [1]Clients!A:A, 0)), "")</f>
        <v/>
      </c>
    </row>
    <row r="840" spans="2:6" x14ac:dyDescent="0.45">
      <c r="B840" s="5" t="str">
        <f>IFERROR(INDEX([1]Clients!$D:$D, MATCH(A840, [1]Clients!$A:$A, 0)), "")</f>
        <v/>
      </c>
      <c r="E840" s="1" t="str">
        <f>IF(OR(D840="",D840=0),"",D840-SUMIFS('Lessons Log'!$E:$E,'Lessons Log'!$C:$C,A840,'Lessons Log'!$D:$D,"*Package*"))</f>
        <v/>
      </c>
      <c r="F840" s="6" t="str">
        <f>IFERROR(INDEX([1]Clients!F:F, MATCH(A840, [1]Clients!A:A, 0)), "")</f>
        <v/>
      </c>
    </row>
    <row r="841" spans="2:6" x14ac:dyDescent="0.45">
      <c r="B841" s="5" t="str">
        <f>IFERROR(INDEX([1]Clients!$D:$D, MATCH(A841, [1]Clients!$A:$A, 0)), "")</f>
        <v/>
      </c>
      <c r="E841" s="1" t="str">
        <f>IF(OR(D841="",D841=0),"",D841-SUMIFS('Lessons Log'!$E:$E,'Lessons Log'!$C:$C,A841,'Lessons Log'!$D:$D,"*Package*"))</f>
        <v/>
      </c>
      <c r="F841" s="6" t="str">
        <f>IFERROR(INDEX([1]Clients!F:F, MATCH(A841, [1]Clients!A:A, 0)), "")</f>
        <v/>
      </c>
    </row>
    <row r="842" spans="2:6" x14ac:dyDescent="0.45">
      <c r="B842" s="5" t="str">
        <f>IFERROR(INDEX([1]Clients!$D:$D, MATCH(A842, [1]Clients!$A:$A, 0)), "")</f>
        <v/>
      </c>
      <c r="E842" s="1" t="str">
        <f>IF(OR(D842="",D842=0),"",D842-SUMIFS('Lessons Log'!$E:$E,'Lessons Log'!$C:$C,A842,'Lessons Log'!$D:$D,"*Package*"))</f>
        <v/>
      </c>
      <c r="F842" s="6" t="str">
        <f>IFERROR(INDEX([1]Clients!F:F, MATCH(A842, [1]Clients!A:A, 0)), "")</f>
        <v/>
      </c>
    </row>
    <row r="843" spans="2:6" x14ac:dyDescent="0.45">
      <c r="B843" s="5" t="str">
        <f>IFERROR(INDEX([1]Clients!$D:$D, MATCH(A843, [1]Clients!$A:$A, 0)), "")</f>
        <v/>
      </c>
      <c r="E843" s="1" t="str">
        <f>IF(OR(D843="",D843=0),"",D843-SUMIFS('Lessons Log'!$E:$E,'Lessons Log'!$C:$C,A843,'Lessons Log'!$D:$D,"*Package*"))</f>
        <v/>
      </c>
      <c r="F843" s="6" t="str">
        <f>IFERROR(INDEX([1]Clients!F:F, MATCH(A843, [1]Clients!A:A, 0)), "")</f>
        <v/>
      </c>
    </row>
    <row r="844" spans="2:6" x14ac:dyDescent="0.45">
      <c r="B844" s="5" t="str">
        <f>IFERROR(INDEX([1]Clients!$D:$D, MATCH(A844, [1]Clients!$A:$A, 0)), "")</f>
        <v/>
      </c>
      <c r="E844" s="1" t="str">
        <f>IF(OR(D844="",D844=0),"",D844-SUMIFS('Lessons Log'!$E:$E,'Lessons Log'!$C:$C,A844,'Lessons Log'!$D:$D,"*Package*"))</f>
        <v/>
      </c>
      <c r="F844" s="6" t="str">
        <f>IFERROR(INDEX([1]Clients!F:F, MATCH(A844, [1]Clients!A:A, 0)), "")</f>
        <v/>
      </c>
    </row>
    <row r="845" spans="2:6" x14ac:dyDescent="0.45">
      <c r="B845" s="5" t="str">
        <f>IFERROR(INDEX([1]Clients!$D:$D, MATCH(A845, [1]Clients!$A:$A, 0)), "")</f>
        <v/>
      </c>
      <c r="E845" s="1" t="str">
        <f>IF(OR(D845="",D845=0),"",D845-SUMIFS('Lessons Log'!$E:$E,'Lessons Log'!$C:$C,A845,'Lessons Log'!$D:$D,"*Package*"))</f>
        <v/>
      </c>
      <c r="F845" s="6" t="str">
        <f>IFERROR(INDEX([1]Clients!F:F, MATCH(A845, [1]Clients!A:A, 0)), "")</f>
        <v/>
      </c>
    </row>
    <row r="846" spans="2:6" x14ac:dyDescent="0.45">
      <c r="B846" s="5" t="str">
        <f>IFERROR(INDEX([1]Clients!$D:$D, MATCH(A846, [1]Clients!$A:$A, 0)), "")</f>
        <v/>
      </c>
      <c r="E846" s="1" t="str">
        <f>IF(OR(D846="",D846=0),"",D846-SUMIFS('Lessons Log'!$E:$E,'Lessons Log'!$C:$C,A846,'Lessons Log'!$D:$D,"*Package*"))</f>
        <v/>
      </c>
      <c r="F846" s="6" t="str">
        <f>IFERROR(INDEX([1]Clients!F:F, MATCH(A846, [1]Clients!A:A, 0)), "")</f>
        <v/>
      </c>
    </row>
    <row r="847" spans="2:6" x14ac:dyDescent="0.45">
      <c r="B847" s="5" t="str">
        <f>IFERROR(INDEX([1]Clients!$D:$D, MATCH(A847, [1]Clients!$A:$A, 0)), "")</f>
        <v/>
      </c>
      <c r="E847" s="1" t="str">
        <f>IF(OR(D847="",D847=0),"",D847-SUMIFS('Lessons Log'!$E:$E,'Lessons Log'!$C:$C,A847,'Lessons Log'!$D:$D,"*Package*"))</f>
        <v/>
      </c>
      <c r="F847" s="6" t="str">
        <f>IFERROR(INDEX([1]Clients!F:F, MATCH(A847, [1]Clients!A:A, 0)), "")</f>
        <v/>
      </c>
    </row>
    <row r="848" spans="2:6" x14ac:dyDescent="0.45">
      <c r="B848" s="5" t="str">
        <f>IFERROR(INDEX([1]Clients!$D:$D, MATCH(A848, [1]Clients!$A:$A, 0)), "")</f>
        <v/>
      </c>
      <c r="E848" s="1" t="str">
        <f>IF(OR(D848="",D848=0),"",D848-SUMIFS('Lessons Log'!$E:$E,'Lessons Log'!$C:$C,A848,'Lessons Log'!$D:$D,"*Package*"))</f>
        <v/>
      </c>
      <c r="F848" s="6" t="str">
        <f>IFERROR(INDEX([1]Clients!F:F, MATCH(A848, [1]Clients!A:A, 0)), "")</f>
        <v/>
      </c>
    </row>
    <row r="849" spans="2:6" x14ac:dyDescent="0.45">
      <c r="B849" s="5" t="str">
        <f>IFERROR(INDEX([1]Clients!$D:$D, MATCH(A849, [1]Clients!$A:$A, 0)), "")</f>
        <v/>
      </c>
      <c r="E849" s="1" t="str">
        <f>IF(OR(D849="",D849=0),"",D849-SUMIFS('Lessons Log'!$E:$E,'Lessons Log'!$C:$C,A849,'Lessons Log'!$D:$D,"*Package*"))</f>
        <v/>
      </c>
      <c r="F849" s="6" t="str">
        <f>IFERROR(INDEX([1]Clients!F:F, MATCH(A849, [1]Clients!A:A, 0)), "")</f>
        <v/>
      </c>
    </row>
    <row r="850" spans="2:6" x14ac:dyDescent="0.45">
      <c r="B850" s="5" t="str">
        <f>IFERROR(INDEX([1]Clients!$D:$D, MATCH(A850, [1]Clients!$A:$A, 0)), "")</f>
        <v/>
      </c>
      <c r="E850" s="1" t="str">
        <f>IF(OR(D850="",D850=0),"",D850-SUMIFS('Lessons Log'!$E:$E,'Lessons Log'!$C:$C,A850,'Lessons Log'!$D:$D,"*Package*"))</f>
        <v/>
      </c>
      <c r="F850" s="6" t="str">
        <f>IFERROR(INDEX([1]Clients!F:F, MATCH(A850, [1]Clients!A:A, 0)), "")</f>
        <v/>
      </c>
    </row>
    <row r="851" spans="2:6" x14ac:dyDescent="0.45">
      <c r="B851" s="5" t="str">
        <f>IFERROR(INDEX([1]Clients!$D:$D, MATCH(A851, [1]Clients!$A:$A, 0)), "")</f>
        <v/>
      </c>
      <c r="E851" s="1" t="str">
        <f>IF(OR(D851="",D851=0),"",D851-SUMIFS('Lessons Log'!$E:$E,'Lessons Log'!$C:$C,A851,'Lessons Log'!$D:$D,"*Package*"))</f>
        <v/>
      </c>
      <c r="F851" s="6" t="str">
        <f>IFERROR(INDEX([1]Clients!F:F, MATCH(A851, [1]Clients!A:A, 0)), "")</f>
        <v/>
      </c>
    </row>
    <row r="852" spans="2:6" x14ac:dyDescent="0.45">
      <c r="B852" s="5" t="str">
        <f>IFERROR(INDEX([1]Clients!$D:$D, MATCH(A852, [1]Clients!$A:$A, 0)), "")</f>
        <v/>
      </c>
      <c r="E852" s="1" t="str">
        <f>IF(OR(D852="",D852=0),"",D852-SUMIFS('Lessons Log'!$E:$E,'Lessons Log'!$C:$C,A852,'Lessons Log'!$D:$D,"*Package*"))</f>
        <v/>
      </c>
      <c r="F852" s="6" t="str">
        <f>IFERROR(INDEX([1]Clients!F:F, MATCH(A852, [1]Clients!A:A, 0)), "")</f>
        <v/>
      </c>
    </row>
    <row r="853" spans="2:6" x14ac:dyDescent="0.45">
      <c r="B853" s="5" t="str">
        <f>IFERROR(INDEX([1]Clients!$D:$D, MATCH(A853, [1]Clients!$A:$A, 0)), "")</f>
        <v/>
      </c>
      <c r="E853" s="1" t="str">
        <f>IF(OR(D853="",D853=0),"",D853-SUMIFS('Lessons Log'!$E:$E,'Lessons Log'!$C:$C,A853,'Lessons Log'!$D:$D,"*Package*"))</f>
        <v/>
      </c>
      <c r="F853" s="6" t="str">
        <f>IFERROR(INDEX([1]Clients!F:F, MATCH(A853, [1]Clients!A:A, 0)), "")</f>
        <v/>
      </c>
    </row>
    <row r="854" spans="2:6" x14ac:dyDescent="0.45">
      <c r="B854" s="5" t="str">
        <f>IFERROR(INDEX([1]Clients!$D:$D, MATCH(A854, [1]Clients!$A:$A, 0)), "")</f>
        <v/>
      </c>
      <c r="E854" s="1" t="str">
        <f>IF(OR(D854="",D854=0),"",D854-SUMIFS('Lessons Log'!$E:$E,'Lessons Log'!$C:$C,A854,'Lessons Log'!$D:$D,"*Package*"))</f>
        <v/>
      </c>
      <c r="F854" s="6" t="str">
        <f>IFERROR(INDEX([1]Clients!F:F, MATCH(A854, [1]Clients!A:A, 0)), "")</f>
        <v/>
      </c>
    </row>
    <row r="855" spans="2:6" x14ac:dyDescent="0.45">
      <c r="B855" s="5" t="str">
        <f>IFERROR(INDEX([1]Clients!$D:$D, MATCH(A855, [1]Clients!$A:$A, 0)), "")</f>
        <v/>
      </c>
      <c r="E855" s="1" t="str">
        <f>IF(OR(D855="",D855=0),"",D855-SUMIFS('Lessons Log'!$E:$E,'Lessons Log'!$C:$C,A855,'Lessons Log'!$D:$D,"*Package*"))</f>
        <v/>
      </c>
      <c r="F855" s="6" t="str">
        <f>IFERROR(INDEX([1]Clients!F:F, MATCH(A855, [1]Clients!A:A, 0)), "")</f>
        <v/>
      </c>
    </row>
    <row r="856" spans="2:6" x14ac:dyDescent="0.45">
      <c r="B856" s="5" t="str">
        <f>IFERROR(INDEX([1]Clients!$D:$D, MATCH(A856, [1]Clients!$A:$A, 0)), "")</f>
        <v/>
      </c>
      <c r="E856" s="1" t="str">
        <f>IF(OR(D856="",D856=0),"",D856-SUMIFS('Lessons Log'!$E:$E,'Lessons Log'!$C:$C,A856,'Lessons Log'!$D:$D,"*Package*"))</f>
        <v/>
      </c>
      <c r="F856" s="6" t="str">
        <f>IFERROR(INDEX([1]Clients!F:F, MATCH(A856, [1]Clients!A:A, 0)), "")</f>
        <v/>
      </c>
    </row>
    <row r="857" spans="2:6" x14ac:dyDescent="0.45">
      <c r="B857" s="5" t="str">
        <f>IFERROR(INDEX([1]Clients!$D:$D, MATCH(A857, [1]Clients!$A:$A, 0)), "")</f>
        <v/>
      </c>
      <c r="E857" s="1" t="str">
        <f>IF(OR(D857="",D857=0),"",D857-SUMIFS('Lessons Log'!$E:$E,'Lessons Log'!$C:$C,A857,'Lessons Log'!$D:$D,"*Package*"))</f>
        <v/>
      </c>
      <c r="F857" s="6" t="str">
        <f>IFERROR(INDEX([1]Clients!F:F, MATCH(A857, [1]Clients!A:A, 0)), "")</f>
        <v/>
      </c>
    </row>
    <row r="858" spans="2:6" x14ac:dyDescent="0.45">
      <c r="B858" s="5" t="str">
        <f>IFERROR(INDEX([1]Clients!$D:$D, MATCH(A858, [1]Clients!$A:$A, 0)), "")</f>
        <v/>
      </c>
      <c r="E858" s="1" t="str">
        <f>IF(OR(D858="",D858=0),"",D858-SUMIFS('Lessons Log'!$E:$E,'Lessons Log'!$C:$C,A858,'Lessons Log'!$D:$D,"*Package*"))</f>
        <v/>
      </c>
      <c r="F858" s="6" t="str">
        <f>IFERROR(INDEX([1]Clients!F:F, MATCH(A858, [1]Clients!A:A, 0)), "")</f>
        <v/>
      </c>
    </row>
    <row r="859" spans="2:6" x14ac:dyDescent="0.45">
      <c r="B859" s="5" t="str">
        <f>IFERROR(INDEX([1]Clients!$D:$D, MATCH(A859, [1]Clients!$A:$A, 0)), "")</f>
        <v/>
      </c>
      <c r="E859" s="1" t="str">
        <f>IF(OR(D859="",D859=0),"",D859-SUMIFS('Lessons Log'!$E:$E,'Lessons Log'!$C:$C,A859,'Lessons Log'!$D:$D,"*Package*"))</f>
        <v/>
      </c>
      <c r="F859" s="6" t="str">
        <f>IFERROR(INDEX([1]Clients!F:F, MATCH(A859, [1]Clients!A:A, 0)), "")</f>
        <v/>
      </c>
    </row>
    <row r="860" spans="2:6" x14ac:dyDescent="0.45">
      <c r="B860" s="5" t="str">
        <f>IFERROR(INDEX([1]Clients!$D:$D, MATCH(A860, [1]Clients!$A:$A, 0)), "")</f>
        <v/>
      </c>
      <c r="E860" s="1" t="str">
        <f>IF(OR(D860="",D860=0),"",D860-SUMIFS('Lessons Log'!$E:$E,'Lessons Log'!$C:$C,A860,'Lessons Log'!$D:$D,"*Package*"))</f>
        <v/>
      </c>
      <c r="F860" s="6" t="str">
        <f>IFERROR(INDEX([1]Clients!F:F, MATCH(A860, [1]Clients!A:A, 0)), "")</f>
        <v/>
      </c>
    </row>
    <row r="861" spans="2:6" x14ac:dyDescent="0.45">
      <c r="B861" s="5" t="str">
        <f>IFERROR(INDEX([1]Clients!$D:$D, MATCH(A861, [1]Clients!$A:$A, 0)), "")</f>
        <v/>
      </c>
      <c r="E861" s="1" t="str">
        <f>IF(OR(D861="",D861=0),"",D861-SUMIFS('Lessons Log'!$E:$E,'Lessons Log'!$C:$C,A861,'Lessons Log'!$D:$D,"*Package*"))</f>
        <v/>
      </c>
      <c r="F861" s="6" t="str">
        <f>IFERROR(INDEX([1]Clients!F:F, MATCH(A861, [1]Clients!A:A, 0)), "")</f>
        <v/>
      </c>
    </row>
    <row r="862" spans="2:6" x14ac:dyDescent="0.45">
      <c r="B862" s="5" t="str">
        <f>IFERROR(INDEX([1]Clients!$D:$D, MATCH(A862, [1]Clients!$A:$A, 0)), "")</f>
        <v/>
      </c>
      <c r="E862" s="1" t="str">
        <f>IF(OR(D862="",D862=0),"",D862-SUMIFS('Lessons Log'!$E:$E,'Lessons Log'!$C:$C,A862,'Lessons Log'!$D:$D,"*Package*"))</f>
        <v/>
      </c>
      <c r="F862" s="6" t="str">
        <f>IFERROR(INDEX([1]Clients!F:F, MATCH(A862, [1]Clients!A:A, 0)), "")</f>
        <v/>
      </c>
    </row>
    <row r="863" spans="2:6" x14ac:dyDescent="0.45">
      <c r="B863" s="5" t="str">
        <f>IFERROR(INDEX([1]Clients!$D:$D, MATCH(A863, [1]Clients!$A:$A, 0)), "")</f>
        <v/>
      </c>
      <c r="E863" s="1" t="str">
        <f>IF(OR(D863="",D863=0),"",D863-SUMIFS('Lessons Log'!$E:$E,'Lessons Log'!$C:$C,A863,'Lessons Log'!$D:$D,"*Package*"))</f>
        <v/>
      </c>
      <c r="F863" s="6" t="str">
        <f>IFERROR(INDEX([1]Clients!F:F, MATCH(A863, [1]Clients!A:A, 0)), "")</f>
        <v/>
      </c>
    </row>
    <row r="864" spans="2:6" x14ac:dyDescent="0.45">
      <c r="B864" s="5" t="str">
        <f>IFERROR(INDEX([1]Clients!$D:$D, MATCH(A864, [1]Clients!$A:$A, 0)), "")</f>
        <v/>
      </c>
      <c r="E864" s="1" t="str">
        <f>IF(OR(D864="",D864=0),"",D864-SUMIFS('Lessons Log'!$E:$E,'Lessons Log'!$C:$C,A864,'Lessons Log'!$D:$D,"*Package*"))</f>
        <v/>
      </c>
      <c r="F864" s="6" t="str">
        <f>IFERROR(INDEX([1]Clients!F:F, MATCH(A864, [1]Clients!A:A, 0)), "")</f>
        <v/>
      </c>
    </row>
    <row r="865" spans="2:6" x14ac:dyDescent="0.45">
      <c r="B865" s="5" t="str">
        <f>IFERROR(INDEX([1]Clients!$D:$D, MATCH(A865, [1]Clients!$A:$A, 0)), "")</f>
        <v/>
      </c>
      <c r="E865" s="1" t="str">
        <f>IF(OR(D865="",D865=0),"",D865-SUMIFS('Lessons Log'!$E:$E,'Lessons Log'!$C:$C,A865,'Lessons Log'!$D:$D,"*Package*"))</f>
        <v/>
      </c>
      <c r="F865" s="6" t="str">
        <f>IFERROR(INDEX([1]Clients!F:F, MATCH(A865, [1]Clients!A:A, 0)), "")</f>
        <v/>
      </c>
    </row>
    <row r="866" spans="2:6" x14ac:dyDescent="0.45">
      <c r="B866" s="5" t="str">
        <f>IFERROR(INDEX([1]Clients!$D:$D, MATCH(A866, [1]Clients!$A:$A, 0)), "")</f>
        <v/>
      </c>
      <c r="E866" s="1" t="str">
        <f>IF(OR(D866="",D866=0),"",D866-SUMIFS('Lessons Log'!$E:$E,'Lessons Log'!$C:$C,A866,'Lessons Log'!$D:$D,"*Package*"))</f>
        <v/>
      </c>
      <c r="F866" s="6" t="str">
        <f>IFERROR(INDEX([1]Clients!F:F, MATCH(A866, [1]Clients!A:A, 0)), "")</f>
        <v/>
      </c>
    </row>
    <row r="867" spans="2:6" x14ac:dyDescent="0.45">
      <c r="B867" s="5" t="str">
        <f>IFERROR(INDEX([1]Clients!$D:$D, MATCH(A867, [1]Clients!$A:$A, 0)), "")</f>
        <v/>
      </c>
      <c r="E867" s="1" t="str">
        <f>IF(OR(D867="",D867=0),"",D867-SUMIFS('Lessons Log'!$E:$E,'Lessons Log'!$C:$C,A867,'Lessons Log'!$D:$D,"*Package*"))</f>
        <v/>
      </c>
      <c r="F867" s="6" t="str">
        <f>IFERROR(INDEX([1]Clients!F:F, MATCH(A867, [1]Clients!A:A, 0)), "")</f>
        <v/>
      </c>
    </row>
    <row r="868" spans="2:6" x14ac:dyDescent="0.45">
      <c r="B868" s="5" t="str">
        <f>IFERROR(INDEX([1]Clients!$D:$D, MATCH(A868, [1]Clients!$A:$A, 0)), "")</f>
        <v/>
      </c>
      <c r="E868" s="1" t="str">
        <f>IF(OR(D868="",D868=0),"",D868-SUMIFS('Lessons Log'!$E:$E,'Lessons Log'!$C:$C,A868,'Lessons Log'!$D:$D,"*Package*"))</f>
        <v/>
      </c>
      <c r="F868" s="6" t="str">
        <f>IFERROR(INDEX([1]Clients!F:F, MATCH(A868, [1]Clients!A:A, 0)), "")</f>
        <v/>
      </c>
    </row>
    <row r="869" spans="2:6" x14ac:dyDescent="0.45">
      <c r="B869" s="5" t="str">
        <f>IFERROR(INDEX([1]Clients!$D:$D, MATCH(A869, [1]Clients!$A:$A, 0)), "")</f>
        <v/>
      </c>
      <c r="E869" s="1" t="str">
        <f>IF(OR(D869="",D869=0),"",D869-SUMIFS('Lessons Log'!$E:$E,'Lessons Log'!$C:$C,A869,'Lessons Log'!$D:$D,"*Package*"))</f>
        <v/>
      </c>
      <c r="F869" s="6" t="str">
        <f>IFERROR(INDEX([1]Clients!F:F, MATCH(A869, [1]Clients!A:A, 0)), "")</f>
        <v/>
      </c>
    </row>
    <row r="870" spans="2:6" x14ac:dyDescent="0.45">
      <c r="B870" s="5" t="str">
        <f>IFERROR(INDEX([1]Clients!$D:$D, MATCH(A870, [1]Clients!$A:$A, 0)), "")</f>
        <v/>
      </c>
      <c r="E870" s="1" t="str">
        <f>IF(OR(D870="",D870=0),"",D870-SUMIFS('Lessons Log'!$E:$E,'Lessons Log'!$C:$C,A870,'Lessons Log'!$D:$D,"*Package*"))</f>
        <v/>
      </c>
      <c r="F870" s="6" t="str">
        <f>IFERROR(INDEX([1]Clients!F:F, MATCH(A870, [1]Clients!A:A, 0)), "")</f>
        <v/>
      </c>
    </row>
    <row r="871" spans="2:6" x14ac:dyDescent="0.45">
      <c r="B871" s="5" t="str">
        <f>IFERROR(INDEX([1]Clients!$D:$D, MATCH(A871, [1]Clients!$A:$A, 0)), "")</f>
        <v/>
      </c>
      <c r="E871" s="1" t="str">
        <f>IF(OR(D871="",D871=0),"",D871-SUMIFS('Lessons Log'!$E:$E,'Lessons Log'!$C:$C,A871,'Lessons Log'!$D:$D,"*Package*"))</f>
        <v/>
      </c>
      <c r="F871" s="6" t="str">
        <f>IFERROR(INDEX([1]Clients!F:F, MATCH(A871, [1]Clients!A:A, 0)), "")</f>
        <v/>
      </c>
    </row>
    <row r="872" spans="2:6" x14ac:dyDescent="0.45">
      <c r="B872" s="5" t="str">
        <f>IFERROR(INDEX([1]Clients!$D:$D, MATCH(A872, [1]Clients!$A:$A, 0)), "")</f>
        <v/>
      </c>
      <c r="E872" s="1" t="str">
        <f>IF(OR(D872="",D872=0),"",D872-SUMIFS('Lessons Log'!$E:$E,'Lessons Log'!$C:$C,A872,'Lessons Log'!$D:$D,"*Package*"))</f>
        <v/>
      </c>
      <c r="F872" s="6" t="str">
        <f>IFERROR(INDEX([1]Clients!F:F, MATCH(A872, [1]Clients!A:A, 0)), "")</f>
        <v/>
      </c>
    </row>
    <row r="873" spans="2:6" x14ac:dyDescent="0.45">
      <c r="B873" s="5" t="str">
        <f>IFERROR(INDEX([1]Clients!$D:$D, MATCH(A873, [1]Clients!$A:$A, 0)), "")</f>
        <v/>
      </c>
      <c r="E873" s="1" t="str">
        <f>IF(OR(D873="",D873=0),"",D873-SUMIFS('Lessons Log'!$E:$E,'Lessons Log'!$C:$C,A873,'Lessons Log'!$D:$D,"*Package*"))</f>
        <v/>
      </c>
      <c r="F873" s="6" t="str">
        <f>IFERROR(INDEX([1]Clients!F:F, MATCH(A873, [1]Clients!A:A, 0)), "")</f>
        <v/>
      </c>
    </row>
    <row r="874" spans="2:6" x14ac:dyDescent="0.45">
      <c r="B874" s="5" t="str">
        <f>IFERROR(INDEX([1]Clients!$D:$D, MATCH(A874, [1]Clients!$A:$A, 0)), "")</f>
        <v/>
      </c>
      <c r="E874" s="1" t="str">
        <f>IF(OR(D874="",D874=0),"",D874-SUMIFS('Lessons Log'!$E:$E,'Lessons Log'!$C:$C,A874,'Lessons Log'!$D:$D,"*Package*"))</f>
        <v/>
      </c>
      <c r="F874" s="6" t="str">
        <f>IFERROR(INDEX([1]Clients!F:F, MATCH(A874, [1]Clients!A:A, 0)), "")</f>
        <v/>
      </c>
    </row>
    <row r="875" spans="2:6" x14ac:dyDescent="0.45">
      <c r="B875" s="5" t="str">
        <f>IFERROR(INDEX([1]Clients!$D:$D, MATCH(A875, [1]Clients!$A:$A, 0)), "")</f>
        <v/>
      </c>
      <c r="E875" s="1" t="str">
        <f>IF(OR(D875="",D875=0),"",D875-SUMIFS('Lessons Log'!$E:$E,'Lessons Log'!$C:$C,A875,'Lessons Log'!$D:$D,"*Package*"))</f>
        <v/>
      </c>
      <c r="F875" s="6" t="str">
        <f>IFERROR(INDEX([1]Clients!F:F, MATCH(A875, [1]Clients!A:A, 0)), "")</f>
        <v/>
      </c>
    </row>
    <row r="876" spans="2:6" x14ac:dyDescent="0.45">
      <c r="B876" s="5" t="str">
        <f>IFERROR(INDEX([1]Clients!$D:$D, MATCH(A876, [1]Clients!$A:$A, 0)), "")</f>
        <v/>
      </c>
      <c r="E876" s="1" t="str">
        <f>IF(OR(D876="",D876=0),"",D876-SUMIFS('Lessons Log'!$E:$E,'Lessons Log'!$C:$C,A876,'Lessons Log'!$D:$D,"*Package*"))</f>
        <v/>
      </c>
      <c r="F876" s="6" t="str">
        <f>IFERROR(INDEX([1]Clients!F:F, MATCH(A876, [1]Clients!A:A, 0)), "")</f>
        <v/>
      </c>
    </row>
    <row r="877" spans="2:6" x14ac:dyDescent="0.45">
      <c r="B877" s="5" t="str">
        <f>IFERROR(INDEX([1]Clients!$D:$D, MATCH(A877, [1]Clients!$A:$A, 0)), "")</f>
        <v/>
      </c>
      <c r="E877" s="1" t="str">
        <f>IF(OR(D877="",D877=0),"",D877-SUMIFS('Lessons Log'!$E:$E,'Lessons Log'!$C:$C,A877,'Lessons Log'!$D:$D,"*Package*"))</f>
        <v/>
      </c>
      <c r="F877" s="6" t="str">
        <f>IFERROR(INDEX([1]Clients!F:F, MATCH(A877, [1]Clients!A:A, 0)), "")</f>
        <v/>
      </c>
    </row>
    <row r="878" spans="2:6" x14ac:dyDescent="0.45">
      <c r="B878" s="5" t="str">
        <f>IFERROR(INDEX([1]Clients!$D:$D, MATCH(A878, [1]Clients!$A:$A, 0)), "")</f>
        <v/>
      </c>
      <c r="E878" s="1" t="str">
        <f>IF(OR(D878="",D878=0),"",D878-SUMIFS('Lessons Log'!$E:$E,'Lessons Log'!$C:$C,A878,'Lessons Log'!$D:$D,"*Package*"))</f>
        <v/>
      </c>
      <c r="F878" s="6" t="str">
        <f>IFERROR(INDEX([1]Clients!F:F, MATCH(A878, [1]Clients!A:A, 0)), "")</f>
        <v/>
      </c>
    </row>
    <row r="879" spans="2:6" x14ac:dyDescent="0.45">
      <c r="B879" s="5" t="str">
        <f>IFERROR(INDEX([1]Clients!$D:$D, MATCH(A879, [1]Clients!$A:$A, 0)), "")</f>
        <v/>
      </c>
      <c r="E879" s="1" t="str">
        <f>IF(OR(D879="",D879=0),"",D879-SUMIFS('Lessons Log'!$E:$E,'Lessons Log'!$C:$C,A879,'Lessons Log'!$D:$D,"*Package*"))</f>
        <v/>
      </c>
      <c r="F879" s="6" t="str">
        <f>IFERROR(INDEX([1]Clients!F:F, MATCH(A879, [1]Clients!A:A, 0)), "")</f>
        <v/>
      </c>
    </row>
    <row r="880" spans="2:6" x14ac:dyDescent="0.45">
      <c r="B880" s="5" t="str">
        <f>IFERROR(INDEX([1]Clients!$D:$D, MATCH(A880, [1]Clients!$A:$A, 0)), "")</f>
        <v/>
      </c>
      <c r="E880" s="1" t="str">
        <f>IF(OR(D880="",D880=0),"",D880-SUMIFS('Lessons Log'!$E:$E,'Lessons Log'!$C:$C,A880,'Lessons Log'!$D:$D,"*Package*"))</f>
        <v/>
      </c>
      <c r="F880" s="6" t="str">
        <f>IFERROR(INDEX([1]Clients!F:F, MATCH(A880, [1]Clients!A:A, 0)), "")</f>
        <v/>
      </c>
    </row>
    <row r="881" spans="2:6" x14ac:dyDescent="0.45">
      <c r="B881" s="5" t="str">
        <f>IFERROR(INDEX([1]Clients!$D:$D, MATCH(A881, [1]Clients!$A:$A, 0)), "")</f>
        <v/>
      </c>
      <c r="E881" s="1" t="str">
        <f>IF(OR(D881="",D881=0),"",D881-SUMIFS('Lessons Log'!$E:$E,'Lessons Log'!$C:$C,A881,'Lessons Log'!$D:$D,"*Package*"))</f>
        <v/>
      </c>
      <c r="F881" s="6" t="str">
        <f>IFERROR(INDEX([1]Clients!F:F, MATCH(A881, [1]Clients!A:A, 0)), "")</f>
        <v/>
      </c>
    </row>
    <row r="882" spans="2:6" x14ac:dyDescent="0.45">
      <c r="B882" s="5" t="str">
        <f>IFERROR(INDEX([1]Clients!$D:$D, MATCH(A882, [1]Clients!$A:$A, 0)), "")</f>
        <v/>
      </c>
      <c r="E882" s="1" t="str">
        <f>IF(OR(D882="",D882=0),"",D882-SUMIFS('Lessons Log'!$E:$E,'Lessons Log'!$C:$C,A882,'Lessons Log'!$D:$D,"*Package*"))</f>
        <v/>
      </c>
      <c r="F882" s="6" t="str">
        <f>IFERROR(INDEX([1]Clients!F:F, MATCH(A882, [1]Clients!A:A, 0)), "")</f>
        <v/>
      </c>
    </row>
    <row r="883" spans="2:6" x14ac:dyDescent="0.45">
      <c r="B883" s="5" t="str">
        <f>IFERROR(INDEX([1]Clients!$D:$D, MATCH(A883, [1]Clients!$A:$A, 0)), "")</f>
        <v/>
      </c>
      <c r="E883" s="1" t="str">
        <f>IF(OR(D883="",D883=0),"",D883-SUMIFS('Lessons Log'!$E:$E,'Lessons Log'!$C:$C,A883,'Lessons Log'!$D:$D,"*Package*"))</f>
        <v/>
      </c>
      <c r="F883" s="6" t="str">
        <f>IFERROR(INDEX([1]Clients!F:F, MATCH(A883, [1]Clients!A:A, 0)), "")</f>
        <v/>
      </c>
    </row>
    <row r="884" spans="2:6" x14ac:dyDescent="0.45">
      <c r="B884" s="5" t="str">
        <f>IFERROR(INDEX([1]Clients!$D:$D, MATCH(A884, [1]Clients!$A:$A, 0)), "")</f>
        <v/>
      </c>
      <c r="E884" s="1" t="str">
        <f>IF(OR(D884="",D884=0),"",D884-SUMIFS('Lessons Log'!$E:$E,'Lessons Log'!$C:$C,A884,'Lessons Log'!$D:$D,"*Package*"))</f>
        <v/>
      </c>
      <c r="F884" s="6" t="str">
        <f>IFERROR(INDEX([1]Clients!F:F, MATCH(A884, [1]Clients!A:A, 0)), "")</f>
        <v/>
      </c>
    </row>
    <row r="885" spans="2:6" x14ac:dyDescent="0.45">
      <c r="B885" s="5" t="str">
        <f>IFERROR(INDEX([1]Clients!$D:$D, MATCH(A885, [1]Clients!$A:$A, 0)), "")</f>
        <v/>
      </c>
      <c r="E885" s="1" t="str">
        <f>IF(OR(D885="",D885=0),"",D885-SUMIFS('Lessons Log'!$E:$E,'Lessons Log'!$C:$C,A885,'Lessons Log'!$D:$D,"*Package*"))</f>
        <v/>
      </c>
      <c r="F885" s="6" t="str">
        <f>IFERROR(INDEX([1]Clients!F:F, MATCH(A885, [1]Clients!A:A, 0)), "")</f>
        <v/>
      </c>
    </row>
    <row r="886" spans="2:6" x14ac:dyDescent="0.45">
      <c r="B886" s="5" t="str">
        <f>IFERROR(INDEX([1]Clients!$D:$D, MATCH(A886, [1]Clients!$A:$A, 0)), "")</f>
        <v/>
      </c>
      <c r="E886" s="1" t="str">
        <f>IF(OR(D886="",D886=0),"",D886-SUMIFS('Lessons Log'!$E:$E,'Lessons Log'!$C:$C,A886,'Lessons Log'!$D:$D,"*Package*"))</f>
        <v/>
      </c>
      <c r="F886" s="6" t="str">
        <f>IFERROR(INDEX([1]Clients!F:F, MATCH(A886, [1]Clients!A:A, 0)), "")</f>
        <v/>
      </c>
    </row>
    <row r="887" spans="2:6" x14ac:dyDescent="0.45">
      <c r="B887" s="5" t="str">
        <f>IFERROR(INDEX([1]Clients!$D:$D, MATCH(A887, [1]Clients!$A:$A, 0)), "")</f>
        <v/>
      </c>
      <c r="E887" s="1" t="str">
        <f>IF(OR(D887="",D887=0),"",D887-SUMIFS('Lessons Log'!$E:$E,'Lessons Log'!$C:$C,A887,'Lessons Log'!$D:$D,"*Package*"))</f>
        <v/>
      </c>
      <c r="F887" s="6" t="str">
        <f>IFERROR(INDEX([1]Clients!F:F, MATCH(A887, [1]Clients!A:A, 0)), "")</f>
        <v/>
      </c>
    </row>
    <row r="888" spans="2:6" x14ac:dyDescent="0.45">
      <c r="B888" s="5" t="str">
        <f>IFERROR(INDEX([1]Clients!$D:$D, MATCH(A888, [1]Clients!$A:$A, 0)), "")</f>
        <v/>
      </c>
      <c r="E888" s="1" t="str">
        <f>IF(OR(D888="",D888=0),"",D888-SUMIFS('Lessons Log'!$E:$E,'Lessons Log'!$C:$C,A888,'Lessons Log'!$D:$D,"*Package*"))</f>
        <v/>
      </c>
      <c r="F888" s="6" t="str">
        <f>IFERROR(INDEX([1]Clients!F:F, MATCH(A888, [1]Clients!A:A, 0)), "")</f>
        <v/>
      </c>
    </row>
    <row r="889" spans="2:6" x14ac:dyDescent="0.45">
      <c r="B889" s="5" t="str">
        <f>IFERROR(INDEX([1]Clients!$D:$D, MATCH(A889, [1]Clients!$A:$A, 0)), "")</f>
        <v/>
      </c>
      <c r="E889" s="1" t="str">
        <f>IF(OR(D889="",D889=0),"",D889-SUMIFS('Lessons Log'!$E:$E,'Lessons Log'!$C:$C,A889,'Lessons Log'!$D:$D,"*Package*"))</f>
        <v/>
      </c>
      <c r="F889" s="6" t="str">
        <f>IFERROR(INDEX([1]Clients!F:F, MATCH(A889, [1]Clients!A:A, 0)), "")</f>
        <v/>
      </c>
    </row>
    <row r="890" spans="2:6" x14ac:dyDescent="0.45">
      <c r="B890" s="5" t="str">
        <f>IFERROR(INDEX([1]Clients!$D:$D, MATCH(A890, [1]Clients!$A:$A, 0)), "")</f>
        <v/>
      </c>
      <c r="E890" s="1" t="str">
        <f>IF(OR(D890="",D890=0),"",D890-SUMIFS('Lessons Log'!$E:$E,'Lessons Log'!$C:$C,A890,'Lessons Log'!$D:$D,"*Package*"))</f>
        <v/>
      </c>
      <c r="F890" s="6" t="str">
        <f>IFERROR(INDEX([1]Clients!F:F, MATCH(A890, [1]Clients!A:A, 0)), "")</f>
        <v/>
      </c>
    </row>
    <row r="891" spans="2:6" x14ac:dyDescent="0.45">
      <c r="B891" s="5" t="str">
        <f>IFERROR(INDEX([1]Clients!$D:$D, MATCH(A891, [1]Clients!$A:$A, 0)), "")</f>
        <v/>
      </c>
      <c r="E891" s="1" t="str">
        <f>IF(OR(D891="",D891=0),"",D891-SUMIFS('Lessons Log'!$E:$E,'Lessons Log'!$C:$C,A891,'Lessons Log'!$D:$D,"*Package*"))</f>
        <v/>
      </c>
      <c r="F891" s="6" t="str">
        <f>IFERROR(INDEX([1]Clients!F:F, MATCH(A891, [1]Clients!A:A, 0)), "")</f>
        <v/>
      </c>
    </row>
    <row r="892" spans="2:6" x14ac:dyDescent="0.45">
      <c r="B892" s="5" t="str">
        <f>IFERROR(INDEX([1]Clients!$D:$D, MATCH(A892, [1]Clients!$A:$A, 0)), "")</f>
        <v/>
      </c>
      <c r="E892" s="1" t="str">
        <f>IF(OR(D892="",D892=0),"",D892-SUMIFS('Lessons Log'!$E:$E,'Lessons Log'!$C:$C,A892,'Lessons Log'!$D:$D,"*Package*"))</f>
        <v/>
      </c>
      <c r="F892" s="6" t="str">
        <f>IFERROR(INDEX([1]Clients!F:F, MATCH(A892, [1]Clients!A:A, 0)), "")</f>
        <v/>
      </c>
    </row>
    <row r="893" spans="2:6" x14ac:dyDescent="0.45">
      <c r="B893" s="5" t="str">
        <f>IFERROR(INDEX([1]Clients!$D:$D, MATCH(A893, [1]Clients!$A:$A, 0)), "")</f>
        <v/>
      </c>
      <c r="E893" s="1" t="str">
        <f>IF(OR(D893="",D893=0),"",D893-SUMIFS('Lessons Log'!$E:$E,'Lessons Log'!$C:$C,A893,'Lessons Log'!$D:$D,"*Package*"))</f>
        <v/>
      </c>
      <c r="F893" s="6" t="str">
        <f>IFERROR(INDEX([1]Clients!F:F, MATCH(A893, [1]Clients!A:A, 0)), "")</f>
        <v/>
      </c>
    </row>
    <row r="894" spans="2:6" x14ac:dyDescent="0.45">
      <c r="B894" s="5" t="str">
        <f>IFERROR(INDEX([1]Clients!$D:$D, MATCH(A894, [1]Clients!$A:$A, 0)), "")</f>
        <v/>
      </c>
      <c r="E894" s="1" t="str">
        <f>IF(OR(D894="",D894=0),"",D894-SUMIFS('Lessons Log'!$E:$E,'Lessons Log'!$C:$C,A894,'Lessons Log'!$D:$D,"*Package*"))</f>
        <v/>
      </c>
      <c r="F894" s="6" t="str">
        <f>IFERROR(INDEX([1]Clients!F:F, MATCH(A894, [1]Clients!A:A, 0)), "")</f>
        <v/>
      </c>
    </row>
    <row r="895" spans="2:6" x14ac:dyDescent="0.45">
      <c r="B895" s="5" t="str">
        <f>IFERROR(INDEX([1]Clients!$D:$D, MATCH(A895, [1]Clients!$A:$A, 0)), "")</f>
        <v/>
      </c>
      <c r="E895" s="1" t="str">
        <f>IF(OR(D895="",D895=0),"",D895-SUMIFS('Lessons Log'!$E:$E,'Lessons Log'!$C:$C,A895,'Lessons Log'!$D:$D,"*Package*"))</f>
        <v/>
      </c>
      <c r="F895" s="6" t="str">
        <f>IFERROR(INDEX([1]Clients!F:F, MATCH(A895, [1]Clients!A:A, 0)), "")</f>
        <v/>
      </c>
    </row>
    <row r="896" spans="2:6" x14ac:dyDescent="0.45">
      <c r="B896" s="5" t="str">
        <f>IFERROR(INDEX([1]Clients!$D:$D, MATCH(A896, [1]Clients!$A:$A, 0)), "")</f>
        <v/>
      </c>
      <c r="E896" s="1" t="str">
        <f>IF(OR(D896="",D896=0),"",D896-SUMIFS('Lessons Log'!$E:$E,'Lessons Log'!$C:$C,A896,'Lessons Log'!$D:$D,"*Package*"))</f>
        <v/>
      </c>
      <c r="F896" s="6" t="str">
        <f>IFERROR(INDEX([1]Clients!F:F, MATCH(A896, [1]Clients!A:A, 0)), "")</f>
        <v/>
      </c>
    </row>
    <row r="897" spans="2:6" x14ac:dyDescent="0.45">
      <c r="B897" s="5" t="str">
        <f>IFERROR(INDEX([1]Clients!$D:$D, MATCH(A897, [1]Clients!$A:$A, 0)), "")</f>
        <v/>
      </c>
      <c r="E897" s="1" t="str">
        <f>IF(OR(D897="",D897=0),"",D897-SUMIFS('Lessons Log'!$E:$E,'Lessons Log'!$C:$C,A897,'Lessons Log'!$D:$D,"*Package*"))</f>
        <v/>
      </c>
      <c r="F897" s="6" t="str">
        <f>IFERROR(INDEX([1]Clients!F:F, MATCH(A897, [1]Clients!A:A, 0)), "")</f>
        <v/>
      </c>
    </row>
    <row r="898" spans="2:6" x14ac:dyDescent="0.45">
      <c r="B898" s="5" t="str">
        <f>IFERROR(INDEX([1]Clients!$D:$D, MATCH(A898, [1]Clients!$A:$A, 0)), "")</f>
        <v/>
      </c>
      <c r="E898" s="1" t="str">
        <f>IF(OR(D898="",D898=0),"",D898-SUMIFS('Lessons Log'!$E:$E,'Lessons Log'!$C:$C,A898,'Lessons Log'!$D:$D,"*Package*"))</f>
        <v/>
      </c>
      <c r="F898" s="6" t="str">
        <f>IFERROR(INDEX([1]Clients!F:F, MATCH(A898, [1]Clients!A:A, 0)), "")</f>
        <v/>
      </c>
    </row>
    <row r="899" spans="2:6" x14ac:dyDescent="0.45">
      <c r="B899" s="5" t="str">
        <f>IFERROR(INDEX([1]Clients!$D:$D, MATCH(A899, [1]Clients!$A:$A, 0)), "")</f>
        <v/>
      </c>
      <c r="E899" s="1" t="str">
        <f>IF(OR(D899="",D899=0),"",D899-SUMIFS('Lessons Log'!$E:$E,'Lessons Log'!$C:$C,A899,'Lessons Log'!$D:$D,"*Package*"))</f>
        <v/>
      </c>
      <c r="F899" s="6" t="str">
        <f>IFERROR(INDEX([1]Clients!F:F, MATCH(A899, [1]Clients!A:A, 0)), "")</f>
        <v/>
      </c>
    </row>
    <row r="900" spans="2:6" x14ac:dyDescent="0.45">
      <c r="B900" s="5" t="str">
        <f>IFERROR(INDEX([1]Clients!$D:$D, MATCH(A900, [1]Clients!$A:$A, 0)), "")</f>
        <v/>
      </c>
      <c r="E900" s="1" t="str">
        <f>IF(OR(D900="",D900=0),"",D900-SUMIFS('Lessons Log'!$E:$E,'Lessons Log'!$C:$C,A900,'Lessons Log'!$D:$D,"*Package*"))</f>
        <v/>
      </c>
      <c r="F900" s="6" t="str">
        <f>IFERROR(INDEX([1]Clients!F:F, MATCH(A900, [1]Clients!A:A, 0)), "")</f>
        <v/>
      </c>
    </row>
    <row r="901" spans="2:6" x14ac:dyDescent="0.45">
      <c r="B901" s="5" t="str">
        <f>IFERROR(INDEX([1]Clients!$D:$D, MATCH(A901, [1]Clients!$A:$A, 0)), "")</f>
        <v/>
      </c>
      <c r="E901" s="1" t="str">
        <f>IF(OR(D901="",D901=0),"",D901-SUMIFS('Lessons Log'!$E:$E,'Lessons Log'!$C:$C,A901,'Lessons Log'!$D:$D,"*Package*"))</f>
        <v/>
      </c>
      <c r="F901" s="6" t="str">
        <f>IFERROR(INDEX([1]Clients!F:F, MATCH(A901, [1]Clients!A:A, 0)), "")</f>
        <v/>
      </c>
    </row>
    <row r="902" spans="2:6" x14ac:dyDescent="0.45">
      <c r="B902" s="5" t="str">
        <f>IFERROR(INDEX([1]Clients!$D:$D, MATCH(A902, [1]Clients!$A:$A, 0)), "")</f>
        <v/>
      </c>
      <c r="E902" s="1" t="str">
        <f>IF(OR(D902="",D902=0),"",D902-SUMIFS('Lessons Log'!$E:$E,'Lessons Log'!$C:$C,A902,'Lessons Log'!$D:$D,"*Package*"))</f>
        <v/>
      </c>
      <c r="F902" s="6" t="str">
        <f>IFERROR(INDEX([1]Clients!F:F, MATCH(A902, [1]Clients!A:A, 0)), "")</f>
        <v/>
      </c>
    </row>
    <row r="903" spans="2:6" x14ac:dyDescent="0.45">
      <c r="B903" s="5" t="str">
        <f>IFERROR(INDEX([1]Clients!$D:$D, MATCH(A903, [1]Clients!$A:$A, 0)), "")</f>
        <v/>
      </c>
      <c r="E903" s="1" t="str">
        <f>IF(OR(D903="",D903=0),"",D903-SUMIFS('Lessons Log'!$E:$E,'Lessons Log'!$C:$C,A903,'Lessons Log'!$D:$D,"*Package*"))</f>
        <v/>
      </c>
      <c r="F903" s="6" t="str">
        <f>IFERROR(INDEX([1]Clients!F:F, MATCH(A903, [1]Clients!A:A, 0)), "")</f>
        <v/>
      </c>
    </row>
    <row r="904" spans="2:6" x14ac:dyDescent="0.45">
      <c r="B904" s="5" t="str">
        <f>IFERROR(INDEX([1]Clients!$D:$D, MATCH(A904, [1]Clients!$A:$A, 0)), "")</f>
        <v/>
      </c>
      <c r="E904" s="1" t="str">
        <f>IF(OR(D904="",D904=0),"",D904-SUMIFS('Lessons Log'!$E:$E,'Lessons Log'!$C:$C,A904,'Lessons Log'!$D:$D,"*Package*"))</f>
        <v/>
      </c>
      <c r="F904" s="6" t="str">
        <f>IFERROR(INDEX([1]Clients!F:F, MATCH(A904, [1]Clients!A:A, 0)), "")</f>
        <v/>
      </c>
    </row>
    <row r="905" spans="2:6" x14ac:dyDescent="0.45">
      <c r="B905" s="5" t="str">
        <f>IFERROR(INDEX([1]Clients!$D:$D, MATCH(A905, [1]Clients!$A:$A, 0)), "")</f>
        <v/>
      </c>
      <c r="E905" s="1" t="str">
        <f>IF(OR(D905="",D905=0),"",D905-SUMIFS('Lessons Log'!$E:$E,'Lessons Log'!$C:$C,A905,'Lessons Log'!$D:$D,"*Package*"))</f>
        <v/>
      </c>
      <c r="F905" s="6" t="str">
        <f>IFERROR(INDEX([1]Clients!F:F, MATCH(A905, [1]Clients!A:A, 0)), "")</f>
        <v/>
      </c>
    </row>
    <row r="906" spans="2:6" x14ac:dyDescent="0.45">
      <c r="B906" s="5" t="str">
        <f>IFERROR(INDEX([1]Clients!$D:$D, MATCH(A906, [1]Clients!$A:$A, 0)), "")</f>
        <v/>
      </c>
      <c r="E906" s="1" t="str">
        <f>IF(OR(D906="",D906=0),"",D906-SUMIFS('Lessons Log'!$E:$E,'Lessons Log'!$C:$C,A906,'Lessons Log'!$D:$D,"*Package*"))</f>
        <v/>
      </c>
      <c r="F906" s="6" t="str">
        <f>IFERROR(INDEX([1]Clients!F:F, MATCH(A906, [1]Clients!A:A, 0)), "")</f>
        <v/>
      </c>
    </row>
    <row r="907" spans="2:6" x14ac:dyDescent="0.45">
      <c r="B907" s="5" t="str">
        <f>IFERROR(INDEX([1]Clients!$D:$D, MATCH(A907, [1]Clients!$A:$A, 0)), "")</f>
        <v/>
      </c>
      <c r="E907" s="1" t="str">
        <f>IF(OR(D907="",D907=0),"",D907-SUMIFS('Lessons Log'!$E:$E,'Lessons Log'!$C:$C,A907,'Lessons Log'!$D:$D,"*Package*"))</f>
        <v/>
      </c>
      <c r="F907" s="6" t="str">
        <f>IFERROR(INDEX([1]Clients!F:F, MATCH(A907, [1]Clients!A:A, 0)), "")</f>
        <v/>
      </c>
    </row>
    <row r="908" spans="2:6" x14ac:dyDescent="0.45">
      <c r="B908" s="5" t="str">
        <f>IFERROR(INDEX([1]Clients!$D:$D, MATCH(A908, [1]Clients!$A:$A, 0)), "")</f>
        <v/>
      </c>
      <c r="E908" s="1" t="str">
        <f>IF(OR(D908="",D908=0),"",D908-SUMIFS('Lessons Log'!$E:$E,'Lessons Log'!$C:$C,A908,'Lessons Log'!$D:$D,"*Package*"))</f>
        <v/>
      </c>
      <c r="F908" s="6" t="str">
        <f>IFERROR(INDEX([1]Clients!F:F, MATCH(A908, [1]Clients!A:A, 0)), "")</f>
        <v/>
      </c>
    </row>
    <row r="909" spans="2:6" x14ac:dyDescent="0.45">
      <c r="B909" s="5" t="str">
        <f>IFERROR(INDEX([1]Clients!$D:$D, MATCH(A909, [1]Clients!$A:$A, 0)), "")</f>
        <v/>
      </c>
      <c r="E909" s="1" t="str">
        <f>IF(OR(D909="",D909=0),"",D909-SUMIFS('Lessons Log'!$E:$E,'Lessons Log'!$C:$C,A909,'Lessons Log'!$D:$D,"*Package*"))</f>
        <v/>
      </c>
      <c r="F909" s="6" t="str">
        <f>IFERROR(INDEX([1]Clients!F:F, MATCH(A909, [1]Clients!A:A, 0)), "")</f>
        <v/>
      </c>
    </row>
    <row r="910" spans="2:6" x14ac:dyDescent="0.45">
      <c r="B910" s="5" t="str">
        <f>IFERROR(INDEX([1]Clients!$D:$D, MATCH(A910, [1]Clients!$A:$A, 0)), "")</f>
        <v/>
      </c>
      <c r="E910" s="1" t="str">
        <f>IF(OR(D910="",D910=0),"",D910-SUMIFS('Lessons Log'!$E:$E,'Lessons Log'!$C:$C,A910,'Lessons Log'!$D:$D,"*Package*"))</f>
        <v/>
      </c>
      <c r="F910" s="6" t="str">
        <f>IFERROR(INDEX([1]Clients!F:F, MATCH(A910, [1]Clients!A:A, 0)), "")</f>
        <v/>
      </c>
    </row>
    <row r="911" spans="2:6" x14ac:dyDescent="0.45">
      <c r="B911" s="5" t="str">
        <f>IFERROR(INDEX([1]Clients!$D:$D, MATCH(A911, [1]Clients!$A:$A, 0)), "")</f>
        <v/>
      </c>
      <c r="E911" s="1" t="str">
        <f>IF(OR(D911="",D911=0),"",D911-SUMIFS('Lessons Log'!$E:$E,'Lessons Log'!$C:$C,A911,'Lessons Log'!$D:$D,"*Package*"))</f>
        <v/>
      </c>
      <c r="F911" s="6" t="str">
        <f>IFERROR(INDEX([1]Clients!F:F, MATCH(A911, [1]Clients!A:A, 0)), "")</f>
        <v/>
      </c>
    </row>
    <row r="912" spans="2:6" x14ac:dyDescent="0.45">
      <c r="B912" s="5" t="str">
        <f>IFERROR(INDEX([1]Clients!$D:$D, MATCH(A912, [1]Clients!$A:$A, 0)), "")</f>
        <v/>
      </c>
      <c r="E912" s="1" t="str">
        <f>IF(OR(D912="",D912=0),"",D912-SUMIFS('Lessons Log'!$E:$E,'Lessons Log'!$C:$C,A912,'Lessons Log'!$D:$D,"*Package*"))</f>
        <v/>
      </c>
      <c r="F912" s="6" t="str">
        <f>IFERROR(INDEX([1]Clients!F:F, MATCH(A912, [1]Clients!A:A, 0)), "")</f>
        <v/>
      </c>
    </row>
    <row r="913" spans="2:6" x14ac:dyDescent="0.45">
      <c r="B913" s="5" t="str">
        <f>IFERROR(INDEX([1]Clients!$D:$D, MATCH(A913, [1]Clients!$A:$A, 0)), "")</f>
        <v/>
      </c>
      <c r="E913" s="1" t="str">
        <f>IF(OR(D913="",D913=0),"",D913-SUMIFS('Lessons Log'!$E:$E,'Lessons Log'!$C:$C,A913,'Lessons Log'!$D:$D,"*Package*"))</f>
        <v/>
      </c>
      <c r="F913" s="6" t="str">
        <f>IFERROR(INDEX([1]Clients!F:F, MATCH(A913, [1]Clients!A:A, 0)), "")</f>
        <v/>
      </c>
    </row>
    <row r="914" spans="2:6" x14ac:dyDescent="0.45">
      <c r="B914" s="5" t="str">
        <f>IFERROR(INDEX([1]Clients!$D:$D, MATCH(A914, [1]Clients!$A:$A, 0)), "")</f>
        <v/>
      </c>
      <c r="E914" s="1" t="str">
        <f>IF(OR(D914="",D914=0),"",D914-SUMIFS('Lessons Log'!$E:$E,'Lessons Log'!$C:$C,A914,'Lessons Log'!$D:$D,"*Package*"))</f>
        <v/>
      </c>
      <c r="F914" s="6" t="str">
        <f>IFERROR(INDEX([1]Clients!F:F, MATCH(A914, [1]Clients!A:A, 0)), "")</f>
        <v/>
      </c>
    </row>
    <row r="915" spans="2:6" x14ac:dyDescent="0.45">
      <c r="B915" s="5" t="str">
        <f>IFERROR(INDEX([1]Clients!$D:$D, MATCH(A915, [1]Clients!$A:$A, 0)), "")</f>
        <v/>
      </c>
      <c r="E915" s="1" t="str">
        <f>IF(OR(D915="",D915=0),"",D915-SUMIFS('Lessons Log'!$E:$E,'Lessons Log'!$C:$C,A915,'Lessons Log'!$D:$D,"*Package*"))</f>
        <v/>
      </c>
      <c r="F915" s="6" t="str">
        <f>IFERROR(INDEX([1]Clients!F:F, MATCH(A915, [1]Clients!A:A, 0)), "")</f>
        <v/>
      </c>
    </row>
    <row r="916" spans="2:6" x14ac:dyDescent="0.45">
      <c r="B916" s="5" t="str">
        <f>IFERROR(INDEX([1]Clients!$D:$D, MATCH(A916, [1]Clients!$A:$A, 0)), "")</f>
        <v/>
      </c>
      <c r="E916" s="1" t="str">
        <f>IF(OR(D916="",D916=0),"",D916-SUMIFS('Lessons Log'!$E:$E,'Lessons Log'!$C:$C,A916,'Lessons Log'!$D:$D,"*Package*"))</f>
        <v/>
      </c>
      <c r="F916" s="6" t="str">
        <f>IFERROR(INDEX([1]Clients!F:F, MATCH(A916, [1]Clients!A:A, 0)), "")</f>
        <v/>
      </c>
    </row>
    <row r="917" spans="2:6" x14ac:dyDescent="0.45">
      <c r="B917" s="5" t="str">
        <f>IFERROR(INDEX([1]Clients!$D:$D, MATCH(A917, [1]Clients!$A:$A, 0)), "")</f>
        <v/>
      </c>
      <c r="E917" s="1" t="str">
        <f>IF(OR(D917="",D917=0),"",D917-SUMIFS('Lessons Log'!$E:$E,'Lessons Log'!$C:$C,A917,'Lessons Log'!$D:$D,"*Package*"))</f>
        <v/>
      </c>
      <c r="F917" s="6" t="str">
        <f>IFERROR(INDEX([1]Clients!F:F, MATCH(A917, [1]Clients!A:A, 0)), "")</f>
        <v/>
      </c>
    </row>
    <row r="918" spans="2:6" x14ac:dyDescent="0.45">
      <c r="B918" s="5" t="str">
        <f>IFERROR(INDEX([1]Clients!$D:$D, MATCH(A918, [1]Clients!$A:$A, 0)), "")</f>
        <v/>
      </c>
      <c r="E918" s="1" t="str">
        <f>IF(OR(D918="",D918=0),"",D918-SUMIFS('Lessons Log'!$E:$E,'Lessons Log'!$C:$C,A918,'Lessons Log'!$D:$D,"*Package*"))</f>
        <v/>
      </c>
      <c r="F918" s="6" t="str">
        <f>IFERROR(INDEX([1]Clients!F:F, MATCH(A918, [1]Clients!A:A, 0)), "")</f>
        <v/>
      </c>
    </row>
    <row r="919" spans="2:6" x14ac:dyDescent="0.45">
      <c r="B919" s="5" t="str">
        <f>IFERROR(INDEX([1]Clients!$D:$D, MATCH(A919, [1]Clients!$A:$A, 0)), "")</f>
        <v/>
      </c>
      <c r="E919" s="1" t="str">
        <f>IF(OR(D919="",D919=0),"",D919-SUMIFS('Lessons Log'!$E:$E,'Lessons Log'!$C:$C,A919,'Lessons Log'!$D:$D,"*Package*"))</f>
        <v/>
      </c>
      <c r="F919" s="6" t="str">
        <f>IFERROR(INDEX([1]Clients!F:F, MATCH(A919, [1]Clients!A:A, 0)), "")</f>
        <v/>
      </c>
    </row>
    <row r="920" spans="2:6" x14ac:dyDescent="0.45">
      <c r="B920" s="5" t="str">
        <f>IFERROR(INDEX([1]Clients!$D:$D, MATCH(A920, [1]Clients!$A:$A, 0)), "")</f>
        <v/>
      </c>
      <c r="E920" s="1" t="str">
        <f>IF(OR(D920="",D920=0),"",D920-SUMIFS('Lessons Log'!$E:$E,'Lessons Log'!$C:$C,A920,'Lessons Log'!$D:$D,"*Package*"))</f>
        <v/>
      </c>
      <c r="F920" s="6" t="str">
        <f>IFERROR(INDEX([1]Clients!F:F, MATCH(A920, [1]Clients!A:A, 0)), "")</f>
        <v/>
      </c>
    </row>
    <row r="921" spans="2:6" x14ac:dyDescent="0.45">
      <c r="B921" s="5" t="str">
        <f>IFERROR(INDEX([1]Clients!$D:$D, MATCH(A921, [1]Clients!$A:$A, 0)), "")</f>
        <v/>
      </c>
      <c r="E921" s="1" t="str">
        <f>IF(OR(D921="",D921=0),"",D921-SUMIFS('Lessons Log'!$E:$E,'Lessons Log'!$C:$C,A921,'Lessons Log'!$D:$D,"*Package*"))</f>
        <v/>
      </c>
      <c r="F921" s="6" t="str">
        <f>IFERROR(INDEX([1]Clients!F:F, MATCH(A921, [1]Clients!A:A, 0)), "")</f>
        <v/>
      </c>
    </row>
    <row r="922" spans="2:6" x14ac:dyDescent="0.45">
      <c r="B922" s="5" t="str">
        <f>IFERROR(INDEX([1]Clients!$D:$D, MATCH(A922, [1]Clients!$A:$A, 0)), "")</f>
        <v/>
      </c>
      <c r="E922" s="1" t="str">
        <f>IF(OR(D922="",D922=0),"",D922-SUMIFS('Lessons Log'!$E:$E,'Lessons Log'!$C:$C,A922,'Lessons Log'!$D:$D,"*Package*"))</f>
        <v/>
      </c>
      <c r="F922" s="6" t="str">
        <f>IFERROR(INDEX([1]Clients!F:F, MATCH(A922, [1]Clients!A:A, 0)), "")</f>
        <v/>
      </c>
    </row>
    <row r="923" spans="2:6" x14ac:dyDescent="0.45">
      <c r="B923" s="5" t="str">
        <f>IFERROR(INDEX([1]Clients!$D:$D, MATCH(A923, [1]Clients!$A:$A, 0)), "")</f>
        <v/>
      </c>
      <c r="E923" s="1" t="str">
        <f>IF(OR(D923="",D923=0),"",D923-SUMIFS('Lessons Log'!$E:$E,'Lessons Log'!$C:$C,A923,'Lessons Log'!$D:$D,"*Package*"))</f>
        <v/>
      </c>
      <c r="F923" s="6" t="str">
        <f>IFERROR(INDEX([1]Clients!F:F, MATCH(A923, [1]Clients!A:A, 0)), "")</f>
        <v/>
      </c>
    </row>
    <row r="924" spans="2:6" x14ac:dyDescent="0.45">
      <c r="B924" s="5" t="str">
        <f>IFERROR(INDEX([1]Clients!$D:$D, MATCH(A924, [1]Clients!$A:$A, 0)), "")</f>
        <v/>
      </c>
      <c r="E924" s="1" t="str">
        <f>IF(OR(D924="",D924=0),"",D924-SUMIFS('Lessons Log'!$E:$E,'Lessons Log'!$C:$C,A924,'Lessons Log'!$D:$D,"*Package*"))</f>
        <v/>
      </c>
      <c r="F924" s="6" t="str">
        <f>IFERROR(INDEX([1]Clients!F:F, MATCH(A924, [1]Clients!A:A, 0)), "")</f>
        <v/>
      </c>
    </row>
    <row r="925" spans="2:6" x14ac:dyDescent="0.45">
      <c r="B925" s="5" t="str">
        <f>IFERROR(INDEX([1]Clients!$D:$D, MATCH(A925, [1]Clients!$A:$A, 0)), "")</f>
        <v/>
      </c>
      <c r="E925" s="1" t="str">
        <f>IF(OR(D925="",D925=0),"",D925-SUMIFS('Lessons Log'!$E:$E,'Lessons Log'!$C:$C,A925,'Lessons Log'!$D:$D,"*Package*"))</f>
        <v/>
      </c>
      <c r="F925" s="6" t="str">
        <f>IFERROR(INDEX([1]Clients!F:F, MATCH(A925, [1]Clients!A:A, 0)), "")</f>
        <v/>
      </c>
    </row>
    <row r="926" spans="2:6" x14ac:dyDescent="0.45">
      <c r="B926" s="5" t="str">
        <f>IFERROR(INDEX([1]Clients!$D:$D, MATCH(A926, [1]Clients!$A:$A, 0)), "")</f>
        <v/>
      </c>
      <c r="E926" s="1" t="str">
        <f>IF(OR(D926="",D926=0),"",D926-SUMIFS('Lessons Log'!$E:$E,'Lessons Log'!$C:$C,A926,'Lessons Log'!$D:$D,"*Package*"))</f>
        <v/>
      </c>
      <c r="F926" s="6" t="str">
        <f>IFERROR(INDEX([1]Clients!F:F, MATCH(A926, [1]Clients!A:A, 0)), "")</f>
        <v/>
      </c>
    </row>
    <row r="927" spans="2:6" x14ac:dyDescent="0.45">
      <c r="B927" s="5" t="str">
        <f>IFERROR(INDEX([1]Clients!$D:$D, MATCH(A927, [1]Clients!$A:$A, 0)), "")</f>
        <v/>
      </c>
      <c r="E927" s="1" t="str">
        <f>IF(OR(D927="",D927=0),"",D927-SUMIFS('Lessons Log'!$E:$E,'Lessons Log'!$C:$C,A927,'Lessons Log'!$D:$D,"*Package*"))</f>
        <v/>
      </c>
      <c r="F927" s="6" t="str">
        <f>IFERROR(INDEX([1]Clients!F:F, MATCH(A927, [1]Clients!A:A, 0)), "")</f>
        <v/>
      </c>
    </row>
    <row r="928" spans="2:6" x14ac:dyDescent="0.45">
      <c r="B928" s="5" t="str">
        <f>IFERROR(INDEX([1]Clients!$D:$D, MATCH(A928, [1]Clients!$A:$A, 0)), "")</f>
        <v/>
      </c>
      <c r="E928" s="1" t="str">
        <f>IF(OR(D928="",D928=0),"",D928-SUMIFS('Lessons Log'!$E:$E,'Lessons Log'!$C:$C,A928,'Lessons Log'!$D:$D,"*Package*"))</f>
        <v/>
      </c>
      <c r="F928" s="6" t="str">
        <f>IFERROR(INDEX([1]Clients!F:F, MATCH(A928, [1]Clients!A:A, 0)), "")</f>
        <v/>
      </c>
    </row>
    <row r="929" spans="2:6" x14ac:dyDescent="0.45">
      <c r="B929" s="5" t="str">
        <f>IFERROR(INDEX([1]Clients!$D:$D, MATCH(A929, [1]Clients!$A:$A, 0)), "")</f>
        <v/>
      </c>
      <c r="E929" s="1" t="str">
        <f>IF(OR(D929="",D929=0),"",D929-SUMIFS('Lessons Log'!$E:$E,'Lessons Log'!$C:$C,A929,'Lessons Log'!$D:$D,"*Package*"))</f>
        <v/>
      </c>
      <c r="F929" s="6" t="str">
        <f>IFERROR(INDEX([1]Clients!F:F, MATCH(A929, [1]Clients!A:A, 0)), "")</f>
        <v/>
      </c>
    </row>
    <row r="930" spans="2:6" x14ac:dyDescent="0.45">
      <c r="B930" s="5" t="str">
        <f>IFERROR(INDEX([1]Clients!$D:$D, MATCH(A930, [1]Clients!$A:$A, 0)), "")</f>
        <v/>
      </c>
      <c r="E930" s="1" t="str">
        <f>IF(OR(D930="",D930=0),"",D930-SUMIFS('Lessons Log'!$E:$E,'Lessons Log'!$C:$C,A930,'Lessons Log'!$D:$D,"*Package*"))</f>
        <v/>
      </c>
      <c r="F930" s="6" t="str">
        <f>IFERROR(INDEX([1]Clients!F:F, MATCH(A930, [1]Clients!A:A, 0)), "")</f>
        <v/>
      </c>
    </row>
    <row r="931" spans="2:6" x14ac:dyDescent="0.45">
      <c r="B931" s="5" t="str">
        <f>IFERROR(INDEX([1]Clients!$D:$D, MATCH(A931, [1]Clients!$A:$A, 0)), "")</f>
        <v/>
      </c>
      <c r="E931" s="1" t="str">
        <f>IF(OR(D931="",D931=0),"",D931-SUMIFS('Lessons Log'!$E:$E,'Lessons Log'!$C:$C,A931,'Lessons Log'!$D:$D,"*Package*"))</f>
        <v/>
      </c>
      <c r="F931" s="6" t="str">
        <f>IFERROR(INDEX([1]Clients!F:F, MATCH(A931, [1]Clients!A:A, 0)), "")</f>
        <v/>
      </c>
    </row>
    <row r="932" spans="2:6" x14ac:dyDescent="0.45">
      <c r="B932" s="5" t="str">
        <f>IFERROR(INDEX([1]Clients!$D:$D, MATCH(A932, [1]Clients!$A:$A, 0)), "")</f>
        <v/>
      </c>
      <c r="E932" s="1" t="str">
        <f>IF(OR(D932="",D932=0),"",D932-SUMIFS('Lessons Log'!$E:$E,'Lessons Log'!$C:$C,A932,'Lessons Log'!$D:$D,"*Package*"))</f>
        <v/>
      </c>
      <c r="F932" s="6" t="str">
        <f>IFERROR(INDEX([1]Clients!F:F, MATCH(A932, [1]Clients!A:A, 0)), "")</f>
        <v/>
      </c>
    </row>
    <row r="933" spans="2:6" x14ac:dyDescent="0.45">
      <c r="B933" s="5" t="str">
        <f>IFERROR(INDEX([1]Clients!$D:$D, MATCH(A933, [1]Clients!$A:$A, 0)), "")</f>
        <v/>
      </c>
      <c r="E933" s="1" t="str">
        <f>IF(OR(D933="",D933=0),"",D933-SUMIFS('Lessons Log'!$E:$E,'Lessons Log'!$C:$C,A933,'Lessons Log'!$D:$D,"*Package*"))</f>
        <v/>
      </c>
      <c r="F933" s="6" t="str">
        <f>IFERROR(INDEX([1]Clients!F:F, MATCH(A933, [1]Clients!A:A, 0)), "")</f>
        <v/>
      </c>
    </row>
    <row r="934" spans="2:6" x14ac:dyDescent="0.45">
      <c r="B934" s="5" t="str">
        <f>IFERROR(INDEX([1]Clients!$D:$D, MATCH(A934, [1]Clients!$A:$A, 0)), "")</f>
        <v/>
      </c>
      <c r="E934" s="1" t="str">
        <f>IF(OR(D934="",D934=0),"",D934-SUMIFS('Lessons Log'!$E:$E,'Lessons Log'!$C:$C,A934,'Lessons Log'!$D:$D,"*Package*"))</f>
        <v/>
      </c>
      <c r="F934" s="6" t="str">
        <f>IFERROR(INDEX([1]Clients!F:F, MATCH(A934, [1]Clients!A:A, 0)), "")</f>
        <v/>
      </c>
    </row>
    <row r="935" spans="2:6" x14ac:dyDescent="0.45">
      <c r="B935" s="5" t="str">
        <f>IFERROR(INDEX([1]Clients!$D:$D, MATCH(A935, [1]Clients!$A:$A, 0)), "")</f>
        <v/>
      </c>
      <c r="E935" s="1" t="str">
        <f>IF(OR(D935="",D935=0),"",D935-SUMIFS('Lessons Log'!$E:$E,'Lessons Log'!$C:$C,A935,'Lessons Log'!$D:$D,"*Package*"))</f>
        <v/>
      </c>
      <c r="F935" s="6" t="str">
        <f>IFERROR(INDEX([1]Clients!F:F, MATCH(A935, [1]Clients!A:A, 0)), "")</f>
        <v/>
      </c>
    </row>
    <row r="936" spans="2:6" x14ac:dyDescent="0.45">
      <c r="B936" s="5" t="str">
        <f>IFERROR(INDEX([1]Clients!$D:$D, MATCH(A936, [1]Clients!$A:$A, 0)), "")</f>
        <v/>
      </c>
      <c r="E936" s="1" t="str">
        <f>IF(OR(D936="",D936=0),"",D936-SUMIFS('Lessons Log'!$E:$E,'Lessons Log'!$C:$C,A936,'Lessons Log'!$D:$D,"*Package*"))</f>
        <v/>
      </c>
      <c r="F936" s="6" t="str">
        <f>IFERROR(INDEX([1]Clients!F:F, MATCH(A936, [1]Clients!A:A, 0)), "")</f>
        <v/>
      </c>
    </row>
    <row r="937" spans="2:6" x14ac:dyDescent="0.45">
      <c r="B937" s="5" t="str">
        <f>IFERROR(INDEX([1]Clients!$D:$D, MATCH(A937, [1]Clients!$A:$A, 0)), "")</f>
        <v/>
      </c>
      <c r="E937" s="1" t="str">
        <f>IF(OR(D937="",D937=0),"",D937-SUMIFS('Lessons Log'!$E:$E,'Lessons Log'!$C:$C,A937,'Lessons Log'!$D:$D,"*Package*"))</f>
        <v/>
      </c>
      <c r="F937" s="6" t="str">
        <f>IFERROR(INDEX([1]Clients!F:F, MATCH(A937, [1]Clients!A:A, 0)), "")</f>
        <v/>
      </c>
    </row>
    <row r="938" spans="2:6" x14ac:dyDescent="0.45">
      <c r="B938" s="5" t="str">
        <f>IFERROR(INDEX([1]Clients!$D:$D, MATCH(A938, [1]Clients!$A:$A, 0)), "")</f>
        <v/>
      </c>
      <c r="E938" s="1" t="str">
        <f>IF(OR(D938="",D938=0),"",D938-SUMIFS('Lessons Log'!$E:$E,'Lessons Log'!$C:$C,A938,'Lessons Log'!$D:$D,"*Package*"))</f>
        <v/>
      </c>
      <c r="F938" s="6" t="str">
        <f>IFERROR(INDEX([1]Clients!F:F, MATCH(A938, [1]Clients!A:A, 0)), "")</f>
        <v/>
      </c>
    </row>
    <row r="939" spans="2:6" x14ac:dyDescent="0.45">
      <c r="B939" s="5" t="str">
        <f>IFERROR(INDEX([1]Clients!$D:$D, MATCH(A939, [1]Clients!$A:$A, 0)), "")</f>
        <v/>
      </c>
      <c r="E939" s="1" t="str">
        <f>IF(OR(D939="",D939=0),"",D939-SUMIFS('Lessons Log'!$E:$E,'Lessons Log'!$C:$C,A939,'Lessons Log'!$D:$D,"*Package*"))</f>
        <v/>
      </c>
      <c r="F939" s="6" t="str">
        <f>IFERROR(INDEX([1]Clients!F:F, MATCH(A939, [1]Clients!A:A, 0)), "")</f>
        <v/>
      </c>
    </row>
    <row r="940" spans="2:6" x14ac:dyDescent="0.45">
      <c r="B940" s="5" t="str">
        <f>IFERROR(INDEX([1]Clients!$D:$D, MATCH(A940, [1]Clients!$A:$A, 0)), "")</f>
        <v/>
      </c>
      <c r="E940" s="1" t="str">
        <f>IF(OR(D940="",D940=0),"",D940-SUMIFS('Lessons Log'!$E:$E,'Lessons Log'!$C:$C,A940,'Lessons Log'!$D:$D,"*Package*"))</f>
        <v/>
      </c>
      <c r="F940" s="6" t="str">
        <f>IFERROR(INDEX([1]Clients!F:F, MATCH(A940, [1]Clients!A:A, 0)), "")</f>
        <v/>
      </c>
    </row>
    <row r="941" spans="2:6" x14ac:dyDescent="0.45">
      <c r="B941" s="5" t="str">
        <f>IFERROR(INDEX([1]Clients!$D:$D, MATCH(A941, [1]Clients!$A:$A, 0)), "")</f>
        <v/>
      </c>
      <c r="E941" s="1" t="str">
        <f>IF(OR(D941="",D941=0),"",D941-SUMIFS('Lessons Log'!$E:$E,'Lessons Log'!$C:$C,A941,'Lessons Log'!$D:$D,"*Package*"))</f>
        <v/>
      </c>
      <c r="F941" s="6" t="str">
        <f>IFERROR(INDEX([1]Clients!F:F, MATCH(A941, [1]Clients!A:A, 0)), "")</f>
        <v/>
      </c>
    </row>
    <row r="942" spans="2:6" x14ac:dyDescent="0.45">
      <c r="B942" s="5" t="str">
        <f>IFERROR(INDEX([1]Clients!$D:$D, MATCH(A942, [1]Clients!$A:$A, 0)), "")</f>
        <v/>
      </c>
      <c r="E942" s="1" t="str">
        <f>IF(OR(D942="",D942=0),"",D942-SUMIFS('Lessons Log'!$E:$E,'Lessons Log'!$C:$C,A942,'Lessons Log'!$D:$D,"*Package*"))</f>
        <v/>
      </c>
      <c r="F942" s="6" t="str">
        <f>IFERROR(INDEX([1]Clients!F:F, MATCH(A942, [1]Clients!A:A, 0)), "")</f>
        <v/>
      </c>
    </row>
    <row r="943" spans="2:6" x14ac:dyDescent="0.45">
      <c r="B943" s="5" t="str">
        <f>IFERROR(INDEX([1]Clients!$D:$D, MATCH(A943, [1]Clients!$A:$A, 0)), "")</f>
        <v/>
      </c>
      <c r="E943" s="1" t="str">
        <f>IF(OR(D943="",D943=0),"",D943-SUMIFS('Lessons Log'!$E:$E,'Lessons Log'!$C:$C,A943,'Lessons Log'!$D:$D,"*Package*"))</f>
        <v/>
      </c>
      <c r="F943" s="6" t="str">
        <f>IFERROR(INDEX([1]Clients!F:F, MATCH(A943, [1]Clients!A:A, 0)), "")</f>
        <v/>
      </c>
    </row>
    <row r="944" spans="2:6" x14ac:dyDescent="0.45">
      <c r="B944" s="5" t="str">
        <f>IFERROR(INDEX([1]Clients!$D:$D, MATCH(A944, [1]Clients!$A:$A, 0)), "")</f>
        <v/>
      </c>
      <c r="E944" s="1" t="str">
        <f>IF(OR(D944="",D944=0),"",D944-SUMIFS('Lessons Log'!$E:$E,'Lessons Log'!$C:$C,A944,'Lessons Log'!$D:$D,"*Package*"))</f>
        <v/>
      </c>
      <c r="F944" s="6" t="str">
        <f>IFERROR(INDEX([1]Clients!F:F, MATCH(A944, [1]Clients!A:A, 0)), "")</f>
        <v/>
      </c>
    </row>
    <row r="945" spans="2:6" x14ac:dyDescent="0.45">
      <c r="B945" s="5" t="str">
        <f>IFERROR(INDEX([1]Clients!$D:$D, MATCH(A945, [1]Clients!$A:$A, 0)), "")</f>
        <v/>
      </c>
      <c r="E945" s="1" t="str">
        <f>IF(OR(D945="",D945=0),"",D945-SUMIFS('Lessons Log'!$E:$E,'Lessons Log'!$C:$C,A945,'Lessons Log'!$D:$D,"*Package*"))</f>
        <v/>
      </c>
      <c r="F945" s="6" t="str">
        <f>IFERROR(INDEX([1]Clients!F:F, MATCH(A945, [1]Clients!A:A, 0)), "")</f>
        <v/>
      </c>
    </row>
    <row r="946" spans="2:6" x14ac:dyDescent="0.45">
      <c r="B946" s="5" t="str">
        <f>IFERROR(INDEX([1]Clients!$D:$D, MATCH(A946, [1]Clients!$A:$A, 0)), "")</f>
        <v/>
      </c>
      <c r="E946" s="1" t="str">
        <f>IF(OR(D946="",D946=0),"",D946-SUMIFS('Lessons Log'!$E:$E,'Lessons Log'!$C:$C,A946,'Lessons Log'!$D:$D,"*Package*"))</f>
        <v/>
      </c>
      <c r="F946" s="6" t="str">
        <f>IFERROR(INDEX([1]Clients!F:F, MATCH(A946, [1]Clients!A:A, 0)), "")</f>
        <v/>
      </c>
    </row>
    <row r="947" spans="2:6" x14ac:dyDescent="0.45">
      <c r="B947" s="5" t="str">
        <f>IFERROR(INDEX([1]Clients!$D:$D, MATCH(A947, [1]Clients!$A:$A, 0)), "")</f>
        <v/>
      </c>
      <c r="E947" s="1" t="str">
        <f>IF(OR(D947="",D947=0),"",D947-SUMIFS('Lessons Log'!$E:$E,'Lessons Log'!$C:$C,A947,'Lessons Log'!$D:$D,"*Package*"))</f>
        <v/>
      </c>
      <c r="F947" s="6" t="str">
        <f>IFERROR(INDEX([1]Clients!F:F, MATCH(A947, [1]Clients!A:A, 0)), "")</f>
        <v/>
      </c>
    </row>
    <row r="948" spans="2:6" x14ac:dyDescent="0.45">
      <c r="B948" s="5" t="str">
        <f>IFERROR(INDEX([1]Clients!$D:$D, MATCH(A948, [1]Clients!$A:$A, 0)), "")</f>
        <v/>
      </c>
      <c r="E948" s="1" t="str">
        <f>IF(OR(D948="",D948=0),"",D948-SUMIFS('Lessons Log'!$E:$E,'Lessons Log'!$C:$C,A948,'Lessons Log'!$D:$D,"*Package*"))</f>
        <v/>
      </c>
      <c r="F948" s="6" t="str">
        <f>IFERROR(INDEX([1]Clients!F:F, MATCH(A948, [1]Clients!A:A, 0)), "")</f>
        <v/>
      </c>
    </row>
    <row r="949" spans="2:6" x14ac:dyDescent="0.45">
      <c r="B949" s="5" t="str">
        <f>IFERROR(INDEX([1]Clients!$D:$D, MATCH(A949, [1]Clients!$A:$A, 0)), "")</f>
        <v/>
      </c>
      <c r="E949" s="1" t="str">
        <f>IF(OR(D949="",D949=0),"",D949-SUMIFS('Lessons Log'!$E:$E,'Lessons Log'!$C:$C,A949,'Lessons Log'!$D:$D,"*Package*"))</f>
        <v/>
      </c>
      <c r="F949" s="6" t="str">
        <f>IFERROR(INDEX([1]Clients!F:F, MATCH(A949, [1]Clients!A:A, 0)), "")</f>
        <v/>
      </c>
    </row>
    <row r="950" spans="2:6" x14ac:dyDescent="0.45">
      <c r="B950" s="5" t="str">
        <f>IFERROR(INDEX([1]Clients!$D:$D, MATCH(A950, [1]Clients!$A:$A, 0)), "")</f>
        <v/>
      </c>
      <c r="E950" s="1" t="str">
        <f>IF(OR(D950="",D950=0),"",D950-SUMIFS('Lessons Log'!$E:$E,'Lessons Log'!$C:$C,A950,'Lessons Log'!$D:$D,"*Package*"))</f>
        <v/>
      </c>
      <c r="F950" s="6" t="str">
        <f>IFERROR(INDEX([1]Clients!F:F, MATCH(A950, [1]Clients!A:A, 0)), "")</f>
        <v/>
      </c>
    </row>
    <row r="951" spans="2:6" x14ac:dyDescent="0.45">
      <c r="B951" s="5" t="str">
        <f>IFERROR(INDEX([1]Clients!$D:$D, MATCH(A951, [1]Clients!$A:$A, 0)), "")</f>
        <v/>
      </c>
      <c r="E951" s="1" t="str">
        <f>IF(OR(D951="",D951=0),"",D951-SUMIFS('Lessons Log'!$E:$E,'Lessons Log'!$C:$C,A951,'Lessons Log'!$D:$D,"*Package*"))</f>
        <v/>
      </c>
      <c r="F951" s="6" t="str">
        <f>IFERROR(INDEX([1]Clients!F:F, MATCH(A951, [1]Clients!A:A, 0)), "")</f>
        <v/>
      </c>
    </row>
    <row r="952" spans="2:6" x14ac:dyDescent="0.45">
      <c r="B952" s="5" t="str">
        <f>IFERROR(INDEX([1]Clients!$D:$D, MATCH(A952, [1]Clients!$A:$A, 0)), "")</f>
        <v/>
      </c>
      <c r="E952" s="1" t="str">
        <f>IF(OR(D952="",D952=0),"",D952-SUMIFS('Lessons Log'!$E:$E,'Lessons Log'!$C:$C,A952,'Lessons Log'!$D:$D,"*Package*"))</f>
        <v/>
      </c>
      <c r="F952" s="6" t="str">
        <f>IFERROR(INDEX([1]Clients!F:F, MATCH(A952, [1]Clients!A:A, 0)), "")</f>
        <v/>
      </c>
    </row>
    <row r="953" spans="2:6" x14ac:dyDescent="0.45">
      <c r="B953" s="5" t="str">
        <f>IFERROR(INDEX([1]Clients!$D:$D, MATCH(A953, [1]Clients!$A:$A, 0)), "")</f>
        <v/>
      </c>
      <c r="E953" s="1" t="str">
        <f>IF(OR(D953="",D953=0),"",D953-SUMIFS('Lessons Log'!$E:$E,'Lessons Log'!$C:$C,A953,'Lessons Log'!$D:$D,"*Package*"))</f>
        <v/>
      </c>
      <c r="F953" s="6" t="str">
        <f>IFERROR(INDEX([1]Clients!F:F, MATCH(A953, [1]Clients!A:A, 0)), "")</f>
        <v/>
      </c>
    </row>
    <row r="954" spans="2:6" x14ac:dyDescent="0.45">
      <c r="B954" s="5" t="str">
        <f>IFERROR(INDEX([1]Clients!$D:$D, MATCH(A954, [1]Clients!$A:$A, 0)), "")</f>
        <v/>
      </c>
      <c r="E954" s="1" t="str">
        <f>IF(OR(D954="",D954=0),"",D954-SUMIFS('Lessons Log'!$E:$E,'Lessons Log'!$C:$C,A954,'Lessons Log'!$D:$D,"*Package*"))</f>
        <v/>
      </c>
      <c r="F954" s="6" t="str">
        <f>IFERROR(INDEX([1]Clients!F:F, MATCH(A954, [1]Clients!A:A, 0)), "")</f>
        <v/>
      </c>
    </row>
    <row r="955" spans="2:6" x14ac:dyDescent="0.45">
      <c r="B955" s="5" t="str">
        <f>IFERROR(INDEX([1]Clients!$D:$D, MATCH(A955, [1]Clients!$A:$A, 0)), "")</f>
        <v/>
      </c>
      <c r="E955" s="1" t="str">
        <f>IF(OR(D955="",D955=0),"",D955-SUMIFS('Lessons Log'!$E:$E,'Lessons Log'!$C:$C,A955,'Lessons Log'!$D:$D,"*Package*"))</f>
        <v/>
      </c>
      <c r="F955" s="6" t="str">
        <f>IFERROR(INDEX([1]Clients!F:F, MATCH(A955, [1]Clients!A:A, 0)), "")</f>
        <v/>
      </c>
    </row>
    <row r="956" spans="2:6" x14ac:dyDescent="0.45">
      <c r="B956" s="5" t="str">
        <f>IFERROR(INDEX([1]Clients!$D:$D, MATCH(A956, [1]Clients!$A:$A, 0)), "")</f>
        <v/>
      </c>
      <c r="E956" s="1" t="str">
        <f>IF(OR(D956="",D956=0),"",D956-SUMIFS('Lessons Log'!$E:$E,'Lessons Log'!$C:$C,A956,'Lessons Log'!$D:$D,"*Package*"))</f>
        <v/>
      </c>
      <c r="F956" s="6" t="str">
        <f>IFERROR(INDEX([1]Clients!F:F, MATCH(A956, [1]Clients!A:A, 0)), "")</f>
        <v/>
      </c>
    </row>
    <row r="957" spans="2:6" x14ac:dyDescent="0.45">
      <c r="B957" s="5" t="str">
        <f>IFERROR(INDEX([1]Clients!$D:$D, MATCH(A957, [1]Clients!$A:$A, 0)), "")</f>
        <v/>
      </c>
      <c r="E957" s="1" t="str">
        <f>IF(OR(D957="",D957=0),"",D957-SUMIFS('Lessons Log'!$E:$E,'Lessons Log'!$C:$C,A957,'Lessons Log'!$D:$D,"*Package*"))</f>
        <v/>
      </c>
      <c r="F957" s="6" t="str">
        <f>IFERROR(INDEX([1]Clients!F:F, MATCH(A957, [1]Clients!A:A, 0)), "")</f>
        <v/>
      </c>
    </row>
    <row r="958" spans="2:6" x14ac:dyDescent="0.45">
      <c r="B958" s="5" t="str">
        <f>IFERROR(INDEX([1]Clients!$D:$D, MATCH(A958, [1]Clients!$A:$A, 0)), "")</f>
        <v/>
      </c>
      <c r="E958" s="1" t="str">
        <f>IF(OR(D958="",D958=0),"",D958-SUMIFS('Lessons Log'!$E:$E,'Lessons Log'!$C:$C,A958,'Lessons Log'!$D:$D,"*Package*"))</f>
        <v/>
      </c>
      <c r="F958" s="6" t="str">
        <f>IFERROR(INDEX([1]Clients!F:F, MATCH(A958, [1]Clients!A:A, 0)), "")</f>
        <v/>
      </c>
    </row>
    <row r="959" spans="2:6" x14ac:dyDescent="0.45">
      <c r="B959" s="5" t="str">
        <f>IFERROR(INDEX([1]Clients!$D:$D, MATCH(A959, [1]Clients!$A:$A, 0)), "")</f>
        <v/>
      </c>
      <c r="E959" s="1" t="str">
        <f>IF(OR(D959="",D959=0),"",D959-SUMIFS('Lessons Log'!$E:$E,'Lessons Log'!$C:$C,A959,'Lessons Log'!$D:$D,"*Package*"))</f>
        <v/>
      </c>
      <c r="F959" s="6" t="str">
        <f>IFERROR(INDEX([1]Clients!F:F, MATCH(A959, [1]Clients!A:A, 0)), "")</f>
        <v/>
      </c>
    </row>
    <row r="960" spans="2:6" x14ac:dyDescent="0.45">
      <c r="B960" s="5" t="str">
        <f>IFERROR(INDEX([1]Clients!$D:$D, MATCH(A960, [1]Clients!$A:$A, 0)), "")</f>
        <v/>
      </c>
      <c r="E960" s="1" t="str">
        <f>IF(OR(D960="",D960=0),"",D960-SUMIFS('Lessons Log'!$E:$E,'Lessons Log'!$C:$C,A960,'Lessons Log'!$D:$D,"*Package*"))</f>
        <v/>
      </c>
      <c r="F960" s="6" t="str">
        <f>IFERROR(INDEX([1]Clients!F:F, MATCH(A960, [1]Clients!A:A, 0)), "")</f>
        <v/>
      </c>
    </row>
    <row r="961" spans="2:6" x14ac:dyDescent="0.45">
      <c r="B961" s="5" t="str">
        <f>IFERROR(INDEX([1]Clients!$D:$D, MATCH(A961, [1]Clients!$A:$A, 0)), "")</f>
        <v/>
      </c>
      <c r="E961" s="1" t="str">
        <f>IF(OR(D961="",D961=0),"",D961-SUMIFS('Lessons Log'!$E:$E,'Lessons Log'!$C:$C,A961,'Lessons Log'!$D:$D,"*Package*"))</f>
        <v/>
      </c>
      <c r="F961" s="6" t="str">
        <f>IFERROR(INDEX([1]Clients!F:F, MATCH(A961, [1]Clients!A:A, 0)), "")</f>
        <v/>
      </c>
    </row>
    <row r="962" spans="2:6" x14ac:dyDescent="0.45">
      <c r="B962" s="5" t="str">
        <f>IFERROR(INDEX([1]Clients!$D:$D, MATCH(A962, [1]Clients!$A:$A, 0)), "")</f>
        <v/>
      </c>
      <c r="E962" s="1" t="str">
        <f>IF(OR(D962="",D962=0),"",D962-SUMIFS('Lessons Log'!$E:$E,'Lessons Log'!$C:$C,A962,'Lessons Log'!$D:$D,"*Package*"))</f>
        <v/>
      </c>
      <c r="F962" s="6" t="str">
        <f>IFERROR(INDEX([1]Clients!F:F, MATCH(A962, [1]Clients!A:A, 0)), "")</f>
        <v/>
      </c>
    </row>
    <row r="963" spans="2:6" x14ac:dyDescent="0.45">
      <c r="B963" s="5" t="str">
        <f>IFERROR(INDEX([1]Clients!$D:$D, MATCH(A963, [1]Clients!$A:$A, 0)), "")</f>
        <v/>
      </c>
      <c r="E963" s="1" t="str">
        <f>IF(OR(D963="",D963=0),"",D963-SUMIFS('Lessons Log'!$E:$E,'Lessons Log'!$C:$C,A963,'Lessons Log'!$D:$D,"*Package*"))</f>
        <v/>
      </c>
      <c r="F963" s="6" t="str">
        <f>IFERROR(INDEX([1]Clients!F:F, MATCH(A963, [1]Clients!A:A, 0)), "")</f>
        <v/>
      </c>
    </row>
    <row r="964" spans="2:6" x14ac:dyDescent="0.45">
      <c r="B964" s="5" t="str">
        <f>IFERROR(INDEX([1]Clients!$D:$D, MATCH(A964, [1]Clients!$A:$A, 0)), "")</f>
        <v/>
      </c>
      <c r="E964" s="1" t="str">
        <f>IF(OR(D964="",D964=0),"",D964-SUMIFS('Lessons Log'!$E:$E,'Lessons Log'!$C:$C,A964,'Lessons Log'!$D:$D,"*Package*"))</f>
        <v/>
      </c>
      <c r="F964" s="6" t="str">
        <f>IFERROR(INDEX([1]Clients!F:F, MATCH(A964, [1]Clients!A:A, 0)), "")</f>
        <v/>
      </c>
    </row>
    <row r="965" spans="2:6" x14ac:dyDescent="0.45">
      <c r="B965" s="5" t="str">
        <f>IFERROR(INDEX([1]Clients!$D:$D, MATCH(A965, [1]Clients!$A:$A, 0)), "")</f>
        <v/>
      </c>
      <c r="E965" s="1" t="str">
        <f>IF(OR(D965="",D965=0),"",D965-SUMIFS('Lessons Log'!$E:$E,'Lessons Log'!$C:$C,A965,'Lessons Log'!$D:$D,"*Package*"))</f>
        <v/>
      </c>
      <c r="F965" s="6" t="str">
        <f>IFERROR(INDEX([1]Clients!F:F, MATCH(A965, [1]Clients!A:A, 0)), "")</f>
        <v/>
      </c>
    </row>
    <row r="966" spans="2:6" x14ac:dyDescent="0.45">
      <c r="B966" s="5" t="str">
        <f>IFERROR(INDEX([1]Clients!$D:$D, MATCH(A966, [1]Clients!$A:$A, 0)), "")</f>
        <v/>
      </c>
      <c r="E966" s="1" t="str">
        <f>IF(OR(D966="",D966=0),"",D966-SUMIFS('Lessons Log'!$E:$E,'Lessons Log'!$C:$C,A966,'Lessons Log'!$D:$D,"*Package*"))</f>
        <v/>
      </c>
      <c r="F966" s="6" t="str">
        <f>IFERROR(INDEX([1]Clients!F:F, MATCH(A966, [1]Clients!A:A, 0)), "")</f>
        <v/>
      </c>
    </row>
    <row r="967" spans="2:6" x14ac:dyDescent="0.45">
      <c r="B967" s="5" t="str">
        <f>IFERROR(INDEX([1]Clients!$D:$D, MATCH(A967, [1]Clients!$A:$A, 0)), "")</f>
        <v/>
      </c>
      <c r="E967" s="1" t="str">
        <f>IF(OR(D967="",D967=0),"",D967-SUMIFS('Lessons Log'!$E:$E,'Lessons Log'!$C:$C,A967,'Lessons Log'!$D:$D,"*Package*"))</f>
        <v/>
      </c>
      <c r="F967" s="6" t="str">
        <f>IFERROR(INDEX([1]Clients!F:F, MATCH(A967, [1]Clients!A:A, 0)), "")</f>
        <v/>
      </c>
    </row>
    <row r="968" spans="2:6" x14ac:dyDescent="0.45">
      <c r="B968" s="5" t="str">
        <f>IFERROR(INDEX([1]Clients!$D:$D, MATCH(A968, [1]Clients!$A:$A, 0)), "")</f>
        <v/>
      </c>
      <c r="E968" s="1" t="str">
        <f>IF(OR(D968="",D968=0),"",D968-SUMIFS('Lessons Log'!$E:$E,'Lessons Log'!$C:$C,A968,'Lessons Log'!$D:$D,"*Package*"))</f>
        <v/>
      </c>
      <c r="F968" s="6" t="str">
        <f>IFERROR(INDEX([1]Clients!F:F, MATCH(A968, [1]Clients!A:A, 0)), "")</f>
        <v/>
      </c>
    </row>
    <row r="969" spans="2:6" x14ac:dyDescent="0.45">
      <c r="B969" s="5" t="str">
        <f>IFERROR(INDEX([1]Clients!$D:$D, MATCH(A969, [1]Clients!$A:$A, 0)), "")</f>
        <v/>
      </c>
      <c r="E969" s="1" t="str">
        <f>IF(OR(D969="",D969=0),"",D969-SUMIFS('Lessons Log'!$E:$E,'Lessons Log'!$C:$C,A969,'Lessons Log'!$D:$D,"*Package*"))</f>
        <v/>
      </c>
      <c r="F969" s="6" t="str">
        <f>IFERROR(INDEX([1]Clients!F:F, MATCH(A969, [1]Clients!A:A, 0)), "")</f>
        <v/>
      </c>
    </row>
    <row r="970" spans="2:6" x14ac:dyDescent="0.45">
      <c r="B970" s="5" t="str">
        <f>IFERROR(INDEX([1]Clients!$D:$D, MATCH(A970, [1]Clients!$A:$A, 0)), "")</f>
        <v/>
      </c>
      <c r="E970" s="1" t="str">
        <f>IF(OR(D970="",D970=0),"",D970-SUMIFS('Lessons Log'!$E:$E,'Lessons Log'!$C:$C,A970,'Lessons Log'!$D:$D,"*Package*"))</f>
        <v/>
      </c>
      <c r="F970" s="6" t="str">
        <f>IFERROR(INDEX([1]Clients!F:F, MATCH(A970, [1]Clients!A:A, 0)), "")</f>
        <v/>
      </c>
    </row>
    <row r="971" spans="2:6" x14ac:dyDescent="0.45">
      <c r="B971" s="5" t="str">
        <f>IFERROR(INDEX([1]Clients!$D:$D, MATCH(A971, [1]Clients!$A:$A, 0)), "")</f>
        <v/>
      </c>
      <c r="E971" s="1" t="str">
        <f>IF(OR(D971="",D971=0),"",D971-SUMIFS('Lessons Log'!$E:$E,'Lessons Log'!$C:$C,A971,'Lessons Log'!$D:$D,"*Package*"))</f>
        <v/>
      </c>
      <c r="F971" s="6" t="str">
        <f>IFERROR(INDEX([1]Clients!F:F, MATCH(A971, [1]Clients!A:A, 0)), "")</f>
        <v/>
      </c>
    </row>
    <row r="972" spans="2:6" x14ac:dyDescent="0.45">
      <c r="B972" s="5" t="str">
        <f>IFERROR(INDEX([1]Clients!$D:$D, MATCH(A972, [1]Clients!$A:$A, 0)), "")</f>
        <v/>
      </c>
      <c r="E972" s="1" t="str">
        <f>IF(OR(D972="",D972=0),"",D972-SUMIFS('Lessons Log'!$E:$E,'Lessons Log'!$C:$C,A972,'Lessons Log'!$D:$D,"*Package*"))</f>
        <v/>
      </c>
      <c r="F972" s="6" t="str">
        <f>IFERROR(INDEX([1]Clients!F:F, MATCH(A972, [1]Clients!A:A, 0)), "")</f>
        <v/>
      </c>
    </row>
    <row r="973" spans="2:6" x14ac:dyDescent="0.45">
      <c r="B973" s="5" t="str">
        <f>IFERROR(INDEX([1]Clients!$D:$D, MATCH(A973, [1]Clients!$A:$A, 0)), "")</f>
        <v/>
      </c>
      <c r="E973" s="1" t="str">
        <f>IF(OR(D973="",D973=0),"",D973-SUMIFS('Lessons Log'!$E:$E,'Lessons Log'!$C:$C,A973,'Lessons Log'!$D:$D,"*Package*"))</f>
        <v/>
      </c>
      <c r="F973" s="6" t="str">
        <f>IFERROR(INDEX([1]Clients!F:F, MATCH(A973, [1]Clients!A:A, 0)), "")</f>
        <v/>
      </c>
    </row>
    <row r="974" spans="2:6" x14ac:dyDescent="0.45">
      <c r="B974" s="5" t="str">
        <f>IFERROR(INDEX([1]Clients!$D:$D, MATCH(A974, [1]Clients!$A:$A, 0)), "")</f>
        <v/>
      </c>
      <c r="E974" s="1" t="str">
        <f>IF(OR(D974="",D974=0),"",D974-SUMIFS('Lessons Log'!$E:$E,'Lessons Log'!$C:$C,A974,'Lessons Log'!$D:$D,"*Package*"))</f>
        <v/>
      </c>
      <c r="F974" s="6" t="str">
        <f>IFERROR(INDEX([1]Clients!F:F, MATCH(A974, [1]Clients!A:A, 0)), "")</f>
        <v/>
      </c>
    </row>
    <row r="975" spans="2:6" x14ac:dyDescent="0.45">
      <c r="B975" s="5" t="str">
        <f>IFERROR(INDEX([1]Clients!$D:$D, MATCH(A975, [1]Clients!$A:$A, 0)), "")</f>
        <v/>
      </c>
      <c r="E975" s="1" t="str">
        <f>IF(OR(D975="",D975=0),"",D975-SUMIFS('Lessons Log'!$E:$E,'Lessons Log'!$C:$C,A975,'Lessons Log'!$D:$D,"*Package*"))</f>
        <v/>
      </c>
      <c r="F975" s="6" t="str">
        <f>IFERROR(INDEX([1]Clients!F:F, MATCH(A975, [1]Clients!A:A, 0)), "")</f>
        <v/>
      </c>
    </row>
    <row r="976" spans="2:6" x14ac:dyDescent="0.45">
      <c r="B976" s="5" t="str">
        <f>IFERROR(INDEX([1]Clients!$D:$D, MATCH(A976, [1]Clients!$A:$A, 0)), "")</f>
        <v/>
      </c>
      <c r="E976" s="1" t="str">
        <f>IF(OR(D976="",D976=0),"",D976-SUMIFS('Lessons Log'!$E:$E,'Lessons Log'!$C:$C,A976,'Lessons Log'!$D:$D,"*Package*"))</f>
        <v/>
      </c>
      <c r="F976" s="6" t="str">
        <f>IFERROR(INDEX([1]Clients!F:F, MATCH(A976, [1]Clients!A:A, 0)), "")</f>
        <v/>
      </c>
    </row>
    <row r="977" spans="2:6" x14ac:dyDescent="0.45">
      <c r="B977" s="5" t="str">
        <f>IFERROR(INDEX([1]Clients!$D:$D, MATCH(A977, [1]Clients!$A:$A, 0)), "")</f>
        <v/>
      </c>
      <c r="E977" s="1" t="str">
        <f>IF(OR(D977="",D977=0),"",D977-SUMIFS('Lessons Log'!$E:$E,'Lessons Log'!$C:$C,A977,'Lessons Log'!$D:$D,"*Package*"))</f>
        <v/>
      </c>
      <c r="F977" s="6" t="str">
        <f>IFERROR(INDEX([1]Clients!F:F, MATCH(A977, [1]Clients!A:A, 0)), "")</f>
        <v/>
      </c>
    </row>
    <row r="978" spans="2:6" x14ac:dyDescent="0.45">
      <c r="B978" s="5" t="str">
        <f>IFERROR(INDEX([1]Clients!$D:$D, MATCH(A978, [1]Clients!$A:$A, 0)), "")</f>
        <v/>
      </c>
      <c r="E978" s="1" t="str">
        <f>IF(OR(D978="",D978=0),"",D978-SUMIFS('Lessons Log'!$E:$E,'Lessons Log'!$C:$C,A978,'Lessons Log'!$D:$D,"*Package*"))</f>
        <v/>
      </c>
      <c r="F978" s="6" t="str">
        <f>IFERROR(INDEX([1]Clients!F:F, MATCH(A978, [1]Clients!A:A, 0)), "")</f>
        <v/>
      </c>
    </row>
    <row r="979" spans="2:6" x14ac:dyDescent="0.45">
      <c r="B979" s="5" t="str">
        <f>IFERROR(INDEX([1]Clients!$D:$D, MATCH(A979, [1]Clients!$A:$A, 0)), "")</f>
        <v/>
      </c>
      <c r="E979" s="1" t="str">
        <f>IF(OR(D979="",D979=0),"",D979-SUMIFS('Lessons Log'!$E:$E,'Lessons Log'!$C:$C,A979,'Lessons Log'!$D:$D,"*Package*"))</f>
        <v/>
      </c>
      <c r="F979" s="6" t="str">
        <f>IFERROR(INDEX([1]Clients!F:F, MATCH(A979, [1]Clients!A:A, 0)), "")</f>
        <v/>
      </c>
    </row>
    <row r="980" spans="2:6" x14ac:dyDescent="0.45">
      <c r="B980" s="5" t="str">
        <f>IFERROR(INDEX([1]Clients!$D:$D, MATCH(A980, [1]Clients!$A:$A, 0)), "")</f>
        <v/>
      </c>
      <c r="E980" s="1" t="str">
        <f>IF(OR(D980="",D980=0),"",D980-SUMIFS('Lessons Log'!$E:$E,'Lessons Log'!$C:$C,A980,'Lessons Log'!$D:$D,"*Package*"))</f>
        <v/>
      </c>
      <c r="F980" s="6" t="str">
        <f>IFERROR(INDEX([1]Clients!F:F, MATCH(A980, [1]Clients!A:A, 0)), "")</f>
        <v/>
      </c>
    </row>
    <row r="981" spans="2:6" x14ac:dyDescent="0.45">
      <c r="B981" s="5" t="str">
        <f>IFERROR(INDEX([1]Clients!$D:$D, MATCH(A981, [1]Clients!$A:$A, 0)), "")</f>
        <v/>
      </c>
      <c r="E981" s="1" t="str">
        <f>IF(OR(D981="",D981=0),"",D981-SUMIFS('Lessons Log'!$E:$E,'Lessons Log'!$C:$C,A981,'Lessons Log'!$D:$D,"*Package*"))</f>
        <v/>
      </c>
      <c r="F981" s="6" t="str">
        <f>IFERROR(INDEX([1]Clients!F:F, MATCH(A981, [1]Clients!A:A, 0)), "")</f>
        <v/>
      </c>
    </row>
    <row r="982" spans="2:6" x14ac:dyDescent="0.45">
      <c r="B982" s="5" t="str">
        <f>IFERROR(INDEX([1]Clients!$D:$D, MATCH(A982, [1]Clients!$A:$A, 0)), "")</f>
        <v/>
      </c>
      <c r="E982" s="1" t="str">
        <f>IF(OR(D982="",D982=0),"",D982-SUMIFS('Lessons Log'!$E:$E,'Lessons Log'!$C:$C,A982,'Lessons Log'!$D:$D,"*Package*"))</f>
        <v/>
      </c>
      <c r="F982" s="6" t="str">
        <f>IFERROR(INDEX([1]Clients!F:F, MATCH(A982, [1]Clients!A:A, 0)), "")</f>
        <v/>
      </c>
    </row>
    <row r="983" spans="2:6" x14ac:dyDescent="0.45">
      <c r="B983" s="5" t="str">
        <f>IFERROR(INDEX([1]Clients!$D:$D, MATCH(A983, [1]Clients!$A:$A, 0)), "")</f>
        <v/>
      </c>
      <c r="E983" s="1" t="str">
        <f>IF(OR(D983="",D983=0),"",D983-SUMIFS('Lessons Log'!$E:$E,'Lessons Log'!$C:$C,A983,'Lessons Log'!$D:$D,"*Package*"))</f>
        <v/>
      </c>
      <c r="F983" s="6" t="str">
        <f>IFERROR(INDEX([1]Clients!F:F, MATCH(A983, [1]Clients!A:A, 0)), "")</f>
        <v/>
      </c>
    </row>
    <row r="984" spans="2:6" x14ac:dyDescent="0.45">
      <c r="B984" s="5" t="str">
        <f>IFERROR(INDEX([1]Clients!$D:$D, MATCH(A984, [1]Clients!$A:$A, 0)), "")</f>
        <v/>
      </c>
      <c r="E984" s="1" t="str">
        <f>IF(OR(D984="",D984=0),"",D984-SUMIFS('Lessons Log'!$E:$E,'Lessons Log'!$C:$C,A984,'Lessons Log'!$D:$D,"*Package*"))</f>
        <v/>
      </c>
      <c r="F984" s="6" t="str">
        <f>IFERROR(INDEX([1]Clients!F:F, MATCH(A984, [1]Clients!A:A, 0)), "")</f>
        <v/>
      </c>
    </row>
    <row r="985" spans="2:6" x14ac:dyDescent="0.45">
      <c r="B985" s="5" t="str">
        <f>IFERROR(INDEX([1]Clients!$D:$D, MATCH(A985, [1]Clients!$A:$A, 0)), "")</f>
        <v/>
      </c>
      <c r="E985" s="1" t="str">
        <f>IF(OR(D985="",D985=0),"",D985-SUMIFS('Lessons Log'!$E:$E,'Lessons Log'!$C:$C,A985,'Lessons Log'!$D:$D,"*Package*"))</f>
        <v/>
      </c>
      <c r="F985" s="6" t="str">
        <f>IFERROR(INDEX([1]Clients!F:F, MATCH(A985, [1]Clients!A:A, 0)), "")</f>
        <v/>
      </c>
    </row>
    <row r="986" spans="2:6" x14ac:dyDescent="0.45">
      <c r="B986" s="5" t="str">
        <f>IFERROR(INDEX([1]Clients!$D:$D, MATCH(A986, [1]Clients!$A:$A, 0)), "")</f>
        <v/>
      </c>
      <c r="E986" s="1" t="str">
        <f>IF(OR(D986="",D986=0),"",D986-SUMIFS('Lessons Log'!$E:$E,'Lessons Log'!$C:$C,A986,'Lessons Log'!$D:$D,"*Package*"))</f>
        <v/>
      </c>
      <c r="F986" s="6" t="str">
        <f>IFERROR(INDEX([1]Clients!F:F, MATCH(A986, [1]Clients!A:A, 0)), "")</f>
        <v/>
      </c>
    </row>
    <row r="987" spans="2:6" x14ac:dyDescent="0.45">
      <c r="B987" s="5" t="str">
        <f>IFERROR(INDEX([1]Clients!$D:$D, MATCH(A987, [1]Clients!$A:$A, 0)), "")</f>
        <v/>
      </c>
      <c r="E987" s="1" t="str">
        <f>IF(OR(D987="",D987=0),"",D987-SUMIFS('Lessons Log'!$E:$E,'Lessons Log'!$C:$C,A987,'Lessons Log'!$D:$D,"*Package*"))</f>
        <v/>
      </c>
      <c r="F987" s="6" t="str">
        <f>IFERROR(INDEX([1]Clients!F:F, MATCH(A987, [1]Clients!A:A, 0)), "")</f>
        <v/>
      </c>
    </row>
    <row r="988" spans="2:6" x14ac:dyDescent="0.45">
      <c r="B988" s="5" t="str">
        <f>IFERROR(INDEX([1]Clients!$D:$D, MATCH(A988, [1]Clients!$A:$A, 0)), "")</f>
        <v/>
      </c>
      <c r="E988" s="1" t="str">
        <f>IF(OR(D988="",D988=0),"",D988-SUMIFS('Lessons Log'!$E:$E,'Lessons Log'!$C:$C,A988,'Lessons Log'!$D:$D,"*Package*"))</f>
        <v/>
      </c>
      <c r="F988" s="6" t="str">
        <f>IFERROR(INDEX([1]Clients!F:F, MATCH(A988, [1]Clients!A:A, 0)), "")</f>
        <v/>
      </c>
    </row>
    <row r="989" spans="2:6" x14ac:dyDescent="0.45">
      <c r="B989" s="5" t="str">
        <f>IFERROR(INDEX([1]Clients!$D:$D, MATCH(A989, [1]Clients!$A:$A, 0)), "")</f>
        <v/>
      </c>
      <c r="E989" s="1" t="str">
        <f>IF(OR(D989="",D989=0),"",D989-SUMIFS('Lessons Log'!$E:$E,'Lessons Log'!$C:$C,A989,'Lessons Log'!$D:$D,"*Package*"))</f>
        <v/>
      </c>
      <c r="F989" s="6" t="str">
        <f>IFERROR(INDEX([1]Clients!F:F, MATCH(A989, [1]Clients!A:A, 0)), "")</f>
        <v/>
      </c>
    </row>
    <row r="990" spans="2:6" x14ac:dyDescent="0.45">
      <c r="B990" s="5" t="str">
        <f>IFERROR(INDEX([1]Clients!$D:$D, MATCH(A990, [1]Clients!$A:$A, 0)), "")</f>
        <v/>
      </c>
      <c r="E990" s="1" t="str">
        <f>IF(OR(D990="",D990=0),"",D990-SUMIFS('Lessons Log'!$E:$E,'Lessons Log'!$C:$C,A990,'Lessons Log'!$D:$D,"*Package*"))</f>
        <v/>
      </c>
      <c r="F990" s="6" t="str">
        <f>IFERROR(INDEX([1]Clients!F:F, MATCH(A990, [1]Clients!A:A, 0)), "")</f>
        <v/>
      </c>
    </row>
    <row r="991" spans="2:6" x14ac:dyDescent="0.45">
      <c r="B991" s="5" t="str">
        <f>IFERROR(INDEX([1]Clients!$D:$D, MATCH(A991, [1]Clients!$A:$A, 0)), "")</f>
        <v/>
      </c>
      <c r="E991" s="1" t="str">
        <f>IF(OR(D991="",D991=0),"",D991-SUMIFS('Lessons Log'!$E:$E,'Lessons Log'!$C:$C,A991,'Lessons Log'!$D:$D,"*Package*"))</f>
        <v/>
      </c>
      <c r="F991" s="6" t="str">
        <f>IFERROR(INDEX([1]Clients!F:F, MATCH(A991, [1]Clients!A:A, 0)), "")</f>
        <v/>
      </c>
    </row>
    <row r="992" spans="2:6" x14ac:dyDescent="0.45">
      <c r="B992" s="5" t="str">
        <f>IFERROR(INDEX([1]Clients!$D:$D, MATCH(A992, [1]Clients!$A:$A, 0)), "")</f>
        <v/>
      </c>
      <c r="E992" s="1" t="str">
        <f>IF(OR(D992="",D992=0),"",D992-SUMIFS('Lessons Log'!$E:$E,'Lessons Log'!$C:$C,A992,'Lessons Log'!$D:$D,"*Package*"))</f>
        <v/>
      </c>
      <c r="F992" s="6" t="str">
        <f>IFERROR(INDEX([1]Clients!F:F, MATCH(A992, [1]Clients!A:A, 0)), "")</f>
        <v/>
      </c>
    </row>
    <row r="993" spans="2:6" x14ac:dyDescent="0.45">
      <c r="B993" s="5" t="str">
        <f>IFERROR(INDEX([1]Clients!$D:$D, MATCH(A993, [1]Clients!$A:$A, 0)), "")</f>
        <v/>
      </c>
      <c r="E993" s="1" t="str">
        <f>IF(OR(D993="",D993=0),"",D993-SUMIFS('Lessons Log'!$E:$E,'Lessons Log'!$C:$C,A993,'Lessons Log'!$D:$D,"*Package*"))</f>
        <v/>
      </c>
      <c r="F993" s="6" t="str">
        <f>IFERROR(INDEX([1]Clients!F:F, MATCH(A993, [1]Clients!A:A, 0)), "")</f>
        <v/>
      </c>
    </row>
    <row r="994" spans="2:6" x14ac:dyDescent="0.45">
      <c r="B994" s="5" t="str">
        <f>IFERROR(INDEX([1]Clients!$D:$D, MATCH(A994, [1]Clients!$A:$A, 0)), "")</f>
        <v/>
      </c>
      <c r="E994" s="1" t="str">
        <f>IF(OR(D994="",D994=0),"",D994-SUMIFS('Lessons Log'!$E:$E,'Lessons Log'!$C:$C,A994,'Lessons Log'!$D:$D,"*Package*"))</f>
        <v/>
      </c>
      <c r="F994" s="6" t="str">
        <f>IFERROR(INDEX([1]Clients!F:F, MATCH(A994, [1]Clients!A:A, 0)), "")</f>
        <v/>
      </c>
    </row>
    <row r="995" spans="2:6" x14ac:dyDescent="0.45">
      <c r="B995" s="5" t="str">
        <f>IFERROR(INDEX([1]Clients!$D:$D, MATCH(A995, [1]Clients!$A:$A, 0)), "")</f>
        <v/>
      </c>
      <c r="E995" s="1" t="str">
        <f>IF(OR(D995="",D995=0),"",D995-SUMIFS('Lessons Log'!$E:$E,'Lessons Log'!$C:$C,A995,'Lessons Log'!$D:$D,"*Package*"))</f>
        <v/>
      </c>
      <c r="F995" s="6" t="str">
        <f>IFERROR(INDEX([1]Clients!F:F, MATCH(A995, [1]Clients!A:A, 0)), "")</f>
        <v/>
      </c>
    </row>
    <row r="996" spans="2:6" x14ac:dyDescent="0.45">
      <c r="B996" s="5" t="str">
        <f>IFERROR(INDEX([1]Clients!$D:$D, MATCH(A996, [1]Clients!$A:$A, 0)), "")</f>
        <v/>
      </c>
      <c r="E996" s="1" t="str">
        <f>IF(OR(D996="",D996=0),"",D996-SUMIFS('Lessons Log'!$E:$E,'Lessons Log'!$C:$C,A996,'Lessons Log'!$D:$D,"*Package*"))</f>
        <v/>
      </c>
      <c r="F996" s="6" t="str">
        <f>IFERROR(INDEX([1]Clients!F:F, MATCH(A996, [1]Clients!A:A, 0)), "")</f>
        <v/>
      </c>
    </row>
    <row r="997" spans="2:6" x14ac:dyDescent="0.45">
      <c r="B997" s="5" t="str">
        <f>IFERROR(INDEX([1]Clients!$D:$D, MATCH(A997, [1]Clients!$A:$A, 0)), "")</f>
        <v/>
      </c>
      <c r="E997" s="1" t="str">
        <f>IF(OR(D997="",D997=0),"",D997-SUMIFS('Lessons Log'!$E:$E,'Lessons Log'!$C:$C,A997,'Lessons Log'!$D:$D,"*Package*"))</f>
        <v/>
      </c>
      <c r="F997" s="6" t="str">
        <f>IFERROR(INDEX([1]Clients!F:F, MATCH(A997, [1]Clients!A:A, 0)), "")</f>
        <v/>
      </c>
    </row>
    <row r="998" spans="2:6" x14ac:dyDescent="0.45">
      <c r="B998" s="5" t="str">
        <f>IFERROR(INDEX([1]Clients!$D:$D, MATCH(A998, [1]Clients!$A:$A, 0)), "")</f>
        <v/>
      </c>
      <c r="E998" s="1" t="str">
        <f>IF(OR(D998="",D998=0),"",D998-SUMIFS('Lessons Log'!$E:$E,'Lessons Log'!$C:$C,A998,'Lessons Log'!$D:$D,"*Package*"))</f>
        <v/>
      </c>
      <c r="F998" s="6" t="str">
        <f>IFERROR(INDEX([1]Clients!F:F, MATCH(A998, [1]Clients!A:A, 0)), "")</f>
        <v/>
      </c>
    </row>
    <row r="999" spans="2:6" x14ac:dyDescent="0.45">
      <c r="B999" s="5" t="str">
        <f>IFERROR(INDEX([1]Clients!$D:$D, MATCH(A999, [1]Clients!$A:$A, 0)), "")</f>
        <v/>
      </c>
      <c r="E999" s="1" t="str">
        <f>IF(OR(D999="",D999=0),"",D999-SUMIFS('Lessons Log'!$E:$E,'Lessons Log'!$C:$C,A999,'Lessons Log'!$D:$D,"*Package*"))</f>
        <v/>
      </c>
      <c r="F999" s="6" t="str">
        <f>IFERROR(INDEX([1]Clients!F:F, MATCH(A999, [1]Clients!A:A, 0)), "")</f>
        <v/>
      </c>
    </row>
    <row r="1000" spans="2:6" x14ac:dyDescent="0.45">
      <c r="B1000" s="5" t="str">
        <f>IFERROR(INDEX([1]Clients!$D:$D, MATCH(A1000, [1]Clients!$A:$A, 0)), "")</f>
        <v/>
      </c>
      <c r="E1000" s="1" t="str">
        <f>IF(OR(D1000="",D1000=0),"",D1000-SUMIFS('Lessons Log'!$E:$E,'Lessons Log'!$C:$C,A1000,'Lessons Log'!$D:$D,"*Package*"))</f>
        <v/>
      </c>
      <c r="F1000" s="6" t="str">
        <f>IFERROR(INDEX([1]Clients!F:F, MATCH(A1000, [1]Clients!A:A, 0)), "")</f>
        <v/>
      </c>
    </row>
  </sheetData>
  <autoFilter ref="A1:F1" xr:uid="{00000000-0009-0000-0000-000000000000}"/>
  <conditionalFormatting sqref="E2:E1000">
    <cfRule type="cellIs" dxfId="3" priority="3" operator="between">
      <formula>0.0001</formula>
      <formula>2</formula>
    </cfRule>
    <cfRule type="cellIs" dxfId="2" priority="4" operator="lessThanOrEqual">
      <formula>0</formula>
    </cfRule>
  </conditionalFormatting>
  <dataValidations count="1">
    <dataValidation type="list" allowBlank="1" sqref="B2:B2000" xr:uid="{00000000-0002-0000-0000-000000000000}">
      <formula1>LessonTypeList</formula1>
    </dataValidation>
  </dataValidations>
  <pageMargins left="0.75" right="0.75" top="1" bottom="1" header="0.5" footer="0.5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</sheetPr>
  <dimension ref="A1:K6000"/>
  <sheetViews>
    <sheetView zoomScale="80" zoomScaleNormal="80" workbookViewId="0">
      <pane ySplit="1" topLeftCell="A2" activePane="bottomLeft" state="frozen"/>
      <selection activeCell="B9" sqref="B9"/>
      <selection pane="bottomLeft" activeCell="D280" sqref="D280"/>
    </sheetView>
  </sheetViews>
  <sheetFormatPr defaultColWidth="9.06640625" defaultRowHeight="14.25" x14ac:dyDescent="0.45"/>
  <cols>
    <col min="1" max="1" width="16" style="6" customWidth="1"/>
    <col min="2" max="2" width="16.33203125" style="5" customWidth="1"/>
    <col min="3" max="3" width="21.19921875" style="5" customWidth="1"/>
    <col min="4" max="4" width="27.33203125" style="1" customWidth="1"/>
    <col min="5" max="5" width="13.73046875" style="20" customWidth="1"/>
    <col min="6" max="6" width="16.06640625" style="1" customWidth="1"/>
    <col min="7" max="7" width="13.33203125" style="1" customWidth="1"/>
    <col min="8" max="8" width="13" style="5" customWidth="1"/>
    <col min="9" max="9" width="8.796875" style="23" hidden="1" customWidth="1"/>
    <col min="10" max="10" width="39.6640625" style="5" customWidth="1"/>
    <col min="11" max="12" width="9.06640625" style="5" customWidth="1"/>
    <col min="13" max="16384" width="9.06640625" style="5"/>
  </cols>
  <sheetData>
    <row r="1" spans="1:11" s="18" customFormat="1" x14ac:dyDescent="0.45">
      <c r="A1" s="15" t="s">
        <v>8</v>
      </c>
      <c r="B1" s="19" t="s">
        <v>9</v>
      </c>
      <c r="C1" s="15" t="s">
        <v>10</v>
      </c>
      <c r="D1" s="41" t="s">
        <v>1</v>
      </c>
      <c r="E1" s="12" t="s">
        <v>11</v>
      </c>
      <c r="F1" s="42" t="s">
        <v>4</v>
      </c>
      <c r="G1" s="43" t="s">
        <v>12</v>
      </c>
      <c r="H1" s="43" t="s">
        <v>13</v>
      </c>
      <c r="I1" s="16" t="s">
        <v>14</v>
      </c>
      <c r="J1" s="17" t="s">
        <v>15</v>
      </c>
      <c r="K1" s="22"/>
    </row>
    <row r="2" spans="1:11" x14ac:dyDescent="0.45">
      <c r="A2" s="13"/>
      <c r="D2" t="str">
        <f>IFERROR(VLOOKUP(C2,'Clients List'!$A:$F,2,FALSE),"")</f>
        <v/>
      </c>
      <c r="F2" s="1" t="str">
        <f>IF(OR(C2="",NOT(ISNUMBER(SEARCH("Package",D2)))),"",VLOOKUP(C2,'Clients List'!$A:$F,4,FALSE)-SUMIFS($E$2:$E2,$C$2:$C2,C2,$D$2:$D2,"*Package*"))</f>
        <v/>
      </c>
      <c r="G2" t="str">
        <f t="shared" ref="G2:G33" si="0">IF(ISNUMBER(SEARCH("Group",D2)),IFERROR("GRP-"&amp;TEXT(IF(ISNUMBER(A2),A2,DATEVALUE(A2)),"yyyymmdd"),""),"" )</f>
        <v/>
      </c>
      <c r="H2" s="33">
        <f>IF(ISNUMBER(SEARCH("Group",D2)),IF(G2="",E2,IFERROR(E2/COUNTIF($G2:$G6000,G2),E2)),E2)</f>
        <v>0</v>
      </c>
      <c r="I2" s="1" t="str">
        <f>IFERROR(VLOOKUP(C2,'Clients List'!A:F,6,FALSE),"")</f>
        <v/>
      </c>
    </row>
    <row r="3" spans="1:11" x14ac:dyDescent="0.45">
      <c r="A3" s="7"/>
      <c r="D3" t="str">
        <f>IFERROR(VLOOKUP(C3,'Clients List'!$A:$F,2,FALSE),"")</f>
        <v/>
      </c>
      <c r="F3" s="1" t="str">
        <f>IF(OR(C3="",NOT(ISNUMBER(SEARCH("Package",D3)))),"",VLOOKUP(C3,'Clients List'!$A:$F,4,FALSE)-SUMIFS($E$2:$E3,$C$2:$C3,C3,$D$2:$D3,"*Package*"))</f>
        <v/>
      </c>
      <c r="G3" t="str">
        <f t="shared" si="0"/>
        <v/>
      </c>
      <c r="H3" s="33">
        <f>IF(ISNUMBER(SEARCH("Group",D3)),IF(G3="",E3,IFERROR(E3/COUNTIF($G2:$G6000,G3),E3)),E3)</f>
        <v>0</v>
      </c>
      <c r="I3" s="1" t="str">
        <f>IFERROR(VLOOKUP(C3,'Clients List'!A:F,6,FALSE),"")</f>
        <v/>
      </c>
    </row>
    <row r="4" spans="1:11" x14ac:dyDescent="0.45">
      <c r="A4" s="7"/>
      <c r="D4" t="str">
        <f>IFERROR(VLOOKUP(C4,'Clients List'!$A:$F,2,FALSE),"")</f>
        <v/>
      </c>
      <c r="F4" s="1" t="str">
        <f>IF(OR(C4="",NOT(ISNUMBER(SEARCH("Package",D4)))),"",VLOOKUP(C4,'Clients List'!$A:$F,4,FALSE)-SUMIFS($E$2:$E4,$C$2:$C4,C4,$D$2:$D4,"*Package*"))</f>
        <v/>
      </c>
      <c r="G4" t="str">
        <f t="shared" si="0"/>
        <v/>
      </c>
      <c r="H4" s="33">
        <f>IF(ISNUMBER(SEARCH("Group",D4)),IF(G4="",E4,IFERROR(E4/COUNTIF($G2:$G6000,G4),E4)),E4)</f>
        <v>0</v>
      </c>
      <c r="I4" s="1" t="str">
        <f>IFERROR(VLOOKUP(C4,'Clients List'!A:F,6,FALSE),"")</f>
        <v/>
      </c>
    </row>
    <row r="5" spans="1:11" x14ac:dyDescent="0.45">
      <c r="A5" s="7"/>
      <c r="D5" t="str">
        <f>IFERROR(VLOOKUP(C5,'Clients List'!$A:$F,2,FALSE),"")</f>
        <v/>
      </c>
      <c r="F5" s="1" t="str">
        <f>IF(OR(C5="",NOT(ISNUMBER(SEARCH("Package",D5)))),"",VLOOKUP(C5,'Clients List'!$A:$F,4,FALSE)-SUMIFS($E$2:$E5,$C$2:$C5,C5,$D$2:$D5,"*Package*"))</f>
        <v/>
      </c>
      <c r="G5" t="str">
        <f t="shared" si="0"/>
        <v/>
      </c>
      <c r="H5" s="33">
        <f>IF(ISNUMBER(SEARCH("Group",D5)),IF(G5="",E5,IFERROR(E5/COUNTIF($G2:$G6000,G5),E5)),E5)</f>
        <v>0</v>
      </c>
      <c r="I5" s="1" t="str">
        <f>IFERROR(VLOOKUP(C5,'Clients List'!A:F,6,FALSE),"")</f>
        <v/>
      </c>
    </row>
    <row r="6" spans="1:11" x14ac:dyDescent="0.45">
      <c r="A6" s="7"/>
      <c r="D6" t="str">
        <f>IFERROR(VLOOKUP(C6,'Clients List'!$A:$F,2,FALSE),"")</f>
        <v/>
      </c>
      <c r="F6" s="1" t="str">
        <f>IF(OR(C6="",NOT(ISNUMBER(SEARCH("Package",D6)))),"",VLOOKUP(C6,'Clients List'!$A:$F,4,FALSE)-SUMIFS($E$2:$E6,$C$2:$C6,C6,$D$2:$D6,"*Package*"))</f>
        <v/>
      </c>
      <c r="G6" t="str">
        <f t="shared" si="0"/>
        <v/>
      </c>
      <c r="H6" s="33">
        <f>IF(ISNUMBER(SEARCH("Group",D6)),IF(G6="",E6,IFERROR(E6/COUNTIF($G2:$G6000,G6),E6)),E6)</f>
        <v>0</v>
      </c>
      <c r="I6" s="1" t="str">
        <f>IFERROR(VLOOKUP(C6,'Clients List'!A:F,6,FALSE),"")</f>
        <v/>
      </c>
    </row>
    <row r="7" spans="1:11" x14ac:dyDescent="0.45">
      <c r="A7" s="7"/>
      <c r="D7" t="str">
        <f>IFERROR(VLOOKUP(C7,'Clients List'!$A:$F,2,FALSE),"")</f>
        <v/>
      </c>
      <c r="F7" s="1" t="str">
        <f>IF(OR(C7="",NOT(ISNUMBER(SEARCH("Package",D7)))),"",VLOOKUP(C7,'Clients List'!$A:$F,4,FALSE)-SUMIFS($E$2:$E7,$C$2:$C7,C7,$D$2:$D7,"*Package*"))</f>
        <v/>
      </c>
      <c r="G7" t="str">
        <f t="shared" si="0"/>
        <v/>
      </c>
      <c r="H7" s="33">
        <f>IF(ISNUMBER(SEARCH("Group",D7)),IF(G7="",E7,IFERROR(E7/COUNTIF($G2:$G6000,G7),E7)),E7)</f>
        <v>0</v>
      </c>
      <c r="I7" s="1" t="str">
        <f>IFERROR(VLOOKUP(C7,'Clients List'!A:F,6,FALSE),"")</f>
        <v/>
      </c>
    </row>
    <row r="8" spans="1:11" x14ac:dyDescent="0.45">
      <c r="A8" s="7"/>
      <c r="D8" t="str">
        <f>IFERROR(VLOOKUP(C8,'Clients List'!$A:$F,2,FALSE),"")</f>
        <v/>
      </c>
      <c r="F8" s="1" t="str">
        <f>IF(OR(C8="",NOT(ISNUMBER(SEARCH("Package",D8)))),"",VLOOKUP(C8,'Clients List'!$A:$F,4,FALSE)-SUMIFS($E$2:$E8,$C$2:$C8,C8,$D$2:$D8,"*Package*"))</f>
        <v/>
      </c>
      <c r="G8" t="str">
        <f t="shared" si="0"/>
        <v/>
      </c>
      <c r="H8" s="33">
        <f>IF(ISNUMBER(SEARCH("Group",D8)),IF(G8="",E8,IFERROR(E8/COUNTIF($G2:$G6000,G8),E8)),E8)</f>
        <v>0</v>
      </c>
      <c r="I8" s="1" t="str">
        <f>IFERROR(VLOOKUP(C8,'Clients List'!A:F,6,FALSE),"")</f>
        <v/>
      </c>
    </row>
    <row r="9" spans="1:11" x14ac:dyDescent="0.45">
      <c r="A9" s="7"/>
      <c r="D9" t="str">
        <f>IFERROR(VLOOKUP(C9,'Clients List'!$A:$F,2,FALSE),"")</f>
        <v/>
      </c>
      <c r="F9" s="1" t="str">
        <f>IF(OR(C9="",NOT(ISNUMBER(SEARCH("Package",D9)))),"",VLOOKUP(C9,'Clients List'!$A:$F,4,FALSE)-SUMIFS($E$2:$E9,$C$2:$C9,C9,$D$2:$D9,"*Package*"))</f>
        <v/>
      </c>
      <c r="G9" t="str">
        <f t="shared" si="0"/>
        <v/>
      </c>
      <c r="H9" s="33">
        <f>IF(ISNUMBER(SEARCH("Group",D9)),IF(G9="",E9,IFERROR(E9/COUNTIF($G2:$G6000,G9),E9)),E9)</f>
        <v>0</v>
      </c>
      <c r="I9" s="1" t="str">
        <f>IFERROR(VLOOKUP(C9,'Clients List'!A:F,6,FALSE),"")</f>
        <v/>
      </c>
    </row>
    <row r="10" spans="1:11" x14ac:dyDescent="0.45">
      <c r="A10" s="7"/>
      <c r="D10" t="str">
        <f>IFERROR(VLOOKUP(C10,'Clients List'!$A:$F,2,FALSE),"")</f>
        <v/>
      </c>
      <c r="F10" s="1" t="str">
        <f>IF(OR(C10="",NOT(ISNUMBER(SEARCH("Package",D10)))),"",VLOOKUP(C10,'Clients List'!$A:$F,4,FALSE)-SUMIFS($E$2:$E10,$C$2:$C10,C10,$D$2:$D10,"*Package*"))</f>
        <v/>
      </c>
      <c r="G10" t="str">
        <f t="shared" si="0"/>
        <v/>
      </c>
      <c r="H10" s="33">
        <f>IF(ISNUMBER(SEARCH("Group",D10)),IF(G10="",E10,IFERROR(E10/COUNTIF($G2:$G6000,G10),E10)),E10)</f>
        <v>0</v>
      </c>
      <c r="I10" s="1" t="str">
        <f>IFERROR(VLOOKUP(C10,'Clients List'!A:F,6,FALSE),"")</f>
        <v/>
      </c>
    </row>
    <row r="11" spans="1:11" x14ac:dyDescent="0.45">
      <c r="A11" s="7"/>
      <c r="D11" t="str">
        <f>IFERROR(VLOOKUP(C11,'Clients List'!$A:$F,2,FALSE),"")</f>
        <v/>
      </c>
      <c r="F11" s="1" t="str">
        <f>IF(OR(C11="",NOT(ISNUMBER(SEARCH("Package",D11)))),"",VLOOKUP(C11,'Clients List'!$A:$F,4,FALSE)-SUMIFS($E$2:$E11,$C$2:$C11,C11,$D$2:$D11,"*Package*"))</f>
        <v/>
      </c>
      <c r="G11" t="str">
        <f t="shared" si="0"/>
        <v/>
      </c>
      <c r="H11" s="33">
        <f>IF(ISNUMBER(SEARCH("Group",D11)),IF(G11="",E11,IFERROR(E11/COUNTIF($G2:$G6000,G11),E11)),E11)</f>
        <v>0</v>
      </c>
      <c r="I11" s="1" t="str">
        <f>IFERROR(VLOOKUP(C11,'Clients List'!A:F,6,FALSE),"")</f>
        <v/>
      </c>
    </row>
    <row r="12" spans="1:11" x14ac:dyDescent="0.45">
      <c r="A12" s="7"/>
      <c r="D12" t="str">
        <f>IFERROR(VLOOKUP(C12,'Clients List'!$A:$F,2,FALSE),"")</f>
        <v/>
      </c>
      <c r="F12" s="1" t="str">
        <f>IF(OR(C12="",NOT(ISNUMBER(SEARCH("Package",D12)))),"",VLOOKUP(C12,'Clients List'!$A:$F,4,FALSE)-SUMIFS($E$2:$E12,$C$2:$C12,C12,$D$2:$D12,"*Package*"))</f>
        <v/>
      </c>
      <c r="G12" t="str">
        <f t="shared" si="0"/>
        <v/>
      </c>
      <c r="H12" s="33">
        <f>IF(ISNUMBER(SEARCH("Group",D12)),IF(G12="",E12,IFERROR(E12/COUNTIF($G2:$G6000,G12),E12)),E12)</f>
        <v>0</v>
      </c>
      <c r="I12" s="1" t="str">
        <f>IFERROR(VLOOKUP(C12,'Clients List'!A:F,6,FALSE),"")</f>
        <v/>
      </c>
    </row>
    <row r="13" spans="1:11" x14ac:dyDescent="0.45">
      <c r="A13" s="7"/>
      <c r="D13" t="str">
        <f>IFERROR(VLOOKUP(C13,'Clients List'!$A:$F,2,FALSE),"")</f>
        <v/>
      </c>
      <c r="F13" s="1" t="str">
        <f>IF(OR(C13="",NOT(ISNUMBER(SEARCH("Package",D13)))),"",VLOOKUP(C13,'Clients List'!$A:$F,4,FALSE)-SUMIFS($E$2:$E13,$C$2:$C13,C13,$D$2:$D13,"*Package*"))</f>
        <v/>
      </c>
      <c r="G13" t="str">
        <f t="shared" si="0"/>
        <v/>
      </c>
      <c r="H13" s="33">
        <f>IF(ISNUMBER(SEARCH("Group",D13)),IF(G13="",E13,IFERROR(E13/COUNTIF($G2:$G6000,G13),E13)),E13)</f>
        <v>0</v>
      </c>
      <c r="I13" s="1" t="str">
        <f>IFERROR(VLOOKUP(C13,'Clients List'!A:F,6,FALSE),"")</f>
        <v/>
      </c>
    </row>
    <row r="14" spans="1:11" x14ac:dyDescent="0.45">
      <c r="A14" s="7"/>
      <c r="D14" t="str">
        <f>IFERROR(VLOOKUP(C14,'Clients List'!$A:$F,2,FALSE),"")</f>
        <v/>
      </c>
      <c r="F14" s="1" t="str">
        <f>IF(OR(C14="",NOT(ISNUMBER(SEARCH("Package",D14)))),"",VLOOKUP(C14,'Clients List'!$A:$F,4,FALSE)-SUMIFS($E$2:$E14,$C$2:$C14,C14,$D$2:$D14,"*Package*"))</f>
        <v/>
      </c>
      <c r="G14" t="str">
        <f t="shared" si="0"/>
        <v/>
      </c>
      <c r="H14" s="33">
        <f>IF(ISNUMBER(SEARCH("Group",D14)),IF(G14="",E14,IFERROR(E14/COUNTIF($G2:$G6000,G14),E14)),E14)</f>
        <v>0</v>
      </c>
      <c r="I14" s="1" t="str">
        <f>IFERROR(VLOOKUP(C14,'Clients List'!A:F,6,FALSE),"")</f>
        <v/>
      </c>
    </row>
    <row r="15" spans="1:11" x14ac:dyDescent="0.45">
      <c r="A15" s="7"/>
      <c r="D15" t="str">
        <f>IFERROR(VLOOKUP(C15,'Clients List'!$A:$F,2,FALSE),"")</f>
        <v/>
      </c>
      <c r="F15" s="1" t="str">
        <f>IF(OR(C15="",NOT(ISNUMBER(SEARCH("Package",D15)))),"",VLOOKUP(C15,'Clients List'!$A:$F,4,FALSE)-SUMIFS($E$2:$E15,$C$2:$C15,C15,$D$2:$D15,"*Package*"))</f>
        <v/>
      </c>
      <c r="G15" t="str">
        <f t="shared" si="0"/>
        <v/>
      </c>
      <c r="H15" s="33">
        <f>IF(ISNUMBER(SEARCH("Group",D15)),IF(G15="",E15,IFERROR(E15/COUNTIF($G2:$G6000,G15),E15)),E15)</f>
        <v>0</v>
      </c>
      <c r="I15" s="1" t="str">
        <f>IFERROR(VLOOKUP(C15,'Clients List'!A:F,6,FALSE),"")</f>
        <v/>
      </c>
    </row>
    <row r="16" spans="1:11" x14ac:dyDescent="0.45">
      <c r="A16" s="7"/>
      <c r="D16" t="str">
        <f>IFERROR(VLOOKUP(C16,'Clients List'!$A:$F,2,FALSE),"")</f>
        <v/>
      </c>
      <c r="F16" s="1" t="str">
        <f>IF(OR(C16="",NOT(ISNUMBER(SEARCH("Package",D16)))),"",VLOOKUP(C16,'Clients List'!$A:$F,4,FALSE)-SUMIFS($E$2:$E16,$C$2:$C16,C16,$D$2:$D16,"*Package*"))</f>
        <v/>
      </c>
      <c r="G16" t="str">
        <f t="shared" si="0"/>
        <v/>
      </c>
      <c r="H16" s="33">
        <f>IF(ISNUMBER(SEARCH("Group",D16)),IF(G16="",E16,IFERROR(E16/COUNTIF($G2:$G6000,G16),E16)),E16)</f>
        <v>0</v>
      </c>
      <c r="I16" s="1" t="str">
        <f>IFERROR(VLOOKUP(C16,'Clients List'!A:F,6,FALSE),"")</f>
        <v/>
      </c>
    </row>
    <row r="17" spans="1:9" x14ac:dyDescent="0.45">
      <c r="A17" s="7"/>
      <c r="D17" t="str">
        <f>IFERROR(VLOOKUP(C17,'Clients List'!$A:$F,2,FALSE),"")</f>
        <v/>
      </c>
      <c r="F17" s="1" t="str">
        <f>IF(OR(C17="",NOT(ISNUMBER(SEARCH("Package",D17)))),"",VLOOKUP(C17,'Clients List'!$A:$F,4,FALSE)-SUMIFS($E$2:$E17,$C$2:$C17,C17,$D$2:$D17,"*Package*"))</f>
        <v/>
      </c>
      <c r="G17" t="str">
        <f t="shared" si="0"/>
        <v/>
      </c>
      <c r="H17" s="33">
        <f>IF(ISNUMBER(SEARCH("Group",D17)),IF(G17="",E17,IFERROR(E17/COUNTIF($G2:$G6000,G17),E17)),E17)</f>
        <v>0</v>
      </c>
      <c r="I17" s="1" t="str">
        <f>IFERROR(VLOOKUP(C17,'Clients List'!A:F,6,FALSE),"")</f>
        <v/>
      </c>
    </row>
    <row r="18" spans="1:9" x14ac:dyDescent="0.45">
      <c r="A18" s="7"/>
      <c r="D18" t="str">
        <f>IFERROR(VLOOKUP(C18,'Clients List'!$A:$F,2,FALSE),"")</f>
        <v/>
      </c>
      <c r="F18" s="1" t="str">
        <f>IF(OR(C18="",NOT(ISNUMBER(SEARCH("Package",D18)))),"",VLOOKUP(C18,'Clients List'!$A:$F,4,FALSE)-SUMIFS($E$2:$E18,$C$2:$C18,C18,$D$2:$D18,"*Package*"))</f>
        <v/>
      </c>
      <c r="G18" t="str">
        <f t="shared" si="0"/>
        <v/>
      </c>
      <c r="H18" s="33">
        <f>IF(ISNUMBER(SEARCH("Group",D18)),IF(G18="",E18,IFERROR(E18/COUNTIF($G2:$G6000,G18),E18)),E18)</f>
        <v>0</v>
      </c>
      <c r="I18" s="1" t="str">
        <f>IFERROR(VLOOKUP(C18,'Clients List'!A:F,6,FALSE),"")</f>
        <v/>
      </c>
    </row>
    <row r="19" spans="1:9" x14ac:dyDescent="0.45">
      <c r="D19" t="str">
        <f>IFERROR(VLOOKUP(C19,'Clients List'!$A:$F,2,FALSE),"")</f>
        <v/>
      </c>
      <c r="F19" s="1" t="str">
        <f>IF(OR(C19="",NOT(ISNUMBER(SEARCH("Package",D19)))),"",VLOOKUP(C19,'Clients List'!$A:$F,4,FALSE)-SUMIFS($E$2:$E19,$C$2:$C19,C19,$D$2:$D19,"*Package*"))</f>
        <v/>
      </c>
      <c r="G19" t="str">
        <f t="shared" si="0"/>
        <v/>
      </c>
      <c r="H19" s="33">
        <f>IF(ISNUMBER(SEARCH("Group",D19)),IF(G19="",E19,IFERROR(E19/COUNTIF($G2:$G6000,G19),E19)),E19)</f>
        <v>0</v>
      </c>
      <c r="I19" s="1" t="str">
        <f>IFERROR(VLOOKUP(C19,'Clients List'!A:F,6,FALSE),"")</f>
        <v/>
      </c>
    </row>
    <row r="20" spans="1:9" x14ac:dyDescent="0.45">
      <c r="D20" t="str">
        <f>IFERROR(VLOOKUP(C20,'Clients List'!$A:$F,2,FALSE),"")</f>
        <v/>
      </c>
      <c r="F20" s="1" t="str">
        <f>IF(OR(C20="",NOT(ISNUMBER(SEARCH("Package",D20)))),"",VLOOKUP(C20,'Clients List'!$A:$F,4,FALSE)-SUMIFS($E$2:$E20,$C$2:$C20,C20,$D$2:$D20,"*Package*"))</f>
        <v/>
      </c>
      <c r="G20" t="str">
        <f t="shared" si="0"/>
        <v/>
      </c>
      <c r="H20" s="33">
        <f>IF(ISNUMBER(SEARCH("Group",D20)),IF(G20="",E20,IFERROR(E20/COUNTIF($G2:$G6000,G20),E20)),E20)</f>
        <v>0</v>
      </c>
      <c r="I20" s="1" t="str">
        <f>IFERROR(VLOOKUP(C20,'Clients List'!A:F,6,FALSE),"")</f>
        <v/>
      </c>
    </row>
    <row r="21" spans="1:9" x14ac:dyDescent="0.45">
      <c r="D21" t="str">
        <f>IFERROR(VLOOKUP(C21,'Clients List'!$A:$F,2,FALSE),"")</f>
        <v/>
      </c>
      <c r="F21" s="1" t="str">
        <f>IF(OR(C21="",NOT(ISNUMBER(SEARCH("Package",D21)))),"",VLOOKUP(C21,'Clients List'!$A:$F,4,FALSE)-SUMIFS($E$2:$E21,$C$2:$C21,C21,$D$2:$D21,"*Package*"))</f>
        <v/>
      </c>
      <c r="G21" t="str">
        <f t="shared" si="0"/>
        <v/>
      </c>
      <c r="H21" s="33">
        <f>IF(ISNUMBER(SEARCH("Group",D21)),IF(G21="",E21,IFERROR(E21/COUNTIF($G2:$G6000,G21),E21)),E21)</f>
        <v>0</v>
      </c>
      <c r="I21" s="1" t="str">
        <f>IFERROR(VLOOKUP(C21,'Clients List'!A:F,6,FALSE),"")</f>
        <v/>
      </c>
    </row>
    <row r="22" spans="1:9" x14ac:dyDescent="0.45">
      <c r="D22" t="str">
        <f>IFERROR(VLOOKUP(C22,'Clients List'!$A:$F,2,FALSE),"")</f>
        <v/>
      </c>
      <c r="F22" s="1" t="str">
        <f>IF(OR(C22="",NOT(ISNUMBER(SEARCH("Package",D22)))),"",VLOOKUP(C22,'Clients List'!$A:$F,4,FALSE)-SUMIFS($E$2:$E22,$C$2:$C22,C22,$D$2:$D22,"*Package*"))</f>
        <v/>
      </c>
      <c r="G22" t="str">
        <f t="shared" si="0"/>
        <v/>
      </c>
      <c r="H22" s="33">
        <f>IF(ISNUMBER(SEARCH("Group",D22)),IF(G22="",E22,IFERROR(E22/COUNTIF($G2:$G6000,G22),E22)),E22)</f>
        <v>0</v>
      </c>
      <c r="I22" s="1" t="str">
        <f>IFERROR(VLOOKUP(C22,'Clients List'!A:F,6,FALSE),"")</f>
        <v/>
      </c>
    </row>
    <row r="23" spans="1:9" x14ac:dyDescent="0.45">
      <c r="D23" t="str">
        <f>IFERROR(VLOOKUP(C23,'Clients List'!$A:$F,2,FALSE),"")</f>
        <v/>
      </c>
      <c r="F23" s="1" t="str">
        <f>IF(OR(C23="",NOT(ISNUMBER(SEARCH("Package",D23)))),"",VLOOKUP(C23,'Clients List'!$A:$F,4,FALSE)-SUMIFS($E$2:$E23,$C$2:$C23,C23,$D$2:$D23,"*Package*"))</f>
        <v/>
      </c>
      <c r="G23" t="str">
        <f t="shared" si="0"/>
        <v/>
      </c>
      <c r="H23" s="33">
        <f>IF(ISNUMBER(SEARCH("Group",D23)),IF(G23="",E23,IFERROR(E23/COUNTIF($G2:$G6000,G23),E23)),E23)</f>
        <v>0</v>
      </c>
      <c r="I23" s="1" t="str">
        <f>IFERROR(VLOOKUP(C23,'Clients List'!A:F,6,FALSE),"")</f>
        <v/>
      </c>
    </row>
    <row r="24" spans="1:9" x14ac:dyDescent="0.45">
      <c r="D24" t="str">
        <f>IFERROR(VLOOKUP(C24,'Clients List'!$A:$F,2,FALSE),"")</f>
        <v/>
      </c>
      <c r="F24" s="1" t="str">
        <f>IF(OR(C24="",NOT(ISNUMBER(SEARCH("Package",D24)))),"",VLOOKUP(C24,'Clients List'!$A:$F,4,FALSE)-SUMIFS($E$2:$E24,$C$2:$C24,C24,$D$2:$D24,"*Package*"))</f>
        <v/>
      </c>
      <c r="G24" t="str">
        <f t="shared" si="0"/>
        <v/>
      </c>
      <c r="H24" s="33">
        <f>IF(ISNUMBER(SEARCH("Group",D24)),IF(G24="",E24,IFERROR(E24/COUNTIF($G2:$G6000,G24),E24)),E24)</f>
        <v>0</v>
      </c>
      <c r="I24" s="1" t="str">
        <f>IFERROR(VLOOKUP(C24,'Clients List'!A:F,6,FALSE),"")</f>
        <v/>
      </c>
    </row>
    <row r="25" spans="1:9" x14ac:dyDescent="0.45">
      <c r="D25" t="str">
        <f>IFERROR(VLOOKUP(C25,'Clients List'!$A:$F,2,FALSE),"")</f>
        <v/>
      </c>
      <c r="F25" s="1" t="str">
        <f>IF(OR(C25="",NOT(ISNUMBER(SEARCH("Package",D25)))),"",VLOOKUP(C25,'Clients List'!$A:$F,4,FALSE)-SUMIFS($E$2:$E25,$C$2:$C25,C25,$D$2:$D25,"*Package*"))</f>
        <v/>
      </c>
      <c r="G25" t="str">
        <f t="shared" si="0"/>
        <v/>
      </c>
      <c r="H25" s="33">
        <f>IF(ISNUMBER(SEARCH("Group",D25)),IF(G25="",E25,IFERROR(E25/COUNTIF($G2:$G6000,G25),E25)),E25)</f>
        <v>0</v>
      </c>
      <c r="I25" s="1" t="str">
        <f>IFERROR(VLOOKUP(C25,'Clients List'!A:F,6,FALSE),"")</f>
        <v/>
      </c>
    </row>
    <row r="26" spans="1:9" x14ac:dyDescent="0.45">
      <c r="D26" t="str">
        <f>IFERROR(VLOOKUP(C26,'Clients List'!$A:$F,2,FALSE),"")</f>
        <v/>
      </c>
      <c r="F26" s="1" t="str">
        <f>IF(OR(C26="",NOT(ISNUMBER(SEARCH("Package",D26)))),"",VLOOKUP(C26,'Clients List'!$A:$F,4,FALSE)-SUMIFS($E$2:$E26,$C$2:$C26,C26,$D$2:$D26,"*Package*"))</f>
        <v/>
      </c>
      <c r="G26" t="str">
        <f t="shared" si="0"/>
        <v/>
      </c>
      <c r="H26" s="33">
        <f>IF(ISNUMBER(SEARCH("Group",D26)),IF(G26="",E26,IFERROR(E26/COUNTIF($G2:$G6000,G26),E26)),E26)</f>
        <v>0</v>
      </c>
      <c r="I26" s="1" t="str">
        <f>IFERROR(VLOOKUP(C26,'Clients List'!A:F,6,FALSE),"")</f>
        <v/>
      </c>
    </row>
    <row r="27" spans="1:9" x14ac:dyDescent="0.45">
      <c r="D27" t="str">
        <f>IFERROR(VLOOKUP(C27,'Clients List'!$A:$F,2,FALSE),"")</f>
        <v/>
      </c>
      <c r="F27" s="1" t="str">
        <f>IF(OR(C27="",NOT(ISNUMBER(SEARCH("Package",D27)))),"",VLOOKUP(C27,'Clients List'!$A:$F,4,FALSE)-SUMIFS($E$2:$E27,$C$2:$C27,C27,$D$2:$D27,"*Package*"))</f>
        <v/>
      </c>
      <c r="G27" t="str">
        <f t="shared" si="0"/>
        <v/>
      </c>
      <c r="H27" s="33">
        <f>IF(ISNUMBER(SEARCH("Group",D27)),IF(G27="",E27,IFERROR(E27/COUNTIF($G2:$G6000,G27),E27)),E27)</f>
        <v>0</v>
      </c>
      <c r="I27" s="1" t="str">
        <f>IFERROR(VLOOKUP(C27,'Clients List'!A:F,6,FALSE),"")</f>
        <v/>
      </c>
    </row>
    <row r="28" spans="1:9" x14ac:dyDescent="0.45">
      <c r="D28" t="str">
        <f>IFERROR(VLOOKUP(C28,'Clients List'!$A:$F,2,FALSE),"")</f>
        <v/>
      </c>
      <c r="F28" s="1" t="str">
        <f>IF(OR(C28="",NOT(ISNUMBER(SEARCH("Package",D28)))),"",VLOOKUP(C28,'Clients List'!$A:$F,4,FALSE)-SUMIFS($E$2:$E28,$C$2:$C28,C28,$D$2:$D28,"*Package*"))</f>
        <v/>
      </c>
      <c r="G28" t="str">
        <f t="shared" si="0"/>
        <v/>
      </c>
      <c r="H28" s="33">
        <f>IF(ISNUMBER(SEARCH("Group",D28)),IF(G28="",E28,IFERROR(E28/COUNTIF($G2:$G6000,G28),E28)),E28)</f>
        <v>0</v>
      </c>
      <c r="I28" s="1" t="str">
        <f>IFERROR(VLOOKUP(C28,'Clients List'!A:F,6,FALSE),"")</f>
        <v/>
      </c>
    </row>
    <row r="29" spans="1:9" x14ac:dyDescent="0.45">
      <c r="D29" t="str">
        <f>IFERROR(VLOOKUP(C29,'Clients List'!$A:$F,2,FALSE),"")</f>
        <v/>
      </c>
      <c r="F29" s="1" t="str">
        <f>IF(OR(C29="",NOT(ISNUMBER(SEARCH("Package",D29)))),"",VLOOKUP(C29,'Clients List'!$A:$F,4,FALSE)-SUMIFS($E$2:$E29,$C$2:$C29,C29,$D$2:$D29,"*Package*"))</f>
        <v/>
      </c>
      <c r="G29" t="str">
        <f t="shared" si="0"/>
        <v/>
      </c>
      <c r="H29" s="33">
        <f>IF(ISNUMBER(SEARCH("Group",D29)),IF(G29="",E29,IFERROR(E29/COUNTIF($G2:$G6000,G29),E29)),E29)</f>
        <v>0</v>
      </c>
      <c r="I29" s="1" t="str">
        <f>IFERROR(VLOOKUP(C29,'Clients List'!A:F,6,FALSE),"")</f>
        <v/>
      </c>
    </row>
    <row r="30" spans="1:9" x14ac:dyDescent="0.45">
      <c r="D30" t="str">
        <f>IFERROR(VLOOKUP(C30,'Clients List'!$A:$F,2,FALSE),"")</f>
        <v/>
      </c>
      <c r="F30" s="1" t="str">
        <f>IF(OR(C30="",NOT(ISNUMBER(SEARCH("Package",D30)))),"",VLOOKUP(C30,'Clients List'!$A:$F,4,FALSE)-SUMIFS($E$2:$E30,$C$2:$C30,C30,$D$2:$D30,"*Package*"))</f>
        <v/>
      </c>
      <c r="G30" t="str">
        <f t="shared" si="0"/>
        <v/>
      </c>
      <c r="H30" s="33">
        <f>IF(ISNUMBER(SEARCH("Group",D30)),IF(G30="",E30,IFERROR(E30/COUNTIF($G2:$G6000,G30),E30)),E30)</f>
        <v>0</v>
      </c>
      <c r="I30" s="1" t="str">
        <f>IFERROR(VLOOKUP(C30,'Clients List'!A:F,6,FALSE),"")</f>
        <v/>
      </c>
    </row>
    <row r="31" spans="1:9" x14ac:dyDescent="0.45">
      <c r="D31" t="str">
        <f>IFERROR(VLOOKUP(C31,'Clients List'!$A:$F,2,FALSE),"")</f>
        <v/>
      </c>
      <c r="F31" s="1" t="str">
        <f>IF(OR(C31="",NOT(ISNUMBER(SEARCH("Package",D31)))),"",VLOOKUP(C31,'Clients List'!$A:$F,4,FALSE)-SUMIFS($E$2:$E31,$C$2:$C31,C31,$D$2:$D31,"*Package*"))</f>
        <v/>
      </c>
      <c r="G31" t="str">
        <f t="shared" si="0"/>
        <v/>
      </c>
      <c r="H31" s="33">
        <f>IF(ISNUMBER(SEARCH("Group",D31)),IF(G31="",E31,IFERROR(E31/COUNTIF($G2:$G6000,G31),E31)),E31)</f>
        <v>0</v>
      </c>
      <c r="I31" s="1" t="str">
        <f>IFERROR(VLOOKUP(C31,'Clients List'!A:F,6,FALSE),"")</f>
        <v/>
      </c>
    </row>
    <row r="32" spans="1:9" x14ac:dyDescent="0.45">
      <c r="D32" t="str">
        <f>IFERROR(VLOOKUP(C32,'Clients List'!$A:$F,2,FALSE),"")</f>
        <v/>
      </c>
      <c r="F32" s="1" t="str">
        <f>IF(OR(C32="",NOT(ISNUMBER(SEARCH("Package",D32)))),"",VLOOKUP(C32,'Clients List'!$A:$F,4,FALSE)-SUMIFS($E$2:$E32,$C$2:$C32,C32,$D$2:$D32,"*Package*"))</f>
        <v/>
      </c>
      <c r="G32" t="str">
        <f t="shared" si="0"/>
        <v/>
      </c>
      <c r="H32" s="33">
        <f>IF(ISNUMBER(SEARCH("Group",D32)),IF(G32="",E32,IFERROR(E32/COUNTIF($G2:$G6000,G32),E32)),E32)</f>
        <v>0</v>
      </c>
      <c r="I32" s="1" t="str">
        <f>IFERROR(VLOOKUP(C32,'Clients List'!A:F,6,FALSE),"")</f>
        <v/>
      </c>
    </row>
    <row r="33" spans="4:9" x14ac:dyDescent="0.45">
      <c r="D33" t="str">
        <f>IFERROR(VLOOKUP(C33,'Clients List'!$A:$F,2,FALSE),"")</f>
        <v/>
      </c>
      <c r="F33" s="1" t="str">
        <f>IF(OR(C33="",NOT(ISNUMBER(SEARCH("Package",D33)))),"",VLOOKUP(C33,'Clients List'!$A:$F,4,FALSE)-SUMIFS($E$2:$E33,$C$2:$C33,C33,$D$2:$D33,"*Package*"))</f>
        <v/>
      </c>
      <c r="G33" t="str">
        <f t="shared" si="0"/>
        <v/>
      </c>
      <c r="H33" s="33">
        <f>IF(ISNUMBER(SEARCH("Group",D33)),IF(G33="",E33,IFERROR(E33/COUNTIF($G2:$G6000,G33),E33)),E33)</f>
        <v>0</v>
      </c>
      <c r="I33" s="1" t="str">
        <f>IFERROR(VLOOKUP(C33,'Clients List'!A:F,6,FALSE),"")</f>
        <v/>
      </c>
    </row>
    <row r="34" spans="4:9" x14ac:dyDescent="0.45">
      <c r="D34" t="str">
        <f>IFERROR(VLOOKUP(C34,'Clients List'!$A:$F,2,FALSE),"")</f>
        <v/>
      </c>
      <c r="F34" s="1" t="str">
        <f>IF(OR(C34="",NOT(ISNUMBER(SEARCH("Package",D34)))),"",VLOOKUP(C34,'Clients List'!$A:$F,4,FALSE)-SUMIFS($E$2:$E34,$C$2:$C34,C34,$D$2:$D34,"*Package*"))</f>
        <v/>
      </c>
      <c r="G34" t="str">
        <f t="shared" ref="G34:G65" si="1">IF(ISNUMBER(SEARCH("Group",D34)),IFERROR("GRP-"&amp;TEXT(IF(ISNUMBER(A34),A34,DATEVALUE(A34)),"yyyymmdd"),""),"" )</f>
        <v/>
      </c>
      <c r="H34" s="33">
        <f>IF(ISNUMBER(SEARCH("Group",D34)),IF(G34="",E34,IFERROR(E34/COUNTIF($G2:$G6000,G34),E34)),E34)</f>
        <v>0</v>
      </c>
      <c r="I34" s="1" t="str">
        <f>IFERROR(VLOOKUP(C34,'Clients List'!A:F,6,FALSE),"")</f>
        <v/>
      </c>
    </row>
    <row r="35" spans="4:9" x14ac:dyDescent="0.45">
      <c r="D35" t="str">
        <f>IFERROR(VLOOKUP(C35,'Clients List'!$A:$F,2,FALSE),"")</f>
        <v/>
      </c>
      <c r="F35" s="1" t="str">
        <f>IF(OR(C35="",NOT(ISNUMBER(SEARCH("Package",D35)))),"",VLOOKUP(C35,'Clients List'!$A:$F,4,FALSE)-SUMIFS($E$2:$E35,$C$2:$C35,C35,$D$2:$D35,"*Package*"))</f>
        <v/>
      </c>
      <c r="G35" t="str">
        <f t="shared" si="1"/>
        <v/>
      </c>
      <c r="H35" s="33">
        <f>IF(ISNUMBER(SEARCH("Group",D35)),IF(G35="",E35,IFERROR(E35/COUNTIF($G2:$G6000,G35),E35)),E35)</f>
        <v>0</v>
      </c>
      <c r="I35" s="1" t="str">
        <f>IFERROR(VLOOKUP(C35,'Clients List'!A:F,6,FALSE),"")</f>
        <v/>
      </c>
    </row>
    <row r="36" spans="4:9" x14ac:dyDescent="0.45">
      <c r="D36" t="str">
        <f>IFERROR(VLOOKUP(C36,'Clients List'!$A:$F,2,FALSE),"")</f>
        <v/>
      </c>
      <c r="F36" s="1" t="str">
        <f>IF(OR(C36="",NOT(ISNUMBER(SEARCH("Package",D36)))),"",VLOOKUP(C36,'Clients List'!$A:$F,4,FALSE)-SUMIFS($E$2:$E36,$C$2:$C36,C36,$D$2:$D36,"*Package*"))</f>
        <v/>
      </c>
      <c r="G36" t="str">
        <f t="shared" si="1"/>
        <v/>
      </c>
      <c r="H36" s="33">
        <f>IF(ISNUMBER(SEARCH("Group",D36)),IF(G36="",E36,IFERROR(E36/COUNTIF($G2:$G6000,G36),E36)),E36)</f>
        <v>0</v>
      </c>
      <c r="I36" s="1" t="str">
        <f>IFERROR(VLOOKUP(C36,'Clients List'!A:F,6,FALSE),"")</f>
        <v/>
      </c>
    </row>
    <row r="37" spans="4:9" x14ac:dyDescent="0.45">
      <c r="D37" t="str">
        <f>IFERROR(VLOOKUP(C37,'Clients List'!$A:$F,2,FALSE),"")</f>
        <v/>
      </c>
      <c r="F37" s="1" t="str">
        <f>IF(OR(C37="",NOT(ISNUMBER(SEARCH("Package",D37)))),"",VLOOKUP(C37,'Clients List'!$A:$F,4,FALSE)-SUMIFS($E$2:$E37,$C$2:$C37,C37,$D$2:$D37,"*Package*"))</f>
        <v/>
      </c>
      <c r="G37" t="str">
        <f t="shared" si="1"/>
        <v/>
      </c>
      <c r="H37" s="33">
        <f>IF(ISNUMBER(SEARCH("Group",D37)),IF(G37="",E37,IFERROR(E37/COUNTIF($G2:$G6000,G37),E37)),E37)</f>
        <v>0</v>
      </c>
      <c r="I37" s="1" t="str">
        <f>IFERROR(VLOOKUP(C37,'Clients List'!A:F,6,FALSE),"")</f>
        <v/>
      </c>
    </row>
    <row r="38" spans="4:9" x14ac:dyDescent="0.45">
      <c r="D38" t="str">
        <f>IFERROR(VLOOKUP(C38,'Clients List'!$A:$F,2,FALSE),"")</f>
        <v/>
      </c>
      <c r="F38" s="1" t="str">
        <f>IF(OR(C38="",NOT(ISNUMBER(SEARCH("Package",D38)))),"",VLOOKUP(C38,'Clients List'!$A:$F,4,FALSE)-SUMIFS($E$2:$E38,$C$2:$C38,C38,$D$2:$D38,"*Package*"))</f>
        <v/>
      </c>
      <c r="G38" t="str">
        <f t="shared" si="1"/>
        <v/>
      </c>
      <c r="H38" s="33">
        <f>IF(ISNUMBER(SEARCH("Group",D38)),IF(G38="",E38,IFERROR(E38/COUNTIF($G2:$G6000,G38),E38)),E38)</f>
        <v>0</v>
      </c>
      <c r="I38" s="1" t="str">
        <f>IFERROR(VLOOKUP(C38,'Clients List'!A:F,6,FALSE),"")</f>
        <v/>
      </c>
    </row>
    <row r="39" spans="4:9" x14ac:dyDescent="0.45">
      <c r="D39" t="str">
        <f>IFERROR(VLOOKUP(C39,'Clients List'!$A:$F,2,FALSE),"")</f>
        <v/>
      </c>
      <c r="F39" s="1" t="str">
        <f>IF(OR(C39="",NOT(ISNUMBER(SEARCH("Package",D39)))),"",VLOOKUP(C39,'Clients List'!$A:$F,4,FALSE)-SUMIFS($E$2:$E39,$C$2:$C39,C39,$D$2:$D39,"*Package*"))</f>
        <v/>
      </c>
      <c r="G39" t="str">
        <f t="shared" si="1"/>
        <v/>
      </c>
      <c r="H39" s="33">
        <f>IF(ISNUMBER(SEARCH("Group",D39)),IF(G39="",E39,IFERROR(E39/COUNTIF($G2:$G6000,G39),E39)),E39)</f>
        <v>0</v>
      </c>
      <c r="I39" s="1" t="str">
        <f>IFERROR(VLOOKUP(C39,'Clients List'!A:F,6,FALSE),"")</f>
        <v/>
      </c>
    </row>
    <row r="40" spans="4:9" x14ac:dyDescent="0.45">
      <c r="D40" t="str">
        <f>IFERROR(VLOOKUP(C40,'Clients List'!$A:$F,2,FALSE),"")</f>
        <v/>
      </c>
      <c r="F40" s="1" t="str">
        <f>IF(OR(C40="",NOT(ISNUMBER(SEARCH("Package",D40)))),"",VLOOKUP(C40,'Clients List'!$A:$F,4,FALSE)-SUMIFS($E$2:$E40,$C$2:$C40,C40,$D$2:$D40,"*Package*"))</f>
        <v/>
      </c>
      <c r="G40" t="str">
        <f t="shared" si="1"/>
        <v/>
      </c>
      <c r="H40" s="33">
        <f>IF(ISNUMBER(SEARCH("Group",D40)),IF(G40="",E40,IFERROR(E40/COUNTIF($G2:$G6000,G40),E40)),E40)</f>
        <v>0</v>
      </c>
      <c r="I40" s="1" t="str">
        <f>IFERROR(VLOOKUP(C40,'Clients List'!A:F,6,FALSE),"")</f>
        <v/>
      </c>
    </row>
    <row r="41" spans="4:9" x14ac:dyDescent="0.45">
      <c r="D41" t="str">
        <f>IFERROR(VLOOKUP(C41,'Clients List'!$A:$F,2,FALSE),"")</f>
        <v/>
      </c>
      <c r="F41" s="1" t="str">
        <f>IF(OR(C41="",NOT(ISNUMBER(SEARCH("Package",D41)))),"",VLOOKUP(C41,'Clients List'!$A:$F,4,FALSE)-SUMIFS($E$2:$E41,$C$2:$C41,C41,$D$2:$D41,"*Package*"))</f>
        <v/>
      </c>
      <c r="G41" t="str">
        <f t="shared" si="1"/>
        <v/>
      </c>
      <c r="H41" s="33">
        <f>IF(ISNUMBER(SEARCH("Group",D41)),IF(G41="",E41,IFERROR(E41/COUNTIF($G2:$G6000,G41),E41)),E41)</f>
        <v>0</v>
      </c>
      <c r="I41" s="1" t="str">
        <f>IFERROR(VLOOKUP(C41,'Clients List'!A:F,6,FALSE),"")</f>
        <v/>
      </c>
    </row>
    <row r="42" spans="4:9" x14ac:dyDescent="0.45">
      <c r="D42" t="str">
        <f>IFERROR(VLOOKUP(C42,'Clients List'!$A:$F,2,FALSE),"")</f>
        <v/>
      </c>
      <c r="F42" s="1" t="str">
        <f>IF(OR(C42="",NOT(ISNUMBER(SEARCH("Package",D42)))),"",VLOOKUP(C42,'Clients List'!$A:$F,4,FALSE)-SUMIFS($E$2:$E42,$C$2:$C42,C42,$D$2:$D42,"*Package*"))</f>
        <v/>
      </c>
      <c r="G42" t="str">
        <f t="shared" si="1"/>
        <v/>
      </c>
      <c r="H42" s="33">
        <f>IF(ISNUMBER(SEARCH("Group",D42)),IF(G42="",E42,IFERROR(E42/COUNTIF($G2:$G6000,G42),E42)),E42)</f>
        <v>0</v>
      </c>
      <c r="I42" s="1" t="str">
        <f>IFERROR(VLOOKUP(C42,'Clients List'!A:F,6,FALSE),"")</f>
        <v/>
      </c>
    </row>
    <row r="43" spans="4:9" x14ac:dyDescent="0.45">
      <c r="D43" t="str">
        <f>IFERROR(VLOOKUP(C43,'Clients List'!$A:$F,2,FALSE),"")</f>
        <v/>
      </c>
      <c r="F43" s="1" t="str">
        <f>IF(OR(C43="",NOT(ISNUMBER(SEARCH("Package",D43)))),"",VLOOKUP(C43,'Clients List'!$A:$F,4,FALSE)-SUMIFS($E$2:$E43,$C$2:$C43,C43,$D$2:$D43,"*Package*"))</f>
        <v/>
      </c>
      <c r="G43" t="str">
        <f t="shared" si="1"/>
        <v/>
      </c>
      <c r="H43" s="33">
        <f>IF(ISNUMBER(SEARCH("Group",D43)),IF(G43="",E43,IFERROR(E43/COUNTIF($G2:$G6000,G43),E43)),E43)</f>
        <v>0</v>
      </c>
      <c r="I43" s="1" t="str">
        <f>IFERROR(VLOOKUP(C43,'Clients List'!A:F,6,FALSE),"")</f>
        <v/>
      </c>
    </row>
    <row r="44" spans="4:9" x14ac:dyDescent="0.45">
      <c r="D44" t="str">
        <f>IFERROR(VLOOKUP(C44,'Clients List'!$A:$F,2,FALSE),"")</f>
        <v/>
      </c>
      <c r="F44" s="1" t="str">
        <f>IF(OR(C44="",NOT(ISNUMBER(SEARCH("Package",D44)))),"",VLOOKUP(C44,'Clients List'!$A:$F,4,FALSE)-SUMIFS($E$2:$E44,$C$2:$C44,C44,$D$2:$D44,"*Package*"))</f>
        <v/>
      </c>
      <c r="G44" t="str">
        <f t="shared" si="1"/>
        <v/>
      </c>
      <c r="H44" s="33">
        <f>IF(ISNUMBER(SEARCH("Group",D44)),IF(G44="",E44,IFERROR(E44/COUNTIF($G2:$G6000,G44),E44)),E44)</f>
        <v>0</v>
      </c>
      <c r="I44" s="1" t="str">
        <f>IFERROR(VLOOKUP(C44,'Clients List'!A:F,6,FALSE),"")</f>
        <v/>
      </c>
    </row>
    <row r="45" spans="4:9" x14ac:dyDescent="0.45">
      <c r="D45" t="str">
        <f>IFERROR(VLOOKUP(C45,'Clients List'!$A:$F,2,FALSE),"")</f>
        <v/>
      </c>
      <c r="F45" s="1" t="str">
        <f>IF(OR(C45="",NOT(ISNUMBER(SEARCH("Package",D45)))),"",VLOOKUP(C45,'Clients List'!$A:$F,4,FALSE)-SUMIFS($E$2:$E45,$C$2:$C45,C45,$D$2:$D45,"*Package*"))</f>
        <v/>
      </c>
      <c r="G45" t="str">
        <f t="shared" si="1"/>
        <v/>
      </c>
      <c r="H45" s="33">
        <f>IF(ISNUMBER(SEARCH("Group",D45)),IF(G45="",E45,IFERROR(E45/COUNTIF($G2:$G6000,G45),E45)),E45)</f>
        <v>0</v>
      </c>
      <c r="I45" s="1" t="str">
        <f>IFERROR(VLOOKUP(C45,'Clients List'!A:F,6,FALSE),"")</f>
        <v/>
      </c>
    </row>
    <row r="46" spans="4:9" x14ac:dyDescent="0.45">
      <c r="D46" t="str">
        <f>IFERROR(VLOOKUP(C46,'Clients List'!$A:$F,2,FALSE),"")</f>
        <v/>
      </c>
      <c r="F46" s="1" t="str">
        <f>IF(OR(C46="",NOT(ISNUMBER(SEARCH("Package",D46)))),"",VLOOKUP(C46,'Clients List'!$A:$F,4,FALSE)-SUMIFS($E$2:$E46,$C$2:$C46,C46,$D$2:$D46,"*Package*"))</f>
        <v/>
      </c>
      <c r="G46" t="str">
        <f t="shared" si="1"/>
        <v/>
      </c>
      <c r="H46" s="33">
        <f>IF(ISNUMBER(SEARCH("Group",D46)),IF(G46="",E46,IFERROR(E46/COUNTIF($G2:$G6000,G46),E46)),E46)</f>
        <v>0</v>
      </c>
      <c r="I46" s="1" t="str">
        <f>IFERROR(VLOOKUP(C46,'Clients List'!A:F,6,FALSE),"")</f>
        <v/>
      </c>
    </row>
    <row r="47" spans="4:9" x14ac:dyDescent="0.45">
      <c r="D47" t="str">
        <f>IFERROR(VLOOKUP(C47,'Clients List'!$A:$F,2,FALSE),"")</f>
        <v/>
      </c>
      <c r="F47" s="1" t="str">
        <f>IF(OR(C47="",NOT(ISNUMBER(SEARCH("Package",D47)))),"",VLOOKUP(C47,'Clients List'!$A:$F,4,FALSE)-SUMIFS($E$2:$E47,$C$2:$C47,C47,$D$2:$D47,"*Package*"))</f>
        <v/>
      </c>
      <c r="G47" t="str">
        <f t="shared" si="1"/>
        <v/>
      </c>
      <c r="H47" s="33">
        <f>IF(ISNUMBER(SEARCH("Group",D47)),IF(G47="",E47,IFERROR(E47/COUNTIF($G2:$G6000,G47),E47)),E47)</f>
        <v>0</v>
      </c>
      <c r="I47" s="1" t="str">
        <f>IFERROR(VLOOKUP(C47,'Clients List'!A:F,6,FALSE),"")</f>
        <v/>
      </c>
    </row>
    <row r="48" spans="4:9" x14ac:dyDescent="0.45">
      <c r="D48" t="str">
        <f>IFERROR(VLOOKUP(C48,'Clients List'!$A:$F,2,FALSE),"")</f>
        <v/>
      </c>
      <c r="F48" s="1" t="str">
        <f>IF(OR(C48="",NOT(ISNUMBER(SEARCH("Package",D48)))),"",VLOOKUP(C48,'Clients List'!$A:$F,4,FALSE)-SUMIFS($E$2:$E48,$C$2:$C48,C48,$D$2:$D48,"*Package*"))</f>
        <v/>
      </c>
      <c r="G48" t="str">
        <f t="shared" si="1"/>
        <v/>
      </c>
      <c r="H48" s="33">
        <f>IF(ISNUMBER(SEARCH("Group",D48)),IF(G48="",E48,IFERROR(E48/COUNTIF($G2:$G6000,G48),E48)),E48)</f>
        <v>0</v>
      </c>
      <c r="I48" s="1" t="str">
        <f>IFERROR(VLOOKUP(C48,'Clients List'!A:F,6,FALSE),"")</f>
        <v/>
      </c>
    </row>
    <row r="49" spans="4:9" x14ac:dyDescent="0.45">
      <c r="D49" t="str">
        <f>IFERROR(VLOOKUP(C49,'Clients List'!$A:$F,2,FALSE),"")</f>
        <v/>
      </c>
      <c r="F49" s="1" t="str">
        <f>IF(OR(C49="",NOT(ISNUMBER(SEARCH("Package",D49)))),"",VLOOKUP(C49,'Clients List'!$A:$F,4,FALSE)-SUMIFS($E$2:$E49,$C$2:$C49,C49,$D$2:$D49,"*Package*"))</f>
        <v/>
      </c>
      <c r="G49" t="str">
        <f t="shared" si="1"/>
        <v/>
      </c>
      <c r="H49" s="33">
        <f>IF(ISNUMBER(SEARCH("Group",D49)),IF(G49="",E49,IFERROR(E49/COUNTIF($G2:$G6000,G49),E49)),E49)</f>
        <v>0</v>
      </c>
      <c r="I49" s="1" t="str">
        <f>IFERROR(VLOOKUP(C49,'Clients List'!A:F,6,FALSE),"")</f>
        <v/>
      </c>
    </row>
    <row r="50" spans="4:9" x14ac:dyDescent="0.45">
      <c r="D50" t="str">
        <f>IFERROR(VLOOKUP(C50,'Clients List'!$A:$F,2,FALSE),"")</f>
        <v/>
      </c>
      <c r="F50" s="1" t="str">
        <f>IF(OR(C50="",NOT(ISNUMBER(SEARCH("Package",D50)))),"",VLOOKUP(C50,'Clients List'!$A:$F,4,FALSE)-SUMIFS($E$2:$E50,$C$2:$C50,C50,$D$2:$D50,"*Package*"))</f>
        <v/>
      </c>
      <c r="G50" t="str">
        <f t="shared" si="1"/>
        <v/>
      </c>
      <c r="H50" s="33">
        <f>IF(ISNUMBER(SEARCH("Group",D50)),IF(G50="",E50,IFERROR(E50/COUNTIF($G2:$G6000,G50),E50)),E50)</f>
        <v>0</v>
      </c>
      <c r="I50" s="1" t="str">
        <f>IFERROR(VLOOKUP(C50,'Clients List'!A:F,6,FALSE),"")</f>
        <v/>
      </c>
    </row>
    <row r="51" spans="4:9" x14ac:dyDescent="0.45">
      <c r="D51" t="str">
        <f>IFERROR(VLOOKUP(C51,'Clients List'!$A:$F,2,FALSE),"")</f>
        <v/>
      </c>
      <c r="F51" s="1" t="str">
        <f>IF(OR(C51="",NOT(ISNUMBER(SEARCH("Package",D51)))),"",VLOOKUP(C51,'Clients List'!$A:$F,4,FALSE)-SUMIFS($E$2:$E51,$C$2:$C51,C51,$D$2:$D51,"*Package*"))</f>
        <v/>
      </c>
      <c r="G51" t="str">
        <f t="shared" si="1"/>
        <v/>
      </c>
      <c r="H51" s="33">
        <f>IF(ISNUMBER(SEARCH("Group",D51)),IF(G51="",E51,IFERROR(E51/COUNTIF($G2:$G6000,G51),E51)),E51)</f>
        <v>0</v>
      </c>
      <c r="I51" s="1" t="str">
        <f>IFERROR(VLOOKUP(C51,'Clients List'!A:F,6,FALSE),"")</f>
        <v/>
      </c>
    </row>
    <row r="52" spans="4:9" x14ac:dyDescent="0.45">
      <c r="D52" t="str">
        <f>IFERROR(VLOOKUP(C52,'Clients List'!$A:$F,2,FALSE),"")</f>
        <v/>
      </c>
      <c r="F52" s="1" t="str">
        <f>IF(OR(C52="",NOT(ISNUMBER(SEARCH("Package",D52)))),"",VLOOKUP(C52,'Clients List'!$A:$F,4,FALSE)-SUMIFS($E$2:$E52,$C$2:$C52,C52,$D$2:$D52,"*Package*"))</f>
        <v/>
      </c>
      <c r="G52" t="str">
        <f t="shared" si="1"/>
        <v/>
      </c>
      <c r="H52" s="33">
        <f>IF(ISNUMBER(SEARCH("Group",D52)),IF(G52="",E52,IFERROR(E52/COUNTIF($G2:$G6000,G52),E52)),E52)</f>
        <v>0</v>
      </c>
      <c r="I52" s="1" t="str">
        <f>IFERROR(VLOOKUP(C52,'Clients List'!A:F,6,FALSE),"")</f>
        <v/>
      </c>
    </row>
    <row r="53" spans="4:9" x14ac:dyDescent="0.45">
      <c r="D53" t="str">
        <f>IFERROR(VLOOKUP(C53,'Clients List'!$A:$F,2,FALSE),"")</f>
        <v/>
      </c>
      <c r="F53" s="1" t="str">
        <f>IF(OR(C53="",NOT(ISNUMBER(SEARCH("Package",D53)))),"",VLOOKUP(C53,'Clients List'!$A:$F,4,FALSE)-SUMIFS($E$2:$E53,$C$2:$C53,C53,$D$2:$D53,"*Package*"))</f>
        <v/>
      </c>
      <c r="G53" t="str">
        <f t="shared" si="1"/>
        <v/>
      </c>
      <c r="H53" s="33">
        <f>IF(ISNUMBER(SEARCH("Group",D53)),IF(G53="",E53,IFERROR(E53/COUNTIF($G2:$G6000,G53),E53)),E53)</f>
        <v>0</v>
      </c>
      <c r="I53" s="1" t="str">
        <f>IFERROR(VLOOKUP(C53,'Clients List'!A:F,6,FALSE),"")</f>
        <v/>
      </c>
    </row>
    <row r="54" spans="4:9" x14ac:dyDescent="0.45">
      <c r="D54" t="str">
        <f>IFERROR(VLOOKUP(C54,'Clients List'!$A:$F,2,FALSE),"")</f>
        <v/>
      </c>
      <c r="F54" s="1" t="str">
        <f>IF(OR(C54="",NOT(ISNUMBER(SEARCH("Package",D54)))),"",VLOOKUP(C54,'Clients List'!$A:$F,4,FALSE)-SUMIFS($E$2:$E54,$C$2:$C54,C54,$D$2:$D54,"*Package*"))</f>
        <v/>
      </c>
      <c r="G54" t="str">
        <f t="shared" si="1"/>
        <v/>
      </c>
      <c r="H54" s="33">
        <f>IF(ISNUMBER(SEARCH("Group",D54)),IF(G54="",E54,IFERROR(E54/COUNTIF($G2:$G6000,G54),E54)),E54)</f>
        <v>0</v>
      </c>
      <c r="I54" s="1" t="str">
        <f>IFERROR(VLOOKUP(C54,'Clients List'!A:F,6,FALSE),"")</f>
        <v/>
      </c>
    </row>
    <row r="55" spans="4:9" x14ac:dyDescent="0.45">
      <c r="D55" t="str">
        <f>IFERROR(VLOOKUP(C55,'Clients List'!$A:$F,2,FALSE),"")</f>
        <v/>
      </c>
      <c r="F55" s="1" t="str">
        <f>IF(OR(C55="",NOT(ISNUMBER(SEARCH("Package",D55)))),"",VLOOKUP(C55,'Clients List'!$A:$F,4,FALSE)-SUMIFS($E$2:$E55,$C$2:$C55,C55,$D$2:$D55,"*Package*"))</f>
        <v/>
      </c>
      <c r="G55" t="str">
        <f t="shared" si="1"/>
        <v/>
      </c>
      <c r="H55" s="33">
        <f>IF(ISNUMBER(SEARCH("Group",D55)),IF(G55="",E55,IFERROR(E55/COUNTIF($G2:$G6000,G55),E55)),E55)</f>
        <v>0</v>
      </c>
      <c r="I55" s="1" t="str">
        <f>IFERROR(VLOOKUP(C55,'Clients List'!A:F,6,FALSE),"")</f>
        <v/>
      </c>
    </row>
    <row r="56" spans="4:9" x14ac:dyDescent="0.45">
      <c r="D56" t="str">
        <f>IFERROR(VLOOKUP(C56,'Clients List'!$A:$F,2,FALSE),"")</f>
        <v/>
      </c>
      <c r="F56" s="1" t="str">
        <f>IF(OR(C56="",NOT(ISNUMBER(SEARCH("Package",D56)))),"",VLOOKUP(C56,'Clients List'!$A:$F,4,FALSE)-SUMIFS($E$2:$E56,$C$2:$C56,C56,$D$2:$D56,"*Package*"))</f>
        <v/>
      </c>
      <c r="G56" t="str">
        <f t="shared" si="1"/>
        <v/>
      </c>
      <c r="H56" s="33">
        <f>IF(ISNUMBER(SEARCH("Group",D56)),IF(G56="",E56,IFERROR(E56/COUNTIF($G2:$G6000,G56),E56)),E56)</f>
        <v>0</v>
      </c>
      <c r="I56" s="1" t="str">
        <f>IFERROR(VLOOKUP(C56,'Clients List'!A:F,6,FALSE),"")</f>
        <v/>
      </c>
    </row>
    <row r="57" spans="4:9" x14ac:dyDescent="0.45">
      <c r="D57" t="str">
        <f>IFERROR(VLOOKUP(C57,'Clients List'!$A:$F,2,FALSE),"")</f>
        <v/>
      </c>
      <c r="F57" s="1" t="str">
        <f>IF(OR(C57="",NOT(ISNUMBER(SEARCH("Package",D57)))),"",VLOOKUP(C57,'Clients List'!$A:$F,4,FALSE)-SUMIFS($E$2:$E57,$C$2:$C57,C57,$D$2:$D57,"*Package*"))</f>
        <v/>
      </c>
      <c r="G57" t="str">
        <f t="shared" si="1"/>
        <v/>
      </c>
      <c r="H57" s="33">
        <f>IF(ISNUMBER(SEARCH("Group",D57)),IF(G57="",E57,IFERROR(E57/COUNTIF($G2:$G6000,G57),E57)),E57)</f>
        <v>0</v>
      </c>
      <c r="I57" s="1" t="str">
        <f>IFERROR(VLOOKUP(C57,'Clients List'!A:F,6,FALSE),"")</f>
        <v/>
      </c>
    </row>
    <row r="58" spans="4:9" x14ac:dyDescent="0.45">
      <c r="D58" t="str">
        <f>IFERROR(VLOOKUP(C58,'Clients List'!$A:$F,2,FALSE),"")</f>
        <v/>
      </c>
      <c r="F58" s="1" t="str">
        <f>IF(OR(C58="",NOT(ISNUMBER(SEARCH("Package",D58)))),"",VLOOKUP(C58,'Clients List'!$A:$F,4,FALSE)-SUMIFS($E$2:$E58,$C$2:$C58,C58,$D$2:$D58,"*Package*"))</f>
        <v/>
      </c>
      <c r="G58" t="str">
        <f t="shared" si="1"/>
        <v/>
      </c>
      <c r="H58" s="33">
        <f>IF(ISNUMBER(SEARCH("Group",D58)),IF(G58="",E58,IFERROR(E58/COUNTIF($G2:$G6000,G58),E58)),E58)</f>
        <v>0</v>
      </c>
      <c r="I58" s="1" t="str">
        <f>IFERROR(VLOOKUP(C58,'Clients List'!A:F,6,FALSE),"")</f>
        <v/>
      </c>
    </row>
    <row r="59" spans="4:9" x14ac:dyDescent="0.45">
      <c r="D59" t="str">
        <f>IFERROR(VLOOKUP(C59,'Clients List'!$A:$F,2,FALSE),"")</f>
        <v/>
      </c>
      <c r="F59" s="1" t="str">
        <f>IF(OR(C59="",NOT(ISNUMBER(SEARCH("Package",D59)))),"",VLOOKUP(C59,'Clients List'!$A:$F,4,FALSE)-SUMIFS($E$2:$E59,$C$2:$C59,C59,$D$2:$D59,"*Package*"))</f>
        <v/>
      </c>
      <c r="G59" t="str">
        <f t="shared" si="1"/>
        <v/>
      </c>
      <c r="H59" s="33">
        <f>IF(ISNUMBER(SEARCH("Group",D59)),IF(G59="",E59,IFERROR(E59/COUNTIF($G2:$G6000,G59),E59)),E59)</f>
        <v>0</v>
      </c>
      <c r="I59" s="1" t="str">
        <f>IFERROR(VLOOKUP(C59,'Clients List'!A:F,6,FALSE),"")</f>
        <v/>
      </c>
    </row>
    <row r="60" spans="4:9" x14ac:dyDescent="0.45">
      <c r="D60" t="str">
        <f>IFERROR(VLOOKUP(C60,'Clients List'!$A:$F,2,FALSE),"")</f>
        <v/>
      </c>
      <c r="F60" s="1" t="str">
        <f>IF(OR(C60="",NOT(ISNUMBER(SEARCH("Package",D60)))),"",VLOOKUP(C60,'Clients List'!$A:$F,4,FALSE)-SUMIFS($E$2:$E60,$C$2:$C60,C60,$D$2:$D60,"*Package*"))</f>
        <v/>
      </c>
      <c r="G60" t="str">
        <f t="shared" si="1"/>
        <v/>
      </c>
      <c r="H60" s="33">
        <f>IF(ISNUMBER(SEARCH("Group",D60)),IF(G60="",E60,IFERROR(E60/COUNTIF($G2:$G6000,G60),E60)),E60)</f>
        <v>0</v>
      </c>
      <c r="I60" s="1" t="str">
        <f>IFERROR(VLOOKUP(C60,'Clients List'!A:F,6,FALSE),"")</f>
        <v/>
      </c>
    </row>
    <row r="61" spans="4:9" x14ac:dyDescent="0.45">
      <c r="D61" t="str">
        <f>IFERROR(VLOOKUP(C61,'Clients List'!$A:$F,2,FALSE),"")</f>
        <v/>
      </c>
      <c r="F61" s="1" t="str">
        <f>IF(OR(C61="",NOT(ISNUMBER(SEARCH("Package",D61)))),"",VLOOKUP(C61,'Clients List'!$A:$F,4,FALSE)-SUMIFS($E$2:$E61,$C$2:$C61,C61,$D$2:$D61,"*Package*"))</f>
        <v/>
      </c>
      <c r="G61" t="str">
        <f t="shared" si="1"/>
        <v/>
      </c>
      <c r="H61" s="33">
        <f>IF(ISNUMBER(SEARCH("Group",D61)),IF(G61="",E61,IFERROR(E61/COUNTIF($G2:$G6000,G61),E61)),E61)</f>
        <v>0</v>
      </c>
      <c r="I61" s="1" t="str">
        <f>IFERROR(VLOOKUP(C61,'Clients List'!A:F,6,FALSE),"")</f>
        <v/>
      </c>
    </row>
    <row r="62" spans="4:9" x14ac:dyDescent="0.45">
      <c r="D62" t="str">
        <f>IFERROR(VLOOKUP(C62,'Clients List'!$A:$F,2,FALSE),"")</f>
        <v/>
      </c>
      <c r="F62" s="1" t="str">
        <f>IF(OR(C62="",NOT(ISNUMBER(SEARCH("Package",D62)))),"",VLOOKUP(C62,'Clients List'!$A:$F,4,FALSE)-SUMIFS($E$2:$E62,$C$2:$C62,C62,$D$2:$D62,"*Package*"))</f>
        <v/>
      </c>
      <c r="G62" t="str">
        <f t="shared" si="1"/>
        <v/>
      </c>
      <c r="H62" s="33">
        <f>IF(ISNUMBER(SEARCH("Group",D62)),IF(G62="",E62,IFERROR(E62/COUNTIF($G2:$G6000,G62),E62)),E62)</f>
        <v>0</v>
      </c>
      <c r="I62" s="1" t="str">
        <f>IFERROR(VLOOKUP(C62,'Clients List'!A:F,6,FALSE),"")</f>
        <v/>
      </c>
    </row>
    <row r="63" spans="4:9" x14ac:dyDescent="0.45">
      <c r="D63" t="str">
        <f>IFERROR(VLOOKUP(C63,'Clients List'!$A:$F,2,FALSE),"")</f>
        <v/>
      </c>
      <c r="F63" s="1" t="str">
        <f>IF(OR(C63="",NOT(ISNUMBER(SEARCH("Package",D63)))),"",VLOOKUP(C63,'Clients List'!$A:$F,4,FALSE)-SUMIFS($E$2:$E63,$C$2:$C63,C63,$D$2:$D63,"*Package*"))</f>
        <v/>
      </c>
      <c r="G63" t="str">
        <f t="shared" si="1"/>
        <v/>
      </c>
      <c r="H63" s="33">
        <f>IF(ISNUMBER(SEARCH("Group",D63)),IF(G63="",E63,IFERROR(E63/COUNTIF($G2:$G6000,G63),E63)),E63)</f>
        <v>0</v>
      </c>
      <c r="I63" s="1" t="str">
        <f>IFERROR(VLOOKUP(C63,'Clients List'!A:F,6,FALSE),"")</f>
        <v/>
      </c>
    </row>
    <row r="64" spans="4:9" x14ac:dyDescent="0.45">
      <c r="D64" t="str">
        <f>IFERROR(VLOOKUP(C64,'Clients List'!$A:$F,2,FALSE),"")</f>
        <v/>
      </c>
      <c r="F64" s="1" t="str">
        <f>IF(OR(C64="",NOT(ISNUMBER(SEARCH("Package",D64)))),"",VLOOKUP(C64,'Clients List'!$A:$F,4,FALSE)-SUMIFS($E$2:$E64,$C$2:$C64,C64,$D$2:$D64,"*Package*"))</f>
        <v/>
      </c>
      <c r="G64" t="str">
        <f t="shared" si="1"/>
        <v/>
      </c>
      <c r="H64" s="33">
        <f>IF(ISNUMBER(SEARCH("Group",D64)),IF(G64="",E64,IFERROR(E64/COUNTIF($G2:$G6000,G64),E64)),E64)</f>
        <v>0</v>
      </c>
      <c r="I64" s="1" t="str">
        <f>IFERROR(VLOOKUP(C64,'Clients List'!A:F,6,FALSE),"")</f>
        <v/>
      </c>
    </row>
    <row r="65" spans="4:9" x14ac:dyDescent="0.45">
      <c r="D65" t="str">
        <f>IFERROR(VLOOKUP(C65,'Clients List'!$A:$F,2,FALSE),"")</f>
        <v/>
      </c>
      <c r="F65" s="1" t="str">
        <f>IF(OR(C65="",NOT(ISNUMBER(SEARCH("Package",D65)))),"",VLOOKUP(C65,'Clients List'!$A:$F,4,FALSE)-SUMIFS($E$2:$E65,$C$2:$C65,C65,$D$2:$D65,"*Package*"))</f>
        <v/>
      </c>
      <c r="G65" t="str">
        <f t="shared" si="1"/>
        <v/>
      </c>
      <c r="H65" s="33">
        <f>IF(ISNUMBER(SEARCH("Group",D65)),IF(G65="",E65,IFERROR(E65/COUNTIF($G2:$G6000,G65),E65)),E65)</f>
        <v>0</v>
      </c>
      <c r="I65" s="1" t="str">
        <f>IFERROR(VLOOKUP(C65,'Clients List'!A:F,6,FALSE),"")</f>
        <v/>
      </c>
    </row>
    <row r="66" spans="4:9" x14ac:dyDescent="0.45">
      <c r="D66" t="str">
        <f>IFERROR(VLOOKUP(C66,'Clients List'!$A:$F,2,FALSE),"")</f>
        <v/>
      </c>
      <c r="F66" s="1" t="str">
        <f>IF(OR(C66="",NOT(ISNUMBER(SEARCH("Package",D66)))),"",VLOOKUP(C66,'Clients List'!$A:$F,4,FALSE)-SUMIFS($E$2:$E66,$C$2:$C66,C66,$D$2:$D66,"*Package*"))</f>
        <v/>
      </c>
      <c r="G66" t="str">
        <f t="shared" ref="G66:G97" si="2">IF(ISNUMBER(SEARCH("Group",D66)),IFERROR("GRP-"&amp;TEXT(IF(ISNUMBER(A66),A66,DATEVALUE(A66)),"yyyymmdd"),""),"" )</f>
        <v/>
      </c>
      <c r="H66" s="33">
        <f>IF(ISNUMBER(SEARCH("Group",D66)),IF(G66="",E66,IFERROR(E66/COUNTIF($G2:$G6000,G66),E66)),E66)</f>
        <v>0</v>
      </c>
      <c r="I66" s="1" t="str">
        <f>IFERROR(VLOOKUP(C66,'Clients List'!A:F,6,FALSE),"")</f>
        <v/>
      </c>
    </row>
    <row r="67" spans="4:9" x14ac:dyDescent="0.45">
      <c r="D67" t="str">
        <f>IFERROR(VLOOKUP(C67,'Clients List'!$A:$F,2,FALSE),"")</f>
        <v/>
      </c>
      <c r="F67" s="1" t="str">
        <f>IF(OR(C67="",NOT(ISNUMBER(SEARCH("Package",D67)))),"",VLOOKUP(C67,'Clients List'!$A:$F,4,FALSE)-SUMIFS($E$2:$E67,$C$2:$C67,C67,$D$2:$D67,"*Package*"))</f>
        <v/>
      </c>
      <c r="G67" t="str">
        <f t="shared" si="2"/>
        <v/>
      </c>
      <c r="H67" s="33">
        <f>IF(ISNUMBER(SEARCH("Group",D67)),IF(G67="",E67,IFERROR(E67/COUNTIF($G2:$G6000,G67),E67)),E67)</f>
        <v>0</v>
      </c>
      <c r="I67" s="1" t="str">
        <f>IFERROR(VLOOKUP(C67,'Clients List'!A:F,6,FALSE),"")</f>
        <v/>
      </c>
    </row>
    <row r="68" spans="4:9" x14ac:dyDescent="0.45">
      <c r="D68" t="str">
        <f>IFERROR(VLOOKUP(C68,'Clients List'!$A:$F,2,FALSE),"")</f>
        <v/>
      </c>
      <c r="F68" s="1" t="str">
        <f>IF(OR(C68="",NOT(ISNUMBER(SEARCH("Package",D68)))),"",VLOOKUP(C68,'Clients List'!$A:$F,4,FALSE)-SUMIFS($E$2:$E68,$C$2:$C68,C68,$D$2:$D68,"*Package*"))</f>
        <v/>
      </c>
      <c r="G68" t="str">
        <f t="shared" si="2"/>
        <v/>
      </c>
      <c r="H68" s="33">
        <f>IF(ISNUMBER(SEARCH("Group",D68)),IF(G68="",E68,IFERROR(E68/COUNTIF($G2:$G6000,G68),E68)),E68)</f>
        <v>0</v>
      </c>
      <c r="I68" s="1" t="str">
        <f>IFERROR(VLOOKUP(C68,'Clients List'!A:F,6,FALSE),"")</f>
        <v/>
      </c>
    </row>
    <row r="69" spans="4:9" x14ac:dyDescent="0.45">
      <c r="D69" t="str">
        <f>IFERROR(VLOOKUP(C69,'Clients List'!$A:$F,2,FALSE),"")</f>
        <v/>
      </c>
      <c r="F69" s="1" t="str">
        <f>IF(OR(C69="",NOT(ISNUMBER(SEARCH("Package",D69)))),"",VLOOKUP(C69,'Clients List'!$A:$F,4,FALSE)-SUMIFS($E$2:$E69,$C$2:$C69,C69,$D$2:$D69,"*Package*"))</f>
        <v/>
      </c>
      <c r="G69" t="str">
        <f t="shared" si="2"/>
        <v/>
      </c>
      <c r="H69" s="33">
        <f>IF(ISNUMBER(SEARCH("Group",D69)),IF(G69="",E69,IFERROR(E69/COUNTIF($G2:$G6000,G69),E69)),E69)</f>
        <v>0</v>
      </c>
      <c r="I69" s="1" t="str">
        <f>IFERROR(VLOOKUP(C69,'Clients List'!A:F,6,FALSE),"")</f>
        <v/>
      </c>
    </row>
    <row r="70" spans="4:9" x14ac:dyDescent="0.45">
      <c r="D70" t="str">
        <f>IFERROR(VLOOKUP(C70,'Clients List'!$A:$F,2,FALSE),"")</f>
        <v/>
      </c>
      <c r="F70" s="1" t="str">
        <f>IF(OR(C70="",NOT(ISNUMBER(SEARCH("Package",D70)))),"",VLOOKUP(C70,'Clients List'!$A:$F,4,FALSE)-SUMIFS($E$2:$E70,$C$2:$C70,C70,$D$2:$D70,"*Package*"))</f>
        <v/>
      </c>
      <c r="G70" t="str">
        <f t="shared" si="2"/>
        <v/>
      </c>
      <c r="H70" s="33">
        <f>IF(ISNUMBER(SEARCH("Group",D70)),IF(G70="",E70,IFERROR(E70/COUNTIF($G2:$G6000,G70),E70)),E70)</f>
        <v>0</v>
      </c>
      <c r="I70" s="1" t="str">
        <f>IFERROR(VLOOKUP(C70,'Clients List'!A:F,6,FALSE),"")</f>
        <v/>
      </c>
    </row>
    <row r="71" spans="4:9" x14ac:dyDescent="0.45">
      <c r="D71" t="str">
        <f>IFERROR(VLOOKUP(C71,'Clients List'!$A:$F,2,FALSE),"")</f>
        <v/>
      </c>
      <c r="F71" s="1" t="str">
        <f>IF(OR(C71="",NOT(ISNUMBER(SEARCH("Package",D71)))),"",VLOOKUP(C71,'Clients List'!$A:$F,4,FALSE)-SUMIFS($E$2:$E71,$C$2:$C71,C71,$D$2:$D71,"*Package*"))</f>
        <v/>
      </c>
      <c r="G71" t="str">
        <f t="shared" si="2"/>
        <v/>
      </c>
      <c r="H71" s="33">
        <f>IF(ISNUMBER(SEARCH("Group",D71)),IF(G71="",E71,IFERROR(E71/COUNTIF($G2:$G6000,G71),E71)),E71)</f>
        <v>0</v>
      </c>
      <c r="I71" s="1" t="str">
        <f>IFERROR(VLOOKUP(C71,'Clients List'!A:F,6,FALSE),"")</f>
        <v/>
      </c>
    </row>
    <row r="72" spans="4:9" x14ac:dyDescent="0.45">
      <c r="D72" t="str">
        <f>IFERROR(VLOOKUP(C72,'Clients List'!$A:$F,2,FALSE),"")</f>
        <v/>
      </c>
      <c r="F72" s="1" t="str">
        <f>IF(OR(C72="",NOT(ISNUMBER(SEARCH("Package",D72)))),"",VLOOKUP(C72,'Clients List'!$A:$F,4,FALSE)-SUMIFS($E$2:$E72,$C$2:$C72,C72,$D$2:$D72,"*Package*"))</f>
        <v/>
      </c>
      <c r="G72" t="str">
        <f t="shared" si="2"/>
        <v/>
      </c>
      <c r="H72" s="33">
        <f>IF(ISNUMBER(SEARCH("Group",D72)),IF(G72="",E72,IFERROR(E72/COUNTIF($G2:$G6000,G72),E72)),E72)</f>
        <v>0</v>
      </c>
      <c r="I72" s="1" t="str">
        <f>IFERROR(VLOOKUP(C72,'Clients List'!A:F,6,FALSE),"")</f>
        <v/>
      </c>
    </row>
    <row r="73" spans="4:9" x14ac:dyDescent="0.45">
      <c r="D73" t="str">
        <f>IFERROR(VLOOKUP(C73,'Clients List'!$A:$F,2,FALSE),"")</f>
        <v/>
      </c>
      <c r="F73" s="1" t="str">
        <f>IF(OR(C73="",NOT(ISNUMBER(SEARCH("Package",D73)))),"",VLOOKUP(C73,'Clients List'!$A:$F,4,FALSE)-SUMIFS($E$2:$E73,$C$2:$C73,C73,$D$2:$D73,"*Package*"))</f>
        <v/>
      </c>
      <c r="G73" t="str">
        <f t="shared" si="2"/>
        <v/>
      </c>
      <c r="H73" s="33">
        <f>IF(ISNUMBER(SEARCH("Group",D73)),IF(G73="",E73,IFERROR(E73/COUNTIF($G2:$G6000,G73),E73)),E73)</f>
        <v>0</v>
      </c>
      <c r="I73" s="1" t="str">
        <f>IFERROR(VLOOKUP(C73,'Clients List'!A:F,6,FALSE),"")</f>
        <v/>
      </c>
    </row>
    <row r="74" spans="4:9" x14ac:dyDescent="0.45">
      <c r="D74" t="str">
        <f>IFERROR(VLOOKUP(C74,'Clients List'!$A:$F,2,FALSE),"")</f>
        <v/>
      </c>
      <c r="F74" s="1" t="str">
        <f>IF(OR(C74="",NOT(ISNUMBER(SEARCH("Package",D74)))),"",VLOOKUP(C74,'Clients List'!$A:$F,4,FALSE)-SUMIFS($E$2:$E74,$C$2:$C74,C74,$D$2:$D74,"*Package*"))</f>
        <v/>
      </c>
      <c r="G74" t="str">
        <f t="shared" si="2"/>
        <v/>
      </c>
      <c r="H74" s="33">
        <f>IF(ISNUMBER(SEARCH("Group",D74)),IF(G74="",E74,IFERROR(E74/COUNTIF($G2:$G6000,G74),E74)),E74)</f>
        <v>0</v>
      </c>
      <c r="I74" s="1" t="str">
        <f>IFERROR(VLOOKUP(C74,'Clients List'!A:F,6,FALSE),"")</f>
        <v/>
      </c>
    </row>
    <row r="75" spans="4:9" x14ac:dyDescent="0.45">
      <c r="D75" t="str">
        <f>IFERROR(VLOOKUP(C75,'Clients List'!$A:$F,2,FALSE),"")</f>
        <v/>
      </c>
      <c r="F75" s="1" t="str">
        <f>IF(OR(C75="",NOT(ISNUMBER(SEARCH("Package",D75)))),"",VLOOKUP(C75,'Clients List'!$A:$F,4,FALSE)-SUMIFS($E$2:$E75,$C$2:$C75,C75,$D$2:$D75,"*Package*"))</f>
        <v/>
      </c>
      <c r="G75" t="str">
        <f t="shared" si="2"/>
        <v/>
      </c>
      <c r="H75" s="33">
        <f>IF(ISNUMBER(SEARCH("Group",D75)),IF(G75="",E75,IFERROR(E75/COUNTIF($G2:$G6000,G75),E75)),E75)</f>
        <v>0</v>
      </c>
      <c r="I75" s="1" t="str">
        <f>IFERROR(VLOOKUP(C75,'Clients List'!A:F,6,FALSE),"")</f>
        <v/>
      </c>
    </row>
    <row r="76" spans="4:9" x14ac:dyDescent="0.45">
      <c r="D76" t="str">
        <f>IFERROR(VLOOKUP(C76,'Clients List'!$A:$F,2,FALSE),"")</f>
        <v/>
      </c>
      <c r="F76" s="1" t="str">
        <f>IF(OR(C76="",NOT(ISNUMBER(SEARCH("Package",D76)))),"",VLOOKUP(C76,'Clients List'!$A:$F,4,FALSE)-SUMIFS($E$2:$E76,$C$2:$C76,C76,$D$2:$D76,"*Package*"))</f>
        <v/>
      </c>
      <c r="G76" t="str">
        <f t="shared" si="2"/>
        <v/>
      </c>
      <c r="H76" s="33">
        <f>IF(ISNUMBER(SEARCH("Group",D76)),IF(G76="",E76,IFERROR(E76/COUNTIF($G2:$G6000,G76),E76)),E76)</f>
        <v>0</v>
      </c>
      <c r="I76" s="1" t="str">
        <f>IFERROR(VLOOKUP(C76,'Clients List'!A:F,6,FALSE),"")</f>
        <v/>
      </c>
    </row>
    <row r="77" spans="4:9" x14ac:dyDescent="0.45">
      <c r="D77" t="str">
        <f>IFERROR(VLOOKUP(C77,'Clients List'!$A:$F,2,FALSE),"")</f>
        <v/>
      </c>
      <c r="F77" s="1" t="str">
        <f>IF(OR(C77="",NOT(ISNUMBER(SEARCH("Package",D77)))),"",VLOOKUP(C77,'Clients List'!$A:$F,4,FALSE)-SUMIFS($E$2:$E77,$C$2:$C77,C77,$D$2:$D77,"*Package*"))</f>
        <v/>
      </c>
      <c r="G77" t="str">
        <f t="shared" si="2"/>
        <v/>
      </c>
      <c r="H77" s="33">
        <f>IF(ISNUMBER(SEARCH("Group",D77)),IF(G77="",E77,IFERROR(E77/COUNTIF($G2:$G6000,G77),E77)),E77)</f>
        <v>0</v>
      </c>
      <c r="I77" s="1" t="str">
        <f>IFERROR(VLOOKUP(C77,'Clients List'!A:F,6,FALSE),"")</f>
        <v/>
      </c>
    </row>
    <row r="78" spans="4:9" x14ac:dyDescent="0.45">
      <c r="D78" t="str">
        <f>IFERROR(VLOOKUP(C78,'Clients List'!$A:$F,2,FALSE),"")</f>
        <v/>
      </c>
      <c r="F78" s="1" t="str">
        <f>IF(OR(C78="",NOT(ISNUMBER(SEARCH("Package",D78)))),"",VLOOKUP(C78,'Clients List'!$A:$F,4,FALSE)-SUMIFS($E$2:$E78,$C$2:$C78,C78,$D$2:$D78,"*Package*"))</f>
        <v/>
      </c>
      <c r="G78" t="str">
        <f t="shared" si="2"/>
        <v/>
      </c>
      <c r="H78" s="33">
        <f>IF(ISNUMBER(SEARCH("Group",D78)),IF(G78="",E78,IFERROR(E78/COUNTIF($G2:$G6000,G78),E78)),E78)</f>
        <v>0</v>
      </c>
      <c r="I78" s="1" t="str">
        <f>IFERROR(VLOOKUP(C78,'Clients List'!A:F,6,FALSE),"")</f>
        <v/>
      </c>
    </row>
    <row r="79" spans="4:9" x14ac:dyDescent="0.45">
      <c r="D79" t="str">
        <f>IFERROR(VLOOKUP(C79,'Clients List'!$A:$F,2,FALSE),"")</f>
        <v/>
      </c>
      <c r="F79" s="1" t="str">
        <f>IF(OR(C79="",NOT(ISNUMBER(SEARCH("Package",D79)))),"",VLOOKUP(C79,'Clients List'!$A:$F,4,FALSE)-SUMIFS($E$2:$E79,$C$2:$C79,C79,$D$2:$D79,"*Package*"))</f>
        <v/>
      </c>
      <c r="G79" t="str">
        <f t="shared" si="2"/>
        <v/>
      </c>
      <c r="H79" s="33">
        <f>IF(ISNUMBER(SEARCH("Group",D79)),IF(G79="",E79,IFERROR(E79/COUNTIF($G2:$G6000,G79),E79)),E79)</f>
        <v>0</v>
      </c>
      <c r="I79" s="1" t="str">
        <f>IFERROR(VLOOKUP(C79,'Clients List'!A:F,6,FALSE),"")</f>
        <v/>
      </c>
    </row>
    <row r="80" spans="4:9" x14ac:dyDescent="0.45">
      <c r="D80" t="str">
        <f>IFERROR(VLOOKUP(C80,'Clients List'!$A:$F,2,FALSE),"")</f>
        <v/>
      </c>
      <c r="F80" s="1" t="str">
        <f>IF(OR(C80="",NOT(ISNUMBER(SEARCH("Package",D80)))),"",VLOOKUP(C80,'Clients List'!$A:$F,4,FALSE)-SUMIFS($E$2:$E80,$C$2:$C80,C80,$D$2:$D80,"*Package*"))</f>
        <v/>
      </c>
      <c r="G80" t="str">
        <f t="shared" si="2"/>
        <v/>
      </c>
      <c r="H80" s="33">
        <f>IF(ISNUMBER(SEARCH("Group",D80)),IF(G80="",E80,IFERROR(E80/COUNTIF($G2:$G6000,G80),E80)),E80)</f>
        <v>0</v>
      </c>
      <c r="I80" s="1" t="str">
        <f>IFERROR(VLOOKUP(C80,'Clients List'!A:F,6,FALSE),"")</f>
        <v/>
      </c>
    </row>
    <row r="81" spans="4:9" x14ac:dyDescent="0.45">
      <c r="D81" t="str">
        <f>IFERROR(VLOOKUP(C81,'Clients List'!$A:$F,2,FALSE),"")</f>
        <v/>
      </c>
      <c r="F81" s="1" t="str">
        <f>IF(OR(C81="",NOT(ISNUMBER(SEARCH("Package",D81)))),"",VLOOKUP(C81,'Clients List'!$A:$F,4,FALSE)-SUMIFS($E$2:$E81,$C$2:$C81,C81,$D$2:$D81,"*Package*"))</f>
        <v/>
      </c>
      <c r="G81" t="str">
        <f t="shared" si="2"/>
        <v/>
      </c>
      <c r="H81" s="33">
        <f>IF(ISNUMBER(SEARCH("Group",D81)),IF(G81="",E81,IFERROR(E81/COUNTIF($G2:$G6000,G81),E81)),E81)</f>
        <v>0</v>
      </c>
      <c r="I81" s="1" t="str">
        <f>IFERROR(VLOOKUP(C81,'Clients List'!A:F,6,FALSE),"")</f>
        <v/>
      </c>
    </row>
    <row r="82" spans="4:9" x14ac:dyDescent="0.45">
      <c r="D82" t="str">
        <f>IFERROR(VLOOKUP(C82,'Clients List'!$A:$F,2,FALSE),"")</f>
        <v/>
      </c>
      <c r="F82" s="1" t="str">
        <f>IF(OR(C82="",NOT(ISNUMBER(SEARCH("Package",D82)))),"",VLOOKUP(C82,'Clients List'!$A:$F,4,FALSE)-SUMIFS($E$2:$E82,$C$2:$C82,C82,$D$2:$D82,"*Package*"))</f>
        <v/>
      </c>
      <c r="G82" t="str">
        <f t="shared" si="2"/>
        <v/>
      </c>
      <c r="H82" s="33">
        <f>IF(ISNUMBER(SEARCH("Group",D82)),IF(G82="",E82,IFERROR(E82/COUNTIF($G2:$G6000,G82),E82)),E82)</f>
        <v>0</v>
      </c>
      <c r="I82" s="1" t="str">
        <f>IFERROR(VLOOKUP(C82,'Clients List'!A:F,6,FALSE),"")</f>
        <v/>
      </c>
    </row>
    <row r="83" spans="4:9" x14ac:dyDescent="0.45">
      <c r="D83" t="str">
        <f>IFERROR(VLOOKUP(C83,'Clients List'!$A:$F,2,FALSE),"")</f>
        <v/>
      </c>
      <c r="F83" s="1" t="str">
        <f>IF(OR(C83="",NOT(ISNUMBER(SEARCH("Package",D83)))),"",VLOOKUP(C83,'Clients List'!$A:$F,4,FALSE)-SUMIFS($E$2:$E83,$C$2:$C83,C83,$D$2:$D83,"*Package*"))</f>
        <v/>
      </c>
      <c r="G83" t="str">
        <f t="shared" si="2"/>
        <v/>
      </c>
      <c r="H83" s="33">
        <f>IF(ISNUMBER(SEARCH("Group",D83)),IF(G83="",E83,IFERROR(E83/COUNTIF($G2:$G6000,G83),E83)),E83)</f>
        <v>0</v>
      </c>
      <c r="I83" s="1" t="str">
        <f>IFERROR(VLOOKUP(C83,'Clients List'!A:F,6,FALSE),"")</f>
        <v/>
      </c>
    </row>
    <row r="84" spans="4:9" x14ac:dyDescent="0.45">
      <c r="D84" t="str">
        <f>IFERROR(VLOOKUP(C84,'Clients List'!$A:$F,2,FALSE),"")</f>
        <v/>
      </c>
      <c r="F84" s="1" t="str">
        <f>IF(OR(C84="",NOT(ISNUMBER(SEARCH("Package",D84)))),"",VLOOKUP(C84,'Clients List'!$A:$F,4,FALSE)-SUMIFS($E$2:$E84,$C$2:$C84,C84,$D$2:$D84,"*Package*"))</f>
        <v/>
      </c>
      <c r="G84" t="str">
        <f t="shared" si="2"/>
        <v/>
      </c>
      <c r="H84" s="33">
        <f>IF(ISNUMBER(SEARCH("Group",D84)),IF(G84="",E84,IFERROR(E84/COUNTIF($G2:$G6000,G84),E84)),E84)</f>
        <v>0</v>
      </c>
      <c r="I84" s="1" t="str">
        <f>IFERROR(VLOOKUP(C84,'Clients List'!A:F,6,FALSE),"")</f>
        <v/>
      </c>
    </row>
    <row r="85" spans="4:9" x14ac:dyDescent="0.45">
      <c r="D85" t="str">
        <f>IFERROR(VLOOKUP(C85,'Clients List'!$A:$F,2,FALSE),"")</f>
        <v/>
      </c>
      <c r="F85" s="1" t="str">
        <f>IF(OR(C85="",NOT(ISNUMBER(SEARCH("Package",D85)))),"",VLOOKUP(C85,'Clients List'!$A:$F,4,FALSE)-SUMIFS($E$2:$E85,$C$2:$C85,C85,$D$2:$D85,"*Package*"))</f>
        <v/>
      </c>
      <c r="G85" t="str">
        <f t="shared" si="2"/>
        <v/>
      </c>
      <c r="H85" s="33">
        <f>IF(ISNUMBER(SEARCH("Group",D85)),IF(G85="",E85,IFERROR(E85/COUNTIF($G2:$G6000,G85),E85)),E85)</f>
        <v>0</v>
      </c>
      <c r="I85" s="1" t="str">
        <f>IFERROR(VLOOKUP(C85,'Clients List'!A:F,6,FALSE),"")</f>
        <v/>
      </c>
    </row>
    <row r="86" spans="4:9" x14ac:dyDescent="0.45">
      <c r="D86" t="str">
        <f>IFERROR(VLOOKUP(C86,'Clients List'!$A:$F,2,FALSE),"")</f>
        <v/>
      </c>
      <c r="F86" s="1" t="str">
        <f>IF(OR(C86="",NOT(ISNUMBER(SEARCH("Package",D86)))),"",VLOOKUP(C86,'Clients List'!$A:$F,4,FALSE)-SUMIFS($E$2:$E86,$C$2:$C86,C86,$D$2:$D86,"*Package*"))</f>
        <v/>
      </c>
      <c r="G86" t="str">
        <f t="shared" si="2"/>
        <v/>
      </c>
      <c r="H86" s="33">
        <f>IF(ISNUMBER(SEARCH("Group",D86)),IF(G86="",E86,IFERROR(E86/COUNTIF($G2:$G6000,G86),E86)),E86)</f>
        <v>0</v>
      </c>
      <c r="I86" s="1" t="str">
        <f>IFERROR(VLOOKUP(C86,'Clients List'!A:F,6,FALSE),"")</f>
        <v/>
      </c>
    </row>
    <row r="87" spans="4:9" x14ac:dyDescent="0.45">
      <c r="D87" t="str">
        <f>IFERROR(VLOOKUP(C87,'Clients List'!$A:$F,2,FALSE),"")</f>
        <v/>
      </c>
      <c r="F87" s="1" t="str">
        <f>IF(OR(C87="",NOT(ISNUMBER(SEARCH("Package",D87)))),"",VLOOKUP(C87,'Clients List'!$A:$F,4,FALSE)-SUMIFS($E$2:$E87,$C$2:$C87,C87,$D$2:$D87,"*Package*"))</f>
        <v/>
      </c>
      <c r="G87" t="str">
        <f t="shared" si="2"/>
        <v/>
      </c>
      <c r="H87" s="33">
        <f>IF(ISNUMBER(SEARCH("Group",D87)),IF(G87="",E87,IFERROR(E87/COUNTIF($G2:$G6000,G87),E87)),E87)</f>
        <v>0</v>
      </c>
      <c r="I87" s="1" t="str">
        <f>IFERROR(VLOOKUP(C87,'Clients List'!A:F,6,FALSE),"")</f>
        <v/>
      </c>
    </row>
    <row r="88" spans="4:9" x14ac:dyDescent="0.45">
      <c r="D88" t="str">
        <f>IFERROR(VLOOKUP(C88,'Clients List'!$A:$F,2,FALSE),"")</f>
        <v/>
      </c>
      <c r="F88" s="1" t="str">
        <f>IF(OR(C88="",NOT(ISNUMBER(SEARCH("Package",D88)))),"",VLOOKUP(C88,'Clients List'!$A:$F,4,FALSE)-SUMIFS($E$2:$E88,$C$2:$C88,C88,$D$2:$D88,"*Package*"))</f>
        <v/>
      </c>
      <c r="G88" t="str">
        <f t="shared" si="2"/>
        <v/>
      </c>
      <c r="H88" s="33">
        <f>IF(ISNUMBER(SEARCH("Group",D88)),IF(G88="",E88,IFERROR(E88/COUNTIF($G2:$G6000,G88),E88)),E88)</f>
        <v>0</v>
      </c>
      <c r="I88" s="1" t="str">
        <f>IFERROR(VLOOKUP(C88,'Clients List'!A:F,6,FALSE),"")</f>
        <v/>
      </c>
    </row>
    <row r="89" spans="4:9" x14ac:dyDescent="0.45">
      <c r="D89" t="str">
        <f>IFERROR(VLOOKUP(C89,'Clients List'!$A:$F,2,FALSE),"")</f>
        <v/>
      </c>
      <c r="F89" s="1" t="str">
        <f>IF(OR(C89="",NOT(ISNUMBER(SEARCH("Package",D89)))),"",VLOOKUP(C89,'Clients List'!$A:$F,4,FALSE)-SUMIFS($E$2:$E89,$C$2:$C89,C89,$D$2:$D89,"*Package*"))</f>
        <v/>
      </c>
      <c r="G89" t="str">
        <f t="shared" si="2"/>
        <v/>
      </c>
      <c r="H89" s="33">
        <f>IF(ISNUMBER(SEARCH("Group",D89)),IF(G89="",E89,IFERROR(E89/COUNTIF($G2:$G6000,G89),E89)),E89)</f>
        <v>0</v>
      </c>
      <c r="I89" s="1" t="str">
        <f>IFERROR(VLOOKUP(C89,'Clients List'!A:F,6,FALSE),"")</f>
        <v/>
      </c>
    </row>
    <row r="90" spans="4:9" x14ac:dyDescent="0.45">
      <c r="D90" t="str">
        <f>IFERROR(VLOOKUP(C90,'Clients List'!$A:$F,2,FALSE),"")</f>
        <v/>
      </c>
      <c r="F90" s="1" t="str">
        <f>IF(OR(C90="",NOT(ISNUMBER(SEARCH("Package",D90)))),"",VLOOKUP(C90,'Clients List'!$A:$F,4,FALSE)-SUMIFS($E$2:$E90,$C$2:$C90,C90,$D$2:$D90,"*Package*"))</f>
        <v/>
      </c>
      <c r="G90" t="str">
        <f t="shared" si="2"/>
        <v/>
      </c>
      <c r="H90" s="33">
        <f>IF(ISNUMBER(SEARCH("Group",D90)),IF(G90="",E90,IFERROR(E90/COUNTIF($G2:$G6000,G90),E90)),E90)</f>
        <v>0</v>
      </c>
      <c r="I90" s="1" t="str">
        <f>IFERROR(VLOOKUP(C90,'Clients List'!A:F,6,FALSE),"")</f>
        <v/>
      </c>
    </row>
    <row r="91" spans="4:9" x14ac:dyDescent="0.45">
      <c r="D91" t="str">
        <f>IFERROR(VLOOKUP(C91,'Clients List'!$A:$F,2,FALSE),"")</f>
        <v/>
      </c>
      <c r="F91" s="1" t="str">
        <f>IF(OR(C91="",NOT(ISNUMBER(SEARCH("Package",D91)))),"",VLOOKUP(C91,'Clients List'!$A:$F,4,FALSE)-SUMIFS($E$2:$E91,$C$2:$C91,C91,$D$2:$D91,"*Package*"))</f>
        <v/>
      </c>
      <c r="G91" t="str">
        <f t="shared" si="2"/>
        <v/>
      </c>
      <c r="H91" s="33">
        <f>IF(ISNUMBER(SEARCH("Group",D91)),IF(G91="",E91,IFERROR(E91/COUNTIF($G2:$G6000,G91),E91)),E91)</f>
        <v>0</v>
      </c>
      <c r="I91" s="1" t="str">
        <f>IFERROR(VLOOKUP(C91,'Clients List'!A:F,6,FALSE),"")</f>
        <v/>
      </c>
    </row>
    <row r="92" spans="4:9" x14ac:dyDescent="0.45">
      <c r="D92" t="str">
        <f>IFERROR(VLOOKUP(C92,'Clients List'!$A:$F,2,FALSE),"")</f>
        <v/>
      </c>
      <c r="F92" s="1" t="str">
        <f>IF(OR(C92="",NOT(ISNUMBER(SEARCH("Package",D92)))),"",VLOOKUP(C92,'Clients List'!$A:$F,4,FALSE)-SUMIFS($E$2:$E92,$C$2:$C92,C92,$D$2:$D92,"*Package*"))</f>
        <v/>
      </c>
      <c r="G92" t="str">
        <f t="shared" si="2"/>
        <v/>
      </c>
      <c r="H92" s="33">
        <f>IF(ISNUMBER(SEARCH("Group",D92)),IF(G92="",E92,IFERROR(E92/COUNTIF($G2:$G6000,G92),E92)),E92)</f>
        <v>0</v>
      </c>
      <c r="I92" s="1" t="str">
        <f>IFERROR(VLOOKUP(C92,'Clients List'!A:F,6,FALSE),"")</f>
        <v/>
      </c>
    </row>
    <row r="93" spans="4:9" x14ac:dyDescent="0.45">
      <c r="D93" t="str">
        <f>IFERROR(VLOOKUP(C93,'Clients List'!$A:$F,2,FALSE),"")</f>
        <v/>
      </c>
      <c r="F93" s="1" t="str">
        <f>IF(OR(C93="",NOT(ISNUMBER(SEARCH("Package",D93)))),"",VLOOKUP(C93,'Clients List'!$A:$F,4,FALSE)-SUMIFS($E$2:$E93,$C$2:$C93,C93,$D$2:$D93,"*Package*"))</f>
        <v/>
      </c>
      <c r="G93" t="str">
        <f t="shared" si="2"/>
        <v/>
      </c>
      <c r="H93" s="33">
        <f>IF(ISNUMBER(SEARCH("Group",D93)),IF(G93="",E93,IFERROR(E93/COUNTIF($G2:$G6000,G93),E93)),E93)</f>
        <v>0</v>
      </c>
      <c r="I93" s="1" t="str">
        <f>IFERROR(VLOOKUP(C93,'Clients List'!A:F,6,FALSE),"")</f>
        <v/>
      </c>
    </row>
    <row r="94" spans="4:9" x14ac:dyDescent="0.45">
      <c r="D94" t="str">
        <f>IFERROR(VLOOKUP(C94,'Clients List'!$A:$F,2,FALSE),"")</f>
        <v/>
      </c>
      <c r="F94" s="1" t="str">
        <f>IF(OR(C94="",NOT(ISNUMBER(SEARCH("Package",D94)))),"",VLOOKUP(C94,'Clients List'!$A:$F,4,FALSE)-SUMIFS($E$2:$E94,$C$2:$C94,C94,$D$2:$D94,"*Package*"))</f>
        <v/>
      </c>
      <c r="G94" t="str">
        <f t="shared" si="2"/>
        <v/>
      </c>
      <c r="H94" s="33">
        <f>IF(ISNUMBER(SEARCH("Group",D94)),IF(G94="",E94,IFERROR(E94/COUNTIF($G2:$G6000,G94),E94)),E94)</f>
        <v>0</v>
      </c>
      <c r="I94" s="1" t="str">
        <f>IFERROR(VLOOKUP(C94,'Clients List'!A:F,6,FALSE),"")</f>
        <v/>
      </c>
    </row>
    <row r="95" spans="4:9" x14ac:dyDescent="0.45">
      <c r="D95" t="str">
        <f>IFERROR(VLOOKUP(C95,'Clients List'!$A:$F,2,FALSE),"")</f>
        <v/>
      </c>
      <c r="F95" s="1" t="str">
        <f>IF(OR(C95="",NOT(ISNUMBER(SEARCH("Package",D95)))),"",VLOOKUP(C95,'Clients List'!$A:$F,4,FALSE)-SUMIFS($E$2:$E95,$C$2:$C95,C95,$D$2:$D95,"*Package*"))</f>
        <v/>
      </c>
      <c r="G95" t="str">
        <f t="shared" si="2"/>
        <v/>
      </c>
      <c r="H95" s="33">
        <f>IF(ISNUMBER(SEARCH("Group",D95)),IF(G95="",E95,IFERROR(E95/COUNTIF($G2:$G6000,G95),E95)),E95)</f>
        <v>0</v>
      </c>
      <c r="I95" s="1" t="str">
        <f>IFERROR(VLOOKUP(C95,'Clients List'!A:F,6,FALSE),"")</f>
        <v/>
      </c>
    </row>
    <row r="96" spans="4:9" x14ac:dyDescent="0.45">
      <c r="D96" t="str">
        <f>IFERROR(VLOOKUP(C96,'Clients List'!$A:$F,2,FALSE),"")</f>
        <v/>
      </c>
      <c r="F96" s="1" t="str">
        <f>IF(OR(C96="",NOT(ISNUMBER(SEARCH("Package",D96)))),"",VLOOKUP(C96,'Clients List'!$A:$F,4,FALSE)-SUMIFS($E$2:$E96,$C$2:$C96,C96,$D$2:$D96,"*Package*"))</f>
        <v/>
      </c>
      <c r="G96" t="str">
        <f t="shared" si="2"/>
        <v/>
      </c>
      <c r="H96" s="33">
        <f>IF(ISNUMBER(SEARCH("Group",D96)),IF(G96="",E96,IFERROR(E96/COUNTIF($G2:$G6000,G96),E96)),E96)</f>
        <v>0</v>
      </c>
      <c r="I96" s="1" t="str">
        <f>IFERROR(VLOOKUP(C96,'Clients List'!A:F,6,FALSE),"")</f>
        <v/>
      </c>
    </row>
    <row r="97" spans="4:9" x14ac:dyDescent="0.45">
      <c r="D97" t="str">
        <f>IFERROR(VLOOKUP(C97,'Clients List'!$A:$F,2,FALSE),"")</f>
        <v/>
      </c>
      <c r="F97" s="1" t="str">
        <f>IF(OR(C97="",NOT(ISNUMBER(SEARCH("Package",D97)))),"",VLOOKUP(C97,'Clients List'!$A:$F,4,FALSE)-SUMIFS($E$2:$E97,$C$2:$C97,C97,$D$2:$D97,"*Package*"))</f>
        <v/>
      </c>
      <c r="G97" t="str">
        <f t="shared" si="2"/>
        <v/>
      </c>
      <c r="H97" s="33">
        <f>IF(ISNUMBER(SEARCH("Group",D97)),IF(G97="",E97,IFERROR(E97/COUNTIF($G2:$G6000,G97),E97)),E97)</f>
        <v>0</v>
      </c>
      <c r="I97" s="1" t="str">
        <f>IFERROR(VLOOKUP(C97,'Clients List'!A:F,6,FALSE),"")</f>
        <v/>
      </c>
    </row>
    <row r="98" spans="4:9" x14ac:dyDescent="0.45">
      <c r="D98" t="str">
        <f>IFERROR(VLOOKUP(C98,'Clients List'!$A:$F,2,FALSE),"")</f>
        <v/>
      </c>
      <c r="F98" s="1" t="str">
        <f>IF(OR(C98="",NOT(ISNUMBER(SEARCH("Package",D98)))),"",VLOOKUP(C98,'Clients List'!$A:$F,4,FALSE)-SUMIFS($E$2:$E98,$C$2:$C98,C98,$D$2:$D98,"*Package*"))</f>
        <v/>
      </c>
      <c r="G98" t="str">
        <f t="shared" ref="G98:G129" si="3">IF(ISNUMBER(SEARCH("Group",D98)),IFERROR("GRP-"&amp;TEXT(IF(ISNUMBER(A98),A98,DATEVALUE(A98)),"yyyymmdd"),""),"" )</f>
        <v/>
      </c>
      <c r="H98" s="33">
        <f>IF(ISNUMBER(SEARCH("Group",D98)),IF(G98="",E98,IFERROR(E98/COUNTIF($G2:$G6000,G98),E98)),E98)</f>
        <v>0</v>
      </c>
      <c r="I98" s="1" t="str">
        <f>IFERROR(VLOOKUP(C98,'Clients List'!A:F,6,FALSE),"")</f>
        <v/>
      </c>
    </row>
    <row r="99" spans="4:9" x14ac:dyDescent="0.45">
      <c r="D99" t="str">
        <f>IFERROR(VLOOKUP(C99,'Clients List'!$A:$F,2,FALSE),"")</f>
        <v/>
      </c>
      <c r="F99" s="1" t="str">
        <f>IF(OR(C99="",NOT(ISNUMBER(SEARCH("Package",D99)))),"",VLOOKUP(C99,'Clients List'!$A:$F,4,FALSE)-SUMIFS($E$2:$E99,$C$2:$C99,C99,$D$2:$D99,"*Package*"))</f>
        <v/>
      </c>
      <c r="G99" t="str">
        <f t="shared" si="3"/>
        <v/>
      </c>
      <c r="H99" s="33">
        <f>IF(ISNUMBER(SEARCH("Group",D99)),IF(G99="",E99,IFERROR(E99/COUNTIF($G2:$G6000,G99),E99)),E99)</f>
        <v>0</v>
      </c>
      <c r="I99" s="1" t="str">
        <f>IFERROR(VLOOKUP(C99,'Clients List'!A:F,6,FALSE),"")</f>
        <v/>
      </c>
    </row>
    <row r="100" spans="4:9" x14ac:dyDescent="0.45">
      <c r="D100" t="str">
        <f>IFERROR(VLOOKUP(C100,'Clients List'!$A:$F,2,FALSE),"")</f>
        <v/>
      </c>
      <c r="F100" s="1" t="str">
        <f>IF(OR(C100="",NOT(ISNUMBER(SEARCH("Package",D100)))),"",VLOOKUP(C100,'Clients List'!$A:$F,4,FALSE)-SUMIFS($E$2:$E100,$C$2:$C100,C100,$D$2:$D100,"*Package*"))</f>
        <v/>
      </c>
      <c r="G100" t="str">
        <f t="shared" si="3"/>
        <v/>
      </c>
      <c r="H100" s="33">
        <f>IF(ISNUMBER(SEARCH("Group",D100)),IF(G100="",E100,IFERROR(E100/COUNTIF($G2:$G6000,G100),E100)),E100)</f>
        <v>0</v>
      </c>
      <c r="I100" s="1" t="str">
        <f>IFERROR(VLOOKUP(C100,'Clients List'!A:F,6,FALSE),"")</f>
        <v/>
      </c>
    </row>
    <row r="101" spans="4:9" x14ac:dyDescent="0.45">
      <c r="D101" t="str">
        <f>IFERROR(VLOOKUP(C101,'Clients List'!$A:$F,2,FALSE),"")</f>
        <v/>
      </c>
      <c r="F101" s="1" t="str">
        <f>IF(OR(C101="",NOT(ISNUMBER(SEARCH("Package",D101)))),"",VLOOKUP(C101,'Clients List'!$A:$F,4,FALSE)-SUMIFS($E$2:$E101,$C$2:$C101,C101,$D$2:$D101,"*Package*"))</f>
        <v/>
      </c>
      <c r="G101" t="str">
        <f t="shared" si="3"/>
        <v/>
      </c>
      <c r="H101" s="33">
        <f>IF(ISNUMBER(SEARCH("Group",D101)),IF(G101="",E101,IFERROR(E101/COUNTIF($G2:$G6000,G101),E101)),E101)</f>
        <v>0</v>
      </c>
      <c r="I101" s="1" t="str">
        <f>IFERROR(VLOOKUP(C101,'Clients List'!A:F,6,FALSE),"")</f>
        <v/>
      </c>
    </row>
    <row r="102" spans="4:9" x14ac:dyDescent="0.45">
      <c r="D102" t="str">
        <f>IFERROR(VLOOKUP(C102,'Clients List'!$A:$F,2,FALSE),"")</f>
        <v/>
      </c>
      <c r="F102" s="1" t="str">
        <f>IF(OR(C102="",NOT(ISNUMBER(SEARCH("Package",D102)))),"",VLOOKUP(C102,'Clients List'!$A:$F,4,FALSE)-SUMIFS($E$2:$E102,$C$2:$C102,C102,$D$2:$D102,"*Package*"))</f>
        <v/>
      </c>
      <c r="G102" t="str">
        <f t="shared" si="3"/>
        <v/>
      </c>
      <c r="H102" s="33">
        <f>IF(ISNUMBER(SEARCH("Group",D102)),IF(G102="",E102,IFERROR(E102/COUNTIF($G2:$G6000,G102),E102)),E102)</f>
        <v>0</v>
      </c>
      <c r="I102" s="1" t="str">
        <f>IFERROR(VLOOKUP(C102,'Clients List'!A:F,6,FALSE),"")</f>
        <v/>
      </c>
    </row>
    <row r="103" spans="4:9" x14ac:dyDescent="0.45">
      <c r="D103" t="str">
        <f>IFERROR(VLOOKUP(C103,'Clients List'!$A:$F,2,FALSE),"")</f>
        <v/>
      </c>
      <c r="F103" s="1" t="str">
        <f>IF(OR(C103="",NOT(ISNUMBER(SEARCH("Package",D103)))),"",VLOOKUP(C103,'Clients List'!$A:$F,4,FALSE)-SUMIFS($E$2:$E103,$C$2:$C103,C103,$D$2:$D103,"*Package*"))</f>
        <v/>
      </c>
      <c r="G103" t="str">
        <f t="shared" si="3"/>
        <v/>
      </c>
      <c r="H103" s="33">
        <f>IF(ISNUMBER(SEARCH("Group",D103)),IF(G103="",E103,IFERROR(E103/COUNTIF($G2:$G6000,G103),E103)),E103)</f>
        <v>0</v>
      </c>
      <c r="I103" s="1" t="str">
        <f>IFERROR(VLOOKUP(C103,'Clients List'!A:F,6,FALSE),"")</f>
        <v/>
      </c>
    </row>
    <row r="104" spans="4:9" x14ac:dyDescent="0.45">
      <c r="D104" t="str">
        <f>IFERROR(VLOOKUP(C104,'Clients List'!$A:$F,2,FALSE),"")</f>
        <v/>
      </c>
      <c r="F104" s="1" t="str">
        <f>IF(OR(C104="",NOT(ISNUMBER(SEARCH("Package",D104)))),"",VLOOKUP(C104,'Clients List'!$A:$F,4,FALSE)-SUMIFS($E$2:$E104,$C$2:$C104,C104,$D$2:$D104,"*Package*"))</f>
        <v/>
      </c>
      <c r="G104" t="str">
        <f t="shared" si="3"/>
        <v/>
      </c>
      <c r="H104" s="33">
        <f>IF(ISNUMBER(SEARCH("Group",D104)),IF(G104="",E104,IFERROR(E104/COUNTIF($G2:$G6000,G104),E104)),E104)</f>
        <v>0</v>
      </c>
      <c r="I104" s="1" t="str">
        <f>IFERROR(VLOOKUP(C104,'Clients List'!A:F,6,FALSE),"")</f>
        <v/>
      </c>
    </row>
    <row r="105" spans="4:9" x14ac:dyDescent="0.45">
      <c r="D105" t="str">
        <f>IFERROR(VLOOKUP(C105,'Clients List'!$A:$F,2,FALSE),"")</f>
        <v/>
      </c>
      <c r="F105" s="1" t="str">
        <f>IF(OR(C105="",NOT(ISNUMBER(SEARCH("Package",D105)))),"",VLOOKUP(C105,'Clients List'!$A:$F,4,FALSE)-SUMIFS($E$2:$E105,$C$2:$C105,C105,$D$2:$D105,"*Package*"))</f>
        <v/>
      </c>
      <c r="G105" t="str">
        <f t="shared" si="3"/>
        <v/>
      </c>
      <c r="H105" s="33">
        <f>IF(ISNUMBER(SEARCH("Group",D105)),IF(G105="",E105,IFERROR(E105/COUNTIF($G2:$G6000,G105),E105)),E105)</f>
        <v>0</v>
      </c>
      <c r="I105" s="1" t="str">
        <f>IFERROR(VLOOKUP(C105,'Clients List'!A:F,6,FALSE),"")</f>
        <v/>
      </c>
    </row>
    <row r="106" spans="4:9" x14ac:dyDescent="0.45">
      <c r="D106" t="str">
        <f>IFERROR(VLOOKUP(C106,'Clients List'!$A:$F,2,FALSE),"")</f>
        <v/>
      </c>
      <c r="F106" s="1" t="str">
        <f>IF(OR(C106="",NOT(ISNUMBER(SEARCH("Package",D106)))),"",VLOOKUP(C106,'Clients List'!$A:$F,4,FALSE)-SUMIFS($E$2:$E106,$C$2:$C106,C106,$D$2:$D106,"*Package*"))</f>
        <v/>
      </c>
      <c r="G106" t="str">
        <f t="shared" si="3"/>
        <v/>
      </c>
      <c r="H106" s="33">
        <f>IF(ISNUMBER(SEARCH("Group",D106)),IF(G106="",E106,IFERROR(E106/COUNTIF($G2:$G6000,G106),E106)),E106)</f>
        <v>0</v>
      </c>
      <c r="I106" s="1" t="str">
        <f>IFERROR(VLOOKUP(C106,'Clients List'!A:F,6,FALSE),"")</f>
        <v/>
      </c>
    </row>
    <row r="107" spans="4:9" x14ac:dyDescent="0.45">
      <c r="D107" t="str">
        <f>IFERROR(VLOOKUP(C107,'Clients List'!$A:$F,2,FALSE),"")</f>
        <v/>
      </c>
      <c r="F107" s="1" t="str">
        <f>IF(OR(C107="",NOT(ISNUMBER(SEARCH("Package",D107)))),"",VLOOKUP(C107,'Clients List'!$A:$F,4,FALSE)-SUMIFS($E$2:$E107,$C$2:$C107,C107,$D$2:$D107,"*Package*"))</f>
        <v/>
      </c>
      <c r="G107" t="str">
        <f t="shared" si="3"/>
        <v/>
      </c>
      <c r="H107" s="33">
        <f>IF(ISNUMBER(SEARCH("Group",D107)),IF(G107="",E107,IFERROR(E107/COUNTIF($G2:$G6000,G107),E107)),E107)</f>
        <v>0</v>
      </c>
      <c r="I107" s="1" t="str">
        <f>IFERROR(VLOOKUP(C107,'Clients List'!A:F,6,FALSE),"")</f>
        <v/>
      </c>
    </row>
    <row r="108" spans="4:9" x14ac:dyDescent="0.45">
      <c r="D108" t="str">
        <f>IFERROR(VLOOKUP(C108,'Clients List'!$A:$F,2,FALSE),"")</f>
        <v/>
      </c>
      <c r="F108" s="1" t="str">
        <f>IF(OR(C108="",NOT(ISNUMBER(SEARCH("Package",D108)))),"",VLOOKUP(C108,'Clients List'!$A:$F,4,FALSE)-SUMIFS($E$2:$E108,$C$2:$C108,C108,$D$2:$D108,"*Package*"))</f>
        <v/>
      </c>
      <c r="G108" t="str">
        <f t="shared" si="3"/>
        <v/>
      </c>
      <c r="H108" s="33">
        <f>IF(ISNUMBER(SEARCH("Group",D108)),IF(G108="",E108,IFERROR(E108/COUNTIF($G2:$G6000,G108),E108)),E108)</f>
        <v>0</v>
      </c>
      <c r="I108" s="1" t="str">
        <f>IFERROR(VLOOKUP(C108,'Clients List'!A:F,6,FALSE),"")</f>
        <v/>
      </c>
    </row>
    <row r="109" spans="4:9" x14ac:dyDescent="0.45">
      <c r="D109" t="str">
        <f>IFERROR(VLOOKUP(C109,'Clients List'!$A:$F,2,FALSE),"")</f>
        <v/>
      </c>
      <c r="F109" s="1" t="str">
        <f>IF(OR(C109="",NOT(ISNUMBER(SEARCH("Package",D109)))),"",VLOOKUP(C109,'Clients List'!$A:$F,4,FALSE)-SUMIFS($E$2:$E109,$C$2:$C109,C109,$D$2:$D109,"*Package*"))</f>
        <v/>
      </c>
      <c r="G109" t="str">
        <f t="shared" si="3"/>
        <v/>
      </c>
      <c r="H109" s="33">
        <f>IF(ISNUMBER(SEARCH("Group",D109)),IF(G109="",E109,IFERROR(E109/COUNTIF($G2:$G6000,G109),E109)),E109)</f>
        <v>0</v>
      </c>
      <c r="I109" s="1" t="str">
        <f>IFERROR(VLOOKUP(C109,'Clients List'!A:F,6,FALSE),"")</f>
        <v/>
      </c>
    </row>
    <row r="110" spans="4:9" x14ac:dyDescent="0.45">
      <c r="D110" t="str">
        <f>IFERROR(VLOOKUP(C110,'Clients List'!$A:$F,2,FALSE),"")</f>
        <v/>
      </c>
      <c r="F110" s="1" t="str">
        <f>IF(OR(C110="",NOT(ISNUMBER(SEARCH("Package",D110)))),"",VLOOKUP(C110,'Clients List'!$A:$F,4,FALSE)-SUMIFS($E$2:$E110,$C$2:$C110,C110,$D$2:$D110,"*Package*"))</f>
        <v/>
      </c>
      <c r="G110" t="str">
        <f t="shared" si="3"/>
        <v/>
      </c>
      <c r="H110" s="33">
        <f>IF(ISNUMBER(SEARCH("Group",D110)),IF(G110="",E110,IFERROR(E110/COUNTIF($G2:$G6000,G110),E110)),E110)</f>
        <v>0</v>
      </c>
      <c r="I110" s="1" t="str">
        <f>IFERROR(VLOOKUP(C110,'Clients List'!A:F,6,FALSE),"")</f>
        <v/>
      </c>
    </row>
    <row r="111" spans="4:9" x14ac:dyDescent="0.45">
      <c r="D111" t="str">
        <f>IFERROR(VLOOKUP(C111,'Clients List'!$A:$F,2,FALSE),"")</f>
        <v/>
      </c>
      <c r="F111" s="1" t="str">
        <f>IF(OR(C111="",NOT(ISNUMBER(SEARCH("Package",D111)))),"",VLOOKUP(C111,'Clients List'!$A:$F,4,FALSE)-SUMIFS($E$2:$E111,$C$2:$C111,C111,$D$2:$D111,"*Package*"))</f>
        <v/>
      </c>
      <c r="G111" t="str">
        <f t="shared" si="3"/>
        <v/>
      </c>
      <c r="H111" s="33">
        <f>IF(ISNUMBER(SEARCH("Group",D111)),IF(G111="",E111,IFERROR(E111/COUNTIF($G2:$G6000,G111),E111)),E111)</f>
        <v>0</v>
      </c>
      <c r="I111" s="1" t="str">
        <f>IFERROR(VLOOKUP(C111,'Clients List'!A:F,6,FALSE),"")</f>
        <v/>
      </c>
    </row>
    <row r="112" spans="4:9" x14ac:dyDescent="0.45">
      <c r="D112" t="str">
        <f>IFERROR(VLOOKUP(C112,'Clients List'!$A:$F,2,FALSE),"")</f>
        <v/>
      </c>
      <c r="F112" s="1" t="str">
        <f>IF(OR(C112="",NOT(ISNUMBER(SEARCH("Package",D112)))),"",VLOOKUP(C112,'Clients List'!$A:$F,4,FALSE)-SUMIFS($E$2:$E112,$C$2:$C112,C112,$D$2:$D112,"*Package*"))</f>
        <v/>
      </c>
      <c r="G112" t="str">
        <f t="shared" si="3"/>
        <v/>
      </c>
      <c r="H112" s="33">
        <f>IF(ISNUMBER(SEARCH("Group",D112)),IF(G112="",E112,IFERROR(E112/COUNTIF($G2:$G6000,G112),E112)),E112)</f>
        <v>0</v>
      </c>
      <c r="I112" s="1" t="str">
        <f>IFERROR(VLOOKUP(C112,'Clients List'!A:F,6,FALSE),"")</f>
        <v/>
      </c>
    </row>
    <row r="113" spans="4:9" x14ac:dyDescent="0.45">
      <c r="D113" t="str">
        <f>IFERROR(VLOOKUP(C113,'Clients List'!$A:$F,2,FALSE),"")</f>
        <v/>
      </c>
      <c r="F113" s="1" t="str">
        <f>IF(OR(C113="",NOT(ISNUMBER(SEARCH("Package",D113)))),"",VLOOKUP(C113,'Clients List'!$A:$F,4,FALSE)-SUMIFS($E$2:$E113,$C$2:$C113,C113,$D$2:$D113,"*Package*"))</f>
        <v/>
      </c>
      <c r="G113" t="str">
        <f t="shared" si="3"/>
        <v/>
      </c>
      <c r="H113" s="33">
        <f>IF(ISNUMBER(SEARCH("Group",D113)),IF(G113="",E113,IFERROR(E113/COUNTIF($G2:$G6000,G113),E113)),E113)</f>
        <v>0</v>
      </c>
      <c r="I113" s="1" t="str">
        <f>IFERROR(VLOOKUP(C113,'Clients List'!A:F,6,FALSE),"")</f>
        <v/>
      </c>
    </row>
    <row r="114" spans="4:9" x14ac:dyDescent="0.45">
      <c r="D114" t="str">
        <f>IFERROR(VLOOKUP(C114,'Clients List'!$A:$F,2,FALSE),"")</f>
        <v/>
      </c>
      <c r="F114" s="1" t="str">
        <f>IF(OR(C114="",NOT(ISNUMBER(SEARCH("Package",D114)))),"",VLOOKUP(C114,'Clients List'!$A:$F,4,FALSE)-SUMIFS($E$2:$E114,$C$2:$C114,C114,$D$2:$D114,"*Package*"))</f>
        <v/>
      </c>
      <c r="G114" t="str">
        <f t="shared" si="3"/>
        <v/>
      </c>
      <c r="H114" s="33">
        <f>IF(ISNUMBER(SEARCH("Group",D114)),IF(G114="",E114,IFERROR(E114/COUNTIF($G2:$G6000,G114),E114)),E114)</f>
        <v>0</v>
      </c>
      <c r="I114" s="1" t="str">
        <f>IFERROR(VLOOKUP(C114,'Clients List'!A:F,6,FALSE),"")</f>
        <v/>
      </c>
    </row>
    <row r="115" spans="4:9" x14ac:dyDescent="0.45">
      <c r="D115" t="str">
        <f>IFERROR(VLOOKUP(C115,'Clients List'!$A:$F,2,FALSE),"")</f>
        <v/>
      </c>
      <c r="F115" s="1" t="str">
        <f>IF(OR(C115="",NOT(ISNUMBER(SEARCH("Package",D115)))),"",VLOOKUP(C115,'Clients List'!$A:$F,4,FALSE)-SUMIFS($E$2:$E115,$C$2:$C115,C115,$D$2:$D115,"*Package*"))</f>
        <v/>
      </c>
      <c r="G115" t="str">
        <f t="shared" si="3"/>
        <v/>
      </c>
      <c r="H115" s="33">
        <f>IF(ISNUMBER(SEARCH("Group",D115)),IF(G115="",E115,IFERROR(E115/COUNTIF($G2:$G6000,G115),E115)),E115)</f>
        <v>0</v>
      </c>
      <c r="I115" s="1" t="str">
        <f>IFERROR(VLOOKUP(C115,'Clients List'!A:F,6,FALSE),"")</f>
        <v/>
      </c>
    </row>
    <row r="116" spans="4:9" x14ac:dyDescent="0.45">
      <c r="D116" t="str">
        <f>IFERROR(VLOOKUP(C116,'Clients List'!$A:$F,2,FALSE),"")</f>
        <v/>
      </c>
      <c r="F116" s="1" t="str">
        <f>IF(OR(C116="",NOT(ISNUMBER(SEARCH("Package",D116)))),"",VLOOKUP(C116,'Clients List'!$A:$F,4,FALSE)-SUMIFS($E$2:$E116,$C$2:$C116,C116,$D$2:$D116,"*Package*"))</f>
        <v/>
      </c>
      <c r="G116" t="str">
        <f t="shared" si="3"/>
        <v/>
      </c>
      <c r="H116" s="33">
        <f>IF(ISNUMBER(SEARCH("Group",D116)),IF(G116="",E116,IFERROR(E116/COUNTIF($G2:$G6000,G116),E116)),E116)</f>
        <v>0</v>
      </c>
      <c r="I116" s="1" t="str">
        <f>IFERROR(VLOOKUP(C116,'Clients List'!A:F,6,FALSE),"")</f>
        <v/>
      </c>
    </row>
    <row r="117" spans="4:9" x14ac:dyDescent="0.45">
      <c r="D117" t="str">
        <f>IFERROR(VLOOKUP(C117,'Clients List'!$A:$F,2,FALSE),"")</f>
        <v/>
      </c>
      <c r="F117" s="1" t="str">
        <f>IF(OR(C117="",NOT(ISNUMBER(SEARCH("Package",D117)))),"",VLOOKUP(C117,'Clients List'!$A:$F,4,FALSE)-SUMIFS($E$2:$E117,$C$2:$C117,C117,$D$2:$D117,"*Package*"))</f>
        <v/>
      </c>
      <c r="G117" t="str">
        <f t="shared" si="3"/>
        <v/>
      </c>
      <c r="H117" s="33">
        <f>IF(ISNUMBER(SEARCH("Group",D117)),IF(G117="",E117,IFERROR(E117/COUNTIF($G2:$G6000,G117),E117)),E117)</f>
        <v>0</v>
      </c>
      <c r="I117" s="1" t="str">
        <f>IFERROR(VLOOKUP(C117,'Clients List'!A:F,6,FALSE),"")</f>
        <v/>
      </c>
    </row>
    <row r="118" spans="4:9" x14ac:dyDescent="0.45">
      <c r="D118" t="str">
        <f>IFERROR(VLOOKUP(C118,'Clients List'!$A:$F,2,FALSE),"")</f>
        <v/>
      </c>
      <c r="F118" s="1" t="str">
        <f>IF(OR(C118="",NOT(ISNUMBER(SEARCH("Package",D118)))),"",VLOOKUP(C118,'Clients List'!$A:$F,4,FALSE)-SUMIFS($E$2:$E118,$C$2:$C118,C118,$D$2:$D118,"*Package*"))</f>
        <v/>
      </c>
      <c r="G118" t="str">
        <f t="shared" si="3"/>
        <v/>
      </c>
      <c r="H118" s="33">
        <f>IF(ISNUMBER(SEARCH("Group",D118)),IF(G118="",E118,IFERROR(E118/COUNTIF($G2:$G6000,G118),E118)),E118)</f>
        <v>0</v>
      </c>
      <c r="I118" s="1" t="str">
        <f>IFERROR(VLOOKUP(C118,'Clients List'!A:F,6,FALSE),"")</f>
        <v/>
      </c>
    </row>
    <row r="119" spans="4:9" x14ac:dyDescent="0.45">
      <c r="D119" t="str">
        <f>IFERROR(VLOOKUP(C119,'Clients List'!$A:$F,2,FALSE),"")</f>
        <v/>
      </c>
      <c r="F119" s="1" t="str">
        <f>IF(OR(C119="",NOT(ISNUMBER(SEARCH("Package",D119)))),"",VLOOKUP(C119,'Clients List'!$A:$F,4,FALSE)-SUMIFS($E$2:$E119,$C$2:$C119,C119,$D$2:$D119,"*Package*"))</f>
        <v/>
      </c>
      <c r="G119" t="str">
        <f t="shared" si="3"/>
        <v/>
      </c>
      <c r="H119" s="33">
        <f>IF(ISNUMBER(SEARCH("Group",D119)),IF(G119="",E119,IFERROR(E119/COUNTIF($G2:$G6000,G119),E119)),E119)</f>
        <v>0</v>
      </c>
      <c r="I119" s="1" t="str">
        <f>IFERROR(VLOOKUP(C119,'Clients List'!A:F,6,FALSE),"")</f>
        <v/>
      </c>
    </row>
    <row r="120" spans="4:9" x14ac:dyDescent="0.45">
      <c r="D120" t="str">
        <f>IFERROR(VLOOKUP(C120,'Clients List'!$A:$F,2,FALSE),"")</f>
        <v/>
      </c>
      <c r="F120" s="1" t="str">
        <f>IF(OR(C120="",NOT(ISNUMBER(SEARCH("Package",D120)))),"",VLOOKUP(C120,'Clients List'!$A:$F,4,FALSE)-SUMIFS($E$2:$E120,$C$2:$C120,C120,$D$2:$D120,"*Package*"))</f>
        <v/>
      </c>
      <c r="G120" t="str">
        <f t="shared" si="3"/>
        <v/>
      </c>
      <c r="H120" s="33">
        <f>IF(ISNUMBER(SEARCH("Group",D120)),IF(G120="",E120,IFERROR(E120/COUNTIF($G2:$G6000,G120),E120)),E120)</f>
        <v>0</v>
      </c>
      <c r="I120" s="1" t="str">
        <f>IFERROR(VLOOKUP(C120,'Clients List'!A:F,6,FALSE),"")</f>
        <v/>
      </c>
    </row>
    <row r="121" spans="4:9" x14ac:dyDescent="0.45">
      <c r="D121" t="str">
        <f>IFERROR(VLOOKUP(C121,'Clients List'!$A:$F,2,FALSE),"")</f>
        <v/>
      </c>
      <c r="F121" s="1" t="str">
        <f>IF(OR(C121="",NOT(ISNUMBER(SEARCH("Package",D121)))),"",VLOOKUP(C121,'Clients List'!$A:$F,4,FALSE)-SUMIFS($E$2:$E121,$C$2:$C121,C121,$D$2:$D121,"*Package*"))</f>
        <v/>
      </c>
      <c r="G121" t="str">
        <f t="shared" si="3"/>
        <v/>
      </c>
      <c r="H121" s="33">
        <f>IF(ISNUMBER(SEARCH("Group",D121)),IF(G121="",E121,IFERROR(E121/COUNTIF($G2:$G6000,G121),E121)),E121)</f>
        <v>0</v>
      </c>
      <c r="I121" s="1" t="str">
        <f>IFERROR(VLOOKUP(C121,'Clients List'!A:F,6,FALSE),"")</f>
        <v/>
      </c>
    </row>
    <row r="122" spans="4:9" x14ac:dyDescent="0.45">
      <c r="D122" t="str">
        <f>IFERROR(VLOOKUP(C122,'Clients List'!$A:$F,2,FALSE),"")</f>
        <v/>
      </c>
      <c r="F122" s="1" t="str">
        <f>IF(OR(C122="",NOT(ISNUMBER(SEARCH("Package",D122)))),"",VLOOKUP(C122,'Clients List'!$A:$F,4,FALSE)-SUMIFS($E$2:$E122,$C$2:$C122,C122,$D$2:$D122,"*Package*"))</f>
        <v/>
      </c>
      <c r="G122" t="str">
        <f t="shared" si="3"/>
        <v/>
      </c>
      <c r="H122" s="33">
        <f>IF(ISNUMBER(SEARCH("Group",D122)),IF(G122="",E122,IFERROR(E122/COUNTIF($G2:$G6000,G122),E122)),E122)</f>
        <v>0</v>
      </c>
      <c r="I122" s="1" t="str">
        <f>IFERROR(VLOOKUP(C122,'Clients List'!A:F,6,FALSE),"")</f>
        <v/>
      </c>
    </row>
    <row r="123" spans="4:9" x14ac:dyDescent="0.45">
      <c r="D123" t="str">
        <f>IFERROR(VLOOKUP(C123,'Clients List'!$A:$F,2,FALSE),"")</f>
        <v/>
      </c>
      <c r="F123" s="1" t="str">
        <f>IF(OR(C123="",NOT(ISNUMBER(SEARCH("Package",D123)))),"",VLOOKUP(C123,'Clients List'!$A:$F,4,FALSE)-SUMIFS($E$2:$E123,$C$2:$C123,C123,$D$2:$D123,"*Package*"))</f>
        <v/>
      </c>
      <c r="G123" t="str">
        <f t="shared" si="3"/>
        <v/>
      </c>
      <c r="H123" s="33">
        <f>IF(ISNUMBER(SEARCH("Group",D123)),IF(G123="",E123,IFERROR(E123/COUNTIF($G2:$G6000,G123),E123)),E123)</f>
        <v>0</v>
      </c>
      <c r="I123" s="1" t="str">
        <f>IFERROR(VLOOKUP(C123,'Clients List'!A:F,6,FALSE),"")</f>
        <v/>
      </c>
    </row>
    <row r="124" spans="4:9" x14ac:dyDescent="0.45">
      <c r="D124" t="str">
        <f>IFERROR(VLOOKUP(C124,'Clients List'!$A:$F,2,FALSE),"")</f>
        <v/>
      </c>
      <c r="F124" s="1" t="str">
        <f>IF(OR(C124="",NOT(ISNUMBER(SEARCH("Package",D124)))),"",VLOOKUP(C124,'Clients List'!$A:$F,4,FALSE)-SUMIFS($E$2:$E124,$C$2:$C124,C124,$D$2:$D124,"*Package*"))</f>
        <v/>
      </c>
      <c r="G124" t="str">
        <f t="shared" si="3"/>
        <v/>
      </c>
      <c r="H124" s="33">
        <f>IF(ISNUMBER(SEARCH("Group",D124)),IF(G124="",E124,IFERROR(E124/COUNTIF($G2:$G6000,G124),E124)),E124)</f>
        <v>0</v>
      </c>
      <c r="I124" s="1" t="str">
        <f>IFERROR(VLOOKUP(C124,'Clients List'!A:F,6,FALSE),"")</f>
        <v/>
      </c>
    </row>
    <row r="125" spans="4:9" x14ac:dyDescent="0.45">
      <c r="D125" t="str">
        <f>IFERROR(VLOOKUP(C125,'Clients List'!$A:$F,2,FALSE),"")</f>
        <v/>
      </c>
      <c r="F125" s="1" t="str">
        <f>IF(OR(C125="",NOT(ISNUMBER(SEARCH("Package",D125)))),"",VLOOKUP(C125,'Clients List'!$A:$F,4,FALSE)-SUMIFS($E$2:$E125,$C$2:$C125,C125,$D$2:$D125,"*Package*"))</f>
        <v/>
      </c>
      <c r="G125" t="str">
        <f t="shared" si="3"/>
        <v/>
      </c>
      <c r="H125" s="33">
        <f>IF(ISNUMBER(SEARCH("Group",D125)),IF(G125="",E125,IFERROR(E125/COUNTIF($G2:$G6000,G125),E125)),E125)</f>
        <v>0</v>
      </c>
      <c r="I125" s="1" t="str">
        <f>IFERROR(VLOOKUP(C125,'Clients List'!A:F,6,FALSE),"")</f>
        <v/>
      </c>
    </row>
    <row r="126" spans="4:9" x14ac:dyDescent="0.45">
      <c r="D126" t="str">
        <f>IFERROR(VLOOKUP(C126,'Clients List'!$A:$F,2,FALSE),"")</f>
        <v/>
      </c>
      <c r="F126" s="1" t="str">
        <f>IF(OR(C126="",NOT(ISNUMBER(SEARCH("Package",D126)))),"",VLOOKUP(C126,'Clients List'!$A:$F,4,FALSE)-SUMIFS($E$2:$E126,$C$2:$C126,C126,$D$2:$D126,"*Package*"))</f>
        <v/>
      </c>
      <c r="G126" t="str">
        <f t="shared" si="3"/>
        <v/>
      </c>
      <c r="H126" s="33">
        <f>IF(ISNUMBER(SEARCH("Group",D126)),IF(G126="",E126,IFERROR(E126/COUNTIF($G2:$G6000,G126),E126)),E126)</f>
        <v>0</v>
      </c>
      <c r="I126" s="1" t="str">
        <f>IFERROR(VLOOKUP(C126,'Clients List'!A:F,6,FALSE),"")</f>
        <v/>
      </c>
    </row>
    <row r="127" spans="4:9" x14ac:dyDescent="0.45">
      <c r="D127" t="str">
        <f>IFERROR(VLOOKUP(C127,'Clients List'!$A:$F,2,FALSE),"")</f>
        <v/>
      </c>
      <c r="F127" s="1" t="str">
        <f>IF(OR(C127="",NOT(ISNUMBER(SEARCH("Package",D127)))),"",VLOOKUP(C127,'Clients List'!$A:$F,4,FALSE)-SUMIFS($E$2:$E127,$C$2:$C127,C127,$D$2:$D127,"*Package*"))</f>
        <v/>
      </c>
      <c r="G127" t="str">
        <f t="shared" si="3"/>
        <v/>
      </c>
      <c r="H127" s="33">
        <f>IF(ISNUMBER(SEARCH("Group",D127)),IF(G127="",E127,IFERROR(E127/COUNTIF($G2:$G6000,G127),E127)),E127)</f>
        <v>0</v>
      </c>
      <c r="I127" s="1" t="str">
        <f>IFERROR(VLOOKUP(C127,'Clients List'!A:F,6,FALSE),"")</f>
        <v/>
      </c>
    </row>
    <row r="128" spans="4:9" x14ac:dyDescent="0.45">
      <c r="D128" t="str">
        <f>IFERROR(VLOOKUP(C128,'Clients List'!$A:$F,2,FALSE),"")</f>
        <v/>
      </c>
      <c r="F128" s="1" t="str">
        <f>IF(OR(C128="",NOT(ISNUMBER(SEARCH("Package",D128)))),"",VLOOKUP(C128,'Clients List'!$A:$F,4,FALSE)-SUMIFS($E$2:$E128,$C$2:$C128,C128,$D$2:$D128,"*Package*"))</f>
        <v/>
      </c>
      <c r="G128" t="str">
        <f t="shared" si="3"/>
        <v/>
      </c>
      <c r="H128" s="33">
        <f>IF(ISNUMBER(SEARCH("Group",D128)),IF(G128="",E128,IFERROR(E128/COUNTIF($G2:$G6000,G128),E128)),E128)</f>
        <v>0</v>
      </c>
      <c r="I128" s="1" t="str">
        <f>IFERROR(VLOOKUP(C128,'Clients List'!A:F,6,FALSE),"")</f>
        <v/>
      </c>
    </row>
    <row r="129" spans="1:9" x14ac:dyDescent="0.45">
      <c r="D129" t="str">
        <f>IFERROR(VLOOKUP(C129,'Clients List'!$A:$F,2,FALSE),"")</f>
        <v/>
      </c>
      <c r="F129" s="1" t="str">
        <f>IF(OR(C129="",NOT(ISNUMBER(SEARCH("Package",D129)))),"",VLOOKUP(C129,'Clients List'!$A:$F,4,FALSE)-SUMIFS($E$2:$E129,$C$2:$C129,C129,$D$2:$D129,"*Package*"))</f>
        <v/>
      </c>
      <c r="G129" t="str">
        <f t="shared" si="3"/>
        <v/>
      </c>
      <c r="H129" s="33">
        <f>IF(ISNUMBER(SEARCH("Group",D129)),IF(G129="",E129,IFERROR(E129/COUNTIF($G2:$G6000,G129),E129)),E129)</f>
        <v>0</v>
      </c>
      <c r="I129" s="1" t="str">
        <f>IFERROR(VLOOKUP(C129,'Clients List'!A:F,6,FALSE),"")</f>
        <v/>
      </c>
    </row>
    <row r="130" spans="1:9" x14ac:dyDescent="0.45">
      <c r="D130" t="str">
        <f>IFERROR(VLOOKUP(C130,'Clients List'!$A:$F,2,FALSE),"")</f>
        <v/>
      </c>
      <c r="F130" s="1" t="str">
        <f>IF(OR(C130="",NOT(ISNUMBER(SEARCH("Package",D130)))),"",VLOOKUP(C130,'Clients List'!$A:$F,4,FALSE)-SUMIFS($E$2:$E130,$C$2:$C130,C130,$D$2:$D130,"*Package*"))</f>
        <v/>
      </c>
      <c r="G130" t="str">
        <f t="shared" ref="G130:G142" si="4">IF(ISNUMBER(SEARCH("Group",D130)),IFERROR("GRP-"&amp;TEXT(IF(ISNUMBER(A130),A130,DATEVALUE(A130)),"yyyymmdd"),""),"" )</f>
        <v/>
      </c>
      <c r="H130" s="33">
        <f>IF(ISNUMBER(SEARCH("Group",D130)),IF(G130="",E130,IFERROR(E130/COUNTIF($G2:$G6000,G130),E130)),E130)</f>
        <v>0</v>
      </c>
      <c r="I130" s="1" t="str">
        <f>IFERROR(VLOOKUP(C130,'Clients List'!A:F,6,FALSE),"")</f>
        <v/>
      </c>
    </row>
    <row r="131" spans="1:9" x14ac:dyDescent="0.45">
      <c r="D131" t="str">
        <f>IFERROR(VLOOKUP(C131,'Clients List'!$A:$F,2,FALSE),"")</f>
        <v/>
      </c>
      <c r="F131" s="1" t="str">
        <f>IF(OR(C131="",NOT(ISNUMBER(SEARCH("Package",D131)))),"",VLOOKUP(C131,'Clients List'!$A:$F,4,FALSE)-SUMIFS($E$2:$E131,$C$2:$C131,C131,$D$2:$D131,"*Package*"))</f>
        <v/>
      </c>
      <c r="G131" t="str">
        <f t="shared" si="4"/>
        <v/>
      </c>
      <c r="H131" s="33">
        <f>IF(ISNUMBER(SEARCH("Group",D131)),IF(G131="",E131,IFERROR(E131/COUNTIF($G2:$G6000,G131),E131)),E131)</f>
        <v>0</v>
      </c>
      <c r="I131" s="1" t="str">
        <f>IFERROR(VLOOKUP(C131,'Clients List'!A:F,6,FALSE),"")</f>
        <v/>
      </c>
    </row>
    <row r="132" spans="1:9" x14ac:dyDescent="0.45">
      <c r="D132" t="str">
        <f>IFERROR(VLOOKUP(C132,'Clients List'!$A:$F,2,FALSE),"")</f>
        <v/>
      </c>
      <c r="F132" s="1" t="str">
        <f>IF(OR(C132="",NOT(ISNUMBER(SEARCH("Package",D132)))),"",VLOOKUP(C132,'Clients List'!$A:$F,4,FALSE)-SUMIFS($E$2:$E132,$C$2:$C132,C132,$D$2:$D132,"*Package*"))</f>
        <v/>
      </c>
      <c r="G132" t="str">
        <f t="shared" si="4"/>
        <v/>
      </c>
      <c r="H132" s="33">
        <f>IF(ISNUMBER(SEARCH("Group",D132)),IF(G132="",E132,IFERROR(E132/COUNTIF($G2:$G6000,G132),E132)),E132)</f>
        <v>0</v>
      </c>
      <c r="I132" s="1" t="str">
        <f>IFERROR(VLOOKUP(C132,'Clients List'!A:F,6,FALSE),"")</f>
        <v/>
      </c>
    </row>
    <row r="133" spans="1:9" x14ac:dyDescent="0.45">
      <c r="D133" t="str">
        <f>IFERROR(VLOOKUP(C133,'Clients List'!$A:$F,2,FALSE),"")</f>
        <v/>
      </c>
      <c r="F133" s="1" t="str">
        <f>IF(OR(C133="",NOT(ISNUMBER(SEARCH("Package",D133)))),"",VLOOKUP(C133,'Clients List'!$A:$F,4,FALSE)-SUMIFS($E$2:$E133,$C$2:$C133,C133,$D$2:$D133,"*Package*"))</f>
        <v/>
      </c>
      <c r="G133" t="str">
        <f t="shared" si="4"/>
        <v/>
      </c>
      <c r="H133" s="33">
        <f>IF(ISNUMBER(SEARCH("Group",D133)),IF(G133="",E133,IFERROR(E133/COUNTIF($G2:$G6000,G133),E133)),E133)</f>
        <v>0</v>
      </c>
      <c r="I133" s="1" t="str">
        <f>IFERROR(VLOOKUP(C133,'Clients List'!A:F,6,FALSE),"")</f>
        <v/>
      </c>
    </row>
    <row r="134" spans="1:9" x14ac:dyDescent="0.45">
      <c r="D134" t="str">
        <f>IFERROR(VLOOKUP(C134,'Clients List'!$A:$F,2,FALSE),"")</f>
        <v/>
      </c>
      <c r="F134" s="1" t="str">
        <f>IF(OR(C134="",NOT(ISNUMBER(SEARCH("Package",D134)))),"",VLOOKUP(C134,'Clients List'!$A:$F,4,FALSE)-SUMIFS($E$2:$E134,$C$2:$C134,C134,$D$2:$D134,"*Package*"))</f>
        <v/>
      </c>
      <c r="G134" t="str">
        <f t="shared" si="4"/>
        <v/>
      </c>
      <c r="H134" s="33">
        <f>IF(ISNUMBER(SEARCH("Group",D134)),IF(G134="",E134,IFERROR(E134/COUNTIF($G2:$G6000,G134),E134)),E134)</f>
        <v>0</v>
      </c>
      <c r="I134" s="1" t="str">
        <f>IFERROR(VLOOKUP(C134,'Clients List'!A:F,6,FALSE),"")</f>
        <v/>
      </c>
    </row>
    <row r="135" spans="1:9" x14ac:dyDescent="0.45">
      <c r="D135" t="str">
        <f>IFERROR(VLOOKUP(C135,'Clients List'!$A:$F,2,FALSE),"")</f>
        <v/>
      </c>
      <c r="F135" s="1" t="str">
        <f>IF(OR(C135="",NOT(ISNUMBER(SEARCH("Package",D135)))),"",VLOOKUP(C135,'Clients List'!$A:$F,4,FALSE)-SUMIFS($E$2:$E135,$C$2:$C135,C135,$D$2:$D135,"*Package*"))</f>
        <v/>
      </c>
      <c r="G135" t="str">
        <f t="shared" si="4"/>
        <v/>
      </c>
      <c r="H135" s="33">
        <f>IF(ISNUMBER(SEARCH("Group",D135)),IF(G135="",E135,IFERROR(E135/COUNTIF($G2:$G6000,G135),E135)),E135)</f>
        <v>0</v>
      </c>
      <c r="I135" s="1" t="str">
        <f>IFERROR(VLOOKUP(C135,'Clients List'!A:F,6,FALSE),"")</f>
        <v/>
      </c>
    </row>
    <row r="136" spans="1:9" x14ac:dyDescent="0.45">
      <c r="D136" t="str">
        <f>IFERROR(VLOOKUP(C136,'Clients List'!$A:$F,2,FALSE),"")</f>
        <v/>
      </c>
      <c r="F136" s="1" t="str">
        <f>IF(OR(C136="",NOT(ISNUMBER(SEARCH("Package",D136)))),"",VLOOKUP(C136,'Clients List'!$A:$F,4,FALSE)-SUMIFS($E$2:$E136,$C$2:$C136,C136,$D$2:$D136,"*Package*"))</f>
        <v/>
      </c>
      <c r="G136" t="str">
        <f t="shared" si="4"/>
        <v/>
      </c>
      <c r="H136" s="33">
        <f>IF(ISNUMBER(SEARCH("Group",D136)),IF(G136="",E136,IFERROR(E136/COUNTIF($G2:$G6000,G136),E136)),E136)</f>
        <v>0</v>
      </c>
      <c r="I136" s="1" t="str">
        <f>IFERROR(VLOOKUP(C136,'Clients List'!A:F,6,FALSE),"")</f>
        <v/>
      </c>
    </row>
    <row r="137" spans="1:9" x14ac:dyDescent="0.45">
      <c r="D137" t="str">
        <f>IFERROR(VLOOKUP(C137,'Clients List'!$A:$F,2,FALSE),"")</f>
        <v/>
      </c>
      <c r="F137" s="1" t="str">
        <f>IF(OR(C137="",NOT(ISNUMBER(SEARCH("Package",D137)))),"",VLOOKUP(C137,'Clients List'!$A:$F,4,FALSE)-SUMIFS($E$2:$E137,$C$2:$C137,C137,$D$2:$D137,"*Package*"))</f>
        <v/>
      </c>
      <c r="G137" t="str">
        <f t="shared" si="4"/>
        <v/>
      </c>
      <c r="H137" s="33">
        <f>IF(ISNUMBER(SEARCH("Group",D137)),IF(G137="",E137,IFERROR(E137/COUNTIF($G2:$G6000,G137),E137)),E137)</f>
        <v>0</v>
      </c>
      <c r="I137" s="1" t="str">
        <f>IFERROR(VLOOKUP(C137,'Clients List'!A:F,6,FALSE),"")</f>
        <v/>
      </c>
    </row>
    <row r="138" spans="1:9" x14ac:dyDescent="0.45">
      <c r="D138" t="str">
        <f>IFERROR(VLOOKUP(C138,'Clients List'!$A:$F,2,FALSE),"")</f>
        <v/>
      </c>
      <c r="F138" s="1" t="str">
        <f>IF(OR(C138="",NOT(ISNUMBER(SEARCH("Package",D138)))),"",VLOOKUP(C138,'Clients List'!$A:$F,4,FALSE)-SUMIFS($E$2:$E138,$C$2:$C138,C138,$D$2:$D138,"*Package*"))</f>
        <v/>
      </c>
      <c r="G138" t="str">
        <f t="shared" si="4"/>
        <v/>
      </c>
      <c r="H138" s="33">
        <f>IF(ISNUMBER(SEARCH("Group",D138)),IF(G138="",E138,IFERROR(E138/COUNTIF($G2:$G6000,G138),E138)),E138)</f>
        <v>0</v>
      </c>
      <c r="I138" s="1" t="str">
        <f>IFERROR(VLOOKUP(C138,'Clients List'!A:F,6,FALSE),"")</f>
        <v/>
      </c>
    </row>
    <row r="139" spans="1:9" x14ac:dyDescent="0.45">
      <c r="D139" t="str">
        <f>IFERROR(VLOOKUP(C139,'Clients List'!$A:$F,2,FALSE),"")</f>
        <v/>
      </c>
      <c r="F139" s="1" t="str">
        <f>IF(OR(C139="",NOT(ISNUMBER(SEARCH("Package",D139)))),"",VLOOKUP(C139,'Clients List'!$A:$F,4,FALSE)-SUMIFS($E$2:$E139,$C$2:$C139,C139,$D$2:$D139,"*Package*"))</f>
        <v/>
      </c>
      <c r="G139" t="str">
        <f t="shared" si="4"/>
        <v/>
      </c>
      <c r="H139" s="33">
        <f>IF(ISNUMBER(SEARCH("Group",D139)),IF(G139="",E139,IFERROR(E139/COUNTIF($G2:$G6000,G139),E139)),E139)</f>
        <v>0</v>
      </c>
      <c r="I139" s="1" t="str">
        <f>IFERROR(VLOOKUP(C139,'Clients List'!A:F,6,FALSE),"")</f>
        <v/>
      </c>
    </row>
    <row r="140" spans="1:9" x14ac:dyDescent="0.45">
      <c r="D140" t="str">
        <f>IFERROR(VLOOKUP(C140,'Clients List'!$A:$F,2,FALSE),"")</f>
        <v/>
      </c>
      <c r="F140" s="1" t="str">
        <f>IF(OR(C140="",NOT(ISNUMBER(SEARCH("Package",D140)))),"",VLOOKUP(C140,'Clients List'!$A:$F,4,FALSE)-SUMIFS($E$2:$E140,$C$2:$C140,C140,$D$2:$D140,"*Package*"))</f>
        <v/>
      </c>
      <c r="G140" t="str">
        <f t="shared" si="4"/>
        <v/>
      </c>
      <c r="H140" s="33">
        <f>IF(ISNUMBER(SEARCH("Group",D140)),IF(G140="",E140,IFERROR(E140/COUNTIF($G2:$G6000,G140),E140)),E140)</f>
        <v>0</v>
      </c>
      <c r="I140" s="1" t="str">
        <f>IFERROR(VLOOKUP(C140,'Clients List'!A:F,6,FALSE),"")</f>
        <v/>
      </c>
    </row>
    <row r="141" spans="1:9" x14ac:dyDescent="0.45">
      <c r="D141" t="str">
        <f>IFERROR(VLOOKUP(C141,'Clients List'!$A:$F,2,FALSE),"")</f>
        <v/>
      </c>
      <c r="F141" s="1" t="str">
        <f>IF(OR(C141="",NOT(ISNUMBER(SEARCH("Package",D141)))),"",VLOOKUP(C141,'Clients List'!$A:$F,4,FALSE)-SUMIFS($E$2:$E141,$C$2:$C141,C141,$D$2:$D141,"*Package*"))</f>
        <v/>
      </c>
      <c r="G141" t="str">
        <f t="shared" si="4"/>
        <v/>
      </c>
      <c r="H141" s="33">
        <f>IF(ISNUMBER(SEARCH("Group",D141)),IF(G141="",E141,IFERROR(E141/COUNTIF($G2:$G6000,G141),E141)),E141)</f>
        <v>0</v>
      </c>
      <c r="I141" s="1" t="str">
        <f>IFERROR(VLOOKUP(C141,'Clients List'!A:F,6,FALSE),"")</f>
        <v/>
      </c>
    </row>
    <row r="142" spans="1:9" x14ac:dyDescent="0.45">
      <c r="D142" t="str">
        <f>IFERROR(VLOOKUP(C142,'Clients List'!$A:$F,2,FALSE),"")</f>
        <v/>
      </c>
      <c r="F142" s="1" t="str">
        <f>IF(OR(C142="",NOT(ISNUMBER(SEARCH("Package",D142)))),"",VLOOKUP(C142,'Clients List'!$A:$F,4,FALSE)-SUMIFS($E$2:$E142,$C$2:$C142,C142,$D$2:$D142,"*Package*"))</f>
        <v/>
      </c>
      <c r="G142" t="str">
        <f t="shared" si="4"/>
        <v/>
      </c>
      <c r="H142" s="33">
        <f>IF(ISNUMBER(SEARCH("Group",D142)),IF(G142="",E142,IFERROR(E142/COUNTIF($G2:$G6000,G142),E142)),E142)</f>
        <v>0</v>
      </c>
      <c r="I142" s="1" t="str">
        <f>IFERROR(VLOOKUP(C142,'Clients List'!A:F,6,FALSE),"")</f>
        <v/>
      </c>
    </row>
    <row r="143" spans="1:9" x14ac:dyDescent="0.45">
      <c r="A143" s="44"/>
      <c r="B143" s="45"/>
      <c r="C143" s="45"/>
      <c r="D143" s="46" t="str">
        <f>IFERROR(VLOOKUP(C143,'Clients List'!$A:$F,2,FALSE),"")</f>
        <v/>
      </c>
      <c r="E143" s="47">
        <f>SUM(E2:E142)</f>
        <v>0</v>
      </c>
      <c r="F143" s="1" t="str">
        <f>IF(OR(C143="",NOT(ISNUMBER(SEARCH("Package",D143)))),"",VLOOKUP(C143,'Clients List'!$A:$F,4,FALSE)-SUMIFS($E$2:$E143,$C$2:$C143,C143,$D$2:$D143,"*Package*"))</f>
        <v/>
      </c>
      <c r="H143" s="48">
        <f>SUM(H2:H142)</f>
        <v>0</v>
      </c>
      <c r="I143" s="11" t="str">
        <f>IFERROR(VLOOKUP(C143,'Clients List'!A:F,6,FALSE),"")</f>
        <v/>
      </c>
    </row>
    <row r="144" spans="1:9" x14ac:dyDescent="0.45">
      <c r="D144" t="str">
        <f>IFERROR(VLOOKUP(C144,'Clients List'!$A:$F,2,FALSE),"")</f>
        <v/>
      </c>
      <c r="F144" s="1" t="str">
        <f>IF(OR(C144="",NOT(ISNUMBER(SEARCH("Package",D144)))),"",VLOOKUP(C144,'Clients List'!$A:$F,4,FALSE)-SUMIFS($E$2:$E144,$C$2:$C144,C144,$D$2:$D144,"*Package*"))</f>
        <v/>
      </c>
      <c r="G144" t="str">
        <f>IF(ISNUMBER(SEARCH("Group",D144)),IFERROR("GRP-"&amp;TEXT(IF(ISNUMBER(A144),A144,DATEVALUE(A144)),"yyyymmdd"),""),"" )</f>
        <v/>
      </c>
      <c r="H144" s="33">
        <f>IF(ISNUMBER(SEARCH("Group",D144)),IF(G144="",E144,IFERROR(E144/COUNTIF($G2:$G6000,G144),E144)),E144)</f>
        <v>0</v>
      </c>
      <c r="I144" s="1" t="str">
        <f>IFERROR(VLOOKUP(C144,'Clients List'!A:F,6,FALSE),"")</f>
        <v/>
      </c>
    </row>
    <row r="145" spans="1:9" x14ac:dyDescent="0.45">
      <c r="A145" s="34" t="s">
        <v>16</v>
      </c>
      <c r="B145" s="35"/>
      <c r="C145" s="35"/>
      <c r="D145" s="36" t="str">
        <f>IFERROR(VLOOKUP(C145,'Clients List'!$A:$F,2,FALSE),"")</f>
        <v/>
      </c>
      <c r="E145" s="37"/>
      <c r="F145" s="38" t="str">
        <f>IF(OR(C145="",NOT(ISNUMBER(SEARCH("Package",D145)))),"",VLOOKUP(C145,'Clients List'!$A:$F,4,FALSE)-SUMIFS($E$2:$E145,$C$2:$C145,C145,$D$2:$D145,"*Package*"))</f>
        <v/>
      </c>
      <c r="G145" s="38"/>
      <c r="H145" s="39"/>
      <c r="I145" s="38" t="str">
        <f>IFERROR(VLOOKUP(C145,'Clients List'!A:F,6,FALSE),"")</f>
        <v/>
      </c>
    </row>
    <row r="146" spans="1:9" x14ac:dyDescent="0.45">
      <c r="A146" s="7"/>
      <c r="D146" t="str">
        <f>IFERROR(VLOOKUP(C146,'Clients List'!$A:$F,2,FALSE),"")</f>
        <v/>
      </c>
      <c r="F146" s="1" t="str">
        <f>IF(OR(C146="",NOT(ISNUMBER(SEARCH("Package",D146)))),"",VLOOKUP(C146,'Clients List'!$A:$F,4,FALSE)-SUMIFS($E$2:$E146,$C$2:$C146,C146,$D$2:$D146,"*Package*"))</f>
        <v/>
      </c>
      <c r="G146" t="str">
        <f t="shared" ref="G146:G177" si="5">IF(ISNUMBER(SEARCH("Group",D146)),IFERROR("GRP-"&amp;TEXT(IF(ISNUMBER(A146),A146,DATEVALUE(A146)),"yyyymmdd"),""),"" )</f>
        <v/>
      </c>
      <c r="H146" s="33">
        <f>IF(ISNUMBER(SEARCH("Group",D146)),IF(G146="",E146,IFERROR(E146/COUNTIF($G2:$G6000,G146),E146)),E146)</f>
        <v>0</v>
      </c>
      <c r="I146" s="1" t="str">
        <f>IFERROR(VLOOKUP(C146,'Clients List'!A:F,6,FALSE),"")</f>
        <v/>
      </c>
    </row>
    <row r="147" spans="1:9" x14ac:dyDescent="0.45">
      <c r="A147" s="7"/>
      <c r="D147" t="str">
        <f>IFERROR(VLOOKUP(C147,'Clients List'!$A:$F,2,FALSE),"")</f>
        <v/>
      </c>
      <c r="F147" s="1" t="str">
        <f>IF(OR(C147="",NOT(ISNUMBER(SEARCH("Package",D147)))),"",VLOOKUP(C147,'Clients List'!$A:$F,4,FALSE)-SUMIFS($E$2:$E147,$C$2:$C147,C147,$D$2:$D147,"*Package*"))</f>
        <v/>
      </c>
      <c r="G147" t="str">
        <f t="shared" si="5"/>
        <v/>
      </c>
      <c r="H147" s="33">
        <f>IF(ISNUMBER(SEARCH("Group",D147)),IF(G147="",E147,IFERROR(E147/COUNTIF($G2:$G6000,G147),E147)),E147)</f>
        <v>0</v>
      </c>
      <c r="I147" s="1" t="str">
        <f>IFERROR(VLOOKUP(C147,'Clients List'!A:F,6,FALSE),"")</f>
        <v/>
      </c>
    </row>
    <row r="148" spans="1:9" x14ac:dyDescent="0.45">
      <c r="A148" s="7"/>
      <c r="D148" t="str">
        <f>IFERROR(VLOOKUP(C148,'Clients List'!$A:$F,2,FALSE),"")</f>
        <v/>
      </c>
      <c r="F148" s="1" t="str">
        <f>IF(OR(C148="",NOT(ISNUMBER(SEARCH("Package",D148)))),"",VLOOKUP(C148,'Clients List'!$A:$F,4,FALSE)-SUMIFS($E$2:$E148,$C$2:$C148,C148,$D$2:$D148,"*Package*"))</f>
        <v/>
      </c>
      <c r="G148" t="str">
        <f t="shared" si="5"/>
        <v/>
      </c>
      <c r="H148" s="33">
        <f>IF(ISNUMBER(SEARCH("Group",D148)),IF(G148="",E148,IFERROR(E148/COUNTIF($G2:$G6000,G148),E148)),E148)</f>
        <v>0</v>
      </c>
      <c r="I148" s="1" t="str">
        <f>IFERROR(VLOOKUP(C148,'Clients List'!A:F,6,FALSE),"")</f>
        <v/>
      </c>
    </row>
    <row r="149" spans="1:9" x14ac:dyDescent="0.45">
      <c r="D149" t="str">
        <f>IFERROR(VLOOKUP(C149,'Clients List'!$A:$F,2,FALSE),"")</f>
        <v/>
      </c>
      <c r="F149" s="1" t="str">
        <f>IF(OR(C149="",NOT(ISNUMBER(SEARCH("Package",D149)))),"",VLOOKUP(C149,'Clients List'!$A:$F,4,FALSE)-SUMIFS($E$2:$E149,$C$2:$C149,C149,$D$2:$D149,"*Package*"))</f>
        <v/>
      </c>
      <c r="G149" t="str">
        <f t="shared" si="5"/>
        <v/>
      </c>
      <c r="H149" s="33">
        <f>IF(ISNUMBER(SEARCH("Group",D149)),IF(G149="",E149,IFERROR(E149/COUNTIF($G2:$G6000,G149),E149)),E149)</f>
        <v>0</v>
      </c>
      <c r="I149" s="1" t="str">
        <f>IFERROR(VLOOKUP(C149,'Clients List'!A:F,6,FALSE),"")</f>
        <v/>
      </c>
    </row>
    <row r="150" spans="1:9" x14ac:dyDescent="0.45">
      <c r="D150" t="str">
        <f>IFERROR(VLOOKUP(C150,'Clients List'!$A:$F,2,FALSE),"")</f>
        <v/>
      </c>
      <c r="F150" s="1" t="str">
        <f>IF(OR(C150="",NOT(ISNUMBER(SEARCH("Package",D150)))),"",VLOOKUP(C150,'Clients List'!$A:$F,4,FALSE)-SUMIFS($E$2:$E150,$C$2:$C150,C150,$D$2:$D150,"*Package*"))</f>
        <v/>
      </c>
      <c r="G150" t="str">
        <f t="shared" si="5"/>
        <v/>
      </c>
      <c r="H150" s="33">
        <f>IF(ISNUMBER(SEARCH("Group",D150)),IF(G150="",E150,IFERROR(E150/COUNTIF($G2:$G6000,G150),E150)),E150)</f>
        <v>0</v>
      </c>
      <c r="I150" s="1" t="str">
        <f>IFERROR(VLOOKUP(C150,'Clients List'!A:F,6,FALSE),"")</f>
        <v/>
      </c>
    </row>
    <row r="151" spans="1:9" x14ac:dyDescent="0.45">
      <c r="D151" t="str">
        <f>IFERROR(VLOOKUP(C151,'Clients List'!$A:$F,2,FALSE),"")</f>
        <v/>
      </c>
      <c r="F151" s="1" t="str">
        <f>IF(OR(C151="",NOT(ISNUMBER(SEARCH("Package",D151)))),"",VLOOKUP(C151,'Clients List'!$A:$F,4,FALSE)-SUMIFS($E$2:$E151,$C$2:$C151,C151,$D$2:$D151,"*Package*"))</f>
        <v/>
      </c>
      <c r="G151" t="str">
        <f t="shared" si="5"/>
        <v/>
      </c>
      <c r="H151" s="33">
        <f>IF(ISNUMBER(SEARCH("Group",D151)),IF(G151="",E151,IFERROR(E151/COUNTIF($G2:$G6000,G151),E151)),E151)</f>
        <v>0</v>
      </c>
      <c r="I151" s="1" t="str">
        <f>IFERROR(VLOOKUP(C151,'Clients List'!A:F,6,FALSE),"")</f>
        <v/>
      </c>
    </row>
    <row r="152" spans="1:9" x14ac:dyDescent="0.45">
      <c r="D152" t="str">
        <f>IFERROR(VLOOKUP(C152,'Clients List'!$A:$F,2,FALSE),"")</f>
        <v/>
      </c>
      <c r="F152" s="1" t="str">
        <f>IF(OR(C152="",NOT(ISNUMBER(SEARCH("Package",D152)))),"",VLOOKUP(C152,'Clients List'!$A:$F,4,FALSE)-SUMIFS($E$2:$E152,$C$2:$C152,C152,$D$2:$D152,"*Package*"))</f>
        <v/>
      </c>
      <c r="G152" t="str">
        <f t="shared" si="5"/>
        <v/>
      </c>
      <c r="H152" s="33">
        <f>IF(ISNUMBER(SEARCH("Group",D152)),IF(G152="",E152,IFERROR(E152/COUNTIF($G2:$G6000,G152),E152)),E152)</f>
        <v>0</v>
      </c>
      <c r="I152" s="1" t="str">
        <f>IFERROR(VLOOKUP(C152,'Clients List'!A:F,6,FALSE),"")</f>
        <v/>
      </c>
    </row>
    <row r="153" spans="1:9" x14ac:dyDescent="0.45">
      <c r="D153" t="str">
        <f>IFERROR(VLOOKUP(C153,'Clients List'!$A:$F,2,FALSE),"")</f>
        <v/>
      </c>
      <c r="F153" s="1" t="str">
        <f>IF(OR(C153="",NOT(ISNUMBER(SEARCH("Package",D153)))),"",VLOOKUP(C153,'Clients List'!$A:$F,4,FALSE)-SUMIFS($E$2:$E153,$C$2:$C153,C153,$D$2:$D153,"*Package*"))</f>
        <v/>
      </c>
      <c r="G153" t="str">
        <f t="shared" si="5"/>
        <v/>
      </c>
      <c r="H153" s="33">
        <f>IF(ISNUMBER(SEARCH("Group",D153)),IF(G153="",E153,IFERROR(E153/COUNTIF($G2:$G6000,G153),E153)),E153)</f>
        <v>0</v>
      </c>
      <c r="I153" s="1" t="str">
        <f>IFERROR(VLOOKUP(C153,'Clients List'!A:F,6,FALSE),"")</f>
        <v/>
      </c>
    </row>
    <row r="154" spans="1:9" x14ac:dyDescent="0.45">
      <c r="D154" t="str">
        <f>IFERROR(VLOOKUP(C154,'Clients List'!$A:$F,2,FALSE),"")</f>
        <v/>
      </c>
      <c r="F154" s="1" t="str">
        <f>IF(OR(C154="",NOT(ISNUMBER(SEARCH("Package",D154)))),"",VLOOKUP(C154,'Clients List'!$A:$F,4,FALSE)-SUMIFS($E$2:$E154,$C$2:$C154,C154,$D$2:$D154,"*Package*"))</f>
        <v/>
      </c>
      <c r="G154" t="str">
        <f t="shared" si="5"/>
        <v/>
      </c>
      <c r="H154" s="33">
        <f>IF(ISNUMBER(SEARCH("Group",D154)),IF(G154="",E154,IFERROR(E154/COUNTIF($G2:$G6000,G154),E154)),E154)</f>
        <v>0</v>
      </c>
      <c r="I154" s="1" t="str">
        <f>IFERROR(VLOOKUP(C154,'Clients List'!A:F,6,FALSE),"")</f>
        <v/>
      </c>
    </row>
    <row r="155" spans="1:9" x14ac:dyDescent="0.45">
      <c r="D155" t="str">
        <f>IFERROR(VLOOKUP(C155,'Clients List'!$A:$F,2,FALSE),"")</f>
        <v/>
      </c>
      <c r="F155" s="1" t="str">
        <f>IF(OR(C155="",NOT(ISNUMBER(SEARCH("Package",D155)))),"",VLOOKUP(C155,'Clients List'!$A:$F,4,FALSE)-SUMIFS($E$2:$E155,$C$2:$C155,C155,$D$2:$D155,"*Package*"))</f>
        <v/>
      </c>
      <c r="G155" t="str">
        <f t="shared" si="5"/>
        <v/>
      </c>
      <c r="H155" s="33">
        <f>IF(ISNUMBER(SEARCH("Group",D155)),IF(G155="",E155,IFERROR(E155/COUNTIF($G2:$G6000,G155),E155)),E155)</f>
        <v>0</v>
      </c>
      <c r="I155" s="1" t="str">
        <f>IFERROR(VLOOKUP(C155,'Clients List'!A:F,6,FALSE),"")</f>
        <v/>
      </c>
    </row>
    <row r="156" spans="1:9" x14ac:dyDescent="0.45">
      <c r="D156" t="str">
        <f>IFERROR(VLOOKUP(C156,'Clients List'!$A:$F,2,FALSE),"")</f>
        <v/>
      </c>
      <c r="F156" s="1" t="str">
        <f>IF(OR(C156="",NOT(ISNUMBER(SEARCH("Package",D156)))),"",VLOOKUP(C156,'Clients List'!$A:$F,4,FALSE)-SUMIFS($E$2:$E156,$C$2:$C156,C156,$D$2:$D156,"*Package*"))</f>
        <v/>
      </c>
      <c r="G156" t="str">
        <f t="shared" si="5"/>
        <v/>
      </c>
      <c r="H156" s="33">
        <f>IF(ISNUMBER(SEARCH("Group",D156)),IF(G156="",E156,IFERROR(E156/COUNTIF($G2:$G6000,G156),E156)),E156)</f>
        <v>0</v>
      </c>
      <c r="I156" s="1" t="str">
        <f>IFERROR(VLOOKUP(C156,'Clients List'!A:F,6,FALSE),"")</f>
        <v/>
      </c>
    </row>
    <row r="157" spans="1:9" x14ac:dyDescent="0.45">
      <c r="D157" t="str">
        <f>IFERROR(VLOOKUP(C157,'Clients List'!$A:$F,2,FALSE),"")</f>
        <v/>
      </c>
      <c r="F157" s="1" t="str">
        <f>IF(OR(C157="",NOT(ISNUMBER(SEARCH("Package",D157)))),"",VLOOKUP(C157,'Clients List'!$A:$F,4,FALSE)-SUMIFS($E$2:$E157,$C$2:$C157,C157,$D$2:$D157,"*Package*"))</f>
        <v/>
      </c>
      <c r="G157" t="str">
        <f t="shared" si="5"/>
        <v/>
      </c>
      <c r="H157" s="33">
        <f>IF(ISNUMBER(SEARCH("Group",D157)),IF(G157="",E157,IFERROR(E157/COUNTIF($G2:$G6000,G157),E157)),E157)</f>
        <v>0</v>
      </c>
      <c r="I157" s="1" t="str">
        <f>IFERROR(VLOOKUP(C157,'Clients List'!A:F,6,FALSE),"")</f>
        <v/>
      </c>
    </row>
    <row r="158" spans="1:9" x14ac:dyDescent="0.45">
      <c r="D158" t="str">
        <f>IFERROR(VLOOKUP(C158,'Clients List'!$A:$F,2,FALSE),"")</f>
        <v/>
      </c>
      <c r="F158" s="1" t="str">
        <f>IF(OR(C158="",NOT(ISNUMBER(SEARCH("Package",D158)))),"",VLOOKUP(C158,'Clients List'!$A:$F,4,FALSE)-SUMIFS($E$2:$E158,$C$2:$C158,C158,$D$2:$D158,"*Package*"))</f>
        <v/>
      </c>
      <c r="G158" t="str">
        <f t="shared" si="5"/>
        <v/>
      </c>
      <c r="H158" s="33">
        <f>IF(ISNUMBER(SEARCH("Group",D158)),IF(G158="",E158,IFERROR(E158/COUNTIF($G2:$G6000,G158),E158)),E158)</f>
        <v>0</v>
      </c>
      <c r="I158" s="1" t="str">
        <f>IFERROR(VLOOKUP(C158,'Clients List'!A:F,6,FALSE),"")</f>
        <v/>
      </c>
    </row>
    <row r="159" spans="1:9" x14ac:dyDescent="0.45">
      <c r="D159" t="str">
        <f>IFERROR(VLOOKUP(C159,'Clients List'!$A:$F,2,FALSE),"")</f>
        <v/>
      </c>
      <c r="F159" s="1" t="str">
        <f>IF(OR(C159="",NOT(ISNUMBER(SEARCH("Package",D159)))),"",VLOOKUP(C159,'Clients List'!$A:$F,4,FALSE)-SUMIFS($E$2:$E159,$C$2:$C159,C159,$D$2:$D159,"*Package*"))</f>
        <v/>
      </c>
      <c r="G159" t="str">
        <f t="shared" si="5"/>
        <v/>
      </c>
      <c r="H159" s="33">
        <f>IF(ISNUMBER(SEARCH("Group",D159)),IF(G159="",E159,IFERROR(E159/COUNTIF($G2:$G6000,G159),E159)),E159)</f>
        <v>0</v>
      </c>
      <c r="I159" s="1" t="str">
        <f>IFERROR(VLOOKUP(C159,'Clients List'!A:F,6,FALSE),"")</f>
        <v/>
      </c>
    </row>
    <row r="160" spans="1:9" x14ac:dyDescent="0.45">
      <c r="D160" t="str">
        <f>IFERROR(VLOOKUP(C160,'Clients List'!$A:$F,2,FALSE),"")</f>
        <v/>
      </c>
      <c r="F160" s="1" t="str">
        <f>IF(OR(C160="",NOT(ISNUMBER(SEARCH("Package",D160)))),"",VLOOKUP(C160,'Clients List'!$A:$F,4,FALSE)-SUMIFS($E$2:$E160,$C$2:$C160,C160,$D$2:$D160,"*Package*"))</f>
        <v/>
      </c>
      <c r="G160" t="str">
        <f t="shared" si="5"/>
        <v/>
      </c>
      <c r="H160" s="33">
        <f>IF(ISNUMBER(SEARCH("Group",D160)),IF(G160="",E160,IFERROR(E160/COUNTIF($G2:$G6000,G160),E160)),E160)</f>
        <v>0</v>
      </c>
      <c r="I160" s="1" t="str">
        <f>IFERROR(VLOOKUP(C160,'Clients List'!A:F,6,FALSE),"")</f>
        <v/>
      </c>
    </row>
    <row r="161" spans="4:11" x14ac:dyDescent="0.45">
      <c r="D161" t="str">
        <f>IFERROR(VLOOKUP(C161,'Clients List'!$A:$F,2,FALSE),"")</f>
        <v/>
      </c>
      <c r="F161" s="1" t="str">
        <f>IF(OR(C161="",NOT(ISNUMBER(SEARCH("Package",D161)))),"",VLOOKUP(C161,'Clients List'!$A:$F,4,FALSE)-SUMIFS($E$2:$E161,$C$2:$C161,C161,$D$2:$D161,"*Package*"))</f>
        <v/>
      </c>
      <c r="G161" t="str">
        <f t="shared" si="5"/>
        <v/>
      </c>
      <c r="H161" s="33">
        <f>IF(ISNUMBER(SEARCH("Group",D161)),IF(G161="",E161,IFERROR(E161/COUNTIF($G2:$G6000,G161),E161)),E161)</f>
        <v>0</v>
      </c>
      <c r="I161" s="1" t="str">
        <f>IFERROR(VLOOKUP(C161,'Clients List'!A:F,6,FALSE),"")</f>
        <v/>
      </c>
    </row>
    <row r="162" spans="4:11" x14ac:dyDescent="0.45">
      <c r="D162" t="str">
        <f>IFERROR(VLOOKUP(C162,'Clients List'!$A:$F,2,FALSE),"")</f>
        <v/>
      </c>
      <c r="F162" s="1" t="str">
        <f>IF(OR(C162="",NOT(ISNUMBER(SEARCH("Package",D162)))),"",VLOOKUP(C162,'Clients List'!$A:$F,4,FALSE)-SUMIFS($E$2:$E162,$C$2:$C162,C162,$D$2:$D162,"*Package*"))</f>
        <v/>
      </c>
      <c r="G162" t="str">
        <f t="shared" si="5"/>
        <v/>
      </c>
      <c r="H162" s="33">
        <f>IF(ISNUMBER(SEARCH("Group",D162)),IF(G162="",E162,IFERROR(E162/COUNTIF($G2:$G6000,G162),E162)),E162)</f>
        <v>0</v>
      </c>
      <c r="I162" s="1" t="str">
        <f>IFERROR(VLOOKUP(C162,'Clients List'!A:F,6,FALSE),"")</f>
        <v/>
      </c>
    </row>
    <row r="163" spans="4:11" x14ac:dyDescent="0.45">
      <c r="D163" t="str">
        <f>IFERROR(VLOOKUP(C163,'Clients List'!$A:$F,2,FALSE),"")</f>
        <v/>
      </c>
      <c r="F163" s="1" t="str">
        <f>IF(OR(C163="",NOT(ISNUMBER(SEARCH("Package",D163)))),"",VLOOKUP(C163,'Clients List'!$A:$F,4,FALSE)-SUMIFS($E$2:$E163,$C$2:$C163,C163,$D$2:$D163,"*Package*"))</f>
        <v/>
      </c>
      <c r="G163" t="str">
        <f t="shared" si="5"/>
        <v/>
      </c>
      <c r="H163" s="33">
        <f>IF(ISNUMBER(SEARCH("Group",D163)),IF(G163="",E163,IFERROR(E163/COUNTIF($G2:$G6000,G163),E163)),E163)</f>
        <v>0</v>
      </c>
      <c r="I163" s="1" t="str">
        <f>IFERROR(VLOOKUP(C163,'Clients List'!A:F,6,FALSE),"")</f>
        <v/>
      </c>
    </row>
    <row r="164" spans="4:11" x14ac:dyDescent="0.45">
      <c r="D164" t="str">
        <f>IFERROR(VLOOKUP(C164,'Clients List'!$A:$F,2,FALSE),"")</f>
        <v/>
      </c>
      <c r="F164" s="1" t="str">
        <f>IF(OR(C164="",NOT(ISNUMBER(SEARCH("Package",D164)))),"",VLOOKUP(C164,'Clients List'!$A:$F,4,FALSE)-SUMIFS($E$2:$E164,$C$2:$C164,C164,$D$2:$D164,"*Package*"))</f>
        <v/>
      </c>
      <c r="G164" t="str">
        <f t="shared" si="5"/>
        <v/>
      </c>
      <c r="H164" s="33">
        <f>IF(ISNUMBER(SEARCH("Group",D164)),IF(G164="",E164,IFERROR(E164/COUNTIF($G2:$G6000,G164),E164)),E164)</f>
        <v>0</v>
      </c>
      <c r="I164" s="1" t="str">
        <f>IFERROR(VLOOKUP(C164,'Clients List'!A:F,6,FALSE),"")</f>
        <v/>
      </c>
    </row>
    <row r="165" spans="4:11" x14ac:dyDescent="0.45">
      <c r="D165" t="str">
        <f>IFERROR(VLOOKUP(C165,'Clients List'!$A:$F,2,FALSE),"")</f>
        <v/>
      </c>
      <c r="F165" s="1" t="str">
        <f>IF(OR(C165="",NOT(ISNUMBER(SEARCH("Package",D165)))),"",VLOOKUP(C165,'Clients List'!$A:$F,4,FALSE)-SUMIFS($E$2:$E165,$C$2:$C165,C165,$D$2:$D165,"*Package*"))</f>
        <v/>
      </c>
      <c r="G165" t="str">
        <f t="shared" si="5"/>
        <v/>
      </c>
      <c r="H165" s="33">
        <f>IF(ISNUMBER(SEARCH("Group",D165)),IF(G165="",E165,IFERROR(E165/COUNTIF($G2:$G6000,G165),E165)),E165)</f>
        <v>0</v>
      </c>
      <c r="I165" s="1" t="str">
        <f>IFERROR(VLOOKUP(C165,'Clients List'!A:F,6,FALSE),"")</f>
        <v/>
      </c>
    </row>
    <row r="166" spans="4:11" x14ac:dyDescent="0.45">
      <c r="D166" t="str">
        <f>IFERROR(VLOOKUP(C166,'Clients List'!$A:$F,2,FALSE),"")</f>
        <v/>
      </c>
      <c r="F166" s="1" t="str">
        <f>IF(OR(C166="",NOT(ISNUMBER(SEARCH("Package",D166)))),"",VLOOKUP(C166,'Clients List'!$A:$F,4,FALSE)-SUMIFS($E$2:$E166,$C$2:$C166,C166,$D$2:$D166,"*Package*"))</f>
        <v/>
      </c>
      <c r="G166" t="str">
        <f t="shared" si="5"/>
        <v/>
      </c>
      <c r="H166" s="33">
        <f>IF(ISNUMBER(SEARCH("Group",D166)),IF(G166="",E166,IFERROR(E166/COUNTIF($G2:$G6000,G166),E166)),E166)</f>
        <v>0</v>
      </c>
      <c r="I166" s="1" t="str">
        <f>IFERROR(VLOOKUP(C166,'Clients List'!A:F,6,FALSE),"")</f>
        <v/>
      </c>
    </row>
    <row r="167" spans="4:11" x14ac:dyDescent="0.45">
      <c r="D167" t="str">
        <f>IFERROR(VLOOKUP(C167,'Clients List'!$A:$F,2,FALSE),"")</f>
        <v/>
      </c>
      <c r="F167" s="1" t="str">
        <f>IF(OR(C167="",NOT(ISNUMBER(SEARCH("Package",D167)))),"",VLOOKUP(C167,'Clients List'!$A:$F,4,FALSE)-SUMIFS($E$2:$E167,$C$2:$C167,C167,$D$2:$D167,"*Package*"))</f>
        <v/>
      </c>
      <c r="G167" t="str">
        <f t="shared" si="5"/>
        <v/>
      </c>
      <c r="H167" s="33">
        <f>IF(ISNUMBER(SEARCH("Group",D167)),IF(G167="",E167,IFERROR(E167/COUNTIF($G2:$G6000,G167),E167)),E167)</f>
        <v>0</v>
      </c>
      <c r="I167" s="1" t="str">
        <f>IFERROR(VLOOKUP(C167,'Clients List'!A:F,6,FALSE),"")</f>
        <v/>
      </c>
    </row>
    <row r="168" spans="4:11" x14ac:dyDescent="0.45">
      <c r="D168" t="str">
        <f>IFERROR(VLOOKUP(C168,'Clients List'!$A:$F,2,FALSE),"")</f>
        <v/>
      </c>
      <c r="F168" s="1" t="str">
        <f>IF(OR(C168="",NOT(ISNUMBER(SEARCH("Package",D168)))),"",VLOOKUP(C168,'Clients List'!$A:$F,4,FALSE)-SUMIFS($E$2:$E168,$C$2:$C168,C168,$D$2:$D168,"*Package*"))</f>
        <v/>
      </c>
      <c r="G168" t="str">
        <f t="shared" si="5"/>
        <v/>
      </c>
      <c r="H168" s="33">
        <f>IF(ISNUMBER(SEARCH("Group",D168)),IF(G168="",E168,IFERROR(E168/COUNTIF($G2:$G6000,G168),E168)),E168)</f>
        <v>0</v>
      </c>
      <c r="I168" s="1" t="str">
        <f>IFERROR(VLOOKUP(C168,'Clients List'!A:F,6,FALSE),"")</f>
        <v/>
      </c>
    </row>
    <row r="169" spans="4:11" x14ac:dyDescent="0.45">
      <c r="D169" t="str">
        <f>IFERROR(VLOOKUP(C169,'Clients List'!$A:$F,2,FALSE),"")</f>
        <v/>
      </c>
      <c r="F169" s="1" t="str">
        <f>IF(OR(C169="",NOT(ISNUMBER(SEARCH("Package",D169)))),"",VLOOKUP(C169,'Clients List'!$A:$F,4,FALSE)-SUMIFS($E$2:$E169,$C$2:$C169,C169,$D$2:$D169,"*Package*"))</f>
        <v/>
      </c>
      <c r="G169" t="str">
        <f t="shared" si="5"/>
        <v/>
      </c>
      <c r="H169" s="33">
        <f>IF(ISNUMBER(SEARCH("Group",D169)),IF(G169="",E169,IFERROR(E169/COUNTIF($G2:$G6000,G169),E169)),E169)</f>
        <v>0</v>
      </c>
      <c r="I169" s="1" t="str">
        <f>IFERROR(VLOOKUP(C169,'Clients List'!A:F,6,FALSE),"")</f>
        <v/>
      </c>
      <c r="K169" s="23" t="str">
        <f>IFERROR(INDEX([2]Packages!E:E, MATCH(1, ([2]Packages!A:A=B169)*([2]Packages!B:B=C169), 0)) - SUMIFS(D$2:D169, B$2:B169, B169, C$2:C169, C169),"")</f>
        <v/>
      </c>
    </row>
    <row r="170" spans="4:11" x14ac:dyDescent="0.45">
      <c r="D170" t="str">
        <f>IFERROR(VLOOKUP(C170,'Clients List'!$A:$F,2,FALSE),"")</f>
        <v/>
      </c>
      <c r="F170" s="1" t="str">
        <f>IF(OR(C170="",NOT(ISNUMBER(SEARCH("Package",D170)))),"",VLOOKUP(C170,'Clients List'!$A:$F,4,FALSE)-SUMIFS($E$2:$E170,$C$2:$C170,C170,$D$2:$D170,"*Package*"))</f>
        <v/>
      </c>
      <c r="G170" t="str">
        <f t="shared" si="5"/>
        <v/>
      </c>
      <c r="H170" s="33">
        <f>IF(ISNUMBER(SEARCH("Group",D170)),IF(G170="",E170,IFERROR(E170/COUNTIF($G2:$G6000,G170),E170)),E170)</f>
        <v>0</v>
      </c>
      <c r="I170" s="1" t="str">
        <f>IFERROR(VLOOKUP(C170,'Clients List'!A:F,6,FALSE),"")</f>
        <v/>
      </c>
      <c r="K170" s="23" t="str">
        <f>IFERROR(INDEX([2]Packages!E:E, MATCH(1, ([2]Packages!A:A=B170)*([2]Packages!B:B=C170), 0)) - SUMIFS(D$2:D170, B$2:B170, B170, C$2:C170, C170),"")</f>
        <v/>
      </c>
    </row>
    <row r="171" spans="4:11" x14ac:dyDescent="0.45">
      <c r="D171" t="str">
        <f>IFERROR(VLOOKUP(C171,'Clients List'!$A:$F,2,FALSE),"")</f>
        <v/>
      </c>
      <c r="F171" s="1" t="str">
        <f>IF(OR(C171="",NOT(ISNUMBER(SEARCH("Package",D171)))),"",VLOOKUP(C171,'Clients List'!$A:$F,4,FALSE)-SUMIFS($E$2:$E171,$C$2:$C171,C171,$D$2:$D171,"*Package*"))</f>
        <v/>
      </c>
      <c r="G171" t="str">
        <f t="shared" si="5"/>
        <v/>
      </c>
      <c r="H171" s="33">
        <f>IF(ISNUMBER(SEARCH("Group",D171)),IF(G171="",E171,IFERROR(E171/COUNTIF($G2:$G6000,G171),E171)),E171)</f>
        <v>0</v>
      </c>
      <c r="I171" s="1" t="str">
        <f>IFERROR(VLOOKUP(C171,'Clients List'!A:F,6,FALSE),"")</f>
        <v/>
      </c>
      <c r="K171" s="23" t="str">
        <f>IFERROR(INDEX([2]Packages!E:E, MATCH(1, ([2]Packages!A:A=B171)*([2]Packages!B:B=C171), 0)) - SUMIFS(D$2:D171, B$2:B171, B171, C$2:C171, C171),"")</f>
        <v/>
      </c>
    </row>
    <row r="172" spans="4:11" x14ac:dyDescent="0.45">
      <c r="D172" t="str">
        <f>IFERROR(VLOOKUP(C172,'Clients List'!$A:$F,2,FALSE),"")</f>
        <v/>
      </c>
      <c r="F172" s="1" t="str">
        <f>IF(OR(C172="",NOT(ISNUMBER(SEARCH("Package",D172)))),"",VLOOKUP(C172,'Clients List'!$A:$F,4,FALSE)-SUMIFS($E$2:$E172,$C$2:$C172,C172,$D$2:$D172,"*Package*"))</f>
        <v/>
      </c>
      <c r="G172" t="str">
        <f t="shared" si="5"/>
        <v/>
      </c>
      <c r="H172" s="33">
        <f>IF(ISNUMBER(SEARCH("Group",D172)),IF(G172="",E172,IFERROR(E172/COUNTIF($G2:$G6000,G172),E172)),E172)</f>
        <v>0</v>
      </c>
      <c r="I172" s="1" t="str">
        <f>IFERROR(VLOOKUP(C172,'Clients List'!A:F,6,FALSE),"")</f>
        <v/>
      </c>
      <c r="K172" s="23" t="str">
        <f>IFERROR(INDEX([2]Packages!E:E, MATCH(1, ([2]Packages!A:A=B172)*([2]Packages!B:B=C172), 0)) - SUMIFS(D$2:D172, B$2:B172, B172, C$2:C172, C172),"")</f>
        <v/>
      </c>
    </row>
    <row r="173" spans="4:11" x14ac:dyDescent="0.45">
      <c r="D173" t="str">
        <f>IFERROR(VLOOKUP(C173,'Clients List'!$A:$F,2,FALSE),"")</f>
        <v/>
      </c>
      <c r="F173" s="1" t="str">
        <f>IF(OR(C173="",NOT(ISNUMBER(SEARCH("Package",D173)))),"",VLOOKUP(C173,'Clients List'!$A:$F,4,FALSE)-SUMIFS($E$2:$E173,$C$2:$C173,C173,$D$2:$D173,"*Package*"))</f>
        <v/>
      </c>
      <c r="G173" t="str">
        <f t="shared" si="5"/>
        <v/>
      </c>
      <c r="H173" s="33">
        <f>IF(ISNUMBER(SEARCH("Group",D173)),IF(G173="",E173,IFERROR(E173/COUNTIF($G2:$G6000,G173),E173)),E173)</f>
        <v>0</v>
      </c>
      <c r="I173" s="1" t="str">
        <f>IFERROR(VLOOKUP(C173,'Clients List'!A:F,6,FALSE),"")</f>
        <v/>
      </c>
      <c r="K173" s="23" t="str">
        <f>IFERROR(INDEX([2]Packages!E:E, MATCH(1, ([2]Packages!A:A=B173)*([2]Packages!B:B=C173), 0)) - SUMIFS(D$2:D173, B$2:B173, B173, C$2:C173, C173),"")</f>
        <v/>
      </c>
    </row>
    <row r="174" spans="4:11" x14ac:dyDescent="0.45">
      <c r="D174" t="str">
        <f>IFERROR(VLOOKUP(C174,'Clients List'!$A:$F,2,FALSE),"")</f>
        <v/>
      </c>
      <c r="F174" s="1" t="str">
        <f>IF(OR(C174="",NOT(ISNUMBER(SEARCH("Package",D174)))),"",VLOOKUP(C174,'Clients List'!$A:$F,4,FALSE)-SUMIFS($E$2:$E174,$C$2:$C174,C174,$D$2:$D174,"*Package*"))</f>
        <v/>
      </c>
      <c r="G174" t="str">
        <f t="shared" si="5"/>
        <v/>
      </c>
      <c r="H174" s="33">
        <f>IF(ISNUMBER(SEARCH("Group",D174)),IF(G174="",E174,IFERROR(E174/COUNTIF($G2:$G6000,G174),E174)),E174)</f>
        <v>0</v>
      </c>
      <c r="I174" s="1" t="str">
        <f>IFERROR(VLOOKUP(C174,'Clients List'!A:F,6,FALSE),"")</f>
        <v/>
      </c>
      <c r="K174" s="23" t="str">
        <f>IFERROR(INDEX([2]Packages!E:E, MATCH(1, ([2]Packages!A:A=B174)*([2]Packages!B:B=C174), 0)) - SUMIFS(D$2:D174, B$2:B174, B174, C$2:C174, C174),"")</f>
        <v/>
      </c>
    </row>
    <row r="175" spans="4:11" x14ac:dyDescent="0.45">
      <c r="D175" t="str">
        <f>IFERROR(VLOOKUP(C175,'Clients List'!$A:$F,2,FALSE),"")</f>
        <v/>
      </c>
      <c r="F175" s="1" t="str">
        <f>IF(OR(C175="",NOT(ISNUMBER(SEARCH("Package",D175)))),"",VLOOKUP(C175,'Clients List'!$A:$F,4,FALSE)-SUMIFS($E$2:$E175,$C$2:$C175,C175,$D$2:$D175,"*Package*"))</f>
        <v/>
      </c>
      <c r="G175" t="str">
        <f t="shared" si="5"/>
        <v/>
      </c>
      <c r="H175" s="33">
        <f>IF(ISNUMBER(SEARCH("Group",D175)),IF(G175="",E175,IFERROR(E175/COUNTIF($G2:$G6000,G175),E175)),E175)</f>
        <v>0</v>
      </c>
      <c r="I175" s="1" t="str">
        <f>IFERROR(VLOOKUP(C175,'Clients List'!A:F,6,FALSE),"")</f>
        <v/>
      </c>
      <c r="K175" s="23" t="str">
        <f>IFERROR(INDEX([2]Packages!E:E, MATCH(1, ([2]Packages!A:A=B175)*([2]Packages!B:B=C175), 0)) - SUMIFS(D$2:D175, B$2:B175, B175, C$2:C175, C175),"")</f>
        <v/>
      </c>
    </row>
    <row r="176" spans="4:11" x14ac:dyDescent="0.45">
      <c r="D176" t="str">
        <f>IFERROR(VLOOKUP(C176,'Clients List'!$A:$F,2,FALSE),"")</f>
        <v/>
      </c>
      <c r="F176" s="1" t="str">
        <f>IF(OR(C176="",NOT(ISNUMBER(SEARCH("Package",D176)))),"",VLOOKUP(C176,'Clients List'!$A:$F,4,FALSE)-SUMIFS($E$2:$E176,$C$2:$C176,C176,$D$2:$D176,"*Package*"))</f>
        <v/>
      </c>
      <c r="G176" t="str">
        <f t="shared" si="5"/>
        <v/>
      </c>
      <c r="H176" s="33">
        <f>IF(ISNUMBER(SEARCH("Group",D176)),IF(G176="",E176,IFERROR(E176/COUNTIF($G2:$G6000,G176),E176)),E176)</f>
        <v>0</v>
      </c>
      <c r="I176" s="1" t="str">
        <f>IFERROR(VLOOKUP(C176,'Clients List'!A:F,6,FALSE),"")</f>
        <v/>
      </c>
      <c r="K176" s="23" t="str">
        <f>IFERROR(INDEX([2]Packages!E:E, MATCH(1, ([2]Packages!A:A=B176)*([2]Packages!B:B=C176), 0)) - SUMIFS(D$2:D176, B$2:B176, B176, C$2:C176, C176),"")</f>
        <v/>
      </c>
    </row>
    <row r="177" spans="4:11" x14ac:dyDescent="0.45">
      <c r="D177" t="str">
        <f>IFERROR(VLOOKUP(C177,'Clients List'!$A:$F,2,FALSE),"")</f>
        <v/>
      </c>
      <c r="F177" s="1" t="str">
        <f>IF(OR(C177="",NOT(ISNUMBER(SEARCH("Package",D177)))),"",VLOOKUP(C177,'Clients List'!$A:$F,4,FALSE)-SUMIFS($E$2:$E177,$C$2:$C177,C177,$D$2:$D177,"*Package*"))</f>
        <v/>
      </c>
      <c r="G177" t="str">
        <f t="shared" si="5"/>
        <v/>
      </c>
      <c r="H177" s="33">
        <f>IF(ISNUMBER(SEARCH("Group",D177)),IF(G177="",E177,IFERROR(E177/COUNTIF($G2:$G6000,G177),E177)),E177)</f>
        <v>0</v>
      </c>
      <c r="I177" s="1" t="str">
        <f>IFERROR(VLOOKUP(C177,'Clients List'!A:F,6,FALSE),"")</f>
        <v/>
      </c>
      <c r="K177" s="23" t="str">
        <f>IFERROR(INDEX([2]Packages!E:E, MATCH(1, ([2]Packages!A:A=B177)*([2]Packages!B:B=C177), 0)) - SUMIFS(D$2:D177, B$2:B177, B177, C$2:C177, C177),"")</f>
        <v/>
      </c>
    </row>
    <row r="178" spans="4:11" x14ac:dyDescent="0.45">
      <c r="D178" t="str">
        <f>IFERROR(VLOOKUP(C178,'Clients List'!$A:$F,2,FALSE),"")</f>
        <v/>
      </c>
      <c r="F178" s="1" t="str">
        <f>IF(OR(C178="",NOT(ISNUMBER(SEARCH("Package",D178)))),"",VLOOKUP(C178,'Clients List'!$A:$F,4,FALSE)-SUMIFS($E$2:$E178,$C$2:$C178,C178,$D$2:$D178,"*Package*"))</f>
        <v/>
      </c>
      <c r="G178" t="str">
        <f t="shared" ref="G178:G209" si="6">IF(ISNUMBER(SEARCH("Group",D178)),IFERROR("GRP-"&amp;TEXT(IF(ISNUMBER(A178),A178,DATEVALUE(A178)),"yyyymmdd"),""),"" )</f>
        <v/>
      </c>
      <c r="H178" s="33">
        <f>IF(ISNUMBER(SEARCH("Group",D178)),IF(G178="",E178,IFERROR(E178/COUNTIF($G2:$G6000,G178),E178)),E178)</f>
        <v>0</v>
      </c>
      <c r="I178" s="1" t="str">
        <f>IFERROR(VLOOKUP(C178,'Clients List'!A:F,6,FALSE),"")</f>
        <v/>
      </c>
      <c r="K178" s="23" t="str">
        <f>IFERROR(INDEX([2]Packages!E:E, MATCH(1, ([2]Packages!A:A=B178)*([2]Packages!B:B=C178), 0)) - SUMIFS(D$2:D178, B$2:B178, B178, C$2:C178, C178),"")</f>
        <v/>
      </c>
    </row>
    <row r="179" spans="4:11" x14ac:dyDescent="0.45">
      <c r="D179" t="str">
        <f>IFERROR(VLOOKUP(C179,'Clients List'!$A:$F,2,FALSE),"")</f>
        <v/>
      </c>
      <c r="F179" s="1" t="str">
        <f>IF(OR(C179="",NOT(ISNUMBER(SEARCH("Package",D179)))),"",VLOOKUP(C179,'Clients List'!$A:$F,4,FALSE)-SUMIFS($E$2:$E179,$C$2:$C179,C179,$D$2:$D179,"*Package*"))</f>
        <v/>
      </c>
      <c r="G179" t="str">
        <f t="shared" si="6"/>
        <v/>
      </c>
      <c r="H179" s="33">
        <f>IF(ISNUMBER(SEARCH("Group",D179)),IF(G179="",E179,IFERROR(E179/COUNTIF($G2:$G6000,G179),E179)),E179)</f>
        <v>0</v>
      </c>
      <c r="I179" s="1" t="str">
        <f>IFERROR(VLOOKUP(C179,'Clients List'!A:F,6,FALSE),"")</f>
        <v/>
      </c>
      <c r="K179" s="23" t="str">
        <f>IFERROR(INDEX([2]Packages!E:E, MATCH(1, ([2]Packages!A:A=B179)*([2]Packages!B:B=C179), 0)) - SUMIFS(D$2:D179, B$2:B179, B179, C$2:C179, C179),"")</f>
        <v/>
      </c>
    </row>
    <row r="180" spans="4:11" x14ac:dyDescent="0.45">
      <c r="D180" t="str">
        <f>IFERROR(VLOOKUP(C180,'Clients List'!$A:$F,2,FALSE),"")</f>
        <v/>
      </c>
      <c r="F180" s="1" t="str">
        <f>IF(OR(C180="",NOT(ISNUMBER(SEARCH("Package",D180)))),"",VLOOKUP(C180,'Clients List'!$A:$F,4,FALSE)-SUMIFS($E$2:$E180,$C$2:$C180,C180,$D$2:$D180,"*Package*"))</f>
        <v/>
      </c>
      <c r="G180" t="str">
        <f t="shared" si="6"/>
        <v/>
      </c>
      <c r="H180" s="33">
        <f>IF(ISNUMBER(SEARCH("Group",D180)),IF(G180="",E180,IFERROR(E180/COUNTIF($G2:$G6000,G180),E180)),E180)</f>
        <v>0</v>
      </c>
      <c r="I180" s="1" t="str">
        <f>IFERROR(VLOOKUP(C180,'Clients List'!A:F,6,FALSE),"")</f>
        <v/>
      </c>
      <c r="K180" s="23" t="str">
        <f>IFERROR(INDEX([2]Packages!E:E, MATCH(1, ([2]Packages!A:A=B180)*([2]Packages!B:B=C180), 0)) - SUMIFS(D$2:D180, B$2:B180, B180, C$2:C180, C180),"")</f>
        <v/>
      </c>
    </row>
    <row r="181" spans="4:11" x14ac:dyDescent="0.45">
      <c r="D181" t="str">
        <f>IFERROR(VLOOKUP(C181,'Clients List'!$A:$F,2,FALSE),"")</f>
        <v/>
      </c>
      <c r="F181" s="1" t="str">
        <f>IF(OR(C181="",NOT(ISNUMBER(SEARCH("Package",D181)))),"",VLOOKUP(C181,'Clients List'!$A:$F,4,FALSE)-SUMIFS($E$2:$E181,$C$2:$C181,C181,$D$2:$D181,"*Package*"))</f>
        <v/>
      </c>
      <c r="G181" t="str">
        <f t="shared" si="6"/>
        <v/>
      </c>
      <c r="H181" s="33">
        <f>IF(ISNUMBER(SEARCH("Group",D181)),IF(G181="",E181,IFERROR(E181/COUNTIF($G2:$G6000,G181),E181)),E181)</f>
        <v>0</v>
      </c>
      <c r="I181" s="1" t="str">
        <f>IFERROR(VLOOKUP(C181,'Clients List'!A:F,6,FALSE),"")</f>
        <v/>
      </c>
      <c r="K181" s="23" t="str">
        <f>IFERROR(INDEX([2]Packages!E:E, MATCH(1, ([2]Packages!A:A=B181)*([2]Packages!B:B=C181), 0)) - SUMIFS(D$2:D181, B$2:B181, B181, C$2:C181, C181),"")</f>
        <v/>
      </c>
    </row>
    <row r="182" spans="4:11" x14ac:dyDescent="0.45">
      <c r="D182" t="str">
        <f>IFERROR(VLOOKUP(C182,'Clients List'!$A:$F,2,FALSE),"")</f>
        <v/>
      </c>
      <c r="F182" s="1" t="str">
        <f>IF(OR(C182="",NOT(ISNUMBER(SEARCH("Package",D182)))),"",VLOOKUP(C182,'Clients List'!$A:$F,4,FALSE)-SUMIFS($E$2:$E182,$C$2:$C182,C182,$D$2:$D182,"*Package*"))</f>
        <v/>
      </c>
      <c r="G182" t="str">
        <f t="shared" si="6"/>
        <v/>
      </c>
      <c r="H182" s="33">
        <f>IF(ISNUMBER(SEARCH("Group",D182)),IF(G182="",E182,IFERROR(E182/COUNTIF($G2:$G6000,G182),E182)),E182)</f>
        <v>0</v>
      </c>
      <c r="I182" s="1" t="str">
        <f>IFERROR(VLOOKUP(C182,'Clients List'!A:F,6,FALSE),"")</f>
        <v/>
      </c>
      <c r="K182" s="23" t="str">
        <f>IFERROR(INDEX([2]Packages!E:E, MATCH(1, ([2]Packages!A:A=B182)*([2]Packages!B:B=C182), 0)) - SUMIFS(D$2:D182, B$2:B182, B182, C$2:C182, C182),"")</f>
        <v/>
      </c>
    </row>
    <row r="183" spans="4:11" x14ac:dyDescent="0.45">
      <c r="D183" t="str">
        <f>IFERROR(VLOOKUP(C183,'Clients List'!$A:$F,2,FALSE),"")</f>
        <v/>
      </c>
      <c r="F183" s="1" t="str">
        <f>IF(OR(C183="",NOT(ISNUMBER(SEARCH("Package",D183)))),"",VLOOKUP(C183,'Clients List'!$A:$F,4,FALSE)-SUMIFS($E$2:$E183,$C$2:$C183,C183,$D$2:$D183,"*Package*"))</f>
        <v/>
      </c>
      <c r="G183" t="str">
        <f t="shared" si="6"/>
        <v/>
      </c>
      <c r="H183" s="33">
        <f>IF(ISNUMBER(SEARCH("Group",D183)),IF(G183="",E183,IFERROR(E183/COUNTIF($G2:$G6000,G183),E183)),E183)</f>
        <v>0</v>
      </c>
      <c r="I183" s="1" t="str">
        <f>IFERROR(VLOOKUP(C183,'Clients List'!A:F,6,FALSE),"")</f>
        <v/>
      </c>
      <c r="K183" s="23" t="str">
        <f>IFERROR(INDEX([2]Packages!E:E, MATCH(1, ([2]Packages!A:A=B183)*([2]Packages!B:B=C183), 0)) - SUMIFS(D$2:D183, B$2:B183, B183, C$2:C183, C183),"")</f>
        <v/>
      </c>
    </row>
    <row r="184" spans="4:11" x14ac:dyDescent="0.45">
      <c r="D184" t="str">
        <f>IFERROR(VLOOKUP(C184,'Clients List'!$A:$F,2,FALSE),"")</f>
        <v/>
      </c>
      <c r="F184" s="1" t="str">
        <f>IF(OR(C184="",NOT(ISNUMBER(SEARCH("Package",D184)))),"",VLOOKUP(C184,'Clients List'!$A:$F,4,FALSE)-SUMIFS($E$2:$E184,$C$2:$C184,C184,$D$2:$D184,"*Package*"))</f>
        <v/>
      </c>
      <c r="G184" t="str">
        <f t="shared" si="6"/>
        <v/>
      </c>
      <c r="H184" s="33">
        <f>IF(ISNUMBER(SEARCH("Group",D184)),IF(G184="",E184,IFERROR(E184/COUNTIF($G2:$G6000,G184),E184)),E184)</f>
        <v>0</v>
      </c>
      <c r="I184" s="1" t="str">
        <f>IFERROR(VLOOKUP(C184,'Clients List'!A:F,6,FALSE),"")</f>
        <v/>
      </c>
      <c r="K184" s="23" t="str">
        <f>IFERROR(INDEX([2]Packages!E:E, MATCH(1, ([2]Packages!A:A=B184)*([2]Packages!B:B=C184), 0)) - SUMIFS(D$2:D184, B$2:B184, B184, C$2:C184, C184),"")</f>
        <v/>
      </c>
    </row>
    <row r="185" spans="4:11" x14ac:dyDescent="0.45">
      <c r="D185" t="str">
        <f>IFERROR(VLOOKUP(C185,'Clients List'!$A:$F,2,FALSE),"")</f>
        <v/>
      </c>
      <c r="F185" s="1" t="str">
        <f>IF(OR(C185="",NOT(ISNUMBER(SEARCH("Package",D185)))),"",VLOOKUP(C185,'Clients List'!$A:$F,4,FALSE)-SUMIFS($E$2:$E185,$C$2:$C185,C185,$D$2:$D185,"*Package*"))</f>
        <v/>
      </c>
      <c r="G185" t="str">
        <f t="shared" si="6"/>
        <v/>
      </c>
      <c r="H185" s="33">
        <f>IF(ISNUMBER(SEARCH("Group",D185)),IF(G185="",E185,IFERROR(E185/COUNTIF($G2:$G6000,G185),E185)),E185)</f>
        <v>0</v>
      </c>
      <c r="I185" s="1" t="str">
        <f>IFERROR(VLOOKUP(C185,'Clients List'!A:F,6,FALSE),"")</f>
        <v/>
      </c>
      <c r="K185" s="23" t="str">
        <f>IFERROR(INDEX([2]Packages!E:E, MATCH(1, ([2]Packages!A:A=B185)*([2]Packages!B:B=C185), 0)) - SUMIFS(D$2:D185, B$2:B185, B185, C$2:C185, C185),"")</f>
        <v/>
      </c>
    </row>
    <row r="186" spans="4:11" x14ac:dyDescent="0.45">
      <c r="D186" t="str">
        <f>IFERROR(VLOOKUP(C186,'Clients List'!$A:$F,2,FALSE),"")</f>
        <v/>
      </c>
      <c r="F186" s="1" t="str">
        <f>IF(OR(C186="",NOT(ISNUMBER(SEARCH("Package",D186)))),"",VLOOKUP(C186,'Clients List'!$A:$F,4,FALSE)-SUMIFS($E$2:$E186,$C$2:$C186,C186,$D$2:$D186,"*Package*"))</f>
        <v/>
      </c>
      <c r="G186" t="str">
        <f t="shared" si="6"/>
        <v/>
      </c>
      <c r="H186" s="33">
        <f>IF(ISNUMBER(SEARCH("Group",D186)),IF(G186="",E186,IFERROR(E186/COUNTIF($G2:$G6000,G186),E186)),E186)</f>
        <v>0</v>
      </c>
      <c r="I186" s="1" t="str">
        <f>IFERROR(VLOOKUP(C186,'Clients List'!A:F,6,FALSE),"")</f>
        <v/>
      </c>
      <c r="K186" s="23" t="str">
        <f>IFERROR(INDEX([2]Packages!E:E, MATCH(1, ([2]Packages!A:A=B186)*([2]Packages!B:B=C186), 0)) - SUMIFS(D$2:D186, B$2:B186, B186, C$2:C186, C186),"")</f>
        <v/>
      </c>
    </row>
    <row r="187" spans="4:11" x14ac:dyDescent="0.45">
      <c r="D187" t="str">
        <f>IFERROR(VLOOKUP(C187,'Clients List'!$A:$F,2,FALSE),"")</f>
        <v/>
      </c>
      <c r="F187" s="1" t="str">
        <f>IF(OR(C187="",NOT(ISNUMBER(SEARCH("Package",D187)))),"",VLOOKUP(C187,'Clients List'!$A:$F,4,FALSE)-SUMIFS($E$2:$E187,$C$2:$C187,C187,$D$2:$D187,"*Package*"))</f>
        <v/>
      </c>
      <c r="G187" t="str">
        <f t="shared" si="6"/>
        <v/>
      </c>
      <c r="H187" s="33">
        <f>IF(ISNUMBER(SEARCH("Group",D187)),IF(G187="",E187,IFERROR(E187/COUNTIF($G2:$G6000,G187),E187)),E187)</f>
        <v>0</v>
      </c>
      <c r="I187" s="1" t="str">
        <f>IFERROR(VLOOKUP(C187,'Clients List'!A:F,6,FALSE),"")</f>
        <v/>
      </c>
      <c r="K187" s="23" t="str">
        <f>IFERROR(INDEX([2]Packages!E:E, MATCH(1, ([2]Packages!A:A=B187)*([2]Packages!B:B=C187), 0)) - SUMIFS(D$2:D187, B$2:B187, B187, C$2:C187, C187),"")</f>
        <v/>
      </c>
    </row>
    <row r="188" spans="4:11" x14ac:dyDescent="0.45">
      <c r="D188" t="str">
        <f>IFERROR(VLOOKUP(C188,'Clients List'!$A:$F,2,FALSE),"")</f>
        <v/>
      </c>
      <c r="F188" s="1" t="str">
        <f>IF(OR(C188="",NOT(ISNUMBER(SEARCH("Package",D188)))),"",VLOOKUP(C188,'Clients List'!$A:$F,4,FALSE)-SUMIFS($E$2:$E188,$C$2:$C188,C188,$D$2:$D188,"*Package*"))</f>
        <v/>
      </c>
      <c r="G188" t="str">
        <f t="shared" si="6"/>
        <v/>
      </c>
      <c r="H188" s="33">
        <f>IF(ISNUMBER(SEARCH("Group",D188)),IF(G188="",E188,IFERROR(E188/COUNTIF($G2:$G6000,G188),E188)),E188)</f>
        <v>0</v>
      </c>
      <c r="I188" s="1" t="str">
        <f>IFERROR(VLOOKUP(C188,'Clients List'!A:F,6,FALSE),"")</f>
        <v/>
      </c>
      <c r="K188" s="23" t="str">
        <f>IFERROR(INDEX([2]Packages!E:E, MATCH(1, ([2]Packages!A:A=B188)*([2]Packages!B:B=C188), 0)) - SUMIFS(D$2:D188, B$2:B188, B188, C$2:C188, C188),"")</f>
        <v/>
      </c>
    </row>
    <row r="189" spans="4:11" x14ac:dyDescent="0.45">
      <c r="D189" t="str">
        <f>IFERROR(VLOOKUP(C189,'Clients List'!$A:$F,2,FALSE),"")</f>
        <v/>
      </c>
      <c r="F189" s="1" t="str">
        <f>IF(OR(C189="",NOT(ISNUMBER(SEARCH("Package",D189)))),"",VLOOKUP(C189,'Clients List'!$A:$F,4,FALSE)-SUMIFS($E$2:$E189,$C$2:$C189,C189,$D$2:$D189,"*Package*"))</f>
        <v/>
      </c>
      <c r="G189" t="str">
        <f t="shared" si="6"/>
        <v/>
      </c>
      <c r="H189" s="33">
        <f>IF(ISNUMBER(SEARCH("Group",D189)),IF(G189="",E189,IFERROR(E189/COUNTIF($G2:$G6000,G189),E189)),E189)</f>
        <v>0</v>
      </c>
      <c r="I189" s="1" t="str">
        <f>IFERROR(VLOOKUP(C189,'Clients List'!A:F,6,FALSE),"")</f>
        <v/>
      </c>
      <c r="K189" s="23" t="str">
        <f>IFERROR(INDEX([2]Packages!E:E, MATCH(1, ([2]Packages!A:A=B189)*([2]Packages!B:B=C189), 0)) - SUMIFS(D$2:D189, B$2:B189, B189, C$2:C189, C189),"")</f>
        <v/>
      </c>
    </row>
    <row r="190" spans="4:11" x14ac:dyDescent="0.45">
      <c r="D190" t="str">
        <f>IFERROR(VLOOKUP(C190,'Clients List'!$A:$F,2,FALSE),"")</f>
        <v/>
      </c>
      <c r="F190" s="1" t="str">
        <f>IF(OR(C190="",NOT(ISNUMBER(SEARCH("Package",D190)))),"",VLOOKUP(C190,'Clients List'!$A:$F,4,FALSE)-SUMIFS($E$2:$E190,$C$2:$C190,C190,$D$2:$D190,"*Package*"))</f>
        <v/>
      </c>
      <c r="G190" t="str">
        <f t="shared" si="6"/>
        <v/>
      </c>
      <c r="H190" s="33">
        <f>IF(ISNUMBER(SEARCH("Group",D190)),IF(G190="",E190,IFERROR(E190/COUNTIF($G2:$G6000,G190),E190)),E190)</f>
        <v>0</v>
      </c>
      <c r="I190" s="1" t="str">
        <f>IFERROR(VLOOKUP(C190,'Clients List'!A:F,6,FALSE),"")</f>
        <v/>
      </c>
      <c r="K190" s="23" t="str">
        <f>IFERROR(INDEX([2]Packages!E:E, MATCH(1, ([2]Packages!A:A=B190)*([2]Packages!B:B=C190), 0)) - SUMIFS(D$2:D190, B$2:B190, B190, C$2:C190, C190),"")</f>
        <v/>
      </c>
    </row>
    <row r="191" spans="4:11" x14ac:dyDescent="0.45">
      <c r="D191" t="str">
        <f>IFERROR(VLOOKUP(C191,'Clients List'!$A:$F,2,FALSE),"")</f>
        <v/>
      </c>
      <c r="F191" s="1" t="str">
        <f>IF(OR(C191="",NOT(ISNUMBER(SEARCH("Package",D191)))),"",VLOOKUP(C191,'Clients List'!$A:$F,4,FALSE)-SUMIFS($E$2:$E191,$C$2:$C191,C191,$D$2:$D191,"*Package*"))</f>
        <v/>
      </c>
      <c r="G191" t="str">
        <f t="shared" si="6"/>
        <v/>
      </c>
      <c r="H191" s="33">
        <f>IF(ISNUMBER(SEARCH("Group",D191)),IF(G191="",E191,IFERROR(E191/COUNTIF($G2:$G6000,G191),E191)),E191)</f>
        <v>0</v>
      </c>
      <c r="I191" s="1" t="str">
        <f>IFERROR(VLOOKUP(C191,'Clients List'!A:F,6,FALSE),"")</f>
        <v/>
      </c>
      <c r="K191" s="23" t="str">
        <f>IFERROR(INDEX([2]Packages!E:E, MATCH(1, ([2]Packages!A:A=B191)*([2]Packages!B:B=C191), 0)) - SUMIFS(D$2:D191, B$2:B191, B191, C$2:C191, C191),"")</f>
        <v/>
      </c>
    </row>
    <row r="192" spans="4:11" x14ac:dyDescent="0.45">
      <c r="D192" t="str">
        <f>IFERROR(VLOOKUP(C192,'Clients List'!$A:$F,2,FALSE),"")</f>
        <v/>
      </c>
      <c r="F192" s="1" t="str">
        <f>IF(OR(C192="",NOT(ISNUMBER(SEARCH("Package",D192)))),"",VLOOKUP(C192,'Clients List'!$A:$F,4,FALSE)-SUMIFS($E$2:$E192,$C$2:$C192,C192,$D$2:$D192,"*Package*"))</f>
        <v/>
      </c>
      <c r="G192" t="str">
        <f t="shared" si="6"/>
        <v/>
      </c>
      <c r="H192" s="33">
        <f>IF(ISNUMBER(SEARCH("Group",D192)),IF(G192="",E192,IFERROR(E192/COUNTIF($G2:$G6000,G192),E192)),E192)</f>
        <v>0</v>
      </c>
      <c r="I192" s="1" t="str">
        <f>IFERROR(VLOOKUP(C192,'Clients List'!A:F,6,FALSE),"")</f>
        <v/>
      </c>
      <c r="K192" s="23" t="str">
        <f>IFERROR(INDEX([2]Packages!E:E, MATCH(1, ([2]Packages!A:A=B192)*([2]Packages!B:B=C192), 0)) - SUMIFS(D$2:D192, B$2:B192, B192, C$2:C192, C192),"")</f>
        <v/>
      </c>
    </row>
    <row r="193" spans="4:11" x14ac:dyDescent="0.45">
      <c r="D193" t="str">
        <f>IFERROR(VLOOKUP(C193,'Clients List'!$A:$F,2,FALSE),"")</f>
        <v/>
      </c>
      <c r="F193" s="1" t="str">
        <f>IF(OR(C193="",NOT(ISNUMBER(SEARCH("Package",D193)))),"",VLOOKUP(C193,'Clients List'!$A:$F,4,FALSE)-SUMIFS($E$2:$E193,$C$2:$C193,C193,$D$2:$D193,"*Package*"))</f>
        <v/>
      </c>
      <c r="G193" t="str">
        <f t="shared" si="6"/>
        <v/>
      </c>
      <c r="H193" s="33">
        <f>IF(ISNUMBER(SEARCH("Group",D193)),IF(G193="",E193,IFERROR(E193/COUNTIF($G2:$G6000,G193),E193)),E193)</f>
        <v>0</v>
      </c>
      <c r="I193" s="1" t="str">
        <f>IFERROR(VLOOKUP(C193,'Clients List'!A:F,6,FALSE),"")</f>
        <v/>
      </c>
      <c r="K193" s="23" t="str">
        <f>IFERROR(INDEX([2]Packages!E:E, MATCH(1, ([2]Packages!A:A=B193)*([2]Packages!B:B=C193), 0)) - SUMIFS(D$2:D193, B$2:B193, B193, C$2:C193, C193),"")</f>
        <v/>
      </c>
    </row>
    <row r="194" spans="4:11" x14ac:dyDescent="0.45">
      <c r="D194" t="str">
        <f>IFERROR(VLOOKUP(C194,'Clients List'!$A:$F,2,FALSE),"")</f>
        <v/>
      </c>
      <c r="F194" s="1" t="str">
        <f>IF(OR(C194="",NOT(ISNUMBER(SEARCH("Package",D194)))),"",VLOOKUP(C194,'Clients List'!$A:$F,4,FALSE)-SUMIFS($E$2:$E194,$C$2:$C194,C194,$D$2:$D194,"*Package*"))</f>
        <v/>
      </c>
      <c r="G194" t="str">
        <f t="shared" si="6"/>
        <v/>
      </c>
      <c r="H194" s="33">
        <f>IF(ISNUMBER(SEARCH("Group",D194)),IF(G194="",E194,IFERROR(E194/COUNTIF($G2:$G6000,G194),E194)),E194)</f>
        <v>0</v>
      </c>
      <c r="I194" s="1" t="str">
        <f>IFERROR(VLOOKUP(C194,'Clients List'!A:F,6,FALSE),"")</f>
        <v/>
      </c>
      <c r="K194" s="23" t="str">
        <f>IFERROR(INDEX([2]Packages!E:E, MATCH(1, ([2]Packages!A:A=B194)*([2]Packages!B:B=C194), 0)) - SUMIFS(D$2:D194, B$2:B194, B194, C$2:C194, C194),"")</f>
        <v/>
      </c>
    </row>
    <row r="195" spans="4:11" x14ac:dyDescent="0.45">
      <c r="D195" t="str">
        <f>IFERROR(VLOOKUP(C195,'Clients List'!$A:$F,2,FALSE),"")</f>
        <v/>
      </c>
      <c r="F195" s="1" t="str">
        <f>IF(OR(C195="",NOT(ISNUMBER(SEARCH("Package",D195)))),"",VLOOKUP(C195,'Clients List'!$A:$F,4,FALSE)-SUMIFS($E$2:$E195,$C$2:$C195,C195,$D$2:$D195,"*Package*"))</f>
        <v/>
      </c>
      <c r="G195" t="str">
        <f t="shared" si="6"/>
        <v/>
      </c>
      <c r="H195" s="33">
        <f>IF(ISNUMBER(SEARCH("Group",D195)),IF(G195="",E195,IFERROR(E195/COUNTIF($G2:$G6000,G195),E195)),E195)</f>
        <v>0</v>
      </c>
      <c r="I195" s="1" t="str">
        <f>IFERROR(VLOOKUP(C195,'Clients List'!A:F,6,FALSE),"")</f>
        <v/>
      </c>
      <c r="K195" s="23" t="str">
        <f>IFERROR(INDEX([2]Packages!E:E, MATCH(1, ([2]Packages!A:A=B195)*([2]Packages!B:B=C195), 0)) - SUMIFS(D$2:D195, B$2:B195, B195, C$2:C195, C195),"")</f>
        <v/>
      </c>
    </row>
    <row r="196" spans="4:11" x14ac:dyDescent="0.45">
      <c r="D196" t="str">
        <f>IFERROR(VLOOKUP(C196,'Clients List'!$A:$F,2,FALSE),"")</f>
        <v/>
      </c>
      <c r="F196" s="1" t="str">
        <f>IF(OR(C196="",NOT(ISNUMBER(SEARCH("Package",D196)))),"",VLOOKUP(C196,'Clients List'!$A:$F,4,FALSE)-SUMIFS($E$2:$E196,$C$2:$C196,C196,$D$2:$D196,"*Package*"))</f>
        <v/>
      </c>
      <c r="G196" t="str">
        <f t="shared" si="6"/>
        <v/>
      </c>
      <c r="H196" s="33">
        <f>IF(ISNUMBER(SEARCH("Group",D196)),IF(G196="",E196,IFERROR(E196/COUNTIF($G2:$G6000,G196),E196)),E196)</f>
        <v>0</v>
      </c>
      <c r="I196" s="1" t="str">
        <f>IFERROR(VLOOKUP(C196,'Clients List'!A:F,6,FALSE),"")</f>
        <v/>
      </c>
      <c r="K196" s="23" t="str">
        <f>IFERROR(INDEX([2]Packages!E:E, MATCH(1, ([2]Packages!A:A=B196)*([2]Packages!B:B=C196), 0)) - SUMIFS(D$2:D196, B$2:B196, B196, C$2:C196, C196),"")</f>
        <v/>
      </c>
    </row>
    <row r="197" spans="4:11" x14ac:dyDescent="0.45">
      <c r="D197" t="str">
        <f>IFERROR(VLOOKUP(C197,'Clients List'!$A:$F,2,FALSE),"")</f>
        <v/>
      </c>
      <c r="F197" s="1" t="str">
        <f>IF(OR(C197="",NOT(ISNUMBER(SEARCH("Package",D197)))),"",VLOOKUP(C197,'Clients List'!$A:$F,4,FALSE)-SUMIFS($E$2:$E197,$C$2:$C197,C197,$D$2:$D197,"*Package*"))</f>
        <v/>
      </c>
      <c r="G197" t="str">
        <f t="shared" si="6"/>
        <v/>
      </c>
      <c r="H197" s="33">
        <f>IF(ISNUMBER(SEARCH("Group",D197)),IF(G197="",E197,IFERROR(E197/COUNTIF($G2:$G6000,G197),E197)),E197)</f>
        <v>0</v>
      </c>
      <c r="I197" s="1" t="str">
        <f>IFERROR(VLOOKUP(C197,'Clients List'!A:F,6,FALSE),"")</f>
        <v/>
      </c>
      <c r="K197" s="23" t="str">
        <f>IFERROR(INDEX([2]Packages!E:E, MATCH(1, ([2]Packages!A:A=B197)*([2]Packages!B:B=C197), 0)) - SUMIFS(D$2:D197, B$2:B197, B197, C$2:C197, C197),"")</f>
        <v/>
      </c>
    </row>
    <row r="198" spans="4:11" x14ac:dyDescent="0.45">
      <c r="D198" t="str">
        <f>IFERROR(VLOOKUP(C198,'Clients List'!$A:$F,2,FALSE),"")</f>
        <v/>
      </c>
      <c r="F198" s="1" t="str">
        <f>IF(OR(C198="",NOT(ISNUMBER(SEARCH("Package",D198)))),"",VLOOKUP(C198,'Clients List'!$A:$F,4,FALSE)-SUMIFS($E$2:$E198,$C$2:$C198,C198,$D$2:$D198,"*Package*"))</f>
        <v/>
      </c>
      <c r="G198" t="str">
        <f t="shared" si="6"/>
        <v/>
      </c>
      <c r="H198" s="33">
        <f>IF(ISNUMBER(SEARCH("Group",D198)),IF(G198="",E198,IFERROR(E198/COUNTIF($G2:$G6000,G198),E198)),E198)</f>
        <v>0</v>
      </c>
      <c r="I198" s="1" t="str">
        <f>IFERROR(VLOOKUP(C198,'Clients List'!A:F,6,FALSE),"")</f>
        <v/>
      </c>
      <c r="K198" s="23" t="str">
        <f>IFERROR(INDEX([2]Packages!E:E, MATCH(1, ([2]Packages!A:A=B198)*([2]Packages!B:B=C198), 0)) - SUMIFS(D$2:D198, B$2:B198, B198, C$2:C198, C198),"")</f>
        <v/>
      </c>
    </row>
    <row r="199" spans="4:11" x14ac:dyDescent="0.45">
      <c r="D199" t="str">
        <f>IFERROR(VLOOKUP(C199,'Clients List'!$A:$F,2,FALSE),"")</f>
        <v/>
      </c>
      <c r="F199" s="1" t="str">
        <f>IF(OR(C199="",NOT(ISNUMBER(SEARCH("Package",D199)))),"",VLOOKUP(C199,'Clients List'!$A:$F,4,FALSE)-SUMIFS($E$2:$E199,$C$2:$C199,C199,$D$2:$D199,"*Package*"))</f>
        <v/>
      </c>
      <c r="G199" t="str">
        <f t="shared" si="6"/>
        <v/>
      </c>
      <c r="H199" s="33">
        <f>IF(ISNUMBER(SEARCH("Group",D199)),IF(G199="",E199,IFERROR(E199/COUNTIF($G2:$G6000,G199),E199)),E199)</f>
        <v>0</v>
      </c>
      <c r="I199" s="1" t="str">
        <f>IFERROR(VLOOKUP(C199,'Clients List'!A:F,6,FALSE),"")</f>
        <v/>
      </c>
      <c r="K199" s="23" t="str">
        <f>IFERROR(INDEX([2]Packages!E:E, MATCH(1, ([2]Packages!A:A=B199)*([2]Packages!B:B=C199), 0)) - SUMIFS(D$2:D199, B$2:B199, B199, C$2:C199, C199),"")</f>
        <v/>
      </c>
    </row>
    <row r="200" spans="4:11" x14ac:dyDescent="0.45">
      <c r="D200" t="str">
        <f>IFERROR(VLOOKUP(C200,'Clients List'!$A:$F,2,FALSE),"")</f>
        <v/>
      </c>
      <c r="F200" s="1" t="str">
        <f>IF(OR(C200="",NOT(ISNUMBER(SEARCH("Package",D200)))),"",VLOOKUP(C200,'Clients List'!$A:$F,4,FALSE)-SUMIFS($E$2:$E200,$C$2:$C200,C200,$D$2:$D200,"*Package*"))</f>
        <v/>
      </c>
      <c r="G200" t="str">
        <f t="shared" si="6"/>
        <v/>
      </c>
      <c r="H200" s="33">
        <f>IF(ISNUMBER(SEARCH("Group",D200)),IF(G200="",E200,IFERROR(E200/COUNTIF($G2:$G6000,G200),E200)),E200)</f>
        <v>0</v>
      </c>
      <c r="I200" s="1" t="str">
        <f>IFERROR(VLOOKUP(C200,'Clients List'!A:F,6,FALSE),"")</f>
        <v/>
      </c>
      <c r="K200" s="23" t="str">
        <f>IFERROR(INDEX([2]Packages!E:E, MATCH(1, ([2]Packages!A:A=B200)*([2]Packages!B:B=C200), 0)) - SUMIFS(D$2:D200, B$2:B200, B200, C$2:C200, C200),"")</f>
        <v/>
      </c>
    </row>
    <row r="201" spans="4:11" x14ac:dyDescent="0.45">
      <c r="D201" t="str">
        <f>IFERROR(VLOOKUP(C201,'Clients List'!$A:$F,2,FALSE),"")</f>
        <v/>
      </c>
      <c r="F201" s="1" t="str">
        <f>IF(OR(C201="",NOT(ISNUMBER(SEARCH("Package",D201)))),"",VLOOKUP(C201,'Clients List'!$A:$F,4,FALSE)-SUMIFS($E$2:$E201,$C$2:$C201,C201,$D$2:$D201,"*Package*"))</f>
        <v/>
      </c>
      <c r="G201" t="str">
        <f t="shared" si="6"/>
        <v/>
      </c>
      <c r="H201" s="33">
        <f>IF(ISNUMBER(SEARCH("Group",D201)),IF(G201="",E201,IFERROR(E201/COUNTIF($G2:$G6000,G201),E201)),E201)</f>
        <v>0</v>
      </c>
      <c r="I201" s="1" t="str">
        <f>IFERROR(VLOOKUP(C201,'Clients List'!A:F,6,FALSE),"")</f>
        <v/>
      </c>
      <c r="K201" s="23" t="str">
        <f>IFERROR(INDEX([2]Packages!E:E, MATCH(1, ([2]Packages!A:A=B201)*([2]Packages!B:B=C201), 0)) - SUMIFS(D$2:D201, B$2:B201, B201, C$2:C201, C201),"")</f>
        <v/>
      </c>
    </row>
    <row r="202" spans="4:11" x14ac:dyDescent="0.45">
      <c r="D202" t="str">
        <f>IFERROR(VLOOKUP(C202,'Clients List'!$A:$F,2,FALSE),"")</f>
        <v/>
      </c>
      <c r="F202" s="1" t="str">
        <f>IF(OR(C202="",NOT(ISNUMBER(SEARCH("Package",D202)))),"",VLOOKUP(C202,'Clients List'!$A:$F,4,FALSE)-SUMIFS($E$2:$E202,$C$2:$C202,C202,$D$2:$D202,"*Package*"))</f>
        <v/>
      </c>
      <c r="G202" t="str">
        <f t="shared" si="6"/>
        <v/>
      </c>
      <c r="H202" s="33">
        <f>IF(ISNUMBER(SEARCH("Group",D202)),IF(G202="",E202,IFERROR(E202/COUNTIF($G2:$G6000,G202),E202)),E202)</f>
        <v>0</v>
      </c>
      <c r="I202" s="1" t="str">
        <f>IFERROR(VLOOKUP(C202,'Clients List'!A:F,6,FALSE),"")</f>
        <v/>
      </c>
      <c r="K202" s="23" t="str">
        <f>IFERROR(INDEX([2]Packages!E:E, MATCH(1, ([2]Packages!A:A=B202)*([2]Packages!B:B=C202), 0)) - SUMIFS(D$2:D202, B$2:B202, B202, C$2:C202, C202),"")</f>
        <v/>
      </c>
    </row>
    <row r="203" spans="4:11" x14ac:dyDescent="0.45">
      <c r="D203" t="str">
        <f>IFERROR(VLOOKUP(C203,'Clients List'!$A:$F,2,FALSE),"")</f>
        <v/>
      </c>
      <c r="F203" s="1" t="str">
        <f>IF(OR(C203="",NOT(ISNUMBER(SEARCH("Package",D203)))),"",VLOOKUP(C203,'Clients List'!$A:$F,4,FALSE)-SUMIFS($E$2:$E203,$C$2:$C203,C203,$D$2:$D203,"*Package*"))</f>
        <v/>
      </c>
      <c r="G203" t="str">
        <f t="shared" si="6"/>
        <v/>
      </c>
      <c r="H203" s="33">
        <f>IF(ISNUMBER(SEARCH("Group",D203)),IF(G203="",E203,IFERROR(E203/COUNTIF($G2:$G6000,G203),E203)),E203)</f>
        <v>0</v>
      </c>
      <c r="I203" s="1" t="str">
        <f>IFERROR(VLOOKUP(C203,'Clients List'!A:F,6,FALSE),"")</f>
        <v/>
      </c>
      <c r="K203" s="23" t="str">
        <f>IFERROR(INDEX([2]Packages!E:E, MATCH(1, ([2]Packages!A:A=B203)*([2]Packages!B:B=C203), 0)) - SUMIFS(D$2:D203, B$2:B203, B203, C$2:C203, C203),"")</f>
        <v/>
      </c>
    </row>
    <row r="204" spans="4:11" x14ac:dyDescent="0.45">
      <c r="D204" t="str">
        <f>IFERROR(VLOOKUP(C204,'Clients List'!$A:$F,2,FALSE),"")</f>
        <v/>
      </c>
      <c r="F204" s="1" t="str">
        <f>IF(OR(C204="",NOT(ISNUMBER(SEARCH("Package",D204)))),"",VLOOKUP(C204,'Clients List'!$A:$F,4,FALSE)-SUMIFS($E$2:$E204,$C$2:$C204,C204,$D$2:$D204,"*Package*"))</f>
        <v/>
      </c>
      <c r="G204" t="str">
        <f t="shared" si="6"/>
        <v/>
      </c>
      <c r="H204" s="33">
        <f>IF(ISNUMBER(SEARCH("Group",D204)),IF(G204="",E204,IFERROR(E204/COUNTIF($G2:$G6000,G204),E204)),E204)</f>
        <v>0</v>
      </c>
      <c r="I204" s="1" t="str">
        <f>IFERROR(VLOOKUP(C204,'Clients List'!A:F,6,FALSE),"")</f>
        <v/>
      </c>
      <c r="K204" s="23" t="str">
        <f>IFERROR(INDEX([2]Packages!E:E, MATCH(1, ([2]Packages!A:A=B204)*([2]Packages!B:B=C204), 0)) - SUMIFS(D$2:D204, B$2:B204, B204, C$2:C204, C204),"")</f>
        <v/>
      </c>
    </row>
    <row r="205" spans="4:11" x14ac:dyDescent="0.45">
      <c r="D205" t="str">
        <f>IFERROR(VLOOKUP(C205,'Clients List'!$A:$F,2,FALSE),"")</f>
        <v/>
      </c>
      <c r="F205" s="1" t="str">
        <f>IF(OR(C205="",NOT(ISNUMBER(SEARCH("Package",D205)))),"",VLOOKUP(C205,'Clients List'!$A:$F,4,FALSE)-SUMIFS($E$2:$E205,$C$2:$C205,C205,$D$2:$D205,"*Package*"))</f>
        <v/>
      </c>
      <c r="G205" t="str">
        <f t="shared" si="6"/>
        <v/>
      </c>
      <c r="H205" s="33">
        <f>IF(ISNUMBER(SEARCH("Group",D205)),IF(G205="",E205,IFERROR(E205/COUNTIF($G2:$G6000,G205),E205)),E205)</f>
        <v>0</v>
      </c>
      <c r="I205" s="1" t="str">
        <f>IFERROR(VLOOKUP(C205,'Clients List'!A:F,6,FALSE),"")</f>
        <v/>
      </c>
      <c r="K205" s="23" t="str">
        <f>IFERROR(INDEX([2]Packages!E:E, MATCH(1, ([2]Packages!A:A=B205)*([2]Packages!B:B=C205), 0)) - SUMIFS(D$2:D205, B$2:B205, B205, C$2:C205, C205),"")</f>
        <v/>
      </c>
    </row>
    <row r="206" spans="4:11" x14ac:dyDescent="0.45">
      <c r="D206" t="str">
        <f>IFERROR(VLOOKUP(C206,'Clients List'!$A:$F,2,FALSE),"")</f>
        <v/>
      </c>
      <c r="F206" s="1" t="str">
        <f>IF(OR(C206="",NOT(ISNUMBER(SEARCH("Package",D206)))),"",VLOOKUP(C206,'Clients List'!$A:$F,4,FALSE)-SUMIFS($E$2:$E206,$C$2:$C206,C206,$D$2:$D206,"*Package*"))</f>
        <v/>
      </c>
      <c r="G206" t="str">
        <f t="shared" si="6"/>
        <v/>
      </c>
      <c r="H206" s="33">
        <f>IF(ISNUMBER(SEARCH("Group",D206)),IF(G206="",E206,IFERROR(E206/COUNTIF($G2:$G6000,G206),E206)),E206)</f>
        <v>0</v>
      </c>
      <c r="I206" s="1" t="str">
        <f>IFERROR(VLOOKUP(C206,'Clients List'!A:F,6,FALSE),"")</f>
        <v/>
      </c>
      <c r="K206" s="23" t="str">
        <f>IFERROR(INDEX([2]Packages!E:E, MATCH(1, ([2]Packages!A:A=B206)*([2]Packages!B:B=C206), 0)) - SUMIFS(D$2:D206, B$2:B206, B206, C$2:C206, C206),"")</f>
        <v/>
      </c>
    </row>
    <row r="207" spans="4:11" x14ac:dyDescent="0.45">
      <c r="D207" t="str">
        <f>IFERROR(VLOOKUP(C207,'Clients List'!$A:$F,2,FALSE),"")</f>
        <v/>
      </c>
      <c r="F207" s="1" t="str">
        <f>IF(OR(C207="",NOT(ISNUMBER(SEARCH("Package",D207)))),"",VLOOKUP(C207,'Clients List'!$A:$F,4,FALSE)-SUMIFS($E$2:$E207,$C$2:$C207,C207,$D$2:$D207,"*Package*"))</f>
        <v/>
      </c>
      <c r="G207" t="str">
        <f t="shared" si="6"/>
        <v/>
      </c>
      <c r="H207" s="33">
        <f>IF(ISNUMBER(SEARCH("Group",D207)),IF(G207="",E207,IFERROR(E207/COUNTIF($G2:$G6000,G207),E207)),E207)</f>
        <v>0</v>
      </c>
      <c r="I207" s="1" t="str">
        <f>IFERROR(VLOOKUP(C207,'Clients List'!A:F,6,FALSE),"")</f>
        <v/>
      </c>
      <c r="K207" s="23" t="str">
        <f>IFERROR(INDEX([2]Packages!E:E, MATCH(1, ([2]Packages!A:A=B207)*([2]Packages!B:B=C207), 0)) - SUMIFS(D$2:D207, B$2:B207, B207, C$2:C207, C207),"")</f>
        <v/>
      </c>
    </row>
    <row r="208" spans="4:11" x14ac:dyDescent="0.45">
      <c r="D208" t="str">
        <f>IFERROR(VLOOKUP(C208,'Clients List'!$A:$F,2,FALSE),"")</f>
        <v/>
      </c>
      <c r="F208" s="1" t="str">
        <f>IF(OR(C208="",NOT(ISNUMBER(SEARCH("Package",D208)))),"",VLOOKUP(C208,'Clients List'!$A:$F,4,FALSE)-SUMIFS($E$2:$E208,$C$2:$C208,C208,$D$2:$D208,"*Package*"))</f>
        <v/>
      </c>
      <c r="G208" t="str">
        <f t="shared" si="6"/>
        <v/>
      </c>
      <c r="H208" s="33">
        <f>IF(ISNUMBER(SEARCH("Group",D208)),IF(G208="",E208,IFERROR(E208/COUNTIF($G2:$G6000,G208),E208)),E208)</f>
        <v>0</v>
      </c>
      <c r="I208" s="1" t="str">
        <f>IFERROR(VLOOKUP(C208,'Clients List'!A:F,6,FALSE),"")</f>
        <v/>
      </c>
      <c r="K208" s="23" t="str">
        <f>IFERROR(INDEX([2]Packages!E:E, MATCH(1, ([2]Packages!A:A=B208)*([2]Packages!B:B=C208), 0)) - SUMIFS(D$2:D208, B$2:B208, B208, C$2:C208, C208),"")</f>
        <v/>
      </c>
    </row>
    <row r="209" spans="4:11" x14ac:dyDescent="0.45">
      <c r="D209" t="str">
        <f>IFERROR(VLOOKUP(C209,'Clients List'!$A:$F,2,FALSE),"")</f>
        <v/>
      </c>
      <c r="F209" s="1" t="str">
        <f>IF(OR(C209="",NOT(ISNUMBER(SEARCH("Package",D209)))),"",VLOOKUP(C209,'Clients List'!$A:$F,4,FALSE)-SUMIFS($E$2:$E209,$C$2:$C209,C209,$D$2:$D209,"*Package*"))</f>
        <v/>
      </c>
      <c r="G209" t="str">
        <f t="shared" si="6"/>
        <v/>
      </c>
      <c r="H209" s="33">
        <f>IF(ISNUMBER(SEARCH("Group",D209)),IF(G209="",E209,IFERROR(E209/COUNTIF($G2:$G6000,G209),E209)),E209)</f>
        <v>0</v>
      </c>
      <c r="I209" s="1" t="str">
        <f>IFERROR(VLOOKUP(C209,'Clients List'!A:F,6,FALSE),"")</f>
        <v/>
      </c>
      <c r="K209" s="23" t="str">
        <f>IFERROR(INDEX([2]Packages!E:E, MATCH(1, ([2]Packages!A:A=B209)*([2]Packages!B:B=C209), 0)) - SUMIFS(D$2:D209, B$2:B209, B209, C$2:C209, C209),"")</f>
        <v/>
      </c>
    </row>
    <row r="210" spans="4:11" x14ac:dyDescent="0.45">
      <c r="D210" t="str">
        <f>IFERROR(VLOOKUP(C210,'Clients List'!$A:$F,2,FALSE),"")</f>
        <v/>
      </c>
      <c r="F210" s="1" t="str">
        <f>IF(OR(C210="",NOT(ISNUMBER(SEARCH("Package",D210)))),"",VLOOKUP(C210,'Clients List'!$A:$F,4,FALSE)-SUMIFS($E$2:$E210,$C$2:$C210,C210,$D$2:$D210,"*Package*"))</f>
        <v/>
      </c>
      <c r="G210" t="str">
        <f t="shared" ref="G210:G241" si="7">IF(ISNUMBER(SEARCH("Group",D210)),IFERROR("GRP-"&amp;TEXT(IF(ISNUMBER(A210),A210,DATEVALUE(A210)),"yyyymmdd"),""),"" )</f>
        <v/>
      </c>
      <c r="H210" s="33">
        <f>IF(ISNUMBER(SEARCH("Group",D210)),IF(G210="",E210,IFERROR(E210/COUNTIF($G2:$G6000,G210),E210)),E210)</f>
        <v>0</v>
      </c>
      <c r="I210" s="1" t="str">
        <f>IFERROR(VLOOKUP(C210,'Clients List'!A:F,6,FALSE),"")</f>
        <v/>
      </c>
      <c r="K210" s="23" t="str">
        <f>IFERROR(INDEX([2]Packages!E:E, MATCH(1, ([2]Packages!A:A=B210)*([2]Packages!B:B=C210), 0)) - SUMIFS(D$2:D210, B$2:B210, B210, C$2:C210, C210),"")</f>
        <v/>
      </c>
    </row>
    <row r="211" spans="4:11" x14ac:dyDescent="0.45">
      <c r="D211" t="str">
        <f>IFERROR(VLOOKUP(C211,'Clients List'!$A:$F,2,FALSE),"")</f>
        <v/>
      </c>
      <c r="F211" s="1" t="str">
        <f>IF(OR(C211="",NOT(ISNUMBER(SEARCH("Package",D211)))),"",VLOOKUP(C211,'Clients List'!$A:$F,4,FALSE)-SUMIFS($E$2:$E211,$C$2:$C211,C211,$D$2:$D211,"*Package*"))</f>
        <v/>
      </c>
      <c r="G211" t="str">
        <f t="shared" si="7"/>
        <v/>
      </c>
      <c r="H211" s="33">
        <f>IF(ISNUMBER(SEARCH("Group",D211)),IF(G211="",E211,IFERROR(E211/COUNTIF($G2:$G6000,G211),E211)),E211)</f>
        <v>0</v>
      </c>
      <c r="I211" s="1" t="str">
        <f>IFERROR(VLOOKUP(C211,'Clients List'!A:F,6,FALSE),"")</f>
        <v/>
      </c>
      <c r="K211" s="23" t="str">
        <f>IFERROR(INDEX([2]Packages!E:E, MATCH(1, ([2]Packages!A:A=B211)*([2]Packages!B:B=C211), 0)) - SUMIFS(D$2:D211, B$2:B211, B211, C$2:C211, C211),"")</f>
        <v/>
      </c>
    </row>
    <row r="212" spans="4:11" x14ac:dyDescent="0.45">
      <c r="D212" t="str">
        <f>IFERROR(VLOOKUP(C212,'Clients List'!$A:$F,2,FALSE),"")</f>
        <v/>
      </c>
      <c r="F212" s="1" t="str">
        <f>IF(OR(C212="",NOT(ISNUMBER(SEARCH("Package",D212)))),"",VLOOKUP(C212,'Clients List'!$A:$F,4,FALSE)-SUMIFS($E$2:$E212,$C$2:$C212,C212,$D$2:$D212,"*Package*"))</f>
        <v/>
      </c>
      <c r="G212" t="str">
        <f t="shared" si="7"/>
        <v/>
      </c>
      <c r="H212" s="33">
        <f>IF(ISNUMBER(SEARCH("Group",D212)),IF(G212="",E212,IFERROR(E212/COUNTIF($G2:$G6000,G212),E212)),E212)</f>
        <v>0</v>
      </c>
      <c r="I212" s="1" t="str">
        <f>IFERROR(VLOOKUP(C212,'Clients List'!A:F,6,FALSE),"")</f>
        <v/>
      </c>
      <c r="K212" s="23" t="str">
        <f>IFERROR(INDEX([2]Packages!E:E, MATCH(1, ([2]Packages!A:A=B212)*([2]Packages!B:B=C212), 0)) - SUMIFS(D$2:D212, B$2:B212, B212, C$2:C212, C212),"")</f>
        <v/>
      </c>
    </row>
    <row r="213" spans="4:11" x14ac:dyDescent="0.45">
      <c r="D213" t="str">
        <f>IFERROR(VLOOKUP(C213,'Clients List'!$A:$F,2,FALSE),"")</f>
        <v/>
      </c>
      <c r="F213" s="1" t="str">
        <f>IF(OR(C213="",NOT(ISNUMBER(SEARCH("Package",D213)))),"",VLOOKUP(C213,'Clients List'!$A:$F,4,FALSE)-SUMIFS($E$2:$E213,$C$2:$C213,C213,$D$2:$D213,"*Package*"))</f>
        <v/>
      </c>
      <c r="G213" t="str">
        <f t="shared" si="7"/>
        <v/>
      </c>
      <c r="H213" s="33">
        <f>IF(ISNUMBER(SEARCH("Group",D213)),IF(G213="",E213,IFERROR(E213/COUNTIF($G2:$G6000,G213),E213)),E213)</f>
        <v>0</v>
      </c>
      <c r="I213" s="1" t="str">
        <f>IFERROR(VLOOKUP(C213,'Clients List'!A:F,6,FALSE),"")</f>
        <v/>
      </c>
      <c r="K213" s="23" t="str">
        <f>IFERROR(INDEX([2]Packages!E:E, MATCH(1, ([2]Packages!A:A=B213)*([2]Packages!B:B=C213), 0)) - SUMIFS(D$2:D213, B$2:B213, B213, C$2:C213, C213),"")</f>
        <v/>
      </c>
    </row>
    <row r="214" spans="4:11" x14ac:dyDescent="0.45">
      <c r="D214" t="str">
        <f>IFERROR(VLOOKUP(C214,'Clients List'!$A:$F,2,FALSE),"")</f>
        <v/>
      </c>
      <c r="F214" s="1" t="str">
        <f>IF(OR(C214="",NOT(ISNUMBER(SEARCH("Package",D214)))),"",VLOOKUP(C214,'Clients List'!$A:$F,4,FALSE)-SUMIFS($E$2:$E214,$C$2:$C214,C214,$D$2:$D214,"*Package*"))</f>
        <v/>
      </c>
      <c r="G214" t="str">
        <f t="shared" si="7"/>
        <v/>
      </c>
      <c r="H214" s="33">
        <f>IF(ISNUMBER(SEARCH("Group",D214)),IF(G214="",E214,IFERROR(E214/COUNTIF($G2:$G6000,G214),E214)),E214)</f>
        <v>0</v>
      </c>
      <c r="I214" s="1" t="str">
        <f>IFERROR(VLOOKUP(C214,'Clients List'!A:F,6,FALSE),"")</f>
        <v/>
      </c>
      <c r="K214" s="23" t="str">
        <f>IFERROR(INDEX([2]Packages!E:E, MATCH(1, ([2]Packages!A:A=B214)*([2]Packages!B:B=C214), 0)) - SUMIFS(D$2:D214, B$2:B214, B214, C$2:C214, C214),"")</f>
        <v/>
      </c>
    </row>
    <row r="215" spans="4:11" x14ac:dyDescent="0.45">
      <c r="D215" t="str">
        <f>IFERROR(VLOOKUP(C215,'Clients List'!$A:$F,2,FALSE),"")</f>
        <v/>
      </c>
      <c r="F215" s="1" t="str">
        <f>IF(OR(C215="",NOT(ISNUMBER(SEARCH("Package",D215)))),"",VLOOKUP(C215,'Clients List'!$A:$F,4,FALSE)-SUMIFS($E$2:$E215,$C$2:$C215,C215,$D$2:$D215,"*Package*"))</f>
        <v/>
      </c>
      <c r="G215" t="str">
        <f t="shared" si="7"/>
        <v/>
      </c>
      <c r="H215" s="33">
        <f>IF(ISNUMBER(SEARCH("Group",D215)),IF(G215="",E215,IFERROR(E215/COUNTIF($G2:$G6000,G215),E215)),E215)</f>
        <v>0</v>
      </c>
      <c r="I215" s="1" t="str">
        <f>IFERROR(VLOOKUP(C215,'Clients List'!A:F,6,FALSE),"")</f>
        <v/>
      </c>
      <c r="K215" s="23" t="str">
        <f>IFERROR(INDEX([2]Packages!E:E, MATCH(1, ([2]Packages!A:A=B215)*([2]Packages!B:B=C215), 0)) - SUMIFS(D$2:D215, B$2:B215, B215, C$2:C215, C215),"")</f>
        <v/>
      </c>
    </row>
    <row r="216" spans="4:11" x14ac:dyDescent="0.45">
      <c r="D216" t="str">
        <f>IFERROR(VLOOKUP(C216,'Clients List'!$A:$F,2,FALSE),"")</f>
        <v/>
      </c>
      <c r="F216" s="1" t="str">
        <f>IF(OR(C216="",NOT(ISNUMBER(SEARCH("Package",D216)))),"",VLOOKUP(C216,'Clients List'!$A:$F,4,FALSE)-SUMIFS($E$2:$E216,$C$2:$C216,C216,$D$2:$D216,"*Package*"))</f>
        <v/>
      </c>
      <c r="G216" t="str">
        <f t="shared" si="7"/>
        <v/>
      </c>
      <c r="H216" s="33">
        <f>IF(ISNUMBER(SEARCH("Group",D216)),IF(G216="",E216,IFERROR(E216/COUNTIF($G2:$G6000,G216),E216)),E216)</f>
        <v>0</v>
      </c>
      <c r="I216" s="1" t="str">
        <f>IFERROR(VLOOKUP(C216,'Clients List'!A:F,6,FALSE),"")</f>
        <v/>
      </c>
      <c r="K216" s="23" t="str">
        <f>IFERROR(INDEX([2]Packages!E:E, MATCH(1, ([2]Packages!A:A=B216)*([2]Packages!B:B=C216), 0)) - SUMIFS(D$2:D216, B$2:B216, B216, C$2:C216, C216),"")</f>
        <v/>
      </c>
    </row>
    <row r="217" spans="4:11" x14ac:dyDescent="0.45">
      <c r="D217" t="str">
        <f>IFERROR(VLOOKUP(C217,'Clients List'!$A:$F,2,FALSE),"")</f>
        <v/>
      </c>
      <c r="F217" s="1" t="str">
        <f>IF(OR(C217="",NOT(ISNUMBER(SEARCH("Package",D217)))),"",VLOOKUP(C217,'Clients List'!$A:$F,4,FALSE)-SUMIFS($E$2:$E217,$C$2:$C217,C217,$D$2:$D217,"*Package*"))</f>
        <v/>
      </c>
      <c r="G217" t="str">
        <f t="shared" si="7"/>
        <v/>
      </c>
      <c r="H217" s="33">
        <f>IF(ISNUMBER(SEARCH("Group",D217)),IF(G217="",E217,IFERROR(E217/COUNTIF($G2:$G6000,G217),E217)),E217)</f>
        <v>0</v>
      </c>
      <c r="I217" s="1" t="str">
        <f>IFERROR(VLOOKUP(C217,'Clients List'!A:F,6,FALSE),"")</f>
        <v/>
      </c>
      <c r="K217" s="23" t="str">
        <f>IFERROR(INDEX([2]Packages!E:E, MATCH(1, ([2]Packages!A:A=B217)*([2]Packages!B:B=C217), 0)) - SUMIFS(D$2:D217, B$2:B217, B217, C$2:C217, C217),"")</f>
        <v/>
      </c>
    </row>
    <row r="218" spans="4:11" x14ac:dyDescent="0.45">
      <c r="D218" t="str">
        <f>IFERROR(VLOOKUP(C218,'Clients List'!$A:$F,2,FALSE),"")</f>
        <v/>
      </c>
      <c r="F218" s="1" t="str">
        <f>IF(OR(C218="",NOT(ISNUMBER(SEARCH("Package",D218)))),"",VLOOKUP(C218,'Clients List'!$A:$F,4,FALSE)-SUMIFS($E$2:$E218,$C$2:$C218,C218,$D$2:$D218,"*Package*"))</f>
        <v/>
      </c>
      <c r="G218" t="str">
        <f t="shared" si="7"/>
        <v/>
      </c>
      <c r="H218" s="33">
        <f>IF(ISNUMBER(SEARCH("Group",D218)),IF(G218="",E218,IFERROR(E218/COUNTIF($G2:$G6000,G218),E218)),E218)</f>
        <v>0</v>
      </c>
      <c r="I218" s="1" t="str">
        <f>IFERROR(VLOOKUP(C218,'Clients List'!A:F,6,FALSE),"")</f>
        <v/>
      </c>
      <c r="K218" s="23" t="str">
        <f>IFERROR(INDEX([2]Packages!E:E, MATCH(1, ([2]Packages!A:A=B218)*([2]Packages!B:B=C218), 0)) - SUMIFS(D$2:D218, B$2:B218, B218, C$2:C218, C218),"")</f>
        <v/>
      </c>
    </row>
    <row r="219" spans="4:11" x14ac:dyDescent="0.45">
      <c r="D219" t="str">
        <f>IFERROR(VLOOKUP(C219,'Clients List'!$A:$F,2,FALSE),"")</f>
        <v/>
      </c>
      <c r="F219" s="1" t="str">
        <f>IF(OR(C219="",NOT(ISNUMBER(SEARCH("Package",D219)))),"",VLOOKUP(C219,'Clients List'!$A:$F,4,FALSE)-SUMIFS($E$2:$E219,$C$2:$C219,C219,$D$2:$D219,"*Package*"))</f>
        <v/>
      </c>
      <c r="G219" t="str">
        <f t="shared" si="7"/>
        <v/>
      </c>
      <c r="H219" s="33">
        <f>IF(ISNUMBER(SEARCH("Group",D219)),IF(G219="",E219,IFERROR(E219/COUNTIF($G2:$G6000,G219),E219)),E219)</f>
        <v>0</v>
      </c>
      <c r="I219" s="1" t="str">
        <f>IFERROR(VLOOKUP(C219,'Clients List'!A:F,6,FALSE),"")</f>
        <v/>
      </c>
      <c r="K219" s="23" t="str">
        <f>IFERROR(INDEX([2]Packages!E:E, MATCH(1, ([2]Packages!A:A=B219)*([2]Packages!B:B=C219), 0)) - SUMIFS(D$2:D219, B$2:B219, B219, C$2:C219, C219),"")</f>
        <v/>
      </c>
    </row>
    <row r="220" spans="4:11" x14ac:dyDescent="0.45">
      <c r="D220" t="str">
        <f>IFERROR(VLOOKUP(C220,'Clients List'!$A:$F,2,FALSE),"")</f>
        <v/>
      </c>
      <c r="F220" s="1" t="str">
        <f>IF(OR(C220="",NOT(ISNUMBER(SEARCH("Package",D220)))),"",VLOOKUP(C220,'Clients List'!$A:$F,4,FALSE)-SUMIFS($E$2:$E220,$C$2:$C220,C220,$D$2:$D220,"*Package*"))</f>
        <v/>
      </c>
      <c r="G220" t="str">
        <f t="shared" si="7"/>
        <v/>
      </c>
      <c r="H220" s="33">
        <f>IF(ISNUMBER(SEARCH("Group",D220)),IF(G220="",E220,IFERROR(E220/COUNTIF($G2:$G6000,G220),E220)),E220)</f>
        <v>0</v>
      </c>
      <c r="I220" s="1" t="str">
        <f>IFERROR(VLOOKUP(C220,'Clients List'!A:F,6,FALSE),"")</f>
        <v/>
      </c>
      <c r="K220" s="23" t="str">
        <f>IFERROR(INDEX([2]Packages!E:E, MATCH(1, ([2]Packages!A:A=B220)*([2]Packages!B:B=C220), 0)) - SUMIFS(D$2:D220, B$2:B220, B220, C$2:C220, C220),"")</f>
        <v/>
      </c>
    </row>
    <row r="221" spans="4:11" x14ac:dyDescent="0.45">
      <c r="D221" t="str">
        <f>IFERROR(VLOOKUP(C221,'Clients List'!$A:$F,2,FALSE),"")</f>
        <v/>
      </c>
      <c r="F221" s="1" t="str">
        <f>IF(OR(C221="",NOT(ISNUMBER(SEARCH("Package",D221)))),"",VLOOKUP(C221,'Clients List'!$A:$F,4,FALSE)-SUMIFS($E$2:$E221,$C$2:$C221,C221,$D$2:$D221,"*Package*"))</f>
        <v/>
      </c>
      <c r="G221" t="str">
        <f t="shared" si="7"/>
        <v/>
      </c>
      <c r="H221" s="33">
        <f>IF(ISNUMBER(SEARCH("Group",D221)),IF(G221="",E221,IFERROR(E221/COUNTIF($G2:$G6000,G221),E221)),E221)</f>
        <v>0</v>
      </c>
      <c r="I221" s="1" t="str">
        <f>IFERROR(VLOOKUP(C221,'Clients List'!A:F,6,FALSE),"")</f>
        <v/>
      </c>
      <c r="K221" s="23" t="str">
        <f>IFERROR(INDEX([2]Packages!E:E, MATCH(1, ([2]Packages!A:A=B221)*([2]Packages!B:B=C221), 0)) - SUMIFS(D$2:D221, B$2:B221, B221, C$2:C221, C221),"")</f>
        <v/>
      </c>
    </row>
    <row r="222" spans="4:11" x14ac:dyDescent="0.45">
      <c r="D222" t="str">
        <f>IFERROR(VLOOKUP(C222,'Clients List'!$A:$F,2,FALSE),"")</f>
        <v/>
      </c>
      <c r="F222" s="1" t="str">
        <f>IF(OR(C222="",NOT(ISNUMBER(SEARCH("Package",D222)))),"",VLOOKUP(C222,'Clients List'!$A:$F,4,FALSE)-SUMIFS($E$2:$E222,$C$2:$C222,C222,$D$2:$D222,"*Package*"))</f>
        <v/>
      </c>
      <c r="G222" t="str">
        <f t="shared" si="7"/>
        <v/>
      </c>
      <c r="H222" s="33">
        <f>IF(ISNUMBER(SEARCH("Group",D222)),IF(G222="",E222,IFERROR(E222/COUNTIF($G2:$G6000,G222),E222)),E222)</f>
        <v>0</v>
      </c>
      <c r="I222" s="1" t="str">
        <f>IFERROR(VLOOKUP(C222,'Clients List'!A:F,6,FALSE),"")</f>
        <v/>
      </c>
      <c r="K222" s="23" t="str">
        <f>IFERROR(INDEX([2]Packages!E:E, MATCH(1, ([2]Packages!A:A=B222)*([2]Packages!B:B=C222), 0)) - SUMIFS(D$2:D222, B$2:B222, B222, C$2:C222, C222),"")</f>
        <v/>
      </c>
    </row>
    <row r="223" spans="4:11" x14ac:dyDescent="0.45">
      <c r="D223" t="str">
        <f>IFERROR(VLOOKUP(C223,'Clients List'!$A:$F,2,FALSE),"")</f>
        <v/>
      </c>
      <c r="F223" s="1" t="str">
        <f>IF(OR(C223="",NOT(ISNUMBER(SEARCH("Package",D223)))),"",VLOOKUP(C223,'Clients List'!$A:$F,4,FALSE)-SUMIFS($E$2:$E223,$C$2:$C223,C223,$D$2:$D223,"*Package*"))</f>
        <v/>
      </c>
      <c r="G223" t="str">
        <f t="shared" si="7"/>
        <v/>
      </c>
      <c r="H223" s="33">
        <f>IF(ISNUMBER(SEARCH("Group",D223)),IF(G223="",E223,IFERROR(E223/COUNTIF($G2:$G6000,G223),E223)),E223)</f>
        <v>0</v>
      </c>
      <c r="I223" s="1" t="str">
        <f>IFERROR(VLOOKUP(C223,'Clients List'!A:F,6,FALSE),"")</f>
        <v/>
      </c>
      <c r="K223" s="23" t="str">
        <f>IFERROR(INDEX([2]Packages!E:E, MATCH(1, ([2]Packages!A:A=B223)*([2]Packages!B:B=C223), 0)) - SUMIFS(D$2:D223, B$2:B223, B223, C$2:C223, C223),"")</f>
        <v/>
      </c>
    </row>
    <row r="224" spans="4:11" x14ac:dyDescent="0.45">
      <c r="D224" t="str">
        <f>IFERROR(VLOOKUP(C224,'Clients List'!$A:$F,2,FALSE),"")</f>
        <v/>
      </c>
      <c r="F224" s="1" t="str">
        <f>IF(OR(C224="",NOT(ISNUMBER(SEARCH("Package",D224)))),"",VLOOKUP(C224,'Clients List'!$A:$F,4,FALSE)-SUMIFS($E$2:$E224,$C$2:$C224,C224,$D$2:$D224,"*Package*"))</f>
        <v/>
      </c>
      <c r="G224" t="str">
        <f t="shared" si="7"/>
        <v/>
      </c>
      <c r="H224" s="33">
        <f>IF(ISNUMBER(SEARCH("Group",D224)),IF(G224="",E224,IFERROR(E224/COUNTIF($G2:$G6000,G224),E224)),E224)</f>
        <v>0</v>
      </c>
      <c r="I224" s="1" t="str">
        <f>IFERROR(VLOOKUP(C224,'Clients List'!A:F,6,FALSE),"")</f>
        <v/>
      </c>
      <c r="K224" s="23" t="str">
        <f>IFERROR(INDEX([2]Packages!E:E, MATCH(1, ([2]Packages!A:A=B224)*([2]Packages!B:B=C224), 0)) - SUMIFS(D$2:D224, B$2:B224, B224, C$2:C224, C224),"")</f>
        <v/>
      </c>
    </row>
    <row r="225" spans="4:11" x14ac:dyDescent="0.45">
      <c r="D225" t="str">
        <f>IFERROR(VLOOKUP(C225,'Clients List'!$A:$F,2,FALSE),"")</f>
        <v/>
      </c>
      <c r="F225" s="1" t="str">
        <f>IF(OR(C225="",NOT(ISNUMBER(SEARCH("Package",D225)))),"",VLOOKUP(C225,'Clients List'!$A:$F,4,FALSE)-SUMIFS($E$2:$E225,$C$2:$C225,C225,$D$2:$D225,"*Package*"))</f>
        <v/>
      </c>
      <c r="G225" t="str">
        <f t="shared" si="7"/>
        <v/>
      </c>
      <c r="H225" s="33">
        <f>IF(ISNUMBER(SEARCH("Group",D225)),IF(G225="",E225,IFERROR(E225/COUNTIF($G2:$G6000,G225),E225)),E225)</f>
        <v>0</v>
      </c>
      <c r="I225" s="1" t="str">
        <f>IFERROR(VLOOKUP(C225,'Clients List'!A:F,6,FALSE),"")</f>
        <v/>
      </c>
      <c r="K225" s="23" t="str">
        <f>IFERROR(INDEX([2]Packages!E:E, MATCH(1, ([2]Packages!A:A=B225)*([2]Packages!B:B=C225), 0)) - SUMIFS(D$2:D225, B$2:B225, B225, C$2:C225, C225),"")</f>
        <v/>
      </c>
    </row>
    <row r="226" spans="4:11" x14ac:dyDescent="0.45">
      <c r="D226" t="str">
        <f>IFERROR(VLOOKUP(C226,'Clients List'!$A:$F,2,FALSE),"")</f>
        <v/>
      </c>
      <c r="F226" s="1" t="str">
        <f>IF(OR(C226="",NOT(ISNUMBER(SEARCH("Package",D226)))),"",VLOOKUP(C226,'Clients List'!$A:$F,4,FALSE)-SUMIFS($E$2:$E226,$C$2:$C226,C226,$D$2:$D226,"*Package*"))</f>
        <v/>
      </c>
      <c r="G226" t="str">
        <f t="shared" si="7"/>
        <v/>
      </c>
      <c r="H226" s="33">
        <f>IF(ISNUMBER(SEARCH("Group",D226)),IF(G226="",E226,IFERROR(E226/COUNTIF($G2:$G6000,G226),E226)),E226)</f>
        <v>0</v>
      </c>
      <c r="I226" s="1" t="str">
        <f>IFERROR(VLOOKUP(C226,'Clients List'!A:F,6,FALSE),"")</f>
        <v/>
      </c>
      <c r="K226" s="23" t="str">
        <f>IFERROR(INDEX([2]Packages!E:E, MATCH(1, ([2]Packages!A:A=B226)*([2]Packages!B:B=C226), 0)) - SUMIFS(D$2:D226, B$2:B226, B226, C$2:C226, C226),"")</f>
        <v/>
      </c>
    </row>
    <row r="227" spans="4:11" x14ac:dyDescent="0.45">
      <c r="D227" t="str">
        <f>IFERROR(VLOOKUP(C227,'Clients List'!$A:$F,2,FALSE),"")</f>
        <v/>
      </c>
      <c r="F227" s="1" t="str">
        <f>IF(OR(C227="",NOT(ISNUMBER(SEARCH("Package",D227)))),"",VLOOKUP(C227,'Clients List'!$A:$F,4,FALSE)-SUMIFS($E$2:$E227,$C$2:$C227,C227,$D$2:$D227,"*Package*"))</f>
        <v/>
      </c>
      <c r="G227" t="str">
        <f t="shared" si="7"/>
        <v/>
      </c>
      <c r="H227" s="33">
        <f>IF(ISNUMBER(SEARCH("Group",D227)),IF(G227="",E227,IFERROR(E227/COUNTIF($G2:$G6000,G227),E227)),E227)</f>
        <v>0</v>
      </c>
      <c r="I227" s="1" t="str">
        <f>IFERROR(VLOOKUP(C227,'Clients List'!A:F,6,FALSE),"")</f>
        <v/>
      </c>
      <c r="K227" s="23" t="str">
        <f>IFERROR(INDEX([2]Packages!E:E, MATCH(1, ([2]Packages!A:A=B227)*([2]Packages!B:B=C227), 0)) - SUMIFS(D$2:D227, B$2:B227, B227, C$2:C227, C227),"")</f>
        <v/>
      </c>
    </row>
    <row r="228" spans="4:11" x14ac:dyDescent="0.45">
      <c r="D228" t="str">
        <f>IFERROR(VLOOKUP(C228,'Clients List'!$A:$F,2,FALSE),"")</f>
        <v/>
      </c>
      <c r="F228" s="1" t="str">
        <f>IF(OR(C228="",NOT(ISNUMBER(SEARCH("Package",D228)))),"",VLOOKUP(C228,'Clients List'!$A:$F,4,FALSE)-SUMIFS($E$2:$E228,$C$2:$C228,C228,$D$2:$D228,"*Package*"))</f>
        <v/>
      </c>
      <c r="G228" t="str">
        <f t="shared" si="7"/>
        <v/>
      </c>
      <c r="H228" s="33">
        <f>IF(ISNUMBER(SEARCH("Group",D228)),IF(G228="",E228,IFERROR(E228/COUNTIF($G2:$G6000,G228),E228)),E228)</f>
        <v>0</v>
      </c>
      <c r="I228" s="1" t="str">
        <f>IFERROR(VLOOKUP(C228,'Clients List'!A:F,6,FALSE),"")</f>
        <v/>
      </c>
      <c r="K228" s="23" t="str">
        <f>IFERROR(INDEX([2]Packages!E:E, MATCH(1, ([2]Packages!A:A=B228)*([2]Packages!B:B=C228), 0)) - SUMIFS(D$2:D228, B$2:B228, B228, C$2:C228, C228),"")</f>
        <v/>
      </c>
    </row>
    <row r="229" spans="4:11" x14ac:dyDescent="0.45">
      <c r="D229" t="str">
        <f>IFERROR(VLOOKUP(C229,'Clients List'!$A:$F,2,FALSE),"")</f>
        <v/>
      </c>
      <c r="F229" s="1" t="str">
        <f>IF(OR(C229="",NOT(ISNUMBER(SEARCH("Package",D229)))),"",VLOOKUP(C229,'Clients List'!$A:$F,4,FALSE)-SUMIFS($E$2:$E229,$C$2:$C229,C229,$D$2:$D229,"*Package*"))</f>
        <v/>
      </c>
      <c r="G229" t="str">
        <f t="shared" si="7"/>
        <v/>
      </c>
      <c r="H229" s="33">
        <f>IF(ISNUMBER(SEARCH("Group",D229)),IF(G229="",E229,IFERROR(E229/COUNTIF($G2:$G6000,G229),E229)),E229)</f>
        <v>0</v>
      </c>
      <c r="I229" s="1" t="str">
        <f>IFERROR(VLOOKUP(C229,'Clients List'!A:F,6,FALSE),"")</f>
        <v/>
      </c>
      <c r="K229" s="23" t="str">
        <f>IFERROR(INDEX([2]Packages!E:E, MATCH(1, ([2]Packages!A:A=B229)*([2]Packages!B:B=C229), 0)) - SUMIFS(D$2:D229, B$2:B229, B229, C$2:C229, C229),"")</f>
        <v/>
      </c>
    </row>
    <row r="230" spans="4:11" x14ac:dyDescent="0.45">
      <c r="D230" t="str">
        <f>IFERROR(VLOOKUP(C230,'Clients List'!$A:$F,2,FALSE),"")</f>
        <v/>
      </c>
      <c r="F230" s="1" t="str">
        <f>IF(OR(C230="",NOT(ISNUMBER(SEARCH("Package",D230)))),"",VLOOKUP(C230,'Clients List'!$A:$F,4,FALSE)-SUMIFS($E$2:$E230,$C$2:$C230,C230,$D$2:$D230,"*Package*"))</f>
        <v/>
      </c>
      <c r="G230" t="str">
        <f t="shared" si="7"/>
        <v/>
      </c>
      <c r="H230" s="33">
        <f>IF(ISNUMBER(SEARCH("Group",D230)),IF(G230="",E230,IFERROR(E230/COUNTIF($G2:$G6000,G230),E230)),E230)</f>
        <v>0</v>
      </c>
      <c r="I230" s="1" t="str">
        <f>IFERROR(VLOOKUP(C230,'Clients List'!A:F,6,FALSE),"")</f>
        <v/>
      </c>
      <c r="K230" s="23" t="str">
        <f>IFERROR(INDEX([2]Packages!E:E, MATCH(1, ([2]Packages!A:A=B230)*([2]Packages!B:B=C230), 0)) - SUMIFS(D$2:D230, B$2:B230, B230, C$2:C230, C230),"")</f>
        <v/>
      </c>
    </row>
    <row r="231" spans="4:11" x14ac:dyDescent="0.45">
      <c r="D231" t="str">
        <f>IFERROR(VLOOKUP(C231,'Clients List'!$A:$F,2,FALSE),"")</f>
        <v/>
      </c>
      <c r="F231" s="1" t="str">
        <f>IF(OR(C231="",NOT(ISNUMBER(SEARCH("Package",D231)))),"",VLOOKUP(C231,'Clients List'!$A:$F,4,FALSE)-SUMIFS($E$2:$E231,$C$2:$C231,C231,$D$2:$D231,"*Package*"))</f>
        <v/>
      </c>
      <c r="G231" t="str">
        <f t="shared" si="7"/>
        <v/>
      </c>
      <c r="H231" s="33">
        <f>IF(ISNUMBER(SEARCH("Group",D231)),IF(G231="",E231,IFERROR(E231/COUNTIF($G2:$G6000,G231),E231)),E231)</f>
        <v>0</v>
      </c>
      <c r="I231" s="1" t="str">
        <f>IFERROR(VLOOKUP(C231,'Clients List'!A:F,6,FALSE),"")</f>
        <v/>
      </c>
      <c r="K231" s="23" t="str">
        <f>IFERROR(INDEX([2]Packages!E:E, MATCH(1, ([2]Packages!A:A=B231)*([2]Packages!B:B=C231), 0)) - SUMIFS(D$2:D231, B$2:B231, B231, C$2:C231, C231),"")</f>
        <v/>
      </c>
    </row>
    <row r="232" spans="4:11" x14ac:dyDescent="0.45">
      <c r="D232" t="str">
        <f>IFERROR(VLOOKUP(C232,'Clients List'!$A:$F,2,FALSE),"")</f>
        <v/>
      </c>
      <c r="F232" s="1" t="str">
        <f>IF(OR(C232="",NOT(ISNUMBER(SEARCH("Package",D232)))),"",VLOOKUP(C232,'Clients List'!$A:$F,4,FALSE)-SUMIFS($E$2:$E232,$C$2:$C232,C232,$D$2:$D232,"*Package*"))</f>
        <v/>
      </c>
      <c r="G232" t="str">
        <f t="shared" si="7"/>
        <v/>
      </c>
      <c r="H232" s="33">
        <f>IF(ISNUMBER(SEARCH("Group",D232)),IF(G232="",E232,IFERROR(E232/COUNTIF($G2:$G6000,G232),E232)),E232)</f>
        <v>0</v>
      </c>
      <c r="I232" s="1" t="str">
        <f>IFERROR(VLOOKUP(C232,'Clients List'!A:F,6,FALSE),"")</f>
        <v/>
      </c>
      <c r="K232" s="23" t="str">
        <f>IFERROR(INDEX([2]Packages!E:E, MATCH(1, ([2]Packages!A:A=B232)*([2]Packages!B:B=C232), 0)) - SUMIFS(D$2:D232, B$2:B232, B232, C$2:C232, C232),"")</f>
        <v/>
      </c>
    </row>
    <row r="233" spans="4:11" x14ac:dyDescent="0.45">
      <c r="D233" t="str">
        <f>IFERROR(VLOOKUP(C233,'Clients List'!$A:$F,2,FALSE),"")</f>
        <v/>
      </c>
      <c r="F233" s="1" t="str">
        <f>IF(OR(C233="",NOT(ISNUMBER(SEARCH("Package",D233)))),"",VLOOKUP(C233,'Clients List'!$A:$F,4,FALSE)-SUMIFS($E$2:$E233,$C$2:$C233,C233,$D$2:$D233,"*Package*"))</f>
        <v/>
      </c>
      <c r="G233" t="str">
        <f t="shared" si="7"/>
        <v/>
      </c>
      <c r="H233" s="33">
        <f>IF(ISNUMBER(SEARCH("Group",D233)),IF(G233="",E233,IFERROR(E233/COUNTIF($G2:$G6000,G233),E233)),E233)</f>
        <v>0</v>
      </c>
      <c r="I233" s="1" t="str">
        <f>IFERROR(VLOOKUP(C233,'Clients List'!A:F,6,FALSE),"")</f>
        <v/>
      </c>
      <c r="K233" s="23" t="str">
        <f>IFERROR(INDEX([2]Packages!E:E, MATCH(1, ([2]Packages!A:A=B233)*([2]Packages!B:B=C233), 0)) - SUMIFS(D$2:D233, B$2:B233, B233, C$2:C233, C233),"")</f>
        <v/>
      </c>
    </row>
    <row r="234" spans="4:11" x14ac:dyDescent="0.45">
      <c r="D234" t="str">
        <f>IFERROR(VLOOKUP(C234,'Clients List'!$A:$F,2,FALSE),"")</f>
        <v/>
      </c>
      <c r="F234" s="1" t="str">
        <f>IF(OR(C234="",NOT(ISNUMBER(SEARCH("Package",D234)))),"",VLOOKUP(C234,'Clients List'!$A:$F,4,FALSE)-SUMIFS($E$2:$E234,$C$2:$C234,C234,$D$2:$D234,"*Package*"))</f>
        <v/>
      </c>
      <c r="G234" t="str">
        <f t="shared" si="7"/>
        <v/>
      </c>
      <c r="H234" s="33">
        <f>IF(ISNUMBER(SEARCH("Group",D234)),IF(G234="",E234,IFERROR(E234/COUNTIF($G2:$G6000,G234),E234)),E234)</f>
        <v>0</v>
      </c>
      <c r="I234" s="1" t="str">
        <f>IFERROR(VLOOKUP(C234,'Clients List'!A:F,6,FALSE),"")</f>
        <v/>
      </c>
      <c r="K234" s="23" t="str">
        <f>IFERROR(INDEX([2]Packages!E:E, MATCH(1, ([2]Packages!A:A=B234)*([2]Packages!B:B=C234), 0)) - SUMIFS(D$2:D234, B$2:B234, B234, C$2:C234, C234),"")</f>
        <v/>
      </c>
    </row>
    <row r="235" spans="4:11" x14ac:dyDescent="0.45">
      <c r="D235" t="str">
        <f>IFERROR(VLOOKUP(C235,'Clients List'!$A:$F,2,FALSE),"")</f>
        <v/>
      </c>
      <c r="F235" s="1" t="str">
        <f>IF(OR(C235="",NOT(ISNUMBER(SEARCH("Package",D235)))),"",VLOOKUP(C235,'Clients List'!$A:$F,4,FALSE)-SUMIFS($E$2:$E235,$C$2:$C235,C235,$D$2:$D235,"*Package*"))</f>
        <v/>
      </c>
      <c r="G235" t="str">
        <f t="shared" si="7"/>
        <v/>
      </c>
      <c r="H235" s="33">
        <f>IF(ISNUMBER(SEARCH("Group",D235)),IF(G235="",E235,IFERROR(E235/COUNTIF($G2:$G6000,G235),E235)),E235)</f>
        <v>0</v>
      </c>
      <c r="I235" s="1" t="str">
        <f>IFERROR(VLOOKUP(C235,'Clients List'!A:F,6,FALSE),"")</f>
        <v/>
      </c>
      <c r="K235" s="23" t="str">
        <f>IFERROR(INDEX([2]Packages!E:E, MATCH(1, ([2]Packages!A:A=B235)*([2]Packages!B:B=C235), 0)) - SUMIFS(D$2:D235, B$2:B235, B235, C$2:C235, C235),"")</f>
        <v/>
      </c>
    </row>
    <row r="236" spans="4:11" x14ac:dyDescent="0.45">
      <c r="D236" t="str">
        <f>IFERROR(VLOOKUP(C236,'Clients List'!$A:$F,2,FALSE),"")</f>
        <v/>
      </c>
      <c r="F236" s="1" t="str">
        <f>IF(OR(C236="",NOT(ISNUMBER(SEARCH("Package",D236)))),"",VLOOKUP(C236,'Clients List'!$A:$F,4,FALSE)-SUMIFS($E$2:$E236,$C$2:$C236,C236,$D$2:$D236,"*Package*"))</f>
        <v/>
      </c>
      <c r="G236" t="str">
        <f t="shared" si="7"/>
        <v/>
      </c>
      <c r="H236" s="33">
        <f>IF(ISNUMBER(SEARCH("Group",D236)),IF(G236="",E236,IFERROR(E236/COUNTIF($G2:$G6000,G236),E236)),E236)</f>
        <v>0</v>
      </c>
      <c r="I236" s="1" t="str">
        <f>IFERROR(VLOOKUP(C236,'Clients List'!A:F,6,FALSE),"")</f>
        <v/>
      </c>
      <c r="K236" s="23" t="str">
        <f>IFERROR(INDEX([2]Packages!E:E, MATCH(1, ([2]Packages!A:A=B236)*([2]Packages!B:B=C236), 0)) - SUMIFS(D$2:D236, B$2:B236, B236, C$2:C236, C236),"")</f>
        <v/>
      </c>
    </row>
    <row r="237" spans="4:11" x14ac:dyDescent="0.45">
      <c r="D237" t="str">
        <f>IFERROR(VLOOKUP(C237,'Clients List'!$A:$F,2,FALSE),"")</f>
        <v/>
      </c>
      <c r="F237" s="1" t="str">
        <f>IF(OR(C237="",NOT(ISNUMBER(SEARCH("Package",D237)))),"",VLOOKUP(C237,'Clients List'!$A:$F,4,FALSE)-SUMIFS($E$2:$E237,$C$2:$C237,C237,$D$2:$D237,"*Package*"))</f>
        <v/>
      </c>
      <c r="G237" t="str">
        <f t="shared" si="7"/>
        <v/>
      </c>
      <c r="H237" s="33">
        <f>IF(ISNUMBER(SEARCH("Group",D237)),IF(G237="",E237,IFERROR(E237/COUNTIF($G2:$G6000,G237),E237)),E237)</f>
        <v>0</v>
      </c>
      <c r="I237" s="1" t="str">
        <f>IFERROR(VLOOKUP(C237,'Clients List'!A:F,6,FALSE),"")</f>
        <v/>
      </c>
      <c r="K237" s="23" t="str">
        <f>IFERROR(INDEX([2]Packages!E:E, MATCH(1, ([2]Packages!A:A=B237)*([2]Packages!B:B=C237), 0)) - SUMIFS(D$2:D237, B$2:B237, B237, C$2:C237, C237),"")</f>
        <v/>
      </c>
    </row>
    <row r="238" spans="4:11" x14ac:dyDescent="0.45">
      <c r="D238" t="str">
        <f>IFERROR(VLOOKUP(C238,'Clients List'!$A:$F,2,FALSE),"")</f>
        <v/>
      </c>
      <c r="F238" s="1" t="str">
        <f>IF(OR(C238="",NOT(ISNUMBER(SEARCH("Package",D238)))),"",VLOOKUP(C238,'Clients List'!$A:$F,4,FALSE)-SUMIFS($E$2:$E238,$C$2:$C238,C238,$D$2:$D238,"*Package*"))</f>
        <v/>
      </c>
      <c r="G238" t="str">
        <f t="shared" si="7"/>
        <v/>
      </c>
      <c r="H238" s="33">
        <f>IF(ISNUMBER(SEARCH("Group",D238)),IF(G238="",E238,IFERROR(E238/COUNTIF($G2:$G6000,G238),E238)),E238)</f>
        <v>0</v>
      </c>
      <c r="I238" s="1" t="str">
        <f>IFERROR(VLOOKUP(C238,'Clients List'!A:F,6,FALSE),"")</f>
        <v/>
      </c>
      <c r="K238" s="23" t="str">
        <f>IFERROR(INDEX([2]Packages!E:E, MATCH(1, ([2]Packages!A:A=B238)*([2]Packages!B:B=C238), 0)) - SUMIFS(D$2:D238, B$2:B238, B238, C$2:C238, C238),"")</f>
        <v/>
      </c>
    </row>
    <row r="239" spans="4:11" x14ac:dyDescent="0.45">
      <c r="D239" t="str">
        <f>IFERROR(VLOOKUP(C239,'Clients List'!$A:$F,2,FALSE),"")</f>
        <v/>
      </c>
      <c r="F239" s="1" t="str">
        <f>IF(OR(C239="",NOT(ISNUMBER(SEARCH("Package",D239)))),"",VLOOKUP(C239,'Clients List'!$A:$F,4,FALSE)-SUMIFS($E$2:$E239,$C$2:$C239,C239,$D$2:$D239,"*Package*"))</f>
        <v/>
      </c>
      <c r="G239" t="str">
        <f t="shared" si="7"/>
        <v/>
      </c>
      <c r="H239" s="33">
        <f>IF(ISNUMBER(SEARCH("Group",D239)),IF(G239="",E239,IFERROR(E239/COUNTIF($G2:$G6000,G239),E239)),E239)</f>
        <v>0</v>
      </c>
      <c r="I239" s="1" t="str">
        <f>IFERROR(VLOOKUP(C239,'Clients List'!A:F,6,FALSE),"")</f>
        <v/>
      </c>
      <c r="K239" s="23" t="str">
        <f>IFERROR(INDEX([2]Packages!E:E, MATCH(1, ([2]Packages!A:A=B239)*([2]Packages!B:B=C239), 0)) - SUMIFS(D$2:D239, B$2:B239, B239, C$2:C239, C239),"")</f>
        <v/>
      </c>
    </row>
    <row r="240" spans="4:11" x14ac:dyDescent="0.45">
      <c r="D240" t="str">
        <f>IFERROR(VLOOKUP(C240,'Clients List'!$A:$F,2,FALSE),"")</f>
        <v/>
      </c>
      <c r="F240" s="1" t="str">
        <f>IF(OR(C240="",NOT(ISNUMBER(SEARCH("Package",D240)))),"",VLOOKUP(C240,'Clients List'!$A:$F,4,FALSE)-SUMIFS($E$2:$E240,$C$2:$C240,C240,$D$2:$D240,"*Package*"))</f>
        <v/>
      </c>
      <c r="G240" t="str">
        <f t="shared" si="7"/>
        <v/>
      </c>
      <c r="H240" s="33">
        <f>IF(ISNUMBER(SEARCH("Group",D240)),IF(G240="",E240,IFERROR(E240/COUNTIF($G2:$G6000,G240),E240)),E240)</f>
        <v>0</v>
      </c>
      <c r="I240" s="1" t="str">
        <f>IFERROR(VLOOKUP(C240,'Clients List'!A:F,6,FALSE),"")</f>
        <v/>
      </c>
      <c r="K240" s="23" t="str">
        <f>IFERROR(INDEX([2]Packages!E:E, MATCH(1, ([2]Packages!A:A=B240)*([2]Packages!B:B=C240), 0)) - SUMIFS(D$2:D240, B$2:B240, B240, C$2:C240, C240),"")</f>
        <v/>
      </c>
    </row>
    <row r="241" spans="4:11" x14ac:dyDescent="0.45">
      <c r="D241" t="str">
        <f>IFERROR(VLOOKUP(C241,'Clients List'!$A:$F,2,FALSE),"")</f>
        <v/>
      </c>
      <c r="F241" s="1" t="str">
        <f>IF(OR(C241="",NOT(ISNUMBER(SEARCH("Package",D241)))),"",VLOOKUP(C241,'Clients List'!$A:$F,4,FALSE)-SUMIFS($E$2:$E241,$C$2:$C241,C241,$D$2:$D241,"*Package*"))</f>
        <v/>
      </c>
      <c r="G241" t="str">
        <f t="shared" si="7"/>
        <v/>
      </c>
      <c r="H241" s="33">
        <f>IF(ISNUMBER(SEARCH("Group",D241)),IF(G241="",E241,IFERROR(E241/COUNTIF($G2:$G6000,G241),E241)),E241)</f>
        <v>0</v>
      </c>
      <c r="I241" s="1" t="str">
        <f>IFERROR(VLOOKUP(C241,'Clients List'!A:F,6,FALSE),"")</f>
        <v/>
      </c>
      <c r="K241" s="23" t="str">
        <f>IFERROR(INDEX([2]Packages!E:E, MATCH(1, ([2]Packages!A:A=B241)*([2]Packages!B:B=C241), 0)) - SUMIFS(D$2:D241, B$2:B241, B241, C$2:C241, C241),"")</f>
        <v/>
      </c>
    </row>
    <row r="242" spans="4:11" x14ac:dyDescent="0.45">
      <c r="D242" t="str">
        <f>IFERROR(VLOOKUP(C242,'Clients List'!$A:$F,2,FALSE),"")</f>
        <v/>
      </c>
      <c r="F242" s="1" t="str">
        <f>IF(OR(C242="",NOT(ISNUMBER(SEARCH("Package",D242)))),"",VLOOKUP(C242,'Clients List'!$A:$F,4,FALSE)-SUMIFS($E$2:$E242,$C$2:$C242,C242,$D$2:$D242,"*Package*"))</f>
        <v/>
      </c>
      <c r="G242" t="str">
        <f t="shared" ref="G242:G273" si="8">IF(ISNUMBER(SEARCH("Group",D242)),IFERROR("GRP-"&amp;TEXT(IF(ISNUMBER(A242),A242,DATEVALUE(A242)),"yyyymmdd"),""),"" )</f>
        <v/>
      </c>
      <c r="H242" s="33">
        <f>IF(ISNUMBER(SEARCH("Group",D242)),IF(G242="",E242,IFERROR(E242/COUNTIF($G2:$G6000,G242),E242)),E242)</f>
        <v>0</v>
      </c>
      <c r="I242" s="1" t="str">
        <f>IFERROR(VLOOKUP(C242,'Clients List'!A:F,6,FALSE),"")</f>
        <v/>
      </c>
      <c r="K242" s="23" t="str">
        <f>IFERROR(INDEX([2]Packages!E:E, MATCH(1, ([2]Packages!A:A=B242)*([2]Packages!B:B=C242), 0)) - SUMIFS(D$2:D242, B$2:B242, B242, C$2:C242, C242),"")</f>
        <v/>
      </c>
    </row>
    <row r="243" spans="4:11" x14ac:dyDescent="0.45">
      <c r="D243" t="str">
        <f>IFERROR(VLOOKUP(C243,'Clients List'!$A:$F,2,FALSE),"")</f>
        <v/>
      </c>
      <c r="F243" s="1" t="str">
        <f>IF(OR(C243="",NOT(ISNUMBER(SEARCH("Package",D243)))),"",VLOOKUP(C243,'Clients List'!$A:$F,4,FALSE)-SUMIFS($E$2:$E243,$C$2:$C243,C243,$D$2:$D243,"*Package*"))</f>
        <v/>
      </c>
      <c r="G243" t="str">
        <f t="shared" si="8"/>
        <v/>
      </c>
      <c r="H243" s="33">
        <f>IF(ISNUMBER(SEARCH("Group",D243)),IF(G243="",E243,IFERROR(E243/COUNTIF($G2:$G6000,G243),E243)),E243)</f>
        <v>0</v>
      </c>
      <c r="I243" s="1" t="str">
        <f>IFERROR(VLOOKUP(C243,'Clients List'!A:F,6,FALSE),"")</f>
        <v/>
      </c>
      <c r="K243" s="23" t="str">
        <f>IFERROR(INDEX([2]Packages!E:E, MATCH(1, ([2]Packages!A:A=B243)*([2]Packages!B:B=C243), 0)) - SUMIFS(D$2:D243, B$2:B243, B243, C$2:C243, C243),"")</f>
        <v/>
      </c>
    </row>
    <row r="244" spans="4:11" x14ac:dyDescent="0.45">
      <c r="D244" t="str">
        <f>IFERROR(VLOOKUP(C244,'Clients List'!$A:$F,2,FALSE),"")</f>
        <v/>
      </c>
      <c r="F244" s="1" t="str">
        <f>IF(OR(C244="",NOT(ISNUMBER(SEARCH("Package",D244)))),"",VLOOKUP(C244,'Clients List'!$A:$F,4,FALSE)-SUMIFS($E$2:$E244,$C$2:$C244,C244,$D$2:$D244,"*Package*"))</f>
        <v/>
      </c>
      <c r="G244" t="str">
        <f t="shared" si="8"/>
        <v/>
      </c>
      <c r="H244" s="33">
        <f>IF(ISNUMBER(SEARCH("Group",D244)),IF(G244="",E244,IFERROR(E244/COUNTIF($G2:$G6000,G244),E244)),E244)</f>
        <v>0</v>
      </c>
      <c r="I244" s="1" t="str">
        <f>IFERROR(VLOOKUP(C244,'Clients List'!A:F,6,FALSE),"")</f>
        <v/>
      </c>
      <c r="K244" s="23" t="str">
        <f>IFERROR(INDEX([2]Packages!E:E, MATCH(1, ([2]Packages!A:A=B244)*([2]Packages!B:B=C244), 0)) - SUMIFS(D$2:D244, B$2:B244, B244, C$2:C244, C244),"")</f>
        <v/>
      </c>
    </row>
    <row r="245" spans="4:11" x14ac:dyDescent="0.45">
      <c r="D245" t="str">
        <f>IFERROR(VLOOKUP(C245,'Clients List'!$A:$F,2,FALSE),"")</f>
        <v/>
      </c>
      <c r="F245" s="1" t="str">
        <f>IF(OR(C245="",NOT(ISNUMBER(SEARCH("Package",D245)))),"",VLOOKUP(C245,'Clients List'!$A:$F,4,FALSE)-SUMIFS($E$2:$E245,$C$2:$C245,C245,$D$2:$D245,"*Package*"))</f>
        <v/>
      </c>
      <c r="G245" t="str">
        <f t="shared" si="8"/>
        <v/>
      </c>
      <c r="H245" s="33">
        <f>IF(ISNUMBER(SEARCH("Group",D245)),IF(G245="",E245,IFERROR(E245/COUNTIF($G2:$G6000,G245),E245)),E245)</f>
        <v>0</v>
      </c>
      <c r="I245" s="1" t="str">
        <f>IFERROR(VLOOKUP(C245,'Clients List'!A:F,6,FALSE),"")</f>
        <v/>
      </c>
      <c r="K245" s="23" t="str">
        <f>IFERROR(INDEX([2]Packages!E:E, MATCH(1, ([2]Packages!A:A=B245)*([2]Packages!B:B=C245), 0)) - SUMIFS(D$2:D245, B$2:B245, B245, C$2:C245, C245),"")</f>
        <v/>
      </c>
    </row>
    <row r="246" spans="4:11" x14ac:dyDescent="0.45">
      <c r="D246" t="str">
        <f>IFERROR(VLOOKUP(C246,'Clients List'!$A:$F,2,FALSE),"")</f>
        <v/>
      </c>
      <c r="F246" s="1" t="str">
        <f>IF(OR(C246="",NOT(ISNUMBER(SEARCH("Package",D246)))),"",VLOOKUP(C246,'Clients List'!$A:$F,4,FALSE)-SUMIFS($E$2:$E246,$C$2:$C246,C246,$D$2:$D246,"*Package*"))</f>
        <v/>
      </c>
      <c r="G246" t="str">
        <f t="shared" si="8"/>
        <v/>
      </c>
      <c r="H246" s="33">
        <f>IF(ISNUMBER(SEARCH("Group",D246)),IF(G246="",E246,IFERROR(E246/COUNTIF($G2:$G6000,G246),E246)),E246)</f>
        <v>0</v>
      </c>
      <c r="I246" s="1" t="str">
        <f>IFERROR(VLOOKUP(C246,'Clients List'!A:F,6,FALSE),"")</f>
        <v/>
      </c>
      <c r="K246" s="23" t="str">
        <f>IFERROR(INDEX([2]Packages!E:E, MATCH(1, ([2]Packages!A:A=B246)*([2]Packages!B:B=C246), 0)) - SUMIFS(D$2:D246, B$2:B246, B246, C$2:C246, C246),"")</f>
        <v/>
      </c>
    </row>
    <row r="247" spans="4:11" x14ac:dyDescent="0.45">
      <c r="D247" t="str">
        <f>IFERROR(VLOOKUP(C247,'Clients List'!$A:$F,2,FALSE),"")</f>
        <v/>
      </c>
      <c r="F247" s="1" t="str">
        <f>IF(OR(C247="",NOT(ISNUMBER(SEARCH("Package",D247)))),"",VLOOKUP(C247,'Clients List'!$A:$F,4,FALSE)-SUMIFS($E$2:$E247,$C$2:$C247,C247,$D$2:$D247,"*Package*"))</f>
        <v/>
      </c>
      <c r="G247" t="str">
        <f t="shared" si="8"/>
        <v/>
      </c>
      <c r="H247" s="33">
        <f>IF(ISNUMBER(SEARCH("Group",D247)),IF(G247="",E247,IFERROR(E247/COUNTIF($G2:$G6000,G247),E247)),E247)</f>
        <v>0</v>
      </c>
      <c r="I247" s="1" t="str">
        <f>IFERROR(VLOOKUP(C247,'Clients List'!A:F,6,FALSE),"")</f>
        <v/>
      </c>
      <c r="K247" s="23" t="str">
        <f>IFERROR(INDEX([2]Packages!E:E, MATCH(1, ([2]Packages!A:A=B247)*([2]Packages!B:B=C247), 0)) - SUMIFS(D$2:D247, B$2:B247, B247, C$2:C247, C247),"")</f>
        <v/>
      </c>
    </row>
    <row r="248" spans="4:11" x14ac:dyDescent="0.45">
      <c r="D248" t="str">
        <f>IFERROR(VLOOKUP(C248,'Clients List'!$A:$F,2,FALSE),"")</f>
        <v/>
      </c>
      <c r="F248" s="1" t="str">
        <f>IF(OR(C248="",NOT(ISNUMBER(SEARCH("Package",D248)))),"",VLOOKUP(C248,'Clients List'!$A:$F,4,FALSE)-SUMIFS($E$2:$E248,$C$2:$C248,C248,$D$2:$D248,"*Package*"))</f>
        <v/>
      </c>
      <c r="G248" t="str">
        <f t="shared" si="8"/>
        <v/>
      </c>
      <c r="H248" s="33">
        <f>IF(ISNUMBER(SEARCH("Group",D248)),IF(G248="",E248,IFERROR(E248/COUNTIF($G2:$G6000,G248),E248)),E248)</f>
        <v>0</v>
      </c>
      <c r="I248" s="1" t="str">
        <f>IFERROR(VLOOKUP(C248,'Clients List'!A:F,6,FALSE),"")</f>
        <v/>
      </c>
      <c r="K248" s="23" t="str">
        <f>IFERROR(INDEX([2]Packages!E:E, MATCH(1, ([2]Packages!A:A=B248)*([2]Packages!B:B=C248), 0)) - SUMIFS(D$2:D248, B$2:B248, B248, C$2:C248, C248),"")</f>
        <v/>
      </c>
    </row>
    <row r="249" spans="4:11" x14ac:dyDescent="0.45">
      <c r="D249" t="str">
        <f>IFERROR(VLOOKUP(C249,'Clients List'!$A:$F,2,FALSE),"")</f>
        <v/>
      </c>
      <c r="F249" s="1" t="str">
        <f>IF(OR(C249="",NOT(ISNUMBER(SEARCH("Package",D249)))),"",VLOOKUP(C249,'Clients List'!$A:$F,4,FALSE)-SUMIFS($E$2:$E249,$C$2:$C249,C249,$D$2:$D249,"*Package*"))</f>
        <v/>
      </c>
      <c r="G249" t="str">
        <f t="shared" si="8"/>
        <v/>
      </c>
      <c r="H249" s="33">
        <f>IF(ISNUMBER(SEARCH("Group",D249)),IF(G249="",E249,IFERROR(E249/COUNTIF($G2:$G6000,G249),E249)),E249)</f>
        <v>0</v>
      </c>
      <c r="I249" s="1" t="str">
        <f>IFERROR(VLOOKUP(C249,'Clients List'!A:F,6,FALSE),"")</f>
        <v/>
      </c>
      <c r="K249" s="23" t="str">
        <f>IFERROR(INDEX([2]Packages!E:E, MATCH(1, ([2]Packages!A:A=B249)*([2]Packages!B:B=C249), 0)) - SUMIFS(D$2:D249, B$2:B249, B249, C$2:C249, C249),"")</f>
        <v/>
      </c>
    </row>
    <row r="250" spans="4:11" x14ac:dyDescent="0.45">
      <c r="D250" t="str">
        <f>IFERROR(VLOOKUP(C250,'Clients List'!$A:$F,2,FALSE),"")</f>
        <v/>
      </c>
      <c r="F250" s="1" t="str">
        <f>IF(OR(C250="",NOT(ISNUMBER(SEARCH("Package",D250)))),"",VLOOKUP(C250,'Clients List'!$A:$F,4,FALSE)-SUMIFS($E$2:$E250,$C$2:$C250,C250,$D$2:$D250,"*Package*"))</f>
        <v/>
      </c>
      <c r="G250" t="str">
        <f t="shared" si="8"/>
        <v/>
      </c>
      <c r="H250" s="33">
        <f>IF(ISNUMBER(SEARCH("Group",D250)),IF(G250="",E250,IFERROR(E250/COUNTIF($G2:$G6000,G250),E250)),E250)</f>
        <v>0</v>
      </c>
      <c r="I250" s="1" t="str">
        <f>IFERROR(VLOOKUP(C250,'Clients List'!A:F,6,FALSE),"")</f>
        <v/>
      </c>
      <c r="K250" s="23" t="str">
        <f>IFERROR(INDEX([2]Packages!E:E, MATCH(1, ([2]Packages!A:A=B250)*([2]Packages!B:B=C250), 0)) - SUMIFS(D$2:D250, B$2:B250, B250, C$2:C250, C250),"")</f>
        <v/>
      </c>
    </row>
    <row r="251" spans="4:11" x14ac:dyDescent="0.45">
      <c r="D251" t="str">
        <f>IFERROR(VLOOKUP(C251,'Clients List'!$A:$F,2,FALSE),"")</f>
        <v/>
      </c>
      <c r="F251" s="1" t="str">
        <f>IF(OR(C251="",NOT(ISNUMBER(SEARCH("Package",D251)))),"",VLOOKUP(C251,'Clients List'!$A:$F,4,FALSE)-SUMIFS($E$2:$E251,$C$2:$C251,C251,$D$2:$D251,"*Package*"))</f>
        <v/>
      </c>
      <c r="G251" t="str">
        <f t="shared" si="8"/>
        <v/>
      </c>
      <c r="H251" s="33">
        <f>IF(ISNUMBER(SEARCH("Group",D251)),IF(G251="",E251,IFERROR(E251/COUNTIF($G2:$G6000,G251),E251)),E251)</f>
        <v>0</v>
      </c>
      <c r="I251" s="1" t="str">
        <f>IFERROR(VLOOKUP(C251,'Clients List'!A:F,6,FALSE),"")</f>
        <v/>
      </c>
      <c r="K251" s="23" t="str">
        <f>IFERROR(INDEX([2]Packages!E:E, MATCH(1, ([2]Packages!A:A=B251)*([2]Packages!B:B=C251), 0)) - SUMIFS(D$2:D251, B$2:B251, B251, C$2:C251, C251),"")</f>
        <v/>
      </c>
    </row>
    <row r="252" spans="4:11" x14ac:dyDescent="0.45">
      <c r="D252" t="str">
        <f>IFERROR(VLOOKUP(C252,'Clients List'!$A:$F,2,FALSE),"")</f>
        <v/>
      </c>
      <c r="F252" s="1" t="str">
        <f>IF(OR(C252="",NOT(ISNUMBER(SEARCH("Package",D252)))),"",VLOOKUP(C252,'Clients List'!$A:$F,4,FALSE)-SUMIFS($E$2:$E252,$C$2:$C252,C252,$D$2:$D252,"*Package*"))</f>
        <v/>
      </c>
      <c r="G252" t="str">
        <f t="shared" si="8"/>
        <v/>
      </c>
      <c r="H252" s="33">
        <f>IF(ISNUMBER(SEARCH("Group",D252)),IF(G252="",E252,IFERROR(E252/COUNTIF($G2:$G6000,G252),E252)),E252)</f>
        <v>0</v>
      </c>
      <c r="I252" s="1" t="str">
        <f>IFERROR(VLOOKUP(C252,'Clients List'!A:F,6,FALSE),"")</f>
        <v/>
      </c>
      <c r="K252" s="23" t="str">
        <f>IFERROR(INDEX([2]Packages!E:E, MATCH(1, ([2]Packages!A:A=B252)*([2]Packages!B:B=C252), 0)) - SUMIFS(D$2:D252, B$2:B252, B252, C$2:C252, C252),"")</f>
        <v/>
      </c>
    </row>
    <row r="253" spans="4:11" x14ac:dyDescent="0.45">
      <c r="D253" t="str">
        <f>IFERROR(VLOOKUP(C253,'Clients List'!$A:$F,2,FALSE),"")</f>
        <v/>
      </c>
      <c r="F253" s="1" t="str">
        <f>IF(OR(C253="",NOT(ISNUMBER(SEARCH("Package",D253)))),"",VLOOKUP(C253,'Clients List'!$A:$F,4,FALSE)-SUMIFS($E$2:$E253,$C$2:$C253,C253,$D$2:$D253,"*Package*"))</f>
        <v/>
      </c>
      <c r="G253" t="str">
        <f t="shared" si="8"/>
        <v/>
      </c>
      <c r="H253" s="33">
        <f>IF(ISNUMBER(SEARCH("Group",D253)),IF(G253="",E253,IFERROR(E253/COUNTIF($G2:$G6000,G253),E253)),E253)</f>
        <v>0</v>
      </c>
      <c r="I253" s="1" t="str">
        <f>IFERROR(VLOOKUP(C253,'Clients List'!A:F,6,FALSE),"")</f>
        <v/>
      </c>
      <c r="K253" s="23" t="str">
        <f>IFERROR(INDEX([2]Packages!E:E, MATCH(1, ([2]Packages!A:A=B253)*([2]Packages!B:B=C253), 0)) - SUMIFS(D$2:D253, B$2:B253, B253, C$2:C253, C253),"")</f>
        <v/>
      </c>
    </row>
    <row r="254" spans="4:11" x14ac:dyDescent="0.45">
      <c r="D254" t="str">
        <f>IFERROR(VLOOKUP(C254,'Clients List'!$A:$F,2,FALSE),"")</f>
        <v/>
      </c>
      <c r="F254" s="1" t="str">
        <f>IF(OR(C254="",NOT(ISNUMBER(SEARCH("Package",D254)))),"",VLOOKUP(C254,'Clients List'!$A:$F,4,FALSE)-SUMIFS($E$2:$E254,$C$2:$C254,C254,$D$2:$D254,"*Package*"))</f>
        <v/>
      </c>
      <c r="G254" t="str">
        <f t="shared" si="8"/>
        <v/>
      </c>
      <c r="H254" s="33">
        <f>IF(ISNUMBER(SEARCH("Group",D254)),IF(G254="",E254,IFERROR(E254/COUNTIF($G2:$G6000,G254),E254)),E254)</f>
        <v>0</v>
      </c>
      <c r="I254" s="1" t="str">
        <f>IFERROR(VLOOKUP(C254,'Clients List'!A:F,6,FALSE),"")</f>
        <v/>
      </c>
      <c r="K254" s="23" t="str">
        <f>IFERROR(INDEX([2]Packages!E:E, MATCH(1, ([2]Packages!A:A=B254)*([2]Packages!B:B=C254), 0)) - SUMIFS(D$2:D254, B$2:B254, B254, C$2:C254, C254),"")</f>
        <v/>
      </c>
    </row>
    <row r="255" spans="4:11" x14ac:dyDescent="0.45">
      <c r="D255" t="str">
        <f>IFERROR(VLOOKUP(C255,'Clients List'!$A:$F,2,FALSE),"")</f>
        <v/>
      </c>
      <c r="F255" s="1" t="str">
        <f>IF(OR(C255="",NOT(ISNUMBER(SEARCH("Package",D255)))),"",VLOOKUP(C255,'Clients List'!$A:$F,4,FALSE)-SUMIFS($E$2:$E255,$C$2:$C255,C255,$D$2:$D255,"*Package*"))</f>
        <v/>
      </c>
      <c r="G255" t="str">
        <f t="shared" si="8"/>
        <v/>
      </c>
      <c r="H255" s="33">
        <f>IF(ISNUMBER(SEARCH("Group",D255)),IF(G255="",E255,IFERROR(E255/COUNTIF($G2:$G6000,G255),E255)),E255)</f>
        <v>0</v>
      </c>
      <c r="I255" s="1" t="str">
        <f>IFERROR(VLOOKUP(C255,'Clients List'!A:F,6,FALSE),"")</f>
        <v/>
      </c>
      <c r="K255" s="23" t="str">
        <f>IFERROR(INDEX([2]Packages!E:E, MATCH(1, ([2]Packages!A:A=B255)*([2]Packages!B:B=C255), 0)) - SUMIFS(D$2:D255, B$2:B255, B255, C$2:C255, C255),"")</f>
        <v/>
      </c>
    </row>
    <row r="256" spans="4:11" x14ac:dyDescent="0.45">
      <c r="D256" t="str">
        <f>IFERROR(VLOOKUP(C256,'Clients List'!$A:$F,2,FALSE),"")</f>
        <v/>
      </c>
      <c r="F256" s="1" t="str">
        <f>IF(OR(C256="",NOT(ISNUMBER(SEARCH("Package",D256)))),"",VLOOKUP(C256,'Clients List'!$A:$F,4,FALSE)-SUMIFS($E$2:$E256,$C$2:$C256,C256,$D$2:$D256,"*Package*"))</f>
        <v/>
      </c>
      <c r="G256" t="str">
        <f t="shared" si="8"/>
        <v/>
      </c>
      <c r="H256" s="33">
        <f>IF(ISNUMBER(SEARCH("Group",D256)),IF(G256="",E256,IFERROR(E256/COUNTIF($G2:$G6000,G256),E256)),E256)</f>
        <v>0</v>
      </c>
      <c r="I256" s="1" t="str">
        <f>IFERROR(VLOOKUP(C256,'Clients List'!A:F,6,FALSE),"")</f>
        <v/>
      </c>
      <c r="K256" s="23" t="str">
        <f>IFERROR(INDEX([2]Packages!E:E, MATCH(1, ([2]Packages!A:A=B256)*([2]Packages!B:B=C256), 0)) - SUMIFS(D$2:D256, B$2:B256, B256, C$2:C256, C256),"")</f>
        <v/>
      </c>
    </row>
    <row r="257" spans="4:11" x14ac:dyDescent="0.45">
      <c r="D257" t="str">
        <f>IFERROR(VLOOKUP(C257,'Clients List'!$A:$F,2,FALSE),"")</f>
        <v/>
      </c>
      <c r="F257" s="1" t="str">
        <f>IF(OR(C257="",NOT(ISNUMBER(SEARCH("Package",D257)))),"",VLOOKUP(C257,'Clients List'!$A:$F,4,FALSE)-SUMIFS($E$2:$E257,$C$2:$C257,C257,$D$2:$D257,"*Package*"))</f>
        <v/>
      </c>
      <c r="G257" t="str">
        <f t="shared" si="8"/>
        <v/>
      </c>
      <c r="H257" s="33">
        <f>IF(ISNUMBER(SEARCH("Group",D257)),IF(G257="",E257,IFERROR(E257/COUNTIF($G2:$G6000,G257),E257)),E257)</f>
        <v>0</v>
      </c>
      <c r="I257" s="1" t="str">
        <f>IFERROR(VLOOKUP(C257,'Clients List'!A:F,6,FALSE),"")</f>
        <v/>
      </c>
      <c r="K257" s="23" t="str">
        <f>IFERROR(INDEX([2]Packages!E:E, MATCH(1, ([2]Packages!A:A=B257)*([2]Packages!B:B=C257), 0)) - SUMIFS(D$2:D257, B$2:B257, B257, C$2:C257, C257),"")</f>
        <v/>
      </c>
    </row>
    <row r="258" spans="4:11" x14ac:dyDescent="0.45">
      <c r="D258" t="str">
        <f>IFERROR(VLOOKUP(C258,'Clients List'!$A:$F,2,FALSE),"")</f>
        <v/>
      </c>
      <c r="F258" s="1" t="str">
        <f>IF(OR(C258="",NOT(ISNUMBER(SEARCH("Package",D258)))),"",VLOOKUP(C258,'Clients List'!$A:$F,4,FALSE)-SUMIFS($E$2:$E258,$C$2:$C258,C258,$D$2:$D258,"*Package*"))</f>
        <v/>
      </c>
      <c r="G258" t="str">
        <f t="shared" si="8"/>
        <v/>
      </c>
      <c r="H258" s="33">
        <f>IF(ISNUMBER(SEARCH("Group",D258)),IF(G258="",E258,IFERROR(E258/COUNTIF($G2:$G6000,G258),E258)),E258)</f>
        <v>0</v>
      </c>
      <c r="I258" s="1" t="str">
        <f>IFERROR(VLOOKUP(C258,'Clients List'!A:F,6,FALSE),"")</f>
        <v/>
      </c>
      <c r="K258" s="23" t="str">
        <f>IFERROR(INDEX([2]Packages!E:E, MATCH(1, ([2]Packages!A:A=B258)*([2]Packages!B:B=C258), 0)) - SUMIFS(D$2:D258, B$2:B258, B258, C$2:C258, C258),"")</f>
        <v/>
      </c>
    </row>
    <row r="259" spans="4:11" x14ac:dyDescent="0.45">
      <c r="D259" t="str">
        <f>IFERROR(VLOOKUP(C259,'Clients List'!$A:$F,2,FALSE),"")</f>
        <v/>
      </c>
      <c r="F259" s="1" t="str">
        <f>IF(OR(C259="",NOT(ISNUMBER(SEARCH("Package",D259)))),"",VLOOKUP(C259,'Clients List'!$A:$F,4,FALSE)-SUMIFS($E$2:$E259,$C$2:$C259,C259,$D$2:$D259,"*Package*"))</f>
        <v/>
      </c>
      <c r="G259" t="str">
        <f t="shared" si="8"/>
        <v/>
      </c>
      <c r="H259" s="33">
        <f>IF(ISNUMBER(SEARCH("Group",D259)),IF(G259="",E259,IFERROR(E259/COUNTIF($G2:$G6000,G259),E259)),E259)</f>
        <v>0</v>
      </c>
      <c r="I259" s="1" t="str">
        <f>IFERROR(VLOOKUP(C259,'Clients List'!A:F,6,FALSE),"")</f>
        <v/>
      </c>
      <c r="K259" s="23" t="str">
        <f>IFERROR(INDEX([2]Packages!E:E, MATCH(1, ([2]Packages!A:A=B259)*([2]Packages!B:B=C259), 0)) - SUMIFS(D$2:D259, B$2:B259, B259, C$2:C259, C259),"")</f>
        <v/>
      </c>
    </row>
    <row r="260" spans="4:11" x14ac:dyDescent="0.45">
      <c r="D260" t="str">
        <f>IFERROR(VLOOKUP(C260,'Clients List'!$A:$F,2,FALSE),"")</f>
        <v/>
      </c>
      <c r="F260" s="1" t="str">
        <f>IF(OR(C260="",NOT(ISNUMBER(SEARCH("Package",D260)))),"",VLOOKUP(C260,'Clients List'!$A:$F,4,FALSE)-SUMIFS($E$2:$E260,$C$2:$C260,C260,$D$2:$D260,"*Package*"))</f>
        <v/>
      </c>
      <c r="G260" t="str">
        <f t="shared" si="8"/>
        <v/>
      </c>
      <c r="H260" s="33">
        <f>IF(ISNUMBER(SEARCH("Group",D260)),IF(G260="",E260,IFERROR(E260/COUNTIF($G2:$G6000,G260),E260)),E260)</f>
        <v>0</v>
      </c>
      <c r="I260" s="1" t="str">
        <f>IFERROR(VLOOKUP(C260,'Clients List'!A:F,6,FALSE),"")</f>
        <v/>
      </c>
      <c r="K260" s="23" t="str">
        <f>IFERROR(INDEX([2]Packages!E:E, MATCH(1, ([2]Packages!A:A=B260)*([2]Packages!B:B=C260), 0)) - SUMIFS(D$2:D260, B$2:B260, B260, C$2:C260, C260),"")</f>
        <v/>
      </c>
    </row>
    <row r="261" spans="4:11" x14ac:dyDescent="0.45">
      <c r="D261" t="str">
        <f>IFERROR(VLOOKUP(C261,'Clients List'!$A:$F,2,FALSE),"")</f>
        <v/>
      </c>
      <c r="F261" s="1" t="str">
        <f>IF(OR(C261="",NOT(ISNUMBER(SEARCH("Package",D261)))),"",VLOOKUP(C261,'Clients List'!$A:$F,4,FALSE)-SUMIFS($E$2:$E261,$C$2:$C261,C261,$D$2:$D261,"*Package*"))</f>
        <v/>
      </c>
      <c r="G261" t="str">
        <f t="shared" si="8"/>
        <v/>
      </c>
      <c r="H261" s="33">
        <f>IF(ISNUMBER(SEARCH("Group",D261)),IF(G261="",E261,IFERROR(E261/COUNTIF($G2:$G6000,G261),E261)),E261)</f>
        <v>0</v>
      </c>
      <c r="I261" s="1" t="str">
        <f>IFERROR(VLOOKUP(C261,'Clients List'!A:F,6,FALSE),"")</f>
        <v/>
      </c>
      <c r="K261" s="23" t="str">
        <f>IFERROR(INDEX([2]Packages!E:E, MATCH(1, ([2]Packages!A:A=B261)*([2]Packages!B:B=C261), 0)) - SUMIFS(D$2:D261, B$2:B261, B261, C$2:C261, C261),"")</f>
        <v/>
      </c>
    </row>
    <row r="262" spans="4:11" x14ac:dyDescent="0.45">
      <c r="D262" t="str">
        <f>IFERROR(VLOOKUP(C262,'Clients List'!$A:$F,2,FALSE),"")</f>
        <v/>
      </c>
      <c r="F262" s="1" t="str">
        <f>IF(OR(C262="",NOT(ISNUMBER(SEARCH("Package",D262)))),"",VLOOKUP(C262,'Clients List'!$A:$F,4,FALSE)-SUMIFS($E$2:$E262,$C$2:$C262,C262,$D$2:$D262,"*Package*"))</f>
        <v/>
      </c>
      <c r="G262" t="str">
        <f t="shared" si="8"/>
        <v/>
      </c>
      <c r="H262" s="33">
        <f>IF(ISNUMBER(SEARCH("Group",D262)),IF(G262="",E262,IFERROR(E262/COUNTIF($G2:$G6000,G262),E262)),E262)</f>
        <v>0</v>
      </c>
      <c r="I262" s="1" t="str">
        <f>IFERROR(VLOOKUP(C262,'Clients List'!A:F,6,FALSE),"")</f>
        <v/>
      </c>
      <c r="K262" s="23" t="str">
        <f>IFERROR(INDEX([2]Packages!E:E, MATCH(1, ([2]Packages!A:A=B262)*([2]Packages!B:B=C262), 0)) - SUMIFS(D$2:D262, B$2:B262, B262, C$2:C262, C262),"")</f>
        <v/>
      </c>
    </row>
    <row r="263" spans="4:11" x14ac:dyDescent="0.45">
      <c r="D263" t="str">
        <f>IFERROR(VLOOKUP(C263,'Clients List'!$A:$F,2,FALSE),"")</f>
        <v/>
      </c>
      <c r="F263" s="1" t="str">
        <f>IF(OR(C263="",NOT(ISNUMBER(SEARCH("Package",D263)))),"",VLOOKUP(C263,'Clients List'!$A:$F,4,FALSE)-SUMIFS($E$2:$E263,$C$2:$C263,C263,$D$2:$D263,"*Package*"))</f>
        <v/>
      </c>
      <c r="G263" t="str">
        <f t="shared" si="8"/>
        <v/>
      </c>
      <c r="H263" s="33">
        <f>IF(ISNUMBER(SEARCH("Group",D263)),IF(G263="",E263,IFERROR(E263/COUNTIF($G2:$G6000,G263),E263)),E263)</f>
        <v>0</v>
      </c>
      <c r="I263" s="1" t="str">
        <f>IFERROR(VLOOKUP(C263,'Clients List'!A:F,6,FALSE),"")</f>
        <v/>
      </c>
      <c r="K263" s="23" t="str">
        <f>IFERROR(INDEX([2]Packages!E:E, MATCH(1, ([2]Packages!A:A=B263)*([2]Packages!B:B=C263), 0)) - SUMIFS(D$2:D263, B$2:B263, B263, C$2:C263, C263),"")</f>
        <v/>
      </c>
    </row>
    <row r="264" spans="4:11" x14ac:dyDescent="0.45">
      <c r="D264" t="str">
        <f>IFERROR(VLOOKUP(C264,'Clients List'!$A:$F,2,FALSE),"")</f>
        <v/>
      </c>
      <c r="F264" s="1" t="str">
        <f>IF(OR(C264="",NOT(ISNUMBER(SEARCH("Package",D264)))),"",VLOOKUP(C264,'Clients List'!$A:$F,4,FALSE)-SUMIFS($E$2:$E264,$C$2:$C264,C264,$D$2:$D264,"*Package*"))</f>
        <v/>
      </c>
      <c r="G264" t="str">
        <f t="shared" si="8"/>
        <v/>
      </c>
      <c r="H264" s="33">
        <f>IF(ISNUMBER(SEARCH("Group",D264)),IF(G264="",E264,IFERROR(E264/COUNTIF($G2:$G6000,G264),E264)),E264)</f>
        <v>0</v>
      </c>
      <c r="I264" s="1" t="str">
        <f>IFERROR(VLOOKUP(C264,'Clients List'!A:F,6,FALSE),"")</f>
        <v/>
      </c>
      <c r="K264" s="23" t="str">
        <f>IFERROR(INDEX([2]Packages!E:E, MATCH(1, ([2]Packages!A:A=B264)*([2]Packages!B:B=C264), 0)) - SUMIFS(D$2:D264, B$2:B264, B264, C$2:C264, C264),"")</f>
        <v/>
      </c>
    </row>
    <row r="265" spans="4:11" x14ac:dyDescent="0.45">
      <c r="D265" t="str">
        <f>IFERROR(VLOOKUP(C265,'Clients List'!$A:$F,2,FALSE),"")</f>
        <v/>
      </c>
      <c r="F265" s="1" t="str">
        <f>IF(OR(C265="",NOT(ISNUMBER(SEARCH("Package",D265)))),"",VLOOKUP(C265,'Clients List'!$A:$F,4,FALSE)-SUMIFS($E$2:$E265,$C$2:$C265,C265,$D$2:$D265,"*Package*"))</f>
        <v/>
      </c>
      <c r="G265" t="str">
        <f t="shared" si="8"/>
        <v/>
      </c>
      <c r="H265" s="33">
        <f>IF(ISNUMBER(SEARCH("Group",D265)),IF(G265="",E265,IFERROR(E265/COUNTIF($G2:$G6000,G265),E265)),E265)</f>
        <v>0</v>
      </c>
      <c r="I265" s="1" t="str">
        <f>IFERROR(VLOOKUP(C265,'Clients List'!A:F,6,FALSE),"")</f>
        <v/>
      </c>
      <c r="K265" s="23" t="str">
        <f>IFERROR(INDEX([2]Packages!E:E, MATCH(1, ([2]Packages!A:A=B265)*([2]Packages!B:B=C265), 0)) - SUMIFS(D$2:D265, B$2:B265, B265, C$2:C265, C265),"")</f>
        <v/>
      </c>
    </row>
    <row r="266" spans="4:11" x14ac:dyDescent="0.45">
      <c r="D266" t="str">
        <f>IFERROR(VLOOKUP(C266,'Clients List'!$A:$F,2,FALSE),"")</f>
        <v/>
      </c>
      <c r="F266" s="1" t="str">
        <f>IF(OR(C266="",NOT(ISNUMBER(SEARCH("Package",D266)))),"",VLOOKUP(C266,'Clients List'!$A:$F,4,FALSE)-SUMIFS($E$2:$E266,$C$2:$C266,C266,$D$2:$D266,"*Package*"))</f>
        <v/>
      </c>
      <c r="G266" t="str">
        <f t="shared" si="8"/>
        <v/>
      </c>
      <c r="H266" s="33">
        <f>IF(ISNUMBER(SEARCH("Group",D266)),IF(G266="",E266,IFERROR(E266/COUNTIF($G2:$G6000,G266),E266)),E266)</f>
        <v>0</v>
      </c>
      <c r="I266" s="1" t="str">
        <f>IFERROR(VLOOKUP(C266,'Clients List'!A:F,6,FALSE),"")</f>
        <v/>
      </c>
      <c r="K266" s="23" t="str">
        <f>IFERROR(INDEX([2]Packages!E:E, MATCH(1, ([2]Packages!A:A=B266)*([2]Packages!B:B=C266), 0)) - SUMIFS(D$2:D266, B$2:B266, B266, C$2:C266, C266),"")</f>
        <v/>
      </c>
    </row>
    <row r="267" spans="4:11" x14ac:dyDescent="0.45">
      <c r="D267" t="str">
        <f>IFERROR(VLOOKUP(C267,'Clients List'!$A:$F,2,FALSE),"")</f>
        <v/>
      </c>
      <c r="F267" s="1" t="str">
        <f>IF(OR(C267="",NOT(ISNUMBER(SEARCH("Package",D267)))),"",VLOOKUP(C267,'Clients List'!$A:$F,4,FALSE)-SUMIFS($E$2:$E267,$C$2:$C267,C267,$D$2:$D267,"*Package*"))</f>
        <v/>
      </c>
      <c r="G267" t="str">
        <f t="shared" si="8"/>
        <v/>
      </c>
      <c r="H267" s="33">
        <f>IF(ISNUMBER(SEARCH("Group",D267)),IF(G267="",E267,IFERROR(E267/COUNTIF($G2:$G6000,G267),E267)),E267)</f>
        <v>0</v>
      </c>
      <c r="I267" s="1" t="str">
        <f>IFERROR(VLOOKUP(C267,'Clients List'!A:F,6,FALSE),"")</f>
        <v/>
      </c>
      <c r="K267" s="23" t="str">
        <f>IFERROR(INDEX([2]Packages!E:E, MATCH(1, ([2]Packages!A:A=B267)*([2]Packages!B:B=C267), 0)) - SUMIFS(D$2:D267, B$2:B267, B267, C$2:C267, C267),"")</f>
        <v/>
      </c>
    </row>
    <row r="268" spans="4:11" x14ac:dyDescent="0.45">
      <c r="D268" t="str">
        <f>IFERROR(VLOOKUP(C268,'Clients List'!$A:$F,2,FALSE),"")</f>
        <v/>
      </c>
      <c r="F268" s="1" t="str">
        <f>IF(OR(C268="",NOT(ISNUMBER(SEARCH("Package",D268)))),"",VLOOKUP(C268,'Clients List'!$A:$F,4,FALSE)-SUMIFS($E$2:$E268,$C$2:$C268,C268,$D$2:$D268,"*Package*"))</f>
        <v/>
      </c>
      <c r="G268" t="str">
        <f t="shared" si="8"/>
        <v/>
      </c>
      <c r="H268" s="33">
        <f>IF(ISNUMBER(SEARCH("Group",D268)),IF(G268="",E268,IFERROR(E268/COUNTIF($G2:$G6000,G268),E268)),E268)</f>
        <v>0</v>
      </c>
      <c r="I268" s="1" t="str">
        <f>IFERROR(VLOOKUP(C268,'Clients List'!A:F,6,FALSE),"")</f>
        <v/>
      </c>
      <c r="K268" s="23" t="str">
        <f>IFERROR(INDEX([2]Packages!E:E, MATCH(1, ([2]Packages!A:A=B268)*([2]Packages!B:B=C268), 0)) - SUMIFS(D$2:D268, B$2:B268, B268, C$2:C268, C268),"")</f>
        <v/>
      </c>
    </row>
    <row r="269" spans="4:11" x14ac:dyDescent="0.45">
      <c r="D269" t="str">
        <f>IFERROR(VLOOKUP(C269,'Clients List'!$A:$F,2,FALSE),"")</f>
        <v/>
      </c>
      <c r="F269" s="1" t="str">
        <f>IF(OR(C269="",NOT(ISNUMBER(SEARCH("Package",D269)))),"",VLOOKUP(C269,'Clients List'!$A:$F,4,FALSE)-SUMIFS($E$2:$E269,$C$2:$C269,C269,$D$2:$D269,"*Package*"))</f>
        <v/>
      </c>
      <c r="G269" t="str">
        <f t="shared" si="8"/>
        <v/>
      </c>
      <c r="H269" s="33">
        <f>IF(ISNUMBER(SEARCH("Group",D269)),IF(G269="",E269,IFERROR(E269/COUNTIF($G2:$G6000,G269),E269)),E269)</f>
        <v>0</v>
      </c>
      <c r="I269" s="1" t="str">
        <f>IFERROR(VLOOKUP(C269,'Clients List'!A:F,6,FALSE),"")</f>
        <v/>
      </c>
      <c r="K269" s="23" t="str">
        <f>IFERROR(INDEX([2]Packages!E:E, MATCH(1, ([2]Packages!A:A=B269)*([2]Packages!B:B=C269), 0)) - SUMIFS(D$2:D269, B$2:B269, B269, C$2:C269, C269),"")</f>
        <v/>
      </c>
    </row>
    <row r="270" spans="4:11" x14ac:dyDescent="0.45">
      <c r="D270" t="str">
        <f>IFERROR(VLOOKUP(C270,'Clients List'!$A:$F,2,FALSE),"")</f>
        <v/>
      </c>
      <c r="F270" s="1" t="str">
        <f>IF(OR(C270="",NOT(ISNUMBER(SEARCH("Package",D270)))),"",VLOOKUP(C270,'Clients List'!$A:$F,4,FALSE)-SUMIFS($E$2:$E270,$C$2:$C270,C270,$D$2:$D270,"*Package*"))</f>
        <v/>
      </c>
      <c r="G270" t="str">
        <f t="shared" si="8"/>
        <v/>
      </c>
      <c r="H270" s="33">
        <f>IF(ISNUMBER(SEARCH("Group",D270)),IF(G270="",E270,IFERROR(E270/COUNTIF($G2:$G6000,G270),E270)),E270)</f>
        <v>0</v>
      </c>
      <c r="I270" s="1" t="str">
        <f>IFERROR(VLOOKUP(C270,'Clients List'!A:F,6,FALSE),"")</f>
        <v/>
      </c>
      <c r="K270" s="23" t="str">
        <f>IFERROR(INDEX([2]Packages!E:E, MATCH(1, ([2]Packages!A:A=B270)*([2]Packages!B:B=C270), 0)) - SUMIFS(D$2:D270, B$2:B270, B270, C$2:C270, C270),"")</f>
        <v/>
      </c>
    </row>
    <row r="271" spans="4:11" x14ac:dyDescent="0.45">
      <c r="D271" t="str">
        <f>IFERROR(VLOOKUP(C271,'Clients List'!$A:$F,2,FALSE),"")</f>
        <v/>
      </c>
      <c r="F271" s="1" t="str">
        <f>IF(OR(C271="",NOT(ISNUMBER(SEARCH("Package",D271)))),"",VLOOKUP(C271,'Clients List'!$A:$F,4,FALSE)-SUMIFS($E$2:$E271,$C$2:$C271,C271,$D$2:$D271,"*Package*"))</f>
        <v/>
      </c>
      <c r="G271" t="str">
        <f t="shared" si="8"/>
        <v/>
      </c>
      <c r="H271" s="33">
        <f>IF(ISNUMBER(SEARCH("Group",D271)),IF(G271="",E271,IFERROR(E271/COUNTIF($G2:$G6000,G271),E271)),E271)</f>
        <v>0</v>
      </c>
      <c r="I271" s="1" t="str">
        <f>IFERROR(VLOOKUP(C271,'Clients List'!A:F,6,FALSE),"")</f>
        <v/>
      </c>
      <c r="K271" s="23" t="str">
        <f>IFERROR(INDEX([2]Packages!E:E, MATCH(1, ([2]Packages!A:A=B271)*([2]Packages!B:B=C271), 0)) - SUMIFS(D$2:D271, B$2:B271, B271, C$2:C271, C271),"")</f>
        <v/>
      </c>
    </row>
    <row r="272" spans="4:11" x14ac:dyDescent="0.45">
      <c r="D272" t="str">
        <f>IFERROR(VLOOKUP(C272,'Clients List'!$A:$F,2,FALSE),"")</f>
        <v/>
      </c>
      <c r="F272" s="1" t="str">
        <f>IF(OR(C272="",NOT(ISNUMBER(SEARCH("Package",D272)))),"",VLOOKUP(C272,'Clients List'!$A:$F,4,FALSE)-SUMIFS($E$2:$E272,$C$2:$C272,C272,$D$2:$D272,"*Package*"))</f>
        <v/>
      </c>
      <c r="G272" t="str">
        <f t="shared" si="8"/>
        <v/>
      </c>
      <c r="H272" s="33">
        <f>IF(ISNUMBER(SEARCH("Group",D272)),IF(G272="",E272,IFERROR(E272/COUNTIF($G2:$G6000,G272),E272)),E272)</f>
        <v>0</v>
      </c>
      <c r="I272" s="1" t="str">
        <f>IFERROR(VLOOKUP(C272,'Clients List'!A:F,6,FALSE),"")</f>
        <v/>
      </c>
      <c r="K272" s="23" t="str">
        <f>IFERROR(INDEX([2]Packages!E:E, MATCH(1, ([2]Packages!A:A=B272)*([2]Packages!B:B=C272), 0)) - SUMIFS(D$2:D272, B$2:B272, B272, C$2:C272, C272),"")</f>
        <v/>
      </c>
    </row>
    <row r="273" spans="1:11" x14ac:dyDescent="0.45">
      <c r="D273" t="str">
        <f>IFERROR(VLOOKUP(C273,'Clients List'!$A:$F,2,FALSE),"")</f>
        <v/>
      </c>
      <c r="F273" s="1" t="str">
        <f>IF(OR(C273="",NOT(ISNUMBER(SEARCH("Package",D273)))),"",VLOOKUP(C273,'Clients List'!$A:$F,4,FALSE)-SUMIFS($E$2:$E273,$C$2:$C273,C273,$D$2:$D273,"*Package*"))</f>
        <v/>
      </c>
      <c r="G273" t="str">
        <f t="shared" si="8"/>
        <v/>
      </c>
      <c r="H273" s="33">
        <f>IF(ISNUMBER(SEARCH("Group",D273)),IF(G273="",E273,IFERROR(E273/COUNTIF($G2:$G6000,G273),E273)),E273)</f>
        <v>0</v>
      </c>
      <c r="I273" s="1" t="str">
        <f>IFERROR(VLOOKUP(C273,'Clients List'!A:F,6,FALSE),"")</f>
        <v/>
      </c>
      <c r="K273" s="23" t="str">
        <f>IFERROR(INDEX([2]Packages!E:E, MATCH(1, ([2]Packages!A:A=B273)*([2]Packages!B:B=C273), 0)) - SUMIFS(D$2:D273, B$2:B273, B273, C$2:C273, C273),"")</f>
        <v/>
      </c>
    </row>
    <row r="274" spans="1:11" x14ac:dyDescent="0.45">
      <c r="D274" t="str">
        <f>IFERROR(VLOOKUP(C274,'Clients List'!$A:$F,2,FALSE),"")</f>
        <v/>
      </c>
      <c r="F274" s="1" t="str">
        <f>IF(OR(C274="",NOT(ISNUMBER(SEARCH("Package",D274)))),"",VLOOKUP(C274,'Clients List'!$A:$F,4,FALSE)-SUMIFS($E$2:$E274,$C$2:$C274,C274,$D$2:$D274,"*Package*"))</f>
        <v/>
      </c>
      <c r="G274" t="str">
        <f t="shared" ref="G274:G285" si="9">IF(ISNUMBER(SEARCH("Group",D274)),IFERROR("GRP-"&amp;TEXT(IF(ISNUMBER(A274),A274,DATEVALUE(A274)),"yyyymmdd"),""),"" )</f>
        <v/>
      </c>
      <c r="H274" s="33">
        <f>IF(ISNUMBER(SEARCH("Group",D274)),IF(G274="",E274,IFERROR(E274/COUNTIF($G2:$G6000,G274),E274)),E274)</f>
        <v>0</v>
      </c>
      <c r="I274" s="1" t="str">
        <f>IFERROR(VLOOKUP(C274,'Clients List'!A:F,6,FALSE),"")</f>
        <v/>
      </c>
      <c r="K274" s="23" t="str">
        <f>IFERROR(INDEX([2]Packages!E:E, MATCH(1, ([2]Packages!A:A=B274)*([2]Packages!B:B=C274), 0)) - SUMIFS(D$2:D274, B$2:B274, B274, C$2:C274, C274),"")</f>
        <v/>
      </c>
    </row>
    <row r="275" spans="1:11" x14ac:dyDescent="0.45">
      <c r="D275" t="str">
        <f>IFERROR(VLOOKUP(C275,'Clients List'!$A:$F,2,FALSE),"")</f>
        <v/>
      </c>
      <c r="F275" s="1" t="str">
        <f>IF(OR(C275="",NOT(ISNUMBER(SEARCH("Package",D275)))),"",VLOOKUP(C275,'Clients List'!$A:$F,4,FALSE)-SUMIFS($E$2:$E275,$C$2:$C275,C275,$D$2:$D275,"*Package*"))</f>
        <v/>
      </c>
      <c r="G275" t="str">
        <f t="shared" si="9"/>
        <v/>
      </c>
      <c r="H275" s="33">
        <f>IF(ISNUMBER(SEARCH("Group",D275)),IF(G275="",E275,IFERROR(E275/COUNTIF($G2:$G6000,G275),E275)),E275)</f>
        <v>0</v>
      </c>
      <c r="I275" s="1" t="str">
        <f>IFERROR(VLOOKUP(C275,'Clients List'!A:F,6,FALSE),"")</f>
        <v/>
      </c>
      <c r="K275" s="23" t="str">
        <f>IFERROR(INDEX([2]Packages!E:E, MATCH(1, ([2]Packages!A:A=B275)*([2]Packages!B:B=C275), 0)) - SUMIFS(D$2:D275, B$2:B275, B275, C$2:C275, C275),"")</f>
        <v/>
      </c>
    </row>
    <row r="276" spans="1:11" x14ac:dyDescent="0.45">
      <c r="D276" t="str">
        <f>IFERROR(VLOOKUP(C276,'Clients List'!$A:$F,2,FALSE),"")</f>
        <v/>
      </c>
      <c r="F276" s="1" t="str">
        <f>IF(OR(C276="",NOT(ISNUMBER(SEARCH("Package",D276)))),"",VLOOKUP(C276,'Clients List'!$A:$F,4,FALSE)-SUMIFS($E$2:$E276,$C$2:$C276,C276,$D$2:$D276,"*Package*"))</f>
        <v/>
      </c>
      <c r="G276" t="str">
        <f t="shared" si="9"/>
        <v/>
      </c>
      <c r="H276" s="33">
        <f>IF(ISNUMBER(SEARCH("Group",D276)),IF(G276="",E276,IFERROR(E276/COUNTIF($G2:$G6000,G276),E276)),E276)</f>
        <v>0</v>
      </c>
      <c r="I276" s="1" t="str">
        <f>IFERROR(VLOOKUP(C276,'Clients List'!A:F,6,FALSE),"")</f>
        <v/>
      </c>
      <c r="K276" s="23" t="str">
        <f>IFERROR(INDEX([2]Packages!E:E, MATCH(1, ([2]Packages!A:A=B276)*([2]Packages!B:B=C276), 0)) - SUMIFS(D$2:D276, B$2:B276, B276, C$2:C276, C276),"")</f>
        <v/>
      </c>
    </row>
    <row r="277" spans="1:11" x14ac:dyDescent="0.45">
      <c r="D277" t="str">
        <f>IFERROR(VLOOKUP(C277,'Clients List'!$A:$F,2,FALSE),"")</f>
        <v/>
      </c>
      <c r="F277" s="1" t="str">
        <f>IF(OR(C277="",NOT(ISNUMBER(SEARCH("Package",D277)))),"",VLOOKUP(C277,'Clients List'!$A:$F,4,FALSE)-SUMIFS($E$2:$E277,$C$2:$C277,C277,$D$2:$D277,"*Package*"))</f>
        <v/>
      </c>
      <c r="G277" t="str">
        <f t="shared" si="9"/>
        <v/>
      </c>
      <c r="H277" s="33">
        <f>IF(ISNUMBER(SEARCH("Group",D277)),IF(G277="",E277,IFERROR(E277/COUNTIF($G2:$G6000,G277),E277)),E277)</f>
        <v>0</v>
      </c>
      <c r="I277" s="1" t="str">
        <f>IFERROR(VLOOKUP(C277,'Clients List'!A:F,6,FALSE),"")</f>
        <v/>
      </c>
      <c r="K277" s="23" t="str">
        <f>IFERROR(INDEX([2]Packages!E:E, MATCH(1, ([2]Packages!A:A=B277)*([2]Packages!B:B=C277), 0)) - SUMIFS(D$2:D277, B$2:B277, B277, C$2:C277, C277),"")</f>
        <v/>
      </c>
    </row>
    <row r="278" spans="1:11" x14ac:dyDescent="0.45">
      <c r="D278" t="str">
        <f>IFERROR(VLOOKUP(C278,'Clients List'!$A:$F,2,FALSE),"")</f>
        <v/>
      </c>
      <c r="F278" s="1" t="str">
        <f>IF(OR(C278="",NOT(ISNUMBER(SEARCH("Package",D278)))),"",VLOOKUP(C278,'Clients List'!$A:$F,4,FALSE)-SUMIFS($E$2:$E278,$C$2:$C278,C278,$D$2:$D278,"*Package*"))</f>
        <v/>
      </c>
      <c r="G278" t="str">
        <f t="shared" si="9"/>
        <v/>
      </c>
      <c r="H278" s="33">
        <f>IF(ISNUMBER(SEARCH("Group",D278)),IF(G278="",E278,IFERROR(E278/COUNTIF($G2:$G6000,G278),E278)),E278)</f>
        <v>0</v>
      </c>
      <c r="I278" s="1" t="str">
        <f>IFERROR(VLOOKUP(C278,'Clients List'!A:F,6,FALSE),"")</f>
        <v/>
      </c>
      <c r="K278" s="23" t="str">
        <f>IFERROR(INDEX([2]Packages!E:E, MATCH(1, ([2]Packages!A:A=B278)*([2]Packages!B:B=C278), 0)) - SUMIFS(D$2:D278, B$2:B278, B278, C$2:C278, C278),"")</f>
        <v/>
      </c>
    </row>
    <row r="279" spans="1:11" x14ac:dyDescent="0.45">
      <c r="D279" t="str">
        <f>IFERROR(VLOOKUP(C279,'Clients List'!$A:$F,2,FALSE),"")</f>
        <v/>
      </c>
      <c r="F279" s="1" t="str">
        <f>IF(OR(C279="",NOT(ISNUMBER(SEARCH("Package",D279)))),"",VLOOKUP(C279,'Clients List'!$A:$F,4,FALSE)-SUMIFS($E$2:$E279,$C$2:$C279,C279,$D$2:$D279,"*Package*"))</f>
        <v/>
      </c>
      <c r="G279" t="str">
        <f t="shared" si="9"/>
        <v/>
      </c>
      <c r="H279" s="33">
        <f>IF(ISNUMBER(SEARCH("Group",D279)),IF(G279="",E279,IFERROR(E279/COUNTIF($G2:$G6000,G279),E279)),E279)</f>
        <v>0</v>
      </c>
      <c r="I279" s="1" t="str">
        <f>IFERROR(VLOOKUP(C279,'Clients List'!A:F,6,FALSE),"")</f>
        <v/>
      </c>
      <c r="K279" s="23" t="str">
        <f>IFERROR(INDEX([2]Packages!E:E, MATCH(1, ([2]Packages!A:A=B279)*([2]Packages!B:B=C279), 0)) - SUMIFS(D$2:D279, B$2:B279, B279, C$2:C279, C279),"")</f>
        <v/>
      </c>
    </row>
    <row r="280" spans="1:11" x14ac:dyDescent="0.45">
      <c r="D280" t="str">
        <f>IFERROR(VLOOKUP(C280,'Clients List'!$A:$F,2,FALSE),"")</f>
        <v/>
      </c>
      <c r="F280" s="1" t="str">
        <f>IF(OR(C280="",NOT(ISNUMBER(SEARCH("Package",D280)))),"",VLOOKUP(C280,'Clients List'!$A:$F,4,FALSE)-SUMIFS($E$2:$E280,$C$2:$C280,C280,$D$2:$D280,"*Package*"))</f>
        <v/>
      </c>
      <c r="G280" t="str">
        <f t="shared" si="9"/>
        <v/>
      </c>
      <c r="H280" s="33">
        <f>IF(ISNUMBER(SEARCH("Group",D280)),IF(G280="",E280,IFERROR(E280/COUNTIF($G2:$G6000,G280),E280)),E280)</f>
        <v>0</v>
      </c>
      <c r="I280" s="1" t="str">
        <f>IFERROR(VLOOKUP(C280,'Clients List'!A:F,6,FALSE),"")</f>
        <v/>
      </c>
      <c r="K280" s="23" t="str">
        <f>IFERROR(INDEX([2]Packages!E:E, MATCH(1, ([2]Packages!A:A=B280)*([2]Packages!B:B=C280), 0)) - SUMIFS(D$2:D280, B$2:B280, B280, C$2:C280, C280),"")</f>
        <v/>
      </c>
    </row>
    <row r="281" spans="1:11" x14ac:dyDescent="0.45">
      <c r="D281" t="str">
        <f>IFERROR(VLOOKUP(C281,'Clients List'!$A:$F,2,FALSE),"")</f>
        <v/>
      </c>
      <c r="F281" s="1" t="str">
        <f>IF(OR(C281="",NOT(ISNUMBER(SEARCH("Package",D281)))),"",VLOOKUP(C281,'Clients List'!$A:$F,4,FALSE)-SUMIFS($E$2:$E281,$C$2:$C281,C281,$D$2:$D281,"*Package*"))</f>
        <v/>
      </c>
      <c r="G281" t="str">
        <f t="shared" si="9"/>
        <v/>
      </c>
      <c r="H281" s="33">
        <f>IF(ISNUMBER(SEARCH("Group",D281)),IF(G281="",E281,IFERROR(E281/COUNTIF($G2:$G6000,G281),E281)),E281)</f>
        <v>0</v>
      </c>
      <c r="I281" s="1" t="str">
        <f>IFERROR(VLOOKUP(C281,'Clients List'!A:F,6,FALSE),"")</f>
        <v/>
      </c>
      <c r="K281" s="23" t="str">
        <f>IFERROR(INDEX([2]Packages!E:E, MATCH(1, ([2]Packages!A:A=B281)*([2]Packages!B:B=C281), 0)) - SUMIFS(D$2:D281, B$2:B281, B281, C$2:C281, C281),"")</f>
        <v/>
      </c>
    </row>
    <row r="282" spans="1:11" x14ac:dyDescent="0.45">
      <c r="D282" t="str">
        <f>IFERROR(VLOOKUP(C282,'Clients List'!$A:$F,2,FALSE),"")</f>
        <v/>
      </c>
      <c r="F282" s="1" t="str">
        <f>IF(OR(C282="",NOT(ISNUMBER(SEARCH("Package",D282)))),"",VLOOKUP(C282,'Clients List'!$A:$F,4,FALSE)-SUMIFS($E$2:$E282,$C$2:$C282,C282,$D$2:$D282,"*Package*"))</f>
        <v/>
      </c>
      <c r="G282" t="str">
        <f t="shared" si="9"/>
        <v/>
      </c>
      <c r="H282" s="33">
        <f>IF(ISNUMBER(SEARCH("Group",D282)),IF(G282="",E282,IFERROR(E282/COUNTIF($G2:$G6000,G282),E282)),E282)</f>
        <v>0</v>
      </c>
      <c r="I282" s="1" t="str">
        <f>IFERROR(VLOOKUP(C282,'Clients List'!A:F,6,FALSE),"")</f>
        <v/>
      </c>
      <c r="K282" s="23" t="str">
        <f>IFERROR(INDEX([2]Packages!E:E, MATCH(1, ([2]Packages!A:A=B282)*([2]Packages!B:B=C282), 0)) - SUMIFS(D$2:D282, B$2:B282, B282, C$2:C282, C282),"")</f>
        <v/>
      </c>
    </row>
    <row r="283" spans="1:11" x14ac:dyDescent="0.45">
      <c r="D283" t="str">
        <f>IFERROR(VLOOKUP(C283,'Clients List'!$A:$F,2,FALSE),"")</f>
        <v/>
      </c>
      <c r="F283" s="1" t="str">
        <f>IF(OR(C283="",NOT(ISNUMBER(SEARCH("Package",D283)))),"",VLOOKUP(C283,'Clients List'!$A:$F,4,FALSE)-SUMIFS($E$2:$E283,$C$2:$C283,C283,$D$2:$D283,"*Package*"))</f>
        <v/>
      </c>
      <c r="G283" t="str">
        <f t="shared" si="9"/>
        <v/>
      </c>
      <c r="H283" s="33">
        <f>IF(ISNUMBER(SEARCH("Group",D283)),IF(G283="",E283,IFERROR(E283/COUNTIF($G2:$G6000,G283),E283)),E283)</f>
        <v>0</v>
      </c>
      <c r="I283" s="1" t="str">
        <f>IFERROR(VLOOKUP(C283,'Clients List'!A:F,6,FALSE),"")</f>
        <v/>
      </c>
      <c r="K283" s="23" t="str">
        <f>IFERROR(INDEX([2]Packages!E:E, MATCH(1, ([2]Packages!A:A=B283)*([2]Packages!B:B=C283), 0)) - SUMIFS(D$2:D283, B$2:B283, B283, C$2:C283, C283),"")</f>
        <v/>
      </c>
    </row>
    <row r="284" spans="1:11" x14ac:dyDescent="0.45">
      <c r="D284" t="str">
        <f>IFERROR(VLOOKUP(C284,'Clients List'!$A:$F,2,FALSE),"")</f>
        <v/>
      </c>
      <c r="F284" s="1" t="str">
        <f>IF(OR(C284="",NOT(ISNUMBER(SEARCH("Package",D284)))),"",VLOOKUP(C284,'Clients List'!$A:$F,4,FALSE)-SUMIFS($E$2:$E284,$C$2:$C284,C284,$D$2:$D284,"*Package*"))</f>
        <v/>
      </c>
      <c r="G284" t="str">
        <f t="shared" si="9"/>
        <v/>
      </c>
      <c r="H284" s="33">
        <f>IF(ISNUMBER(SEARCH("Group",D284)),IF(G284="",E284,IFERROR(E284/COUNTIF($G2:$G6000,G284),E284)),E284)</f>
        <v>0</v>
      </c>
      <c r="I284" s="1" t="str">
        <f>IFERROR(VLOOKUP(C284,'Clients List'!A:F,6,FALSE),"")</f>
        <v/>
      </c>
      <c r="K284" s="23" t="str">
        <f>IFERROR(INDEX([2]Packages!E:E, MATCH(1, ([2]Packages!A:A=B284)*([2]Packages!B:B=C284), 0)) - SUMIFS(D$2:D284, B$2:B284, B284, C$2:C284, C284),"")</f>
        <v/>
      </c>
    </row>
    <row r="285" spans="1:11" x14ac:dyDescent="0.45">
      <c r="D285" t="str">
        <f>IFERROR(VLOOKUP(C285,'Clients List'!$A:$F,2,FALSE),"")</f>
        <v/>
      </c>
      <c r="F285" s="1" t="str">
        <f>IF(OR(C285="",NOT(ISNUMBER(SEARCH("Package",D285)))),"",VLOOKUP(C285,'Clients List'!$A:$F,4,FALSE)-SUMIFS($E$2:$E285,$C$2:$C285,C285,$D$2:$D285,"*Package*"))</f>
        <v/>
      </c>
      <c r="G285" t="str">
        <f t="shared" si="9"/>
        <v/>
      </c>
      <c r="H285" s="33">
        <f>IF(ISNUMBER(SEARCH("Group",D285)),IF(G285="",E285,IFERROR(E285/COUNTIF($G2:$G6000,G285),E285)),E285)</f>
        <v>0</v>
      </c>
      <c r="I285" s="1" t="str">
        <f>IFERROR(VLOOKUP(C285,'Clients List'!A:F,6,FALSE),"")</f>
        <v/>
      </c>
      <c r="K285" s="23" t="str">
        <f>IFERROR(INDEX([2]Packages!E:E, MATCH(1, ([2]Packages!A:A=B285)*([2]Packages!B:B=C285), 0)) - SUMIFS(D$2:D285, B$2:B285, B285, C$2:C285, C285),"")</f>
        <v/>
      </c>
    </row>
    <row r="286" spans="1:11" x14ac:dyDescent="0.45">
      <c r="A286" s="44"/>
      <c r="B286" s="45"/>
      <c r="C286" s="45"/>
      <c r="D286" s="46" t="str">
        <f>IFERROR(VLOOKUP(C286,'Clients List'!$A:$F,2,FALSE),"")</f>
        <v/>
      </c>
      <c r="E286" s="47">
        <f>SUM(E146:E285)</f>
        <v>0</v>
      </c>
      <c r="F286" s="1" t="str">
        <f>IF(OR(C286="",NOT(ISNUMBER(SEARCH("Package",D286)))),"",VLOOKUP(C286,'Clients List'!$A:$F,4,FALSE)-SUMIFS($E$2:$E286,$C$2:$C286,C286,$D$2:$D286,"*Package*"))</f>
        <v/>
      </c>
      <c r="H286" s="48">
        <f>SUM(H146:H285)</f>
        <v>0</v>
      </c>
      <c r="I286" s="11" t="str">
        <f>IFERROR(VLOOKUP(C286,'Clients List'!A:F,6,FALSE),"")</f>
        <v/>
      </c>
      <c r="K286" s="23" t="str">
        <f>IFERROR(INDEX([2]Packages!E:E, MATCH(1, ([2]Packages!A:A=B286)*([2]Packages!B:B=C286), 0)) - SUMIFS(D$2:D286, B$2:B286, B286, C$2:C286, C286),"")</f>
        <v/>
      </c>
    </row>
    <row r="287" spans="1:11" x14ac:dyDescent="0.45">
      <c r="D287" t="str">
        <f>IFERROR(VLOOKUP(C287,'Clients List'!$A:$F,2,FALSE),"")</f>
        <v/>
      </c>
      <c r="F287" s="1" t="str">
        <f>IF(OR(C287="",NOT(ISNUMBER(SEARCH("Package",D287)))),"",VLOOKUP(C287,'Clients List'!$A:$F,4,FALSE)-SUMIFS($E$2:$E287,$C$2:$C287,C287,$D$2:$D287,"*Package*"))</f>
        <v/>
      </c>
      <c r="G287" t="str">
        <f>IF(ISNUMBER(SEARCH("Group",D287)),IFERROR("GRP-"&amp;TEXT(IF(ISNUMBER(A287),A287,DATEVALUE(A287)),"yyyymmdd"),""),"" )</f>
        <v/>
      </c>
      <c r="H287" s="33">
        <f>IF(ISNUMBER(SEARCH("Group",D287)),IF(G287="",E287,IFERROR(E287/COUNTIF($G2:$G6000,G287),E287)),E287)</f>
        <v>0</v>
      </c>
      <c r="I287" s="1" t="str">
        <f>IFERROR(VLOOKUP(C287,'Clients List'!A:F,6,FALSE),"")</f>
        <v/>
      </c>
      <c r="K287" s="23" t="str">
        <f>IFERROR(INDEX([2]Packages!E:E, MATCH(1, ([2]Packages!A:A=B287)*([2]Packages!B:B=C287), 0)) - SUMIFS(D$2:D287, B$2:B287, B287, C$2:C287, C287),"")</f>
        <v/>
      </c>
    </row>
    <row r="288" spans="1:11" x14ac:dyDescent="0.45">
      <c r="A288" s="34" t="s">
        <v>17</v>
      </c>
      <c r="B288" s="35"/>
      <c r="C288" s="35"/>
      <c r="D288" s="36" t="str">
        <f>IFERROR(VLOOKUP(C288,'Clients List'!$A:$F,2,FALSE),"")</f>
        <v/>
      </c>
      <c r="E288" s="37"/>
      <c r="F288" s="38" t="str">
        <f>IF(OR(C288="",NOT(ISNUMBER(SEARCH("Package",D288)))),"",VLOOKUP(C288,'Clients List'!$A:$F,4,FALSE)-SUMIFS($E$2:$E288,$C$2:$C288,C288,$D$2:$D288,"*Package*"))</f>
        <v/>
      </c>
      <c r="G288" s="38"/>
      <c r="H288" s="39"/>
      <c r="I288" s="38" t="str">
        <f>IFERROR(VLOOKUP(C288,'Clients List'!A:F,6,FALSE),"")</f>
        <v/>
      </c>
      <c r="K288" s="23" t="str">
        <f>IFERROR(INDEX([2]Packages!E:E, MATCH(1, ([2]Packages!A:A=B288)*([2]Packages!B:B=C288), 0)) - SUMIFS(D$2:D288, B$2:B288, B288, C$2:C288, C288),"")</f>
        <v/>
      </c>
    </row>
    <row r="289" spans="1:11" x14ac:dyDescent="0.45">
      <c r="A289" s="7"/>
      <c r="D289" t="str">
        <f>IFERROR(VLOOKUP(C289,'Clients List'!$A:$F,2,FALSE),"")</f>
        <v/>
      </c>
      <c r="F289" s="1" t="str">
        <f>IF(OR(C289="",NOT(ISNUMBER(SEARCH("Package",D289)))),"",VLOOKUP(C289,'Clients List'!$A:$F,4,FALSE)-SUMIFS($E$2:$E289,$C$2:$C289,C289,$D$2:$D289,"*Package*"))</f>
        <v/>
      </c>
      <c r="G289" t="str">
        <f t="shared" ref="G289:G320" si="10">IF(ISNUMBER(SEARCH("Group",D289)),IFERROR("GRP-"&amp;TEXT(IF(ISNUMBER(A289),A289,DATEVALUE(A289)),"yyyymmdd"),""),"" )</f>
        <v/>
      </c>
      <c r="H289" s="33">
        <f>IF(ISNUMBER(SEARCH("Group",D289)),IF(G289="",E289,IFERROR(E289/COUNTIF($G2:$G6000,G289),E289)),E289)</f>
        <v>0</v>
      </c>
      <c r="I289" s="1" t="str">
        <f>IFERROR(VLOOKUP(C289,'Clients List'!A:F,6,FALSE),"")</f>
        <v/>
      </c>
      <c r="K289" s="23" t="str">
        <f>IFERROR(INDEX([2]Packages!E:E, MATCH(1, ([2]Packages!A:A=B289)*([2]Packages!B:B=C289), 0)) - SUMIFS(D$2:D289, B$2:B289, B289, C$2:C289, C289),"")</f>
        <v/>
      </c>
    </row>
    <row r="290" spans="1:11" x14ac:dyDescent="0.45">
      <c r="D290" t="str">
        <f>IFERROR(VLOOKUP(C290,'Clients List'!$A:$F,2,FALSE),"")</f>
        <v/>
      </c>
      <c r="F290" s="1" t="str">
        <f>IF(OR(C290="",NOT(ISNUMBER(SEARCH("Package",D290)))),"",VLOOKUP(C290,'Clients List'!$A:$F,4,FALSE)-SUMIFS($E$2:$E290,$C$2:$C290,C290,$D$2:$D290,"*Package*"))</f>
        <v/>
      </c>
      <c r="G290" t="str">
        <f t="shared" si="10"/>
        <v/>
      </c>
      <c r="H290" s="33">
        <f>IF(ISNUMBER(SEARCH("Group",D290)),IF(G290="",E290,IFERROR(E290/COUNTIF($G2:$G6000,G290),E290)),E290)</f>
        <v>0</v>
      </c>
      <c r="I290" s="1" t="str">
        <f>IFERROR(VLOOKUP(C290,'Clients List'!A:F,6,FALSE),"")</f>
        <v/>
      </c>
      <c r="K290" s="23" t="str">
        <f>IFERROR(INDEX([2]Packages!E:E, MATCH(1, ([2]Packages!A:A=B290)*([2]Packages!B:B=C290), 0)) - SUMIFS(D$2:D290, B$2:B290, B290, C$2:C290, C290),"")</f>
        <v/>
      </c>
    </row>
    <row r="291" spans="1:11" x14ac:dyDescent="0.45">
      <c r="D291" t="str">
        <f>IFERROR(VLOOKUP(C291,'Clients List'!$A:$F,2,FALSE),"")</f>
        <v/>
      </c>
      <c r="F291" s="1" t="str">
        <f>IF(OR(C291="",NOT(ISNUMBER(SEARCH("Package",D291)))),"",VLOOKUP(C291,'Clients List'!$A:$F,4,FALSE)-SUMIFS($E$2:$E291,$C$2:$C291,C291,$D$2:$D291,"*Package*"))</f>
        <v/>
      </c>
      <c r="G291" t="str">
        <f t="shared" si="10"/>
        <v/>
      </c>
      <c r="H291" s="33">
        <f>IF(ISNUMBER(SEARCH("Group",D291)),IF(G291="",E291,IFERROR(E291/COUNTIF($G2:$G6000,G291),E291)),E291)</f>
        <v>0</v>
      </c>
      <c r="I291" s="1" t="str">
        <f>IFERROR(VLOOKUP(C291,'Clients List'!A:F,6,FALSE),"")</f>
        <v/>
      </c>
      <c r="K291" s="23" t="str">
        <f>IFERROR(INDEX([2]Packages!E:E, MATCH(1, ([2]Packages!A:A=B291)*([2]Packages!B:B=C291), 0)) - SUMIFS(D$2:D291, B$2:B291, B291, C$2:C291, C291),"")</f>
        <v/>
      </c>
    </row>
    <row r="292" spans="1:11" x14ac:dyDescent="0.45">
      <c r="D292" t="str">
        <f>IFERROR(VLOOKUP(C292,'Clients List'!$A:$F,2,FALSE),"")</f>
        <v/>
      </c>
      <c r="F292" s="1" t="str">
        <f>IF(OR(C292="",NOT(ISNUMBER(SEARCH("Package",D292)))),"",VLOOKUP(C292,'Clients List'!$A:$F,4,FALSE)-SUMIFS($E$2:$E292,$C$2:$C292,C292,$D$2:$D292,"*Package*"))</f>
        <v/>
      </c>
      <c r="G292" t="str">
        <f t="shared" si="10"/>
        <v/>
      </c>
      <c r="H292" s="33">
        <f>IF(ISNUMBER(SEARCH("Group",D292)),IF(G292="",E292,IFERROR(E292/COUNTIF($G2:$G6000,G292),E292)),E292)</f>
        <v>0</v>
      </c>
      <c r="I292" s="1" t="str">
        <f>IFERROR(VLOOKUP(C292,'Clients List'!A:F,6,FALSE),"")</f>
        <v/>
      </c>
      <c r="K292" s="23" t="str">
        <f>IFERROR(INDEX([2]Packages!E:E, MATCH(1, ([2]Packages!A:A=B292)*([2]Packages!B:B=C292), 0)) - SUMIFS(D$2:D292, B$2:B292, B292, C$2:C292, C292),"")</f>
        <v/>
      </c>
    </row>
    <row r="293" spans="1:11" x14ac:dyDescent="0.45">
      <c r="D293" t="str">
        <f>IFERROR(VLOOKUP(C293,'Clients List'!$A:$F,2,FALSE),"")</f>
        <v/>
      </c>
      <c r="F293" s="1" t="str">
        <f>IF(OR(C293="",NOT(ISNUMBER(SEARCH("Package",D293)))),"",VLOOKUP(C293,'Clients List'!$A:$F,4,FALSE)-SUMIFS($E$2:$E293,$C$2:$C293,C293,$D$2:$D293,"*Package*"))</f>
        <v/>
      </c>
      <c r="G293" t="str">
        <f t="shared" si="10"/>
        <v/>
      </c>
      <c r="H293" s="33">
        <f>IF(ISNUMBER(SEARCH("Group",D293)),IF(G293="",E293,IFERROR(E293/COUNTIF($G2:$G6000,G293),E293)),E293)</f>
        <v>0</v>
      </c>
      <c r="I293" s="1" t="str">
        <f>IFERROR(VLOOKUP(C293,'Clients List'!A:F,6,FALSE),"")</f>
        <v/>
      </c>
      <c r="K293" s="23" t="str">
        <f>IFERROR(INDEX([2]Packages!E:E, MATCH(1, ([2]Packages!A:A=B293)*([2]Packages!B:B=C293), 0)) - SUMIFS(D$2:D293, B$2:B293, B293, C$2:C293, C293),"")</f>
        <v/>
      </c>
    </row>
    <row r="294" spans="1:11" x14ac:dyDescent="0.45">
      <c r="D294" t="str">
        <f>IFERROR(VLOOKUP(C294,'Clients List'!$A:$F,2,FALSE),"")</f>
        <v/>
      </c>
      <c r="F294" s="1" t="str">
        <f>IF(OR(C294="",NOT(ISNUMBER(SEARCH("Package",D294)))),"",VLOOKUP(C294,'Clients List'!$A:$F,4,FALSE)-SUMIFS($E$2:$E294,$C$2:$C294,C294,$D$2:$D294,"*Package*"))</f>
        <v/>
      </c>
      <c r="G294" t="str">
        <f t="shared" si="10"/>
        <v/>
      </c>
      <c r="H294" s="33">
        <f>IF(ISNUMBER(SEARCH("Group",D294)),IF(G294="",E294,IFERROR(E294/COUNTIF($G2:$G6000,G294),E294)),E294)</f>
        <v>0</v>
      </c>
      <c r="I294" s="1" t="str">
        <f>IFERROR(VLOOKUP(C294,'Clients List'!A:F,6,FALSE),"")</f>
        <v/>
      </c>
      <c r="K294" s="23" t="str">
        <f>IFERROR(INDEX([2]Packages!E:E, MATCH(1, ([2]Packages!A:A=B294)*([2]Packages!B:B=C294), 0)) - SUMIFS(D$2:D294, B$2:B294, B294, C$2:C294, C294),"")</f>
        <v/>
      </c>
    </row>
    <row r="295" spans="1:11" x14ac:dyDescent="0.45">
      <c r="D295" t="str">
        <f>IFERROR(VLOOKUP(C295,'Clients List'!$A:$F,2,FALSE),"")</f>
        <v/>
      </c>
      <c r="F295" s="1" t="str">
        <f>IF(OR(C295="",NOT(ISNUMBER(SEARCH("Package",D295)))),"",VLOOKUP(C295,'Clients List'!$A:$F,4,FALSE)-SUMIFS($E$2:$E295,$C$2:$C295,C295,$D$2:$D295,"*Package*"))</f>
        <v/>
      </c>
      <c r="G295" t="str">
        <f t="shared" si="10"/>
        <v/>
      </c>
      <c r="H295" s="33">
        <f>IF(ISNUMBER(SEARCH("Group",D295)),IF(G295="",E295,IFERROR(E295/COUNTIF($G2:$G6000,G295),E295)),E295)</f>
        <v>0</v>
      </c>
      <c r="I295" s="1" t="str">
        <f>IFERROR(VLOOKUP(C295,'Clients List'!A:F,6,FALSE),"")</f>
        <v/>
      </c>
      <c r="K295" s="23" t="str">
        <f>IFERROR(INDEX([2]Packages!E:E, MATCH(1, ([2]Packages!A:A=B295)*([2]Packages!B:B=C295), 0)) - SUMIFS(D$2:D295, B$2:B295, B295, C$2:C295, C295),"")</f>
        <v/>
      </c>
    </row>
    <row r="296" spans="1:11" x14ac:dyDescent="0.45">
      <c r="D296" t="str">
        <f>IFERROR(VLOOKUP(C296,'Clients List'!$A:$F,2,FALSE),"")</f>
        <v/>
      </c>
      <c r="F296" s="1" t="str">
        <f>IF(OR(C296="",NOT(ISNUMBER(SEARCH("Package",D296)))),"",VLOOKUP(C296,'Clients List'!$A:$F,4,FALSE)-SUMIFS($E$2:$E296,$C$2:$C296,C296,$D$2:$D296,"*Package*"))</f>
        <v/>
      </c>
      <c r="G296" t="str">
        <f t="shared" si="10"/>
        <v/>
      </c>
      <c r="H296" s="33">
        <f>IF(ISNUMBER(SEARCH("Group",D296)),IF(G296="",E296,IFERROR(E296/COUNTIF($G2:$G6000,G296),E296)),E296)</f>
        <v>0</v>
      </c>
      <c r="I296" s="1" t="str">
        <f>IFERROR(VLOOKUP(C296,'Clients List'!A:F,6,FALSE),"")</f>
        <v/>
      </c>
      <c r="K296" s="23" t="str">
        <f>IFERROR(INDEX([2]Packages!E:E, MATCH(1, ([2]Packages!A:A=B296)*([2]Packages!B:B=C296), 0)) - SUMIFS(D$2:D296, B$2:B296, B296, C$2:C296, C296),"")</f>
        <v/>
      </c>
    </row>
    <row r="297" spans="1:11" x14ac:dyDescent="0.45">
      <c r="D297" t="str">
        <f>IFERROR(VLOOKUP(C297,'Clients List'!$A:$F,2,FALSE),"")</f>
        <v/>
      </c>
      <c r="F297" s="1" t="str">
        <f>IF(OR(C297="",NOT(ISNUMBER(SEARCH("Package",D297)))),"",VLOOKUP(C297,'Clients List'!$A:$F,4,FALSE)-SUMIFS($E$2:$E297,$C$2:$C297,C297,$D$2:$D297,"*Package*"))</f>
        <v/>
      </c>
      <c r="G297" t="str">
        <f t="shared" si="10"/>
        <v/>
      </c>
      <c r="H297" s="33">
        <f>IF(ISNUMBER(SEARCH("Group",D297)),IF(G297="",E297,IFERROR(E297/COUNTIF($G2:$G6000,G297),E297)),E297)</f>
        <v>0</v>
      </c>
      <c r="I297" s="1" t="str">
        <f>IFERROR(VLOOKUP(C297,'Clients List'!A:F,6,FALSE),"")</f>
        <v/>
      </c>
      <c r="K297" s="23" t="str">
        <f>IFERROR(INDEX([2]Packages!E:E, MATCH(1, ([2]Packages!A:A=B297)*([2]Packages!B:B=C297), 0)) - SUMIFS(D$2:D297, B$2:B297, B297, C$2:C297, C297),"")</f>
        <v/>
      </c>
    </row>
    <row r="298" spans="1:11" x14ac:dyDescent="0.45">
      <c r="D298" t="str">
        <f>IFERROR(VLOOKUP(C298,'Clients List'!$A:$F,2,FALSE),"")</f>
        <v/>
      </c>
      <c r="F298" s="1" t="str">
        <f>IF(OR(C298="",NOT(ISNUMBER(SEARCH("Package",D298)))),"",VLOOKUP(C298,'Clients List'!$A:$F,4,FALSE)-SUMIFS($E$2:$E298,$C$2:$C298,C298,$D$2:$D298,"*Package*"))</f>
        <v/>
      </c>
      <c r="G298" t="str">
        <f t="shared" si="10"/>
        <v/>
      </c>
      <c r="H298" s="33">
        <f>IF(ISNUMBER(SEARCH("Group",D298)),IF(G298="",E298,IFERROR(E298/COUNTIF($G2:$G6000,G298),E298)),E298)</f>
        <v>0</v>
      </c>
      <c r="I298" s="1" t="str">
        <f>IFERROR(VLOOKUP(C298,'Clients List'!A:F,6,FALSE),"")</f>
        <v/>
      </c>
      <c r="K298" s="23" t="str">
        <f>IFERROR(INDEX([2]Packages!E:E, MATCH(1, ([2]Packages!A:A=B298)*([2]Packages!B:B=C298), 0)) - SUMIFS(D$2:D298, B$2:B298, B298, C$2:C298, C298),"")</f>
        <v/>
      </c>
    </row>
    <row r="299" spans="1:11" x14ac:dyDescent="0.45">
      <c r="D299" t="str">
        <f>IFERROR(VLOOKUP(C299,'Clients List'!$A:$F,2,FALSE),"")</f>
        <v/>
      </c>
      <c r="F299" s="1" t="str">
        <f>IF(OR(C299="",NOT(ISNUMBER(SEARCH("Package",D299)))),"",VLOOKUP(C299,'Clients List'!$A:$F,4,FALSE)-SUMIFS($E$2:$E299,$C$2:$C299,C299,$D$2:$D299,"*Package*"))</f>
        <v/>
      </c>
      <c r="G299" t="str">
        <f t="shared" si="10"/>
        <v/>
      </c>
      <c r="H299" s="33">
        <f>IF(ISNUMBER(SEARCH("Group",D299)),IF(G299="",E299,IFERROR(E299/COUNTIF($G2:$G6000,G299),E299)),E299)</f>
        <v>0</v>
      </c>
      <c r="I299" s="1" t="str">
        <f>IFERROR(VLOOKUP(C299,'Clients List'!A:F,6,FALSE),"")</f>
        <v/>
      </c>
      <c r="K299" s="23" t="str">
        <f>IFERROR(INDEX([2]Packages!E:E, MATCH(1, ([2]Packages!A:A=B299)*([2]Packages!B:B=C299), 0)) - SUMIFS(D$2:D299, B$2:B299, B299, C$2:C299, C299),"")</f>
        <v/>
      </c>
    </row>
    <row r="300" spans="1:11" x14ac:dyDescent="0.45">
      <c r="D300" t="str">
        <f>IFERROR(VLOOKUP(C300,'Clients List'!$A:$F,2,FALSE),"")</f>
        <v/>
      </c>
      <c r="F300" s="1" t="str">
        <f>IF(OR(C300="",NOT(ISNUMBER(SEARCH("Package",D300)))),"",VLOOKUP(C300,'Clients List'!$A:$F,4,FALSE)-SUMIFS($E$2:$E300,$C$2:$C300,C300,$D$2:$D300,"*Package*"))</f>
        <v/>
      </c>
      <c r="G300" t="str">
        <f t="shared" si="10"/>
        <v/>
      </c>
      <c r="H300" s="33">
        <f>IF(ISNUMBER(SEARCH("Group",D300)),IF(G300="",E300,IFERROR(E300/COUNTIF($G2:$G6000,G300),E300)),E300)</f>
        <v>0</v>
      </c>
      <c r="I300" s="1" t="str">
        <f>IFERROR(VLOOKUP(C300,'Clients List'!A:F,6,FALSE),"")</f>
        <v/>
      </c>
      <c r="K300" s="23" t="str">
        <f>IFERROR(INDEX([2]Packages!E:E, MATCH(1, ([2]Packages!A:A=B300)*([2]Packages!B:B=C300), 0)) - SUMIFS(D$2:D300, B$2:B300, B300, C$2:C300, C300),"")</f>
        <v/>
      </c>
    </row>
    <row r="301" spans="1:11" x14ac:dyDescent="0.45">
      <c r="D301" t="str">
        <f>IFERROR(VLOOKUP(C301,'Clients List'!$A:$F,2,FALSE),"")</f>
        <v/>
      </c>
      <c r="F301" s="1" t="str">
        <f>IF(OR(C301="",NOT(ISNUMBER(SEARCH("Package",D301)))),"",VLOOKUP(C301,'Clients List'!$A:$F,4,FALSE)-SUMIFS($E$2:$E301,$C$2:$C301,C301,$D$2:$D301,"*Package*"))</f>
        <v/>
      </c>
      <c r="G301" t="str">
        <f t="shared" si="10"/>
        <v/>
      </c>
      <c r="H301" s="33">
        <f>IF(ISNUMBER(SEARCH("Group",D301)),IF(G301="",E301,IFERROR(E301/COUNTIF($G2:$G6000,G301),E301)),E301)</f>
        <v>0</v>
      </c>
      <c r="I301" s="1" t="str">
        <f>IFERROR(VLOOKUP(C301,'Clients List'!A:F,6,FALSE),"")</f>
        <v/>
      </c>
      <c r="K301" s="23" t="str">
        <f>IFERROR(INDEX([2]Packages!E:E, MATCH(1, ([2]Packages!A:A=B301)*([2]Packages!B:B=C301), 0)) - SUMIFS(D$2:D301, B$2:B301, B301, C$2:C301, C301),"")</f>
        <v/>
      </c>
    </row>
    <row r="302" spans="1:11" x14ac:dyDescent="0.45">
      <c r="D302" t="str">
        <f>IFERROR(VLOOKUP(C302,'Clients List'!$A:$F,2,FALSE),"")</f>
        <v/>
      </c>
      <c r="F302" s="1" t="str">
        <f>IF(OR(C302="",NOT(ISNUMBER(SEARCH("Package",D302)))),"",VLOOKUP(C302,'Clients List'!$A:$F,4,FALSE)-SUMIFS($E$2:$E302,$C$2:$C302,C302,$D$2:$D302,"*Package*"))</f>
        <v/>
      </c>
      <c r="G302" t="str">
        <f t="shared" si="10"/>
        <v/>
      </c>
      <c r="H302" s="33">
        <f>IF(ISNUMBER(SEARCH("Group",D302)),IF(G302="",E302,IFERROR(E302/COUNTIF($G2:$G6000,G302),E302)),E302)</f>
        <v>0</v>
      </c>
      <c r="I302" s="1" t="str">
        <f>IFERROR(VLOOKUP(C302,'Clients List'!A:F,6,FALSE),"")</f>
        <v/>
      </c>
      <c r="K302" s="23" t="str">
        <f>IFERROR(INDEX([2]Packages!E:E, MATCH(1, ([2]Packages!A:A=B302)*([2]Packages!B:B=C302), 0)) - SUMIFS(D$2:D302, B$2:B302, B302, C$2:C302, C302),"")</f>
        <v/>
      </c>
    </row>
    <row r="303" spans="1:11" x14ac:dyDescent="0.45">
      <c r="D303" t="str">
        <f>IFERROR(VLOOKUP(C303,'Clients List'!$A:$F,2,FALSE),"")</f>
        <v/>
      </c>
      <c r="F303" s="1" t="str">
        <f>IF(OR(C303="",NOT(ISNUMBER(SEARCH("Package",D303)))),"",VLOOKUP(C303,'Clients List'!$A:$F,4,FALSE)-SUMIFS($E$2:$E303,$C$2:$C303,C303,$D$2:$D303,"*Package*"))</f>
        <v/>
      </c>
      <c r="G303" t="str">
        <f t="shared" si="10"/>
        <v/>
      </c>
      <c r="H303" s="33">
        <f>IF(ISNUMBER(SEARCH("Group",D303)),IF(G303="",E303,IFERROR(E303/COUNTIF($G2:$G6000,G303),E303)),E303)</f>
        <v>0</v>
      </c>
      <c r="I303" s="1" t="str">
        <f>IFERROR(VLOOKUP(C303,'Clients List'!A:F,6,FALSE),"")</f>
        <v/>
      </c>
      <c r="K303" s="23" t="str">
        <f>IFERROR(INDEX([2]Packages!E:E, MATCH(1, ([2]Packages!A:A=B303)*([2]Packages!B:B=C303), 0)) - SUMIFS(D$2:D303, B$2:B303, B303, C$2:C303, C303),"")</f>
        <v/>
      </c>
    </row>
    <row r="304" spans="1:11" x14ac:dyDescent="0.45">
      <c r="D304" t="str">
        <f>IFERROR(VLOOKUP(C304,'Clients List'!$A:$F,2,FALSE),"")</f>
        <v/>
      </c>
      <c r="F304" s="1" t="str">
        <f>IF(OR(C304="",NOT(ISNUMBER(SEARCH("Package",D304)))),"",VLOOKUP(C304,'Clients List'!$A:$F,4,FALSE)-SUMIFS($E$2:$E304,$C$2:$C304,C304,$D$2:$D304,"*Package*"))</f>
        <v/>
      </c>
      <c r="G304" t="str">
        <f t="shared" si="10"/>
        <v/>
      </c>
      <c r="H304" s="33">
        <f>IF(ISNUMBER(SEARCH("Group",D304)),IF(G304="",E304,IFERROR(E304/COUNTIF($G2:$G6000,G304),E304)),E304)</f>
        <v>0</v>
      </c>
      <c r="I304" s="1" t="str">
        <f>IFERROR(VLOOKUP(C304,'Clients List'!A:F,6,FALSE),"")</f>
        <v/>
      </c>
      <c r="K304" s="23" t="str">
        <f>IFERROR(INDEX([2]Packages!E:E, MATCH(1, ([2]Packages!A:A=B304)*([2]Packages!B:B=C304), 0)) - SUMIFS(D$2:D304, B$2:B304, B304, C$2:C304, C304),"")</f>
        <v/>
      </c>
    </row>
    <row r="305" spans="4:11" x14ac:dyDescent="0.45">
      <c r="D305" t="str">
        <f>IFERROR(VLOOKUP(C305,'Clients List'!$A:$F,2,FALSE),"")</f>
        <v/>
      </c>
      <c r="F305" s="1" t="str">
        <f>IF(OR(C305="",NOT(ISNUMBER(SEARCH("Package",D305)))),"",VLOOKUP(C305,'Clients List'!$A:$F,4,FALSE)-SUMIFS($E$2:$E305,$C$2:$C305,C305,$D$2:$D305,"*Package*"))</f>
        <v/>
      </c>
      <c r="G305" t="str">
        <f t="shared" si="10"/>
        <v/>
      </c>
      <c r="H305" s="33">
        <f>IF(ISNUMBER(SEARCH("Group",D305)),IF(G305="",E305,IFERROR(E305/COUNTIF($G2:$G6000,G305),E305)),E305)</f>
        <v>0</v>
      </c>
      <c r="I305" s="1" t="str">
        <f>IFERROR(VLOOKUP(C305,'Clients List'!A:F,6,FALSE),"")</f>
        <v/>
      </c>
      <c r="K305" s="23" t="str">
        <f>IFERROR(INDEX([2]Packages!E:E, MATCH(1, ([2]Packages!A:A=B305)*([2]Packages!B:B=C305), 0)) - SUMIFS(D$2:D305, B$2:B305, B305, C$2:C305, C305),"")</f>
        <v/>
      </c>
    </row>
    <row r="306" spans="4:11" x14ac:dyDescent="0.45">
      <c r="D306" t="str">
        <f>IFERROR(VLOOKUP(C306,'Clients List'!$A:$F,2,FALSE),"")</f>
        <v/>
      </c>
      <c r="F306" s="1" t="str">
        <f>IF(OR(C306="",NOT(ISNUMBER(SEARCH("Package",D306)))),"",VLOOKUP(C306,'Clients List'!$A:$F,4,FALSE)-SUMIFS($E$2:$E306,$C$2:$C306,C306,$D$2:$D306,"*Package*"))</f>
        <v/>
      </c>
      <c r="G306" t="str">
        <f t="shared" si="10"/>
        <v/>
      </c>
      <c r="H306" s="33">
        <f>IF(ISNUMBER(SEARCH("Group",D306)),IF(G306="",E306,IFERROR(E306/COUNTIF($G2:$G6000,G306),E306)),E306)</f>
        <v>0</v>
      </c>
      <c r="I306" s="1" t="str">
        <f>IFERROR(VLOOKUP(C306,'Clients List'!A:F,6,FALSE),"")</f>
        <v/>
      </c>
      <c r="K306" s="23" t="str">
        <f>IFERROR(INDEX([2]Packages!E:E, MATCH(1, ([2]Packages!A:A=B306)*([2]Packages!B:B=C306), 0)) - SUMIFS(D$2:D306, B$2:B306, B306, C$2:C306, C306),"")</f>
        <v/>
      </c>
    </row>
    <row r="307" spans="4:11" x14ac:dyDescent="0.45">
      <c r="D307" t="str">
        <f>IFERROR(VLOOKUP(C307,'Clients List'!$A:$F,2,FALSE),"")</f>
        <v/>
      </c>
      <c r="F307" s="1" t="str">
        <f>IF(OR(C307="",NOT(ISNUMBER(SEARCH("Package",D307)))),"",VLOOKUP(C307,'Clients List'!$A:$F,4,FALSE)-SUMIFS($E$2:$E307,$C$2:$C307,C307,$D$2:$D307,"*Package*"))</f>
        <v/>
      </c>
      <c r="G307" t="str">
        <f t="shared" si="10"/>
        <v/>
      </c>
      <c r="H307" s="33">
        <f>IF(ISNUMBER(SEARCH("Group",D307)),IF(G307="",E307,IFERROR(E307/COUNTIF($G2:$G6000,G307),E307)),E307)</f>
        <v>0</v>
      </c>
      <c r="I307" s="1" t="str">
        <f>IFERROR(VLOOKUP(C307,'Clients List'!A:F,6,FALSE),"")</f>
        <v/>
      </c>
      <c r="K307" s="23" t="str">
        <f>IFERROR(INDEX([2]Packages!E:E, MATCH(1, ([2]Packages!A:A=B307)*([2]Packages!B:B=C307), 0)) - SUMIFS(D$2:D307, B$2:B307, B307, C$2:C307, C307),"")</f>
        <v/>
      </c>
    </row>
    <row r="308" spans="4:11" x14ac:dyDescent="0.45">
      <c r="D308" t="str">
        <f>IFERROR(VLOOKUP(C308,'Clients List'!$A:$F,2,FALSE),"")</f>
        <v/>
      </c>
      <c r="F308" s="1" t="str">
        <f>IF(OR(C308="",NOT(ISNUMBER(SEARCH("Package",D308)))),"",VLOOKUP(C308,'Clients List'!$A:$F,4,FALSE)-SUMIFS($E$2:$E308,$C$2:$C308,C308,$D$2:$D308,"*Package*"))</f>
        <v/>
      </c>
      <c r="G308" t="str">
        <f t="shared" si="10"/>
        <v/>
      </c>
      <c r="H308" s="33">
        <f>IF(ISNUMBER(SEARCH("Group",D308)),IF(G308="",E308,IFERROR(E308/COUNTIF($G2:$G6000,G308),E308)),E308)</f>
        <v>0</v>
      </c>
      <c r="I308" s="1" t="str">
        <f>IFERROR(VLOOKUP(C308,'Clients List'!A:F,6,FALSE),"")</f>
        <v/>
      </c>
      <c r="K308" s="23" t="str">
        <f>IFERROR(INDEX([2]Packages!E:E, MATCH(1, ([2]Packages!A:A=B308)*([2]Packages!B:B=C308), 0)) - SUMIFS(D$2:D308, B$2:B308, B308, C$2:C308, C308),"")</f>
        <v/>
      </c>
    </row>
    <row r="309" spans="4:11" x14ac:dyDescent="0.45">
      <c r="D309" t="str">
        <f>IFERROR(VLOOKUP(C309,'Clients List'!$A:$F,2,FALSE),"")</f>
        <v/>
      </c>
      <c r="F309" s="1" t="str">
        <f>IF(OR(C309="",NOT(ISNUMBER(SEARCH("Package",D309)))),"",VLOOKUP(C309,'Clients List'!$A:$F,4,FALSE)-SUMIFS($E$2:$E309,$C$2:$C309,C309,$D$2:$D309,"*Package*"))</f>
        <v/>
      </c>
      <c r="G309" t="str">
        <f t="shared" si="10"/>
        <v/>
      </c>
      <c r="H309" s="33">
        <f>IF(ISNUMBER(SEARCH("Group",D309)),IF(G309="",E309,IFERROR(E309/COUNTIF($G2:$G6000,G309),E309)),E309)</f>
        <v>0</v>
      </c>
      <c r="I309" s="1" t="str">
        <f>IFERROR(VLOOKUP(C309,'Clients List'!A:F,6,FALSE),"")</f>
        <v/>
      </c>
      <c r="K309" s="23" t="str">
        <f>IFERROR(INDEX([2]Packages!E:E, MATCH(1, ([2]Packages!A:A=B309)*([2]Packages!B:B=C309), 0)) - SUMIFS(D$2:D309, B$2:B309, B309, C$2:C309, C309),"")</f>
        <v/>
      </c>
    </row>
    <row r="310" spans="4:11" x14ac:dyDescent="0.45">
      <c r="D310" t="str">
        <f>IFERROR(VLOOKUP(C310,'Clients List'!$A:$F,2,FALSE),"")</f>
        <v/>
      </c>
      <c r="F310" s="1" t="str">
        <f>IF(OR(C310="",NOT(ISNUMBER(SEARCH("Package",D310)))),"",VLOOKUP(C310,'Clients List'!$A:$F,4,FALSE)-SUMIFS($E$2:$E310,$C$2:$C310,C310,$D$2:$D310,"*Package*"))</f>
        <v/>
      </c>
      <c r="G310" t="str">
        <f t="shared" si="10"/>
        <v/>
      </c>
      <c r="H310" s="33">
        <f>IF(ISNUMBER(SEARCH("Group",D310)),IF(G310="",E310,IFERROR(E310/COUNTIF($G2:$G6000,G310),E310)),E310)</f>
        <v>0</v>
      </c>
      <c r="I310" s="1" t="str">
        <f>IFERROR(VLOOKUP(C310,'Clients List'!A:F,6,FALSE),"")</f>
        <v/>
      </c>
      <c r="K310" s="23" t="str">
        <f>IFERROR(INDEX([2]Packages!E:E, MATCH(1, ([2]Packages!A:A=B310)*([2]Packages!B:B=C310), 0)) - SUMIFS(D$2:D310, B$2:B310, B310, C$2:C310, C310),"")</f>
        <v/>
      </c>
    </row>
    <row r="311" spans="4:11" x14ac:dyDescent="0.45">
      <c r="D311" t="str">
        <f>IFERROR(VLOOKUP(C311,'Clients List'!$A:$F,2,FALSE),"")</f>
        <v/>
      </c>
      <c r="F311" s="1" t="str">
        <f>IF(OR(C311="",NOT(ISNUMBER(SEARCH("Package",D311)))),"",VLOOKUP(C311,'Clients List'!$A:$F,4,FALSE)-SUMIFS($E$2:$E311,$C$2:$C311,C311,$D$2:$D311,"*Package*"))</f>
        <v/>
      </c>
      <c r="G311" t="str">
        <f t="shared" si="10"/>
        <v/>
      </c>
      <c r="H311" s="33">
        <f>IF(ISNUMBER(SEARCH("Group",D311)),IF(G311="",E311,IFERROR(E311/COUNTIF($G2:$G6000,G311),E311)),E311)</f>
        <v>0</v>
      </c>
      <c r="I311" s="1" t="str">
        <f>IFERROR(VLOOKUP(C311,'Clients List'!A:F,6,FALSE),"")</f>
        <v/>
      </c>
      <c r="K311" s="23" t="str">
        <f>IFERROR(INDEX([2]Packages!E:E, MATCH(1, ([2]Packages!A:A=B311)*([2]Packages!B:B=C311), 0)) - SUMIFS(D$2:D311, B$2:B311, B311, C$2:C311, C311),"")</f>
        <v/>
      </c>
    </row>
    <row r="312" spans="4:11" x14ac:dyDescent="0.45">
      <c r="D312" t="str">
        <f>IFERROR(VLOOKUP(C312,'Clients List'!$A:$F,2,FALSE),"")</f>
        <v/>
      </c>
      <c r="F312" s="1" t="str">
        <f>IF(OR(C312="",NOT(ISNUMBER(SEARCH("Package",D312)))),"",VLOOKUP(C312,'Clients List'!$A:$F,4,FALSE)-SUMIFS($E$2:$E312,$C$2:$C312,C312,$D$2:$D312,"*Package*"))</f>
        <v/>
      </c>
      <c r="G312" t="str">
        <f t="shared" si="10"/>
        <v/>
      </c>
      <c r="H312" s="33">
        <f>IF(ISNUMBER(SEARCH("Group",D312)),IF(G312="",E312,IFERROR(E312/COUNTIF($G2:$G6000,G312),E312)),E312)</f>
        <v>0</v>
      </c>
      <c r="I312" s="1" t="str">
        <f>IFERROR(VLOOKUP(C312,'Clients List'!A:F,6,FALSE),"")</f>
        <v/>
      </c>
      <c r="K312" s="23" t="str">
        <f>IFERROR(INDEX([2]Packages!E:E, MATCH(1, ([2]Packages!A:A=B312)*([2]Packages!B:B=C312), 0)) - SUMIFS(D$2:D312, B$2:B312, B312, C$2:C312, C312),"")</f>
        <v/>
      </c>
    </row>
    <row r="313" spans="4:11" x14ac:dyDescent="0.45">
      <c r="D313" t="str">
        <f>IFERROR(VLOOKUP(C313,'Clients List'!$A:$F,2,FALSE),"")</f>
        <v/>
      </c>
      <c r="F313" s="1" t="str">
        <f>IF(OR(C313="",NOT(ISNUMBER(SEARCH("Package",D313)))),"",VLOOKUP(C313,'Clients List'!$A:$F,4,FALSE)-SUMIFS($E$2:$E313,$C$2:$C313,C313,$D$2:$D313,"*Package*"))</f>
        <v/>
      </c>
      <c r="G313" t="str">
        <f t="shared" si="10"/>
        <v/>
      </c>
      <c r="H313" s="33">
        <f>IF(ISNUMBER(SEARCH("Group",D313)),IF(G313="",E313,IFERROR(E313/COUNTIF($G2:$G6000,G313),E313)),E313)</f>
        <v>0</v>
      </c>
      <c r="I313" s="1" t="str">
        <f>IFERROR(VLOOKUP(C313,'Clients List'!A:F,6,FALSE),"")</f>
        <v/>
      </c>
      <c r="K313" s="23" t="str">
        <f>IFERROR(INDEX([2]Packages!E:E, MATCH(1, ([2]Packages!A:A=B313)*([2]Packages!B:B=C313), 0)) - SUMIFS(D$2:D313, B$2:B313, B313, C$2:C313, C313),"")</f>
        <v/>
      </c>
    </row>
    <row r="314" spans="4:11" x14ac:dyDescent="0.45">
      <c r="D314" t="str">
        <f>IFERROR(VLOOKUP(C314,'Clients List'!$A:$F,2,FALSE),"")</f>
        <v/>
      </c>
      <c r="F314" s="1" t="str">
        <f>IF(OR(C314="",NOT(ISNUMBER(SEARCH("Package",D314)))),"",VLOOKUP(C314,'Clients List'!$A:$F,4,FALSE)-SUMIFS($E$2:$E314,$C$2:$C314,C314,$D$2:$D314,"*Package*"))</f>
        <v/>
      </c>
      <c r="G314" t="str">
        <f t="shared" si="10"/>
        <v/>
      </c>
      <c r="H314" s="33">
        <f>IF(ISNUMBER(SEARCH("Group",D314)),IF(G314="",E314,IFERROR(E314/COUNTIF($G2:$G6000,G314),E314)),E314)</f>
        <v>0</v>
      </c>
      <c r="I314" s="1" t="str">
        <f>IFERROR(VLOOKUP(C314,'Clients List'!A:F,6,FALSE),"")</f>
        <v/>
      </c>
      <c r="K314" s="23" t="str">
        <f>IFERROR(INDEX([2]Packages!E:E, MATCH(1, ([2]Packages!A:A=B314)*([2]Packages!B:B=C314), 0)) - SUMIFS(D$2:D314, B$2:B314, B314, C$2:C314, C314),"")</f>
        <v/>
      </c>
    </row>
    <row r="315" spans="4:11" x14ac:dyDescent="0.45">
      <c r="D315" t="str">
        <f>IFERROR(VLOOKUP(C315,'Clients List'!$A:$F,2,FALSE),"")</f>
        <v/>
      </c>
      <c r="F315" s="1" t="str">
        <f>IF(OR(C315="",NOT(ISNUMBER(SEARCH("Package",D315)))),"",VLOOKUP(C315,'Clients List'!$A:$F,4,FALSE)-SUMIFS($E$2:$E315,$C$2:$C315,C315,$D$2:$D315,"*Package*"))</f>
        <v/>
      </c>
      <c r="G315" t="str">
        <f t="shared" si="10"/>
        <v/>
      </c>
      <c r="H315" s="33">
        <f>IF(ISNUMBER(SEARCH("Group",D315)),IF(G315="",E315,IFERROR(E315/COUNTIF($G2:$G6000,G315),E315)),E315)</f>
        <v>0</v>
      </c>
      <c r="I315" s="1" t="str">
        <f>IFERROR(VLOOKUP(C315,'Clients List'!A:F,6,FALSE),"")</f>
        <v/>
      </c>
      <c r="K315" s="23" t="str">
        <f>IFERROR(INDEX([2]Packages!E:E, MATCH(1, ([2]Packages!A:A=B315)*([2]Packages!B:B=C315), 0)) - SUMIFS(D$2:D315, B$2:B315, B315, C$2:C315, C315),"")</f>
        <v/>
      </c>
    </row>
    <row r="316" spans="4:11" x14ac:dyDescent="0.45">
      <c r="D316" t="str">
        <f>IFERROR(VLOOKUP(C316,'Clients List'!$A:$F,2,FALSE),"")</f>
        <v/>
      </c>
      <c r="F316" s="1" t="str">
        <f>IF(OR(C316="",NOT(ISNUMBER(SEARCH("Package",D316)))),"",VLOOKUP(C316,'Clients List'!$A:$F,4,FALSE)-SUMIFS($E$2:$E316,$C$2:$C316,C316,$D$2:$D316,"*Package*"))</f>
        <v/>
      </c>
      <c r="G316" t="str">
        <f t="shared" si="10"/>
        <v/>
      </c>
      <c r="H316" s="33">
        <f>IF(ISNUMBER(SEARCH("Group",D316)),IF(G316="",E316,IFERROR(E316/COUNTIF($G2:$G6000,G316),E316)),E316)</f>
        <v>0</v>
      </c>
      <c r="I316" s="1" t="str">
        <f>IFERROR(VLOOKUP(C316,'Clients List'!A:F,6,FALSE),"")</f>
        <v/>
      </c>
      <c r="K316" s="23" t="str">
        <f>IFERROR(INDEX([2]Packages!E:E, MATCH(1, ([2]Packages!A:A=B316)*([2]Packages!B:B=C316), 0)) - SUMIFS(D$2:D316, B$2:B316, B316, C$2:C316, C316),"")</f>
        <v/>
      </c>
    </row>
    <row r="317" spans="4:11" x14ac:dyDescent="0.45">
      <c r="D317" t="str">
        <f>IFERROR(VLOOKUP(C317,'Clients List'!$A:$F,2,FALSE),"")</f>
        <v/>
      </c>
      <c r="F317" s="1" t="str">
        <f>IF(OR(C317="",NOT(ISNUMBER(SEARCH("Package",D317)))),"",VLOOKUP(C317,'Clients List'!$A:$F,4,FALSE)-SUMIFS($E$2:$E317,$C$2:$C317,C317,$D$2:$D317,"*Package*"))</f>
        <v/>
      </c>
      <c r="G317" t="str">
        <f t="shared" si="10"/>
        <v/>
      </c>
      <c r="H317" s="33">
        <f>IF(ISNUMBER(SEARCH("Group",D317)),IF(G317="",E317,IFERROR(E317/COUNTIF($G2:$G6000,G317),E317)),E317)</f>
        <v>0</v>
      </c>
      <c r="I317" s="1" t="str">
        <f>IFERROR(VLOOKUP(C317,'Clients List'!A:F,6,FALSE),"")</f>
        <v/>
      </c>
      <c r="K317" s="23" t="str">
        <f>IFERROR(INDEX([2]Packages!E:E, MATCH(1, ([2]Packages!A:A=B317)*([2]Packages!B:B=C317), 0)) - SUMIFS(D$2:D317, B$2:B317, B317, C$2:C317, C317),"")</f>
        <v/>
      </c>
    </row>
    <row r="318" spans="4:11" x14ac:dyDescent="0.45">
      <c r="D318" t="str">
        <f>IFERROR(VLOOKUP(C318,'Clients List'!$A:$F,2,FALSE),"")</f>
        <v/>
      </c>
      <c r="F318" s="1" t="str">
        <f>IF(OR(C318="",NOT(ISNUMBER(SEARCH("Package",D318)))),"",VLOOKUP(C318,'Clients List'!$A:$F,4,FALSE)-SUMIFS($E$2:$E318,$C$2:$C318,C318,$D$2:$D318,"*Package*"))</f>
        <v/>
      </c>
      <c r="G318" t="str">
        <f t="shared" si="10"/>
        <v/>
      </c>
      <c r="H318" s="33">
        <f>IF(ISNUMBER(SEARCH("Group",D318)),IF(G318="",E318,IFERROR(E318/COUNTIF($G2:$G6000,G318),E318)),E318)</f>
        <v>0</v>
      </c>
      <c r="I318" s="1" t="str">
        <f>IFERROR(VLOOKUP(C318,'Clients List'!A:F,6,FALSE),"")</f>
        <v/>
      </c>
      <c r="K318" s="23" t="str">
        <f>IFERROR(INDEX([2]Packages!E:E, MATCH(1, ([2]Packages!A:A=B318)*([2]Packages!B:B=C318), 0)) - SUMIFS(D$2:D318, B$2:B318, B318, C$2:C318, C318),"")</f>
        <v/>
      </c>
    </row>
    <row r="319" spans="4:11" x14ac:dyDescent="0.45">
      <c r="D319" t="str">
        <f>IFERROR(VLOOKUP(C319,'Clients List'!$A:$F,2,FALSE),"")</f>
        <v/>
      </c>
      <c r="F319" s="1" t="str">
        <f>IF(OR(C319="",NOT(ISNUMBER(SEARCH("Package",D319)))),"",VLOOKUP(C319,'Clients List'!$A:$F,4,FALSE)-SUMIFS($E$2:$E319,$C$2:$C319,C319,$D$2:$D319,"*Package*"))</f>
        <v/>
      </c>
      <c r="G319" t="str">
        <f t="shared" si="10"/>
        <v/>
      </c>
      <c r="H319" s="33">
        <f>IF(ISNUMBER(SEARCH("Group",D319)),IF(G319="",E319,IFERROR(E319/COUNTIF($G2:$G6000,G319),E319)),E319)</f>
        <v>0</v>
      </c>
      <c r="I319" s="1" t="str">
        <f>IFERROR(VLOOKUP(C319,'Clients List'!A:F,6,FALSE),"")</f>
        <v/>
      </c>
      <c r="K319" s="23" t="str">
        <f>IFERROR(INDEX([2]Packages!E:E, MATCH(1, ([2]Packages!A:A=B319)*([2]Packages!B:B=C319), 0)) - SUMIFS(D$2:D319, B$2:B319, B319, C$2:C319, C319),"")</f>
        <v/>
      </c>
    </row>
    <row r="320" spans="4:11" x14ac:dyDescent="0.45">
      <c r="D320" t="str">
        <f>IFERROR(VLOOKUP(C320,'Clients List'!$A:$F,2,FALSE),"")</f>
        <v/>
      </c>
      <c r="F320" s="1" t="str">
        <f>IF(OR(C320="",NOT(ISNUMBER(SEARCH("Package",D320)))),"",VLOOKUP(C320,'Clients List'!$A:$F,4,FALSE)-SUMIFS($E$2:$E320,$C$2:$C320,C320,$D$2:$D320,"*Package*"))</f>
        <v/>
      </c>
      <c r="G320" t="str">
        <f t="shared" si="10"/>
        <v/>
      </c>
      <c r="H320" s="33">
        <f>IF(ISNUMBER(SEARCH("Group",D320)),IF(G320="",E320,IFERROR(E320/COUNTIF($G2:$G6000,G320),E320)),E320)</f>
        <v>0</v>
      </c>
      <c r="I320" s="1" t="str">
        <f>IFERROR(VLOOKUP(C320,'Clients List'!A:F,6,FALSE),"")</f>
        <v/>
      </c>
      <c r="K320" s="23" t="str">
        <f>IFERROR(INDEX([2]Packages!E:E, MATCH(1, ([2]Packages!A:A=B320)*([2]Packages!B:B=C320), 0)) - SUMIFS(D$2:D320, B$2:B320, B320, C$2:C320, C320),"")</f>
        <v/>
      </c>
    </row>
    <row r="321" spans="4:11" x14ac:dyDescent="0.45">
      <c r="D321" t="str">
        <f>IFERROR(VLOOKUP(C321,'Clients List'!$A:$F,2,FALSE),"")</f>
        <v/>
      </c>
      <c r="F321" s="1" t="str">
        <f>IF(OR(C321="",NOT(ISNUMBER(SEARCH("Package",D321)))),"",VLOOKUP(C321,'Clients List'!$A:$F,4,FALSE)-SUMIFS($E$2:$E321,$C$2:$C321,C321,$D$2:$D321,"*Package*"))</f>
        <v/>
      </c>
      <c r="G321" t="str">
        <f t="shared" ref="G321:G352" si="11">IF(ISNUMBER(SEARCH("Group",D321)),IFERROR("GRP-"&amp;TEXT(IF(ISNUMBER(A321),A321,DATEVALUE(A321)),"yyyymmdd"),""),"" )</f>
        <v/>
      </c>
      <c r="H321" s="33">
        <f>IF(ISNUMBER(SEARCH("Group",D321)),IF(G321="",E321,IFERROR(E321/COUNTIF($G2:$G6000,G321),E321)),E321)</f>
        <v>0</v>
      </c>
      <c r="I321" s="1" t="str">
        <f>IFERROR(VLOOKUP(C321,'Clients List'!A:F,6,FALSE),"")</f>
        <v/>
      </c>
      <c r="K321" s="23" t="str">
        <f>IFERROR(INDEX([2]Packages!E:E, MATCH(1, ([2]Packages!A:A=B321)*([2]Packages!B:B=C321), 0)) - SUMIFS(D$2:D321, B$2:B321, B321, C$2:C321, C321),"")</f>
        <v/>
      </c>
    </row>
    <row r="322" spans="4:11" x14ac:dyDescent="0.45">
      <c r="D322" t="str">
        <f>IFERROR(VLOOKUP(C322,'Clients List'!$A:$F,2,FALSE),"")</f>
        <v/>
      </c>
      <c r="F322" s="1" t="str">
        <f>IF(OR(C322="",NOT(ISNUMBER(SEARCH("Package",D322)))),"",VLOOKUP(C322,'Clients List'!$A:$F,4,FALSE)-SUMIFS($E$2:$E322,$C$2:$C322,C322,$D$2:$D322,"*Package*"))</f>
        <v/>
      </c>
      <c r="G322" t="str">
        <f t="shared" si="11"/>
        <v/>
      </c>
      <c r="H322" s="33">
        <f>IF(ISNUMBER(SEARCH("Group",D322)),IF(G322="",E322,IFERROR(E322/COUNTIF($G2:$G6000,G322),E322)),E322)</f>
        <v>0</v>
      </c>
      <c r="I322" s="1" t="str">
        <f>IFERROR(VLOOKUP(C322,'Clients List'!A:F,6,FALSE),"")</f>
        <v/>
      </c>
      <c r="K322" s="23" t="str">
        <f>IFERROR(INDEX([2]Packages!E:E, MATCH(1, ([2]Packages!A:A=B322)*([2]Packages!B:B=C322), 0)) - SUMIFS(D$2:D322, B$2:B322, B322, C$2:C322, C322),"")</f>
        <v/>
      </c>
    </row>
    <row r="323" spans="4:11" x14ac:dyDescent="0.45">
      <c r="D323" t="str">
        <f>IFERROR(VLOOKUP(C323,'Clients List'!$A:$F,2,FALSE),"")</f>
        <v/>
      </c>
      <c r="F323" s="1" t="str">
        <f>IF(OR(C323="",NOT(ISNUMBER(SEARCH("Package",D323)))),"",VLOOKUP(C323,'Clients List'!$A:$F,4,FALSE)-SUMIFS($E$2:$E323,$C$2:$C323,C323,$D$2:$D323,"*Package*"))</f>
        <v/>
      </c>
      <c r="G323" t="str">
        <f t="shared" si="11"/>
        <v/>
      </c>
      <c r="H323" s="33">
        <f>IF(ISNUMBER(SEARCH("Group",D323)),IF(G323="",E323,IFERROR(E323/COUNTIF($G2:$G6000,G323),E323)),E323)</f>
        <v>0</v>
      </c>
      <c r="I323" s="1" t="str">
        <f>IFERROR(VLOOKUP(C323,'Clients List'!A:F,6,FALSE),"")</f>
        <v/>
      </c>
      <c r="K323" s="23" t="str">
        <f>IFERROR(INDEX([2]Packages!E:E, MATCH(1, ([2]Packages!A:A=B323)*([2]Packages!B:B=C323), 0)) - SUMIFS(D$2:D323, B$2:B323, B323, C$2:C323, C323),"")</f>
        <v/>
      </c>
    </row>
    <row r="324" spans="4:11" x14ac:dyDescent="0.45">
      <c r="D324" t="str">
        <f>IFERROR(VLOOKUP(C324,'Clients List'!$A:$F,2,FALSE),"")</f>
        <v/>
      </c>
      <c r="F324" s="1" t="str">
        <f>IF(OR(C324="",NOT(ISNUMBER(SEARCH("Package",D324)))),"",VLOOKUP(C324,'Clients List'!$A:$F,4,FALSE)-SUMIFS($E$2:$E324,$C$2:$C324,C324,$D$2:$D324,"*Package*"))</f>
        <v/>
      </c>
      <c r="G324" t="str">
        <f t="shared" si="11"/>
        <v/>
      </c>
      <c r="H324" s="33">
        <f>IF(ISNUMBER(SEARCH("Group",D324)),IF(G324="",E324,IFERROR(E324/COUNTIF($G2:$G6000,G324),E324)),E324)</f>
        <v>0</v>
      </c>
      <c r="I324" s="1" t="str">
        <f>IFERROR(VLOOKUP(C324,'Clients List'!A:F,6,FALSE),"")</f>
        <v/>
      </c>
      <c r="K324" s="23" t="str">
        <f>IFERROR(INDEX([2]Packages!E:E, MATCH(1, ([2]Packages!A:A=B324)*([2]Packages!B:B=C324), 0)) - SUMIFS(D$2:D324, B$2:B324, B324, C$2:C324, C324),"")</f>
        <v/>
      </c>
    </row>
    <row r="325" spans="4:11" x14ac:dyDescent="0.45">
      <c r="D325" t="str">
        <f>IFERROR(VLOOKUP(C325,'Clients List'!$A:$F,2,FALSE),"")</f>
        <v/>
      </c>
      <c r="F325" s="1" t="str">
        <f>IF(OR(C325="",NOT(ISNUMBER(SEARCH("Package",D325)))),"",VLOOKUP(C325,'Clients List'!$A:$F,4,FALSE)-SUMIFS($E$2:$E325,$C$2:$C325,C325,$D$2:$D325,"*Package*"))</f>
        <v/>
      </c>
      <c r="G325" t="str">
        <f t="shared" si="11"/>
        <v/>
      </c>
      <c r="H325" s="33">
        <f>IF(ISNUMBER(SEARCH("Group",D325)),IF(G325="",E325,IFERROR(E325/COUNTIF($G2:$G6000,G325),E325)),E325)</f>
        <v>0</v>
      </c>
      <c r="I325" s="1" t="str">
        <f>IFERROR(VLOOKUP(C325,'Clients List'!A:F,6,FALSE),"")</f>
        <v/>
      </c>
      <c r="K325" s="23" t="str">
        <f>IFERROR(INDEX([2]Packages!E:E, MATCH(1, ([2]Packages!A:A=B325)*([2]Packages!B:B=C325), 0)) - SUMIFS(D$2:D325, B$2:B325, B325, C$2:C325, C325),"")</f>
        <v/>
      </c>
    </row>
    <row r="326" spans="4:11" x14ac:dyDescent="0.45">
      <c r="D326" t="str">
        <f>IFERROR(VLOOKUP(C326,'Clients List'!$A:$F,2,FALSE),"")</f>
        <v/>
      </c>
      <c r="F326" s="1" t="str">
        <f>IF(OR(C326="",NOT(ISNUMBER(SEARCH("Package",D326)))),"",VLOOKUP(C326,'Clients List'!$A:$F,4,FALSE)-SUMIFS($E$2:$E326,$C$2:$C326,C326,$D$2:$D326,"*Package*"))</f>
        <v/>
      </c>
      <c r="G326" t="str">
        <f t="shared" si="11"/>
        <v/>
      </c>
      <c r="H326" s="33">
        <f>IF(ISNUMBER(SEARCH("Group",D326)),IF(G326="",E326,IFERROR(E326/COUNTIF($G2:$G6000,G326),E326)),E326)</f>
        <v>0</v>
      </c>
      <c r="I326" s="1" t="str">
        <f>IFERROR(VLOOKUP(C326,'Clients List'!A:F,6,FALSE),"")</f>
        <v/>
      </c>
      <c r="K326" s="23" t="str">
        <f>IFERROR(INDEX([2]Packages!E:E, MATCH(1, ([2]Packages!A:A=B326)*([2]Packages!B:B=C326), 0)) - SUMIFS(D$2:D326, B$2:B326, B326, C$2:C326, C326),"")</f>
        <v/>
      </c>
    </row>
    <row r="327" spans="4:11" x14ac:dyDescent="0.45">
      <c r="D327" t="str">
        <f>IFERROR(VLOOKUP(C327,'Clients List'!$A:$F,2,FALSE),"")</f>
        <v/>
      </c>
      <c r="F327" s="1" t="str">
        <f>IF(OR(C327="",NOT(ISNUMBER(SEARCH("Package",D327)))),"",VLOOKUP(C327,'Clients List'!$A:$F,4,FALSE)-SUMIFS($E$2:$E327,$C$2:$C327,C327,$D$2:$D327,"*Package*"))</f>
        <v/>
      </c>
      <c r="G327" t="str">
        <f t="shared" si="11"/>
        <v/>
      </c>
      <c r="H327" s="33">
        <f>IF(ISNUMBER(SEARCH("Group",D327)),IF(G327="",E327,IFERROR(E327/COUNTIF($G2:$G6000,G327),E327)),E327)</f>
        <v>0</v>
      </c>
      <c r="I327" s="1" t="str">
        <f>IFERROR(VLOOKUP(C327,'Clients List'!A:F,6,FALSE),"")</f>
        <v/>
      </c>
      <c r="K327" s="23" t="str">
        <f>IFERROR(INDEX([2]Packages!E:E, MATCH(1, ([2]Packages!A:A=B327)*([2]Packages!B:B=C327), 0)) - SUMIFS(D$2:D327, B$2:B327, B327, C$2:C327, C327),"")</f>
        <v/>
      </c>
    </row>
    <row r="328" spans="4:11" x14ac:dyDescent="0.45">
      <c r="D328" t="str">
        <f>IFERROR(VLOOKUP(C328,'Clients List'!$A:$F,2,FALSE),"")</f>
        <v/>
      </c>
      <c r="F328" s="1" t="str">
        <f>IF(OR(C328="",NOT(ISNUMBER(SEARCH("Package",D328)))),"",VLOOKUP(C328,'Clients List'!$A:$F,4,FALSE)-SUMIFS($E$2:$E328,$C$2:$C328,C328,$D$2:$D328,"*Package*"))</f>
        <v/>
      </c>
      <c r="G328" t="str">
        <f t="shared" si="11"/>
        <v/>
      </c>
      <c r="H328" s="33">
        <f>IF(ISNUMBER(SEARCH("Group",D328)),IF(G328="",E328,IFERROR(E328/COUNTIF($G2:$G6000,G328),E328)),E328)</f>
        <v>0</v>
      </c>
      <c r="I328" s="1" t="str">
        <f>IFERROR(VLOOKUP(C328,'Clients List'!A:F,6,FALSE),"")</f>
        <v/>
      </c>
      <c r="K328" s="23" t="str">
        <f>IFERROR(INDEX([2]Packages!E:E, MATCH(1, ([2]Packages!A:A=B328)*([2]Packages!B:B=C328), 0)) - SUMIFS(D$2:D328, B$2:B328, B328, C$2:C328, C328),"")</f>
        <v/>
      </c>
    </row>
    <row r="329" spans="4:11" x14ac:dyDescent="0.45">
      <c r="D329" t="str">
        <f>IFERROR(VLOOKUP(C329,'Clients List'!$A:$F,2,FALSE),"")</f>
        <v/>
      </c>
      <c r="F329" s="1" t="str">
        <f>IF(OR(C329="",NOT(ISNUMBER(SEARCH("Package",D329)))),"",VLOOKUP(C329,'Clients List'!$A:$F,4,FALSE)-SUMIFS($E$2:$E329,$C$2:$C329,C329,$D$2:$D329,"*Package*"))</f>
        <v/>
      </c>
      <c r="G329" t="str">
        <f t="shared" si="11"/>
        <v/>
      </c>
      <c r="H329" s="33">
        <f>IF(ISNUMBER(SEARCH("Group",D329)),IF(G329="",E329,IFERROR(E329/COUNTIF($G2:$G6000,G329),E329)),E329)</f>
        <v>0</v>
      </c>
      <c r="I329" s="1" t="str">
        <f>IFERROR(VLOOKUP(C329,'Clients List'!A:F,6,FALSE),"")</f>
        <v/>
      </c>
      <c r="K329" s="23" t="str">
        <f>IFERROR(INDEX([2]Packages!E:E, MATCH(1, ([2]Packages!A:A=B329)*([2]Packages!B:B=C329), 0)) - SUMIFS(D$2:D329, B$2:B329, B329, C$2:C329, C329),"")</f>
        <v/>
      </c>
    </row>
    <row r="330" spans="4:11" x14ac:dyDescent="0.45">
      <c r="D330" t="str">
        <f>IFERROR(VLOOKUP(C330,'Clients List'!$A:$F,2,FALSE),"")</f>
        <v/>
      </c>
      <c r="F330" s="1" t="str">
        <f>IF(OR(C330="",NOT(ISNUMBER(SEARCH("Package",D330)))),"",VLOOKUP(C330,'Clients List'!$A:$F,4,FALSE)-SUMIFS($E$2:$E330,$C$2:$C330,C330,$D$2:$D330,"*Package*"))</f>
        <v/>
      </c>
      <c r="G330" t="str">
        <f t="shared" si="11"/>
        <v/>
      </c>
      <c r="H330" s="33">
        <f>IF(ISNUMBER(SEARCH("Group",D330)),IF(G330="",E330,IFERROR(E330/COUNTIF($G2:$G6000,G330),E330)),E330)</f>
        <v>0</v>
      </c>
      <c r="I330" s="1" t="str">
        <f>IFERROR(VLOOKUP(C330,'Clients List'!A:F,6,FALSE),"")</f>
        <v/>
      </c>
      <c r="K330" s="23" t="str">
        <f>IFERROR(INDEX([2]Packages!E:E, MATCH(1, ([2]Packages!A:A=B330)*([2]Packages!B:B=C330), 0)) - SUMIFS(D$2:D330, B$2:B330, B330, C$2:C330, C330),"")</f>
        <v/>
      </c>
    </row>
    <row r="331" spans="4:11" x14ac:dyDescent="0.45">
      <c r="D331" t="str">
        <f>IFERROR(VLOOKUP(C331,'Clients List'!$A:$F,2,FALSE),"")</f>
        <v/>
      </c>
      <c r="F331" s="1" t="str">
        <f>IF(OR(C331="",NOT(ISNUMBER(SEARCH("Package",D331)))),"",VLOOKUP(C331,'Clients List'!$A:$F,4,FALSE)-SUMIFS($E$2:$E331,$C$2:$C331,C331,$D$2:$D331,"*Package*"))</f>
        <v/>
      </c>
      <c r="G331" t="str">
        <f t="shared" si="11"/>
        <v/>
      </c>
      <c r="H331" s="33">
        <f>IF(ISNUMBER(SEARCH("Group",D331)),IF(G331="",E331,IFERROR(E331/COUNTIF($G2:$G6000,G331),E331)),E331)</f>
        <v>0</v>
      </c>
      <c r="I331" s="1" t="str">
        <f>IFERROR(VLOOKUP(C331,'Clients List'!A:F,6,FALSE),"")</f>
        <v/>
      </c>
      <c r="K331" s="23" t="str">
        <f>IFERROR(INDEX([2]Packages!E:E, MATCH(1, ([2]Packages!A:A=B331)*([2]Packages!B:B=C331), 0)) - SUMIFS(D$2:D331, B$2:B331, B331, C$2:C331, C331),"")</f>
        <v/>
      </c>
    </row>
    <row r="332" spans="4:11" x14ac:dyDescent="0.45">
      <c r="D332" t="str">
        <f>IFERROR(VLOOKUP(C332,'Clients List'!$A:$F,2,FALSE),"")</f>
        <v/>
      </c>
      <c r="F332" s="1" t="str">
        <f>IF(OR(C332="",NOT(ISNUMBER(SEARCH("Package",D332)))),"",VLOOKUP(C332,'Clients List'!$A:$F,4,FALSE)-SUMIFS($E$2:$E332,$C$2:$C332,C332,$D$2:$D332,"*Package*"))</f>
        <v/>
      </c>
      <c r="G332" t="str">
        <f t="shared" si="11"/>
        <v/>
      </c>
      <c r="H332" s="33">
        <f>IF(ISNUMBER(SEARCH("Group",D332)),IF(G332="",E332,IFERROR(E332/COUNTIF($G2:$G6000,G332),E332)),E332)</f>
        <v>0</v>
      </c>
      <c r="I332" s="1" t="str">
        <f>IFERROR(VLOOKUP(C332,'Clients List'!A:F,6,FALSE),"")</f>
        <v/>
      </c>
      <c r="K332" s="23" t="str">
        <f>IFERROR(INDEX([2]Packages!E:E, MATCH(1, ([2]Packages!A:A=B332)*([2]Packages!B:B=C332), 0)) - SUMIFS(D$2:D332, B$2:B332, B332, C$2:C332, C332),"")</f>
        <v/>
      </c>
    </row>
    <row r="333" spans="4:11" x14ac:dyDescent="0.45">
      <c r="D333" t="str">
        <f>IFERROR(VLOOKUP(C333,'Clients List'!$A:$F,2,FALSE),"")</f>
        <v/>
      </c>
      <c r="F333" s="1" t="str">
        <f>IF(OR(C333="",NOT(ISNUMBER(SEARCH("Package",D333)))),"",VLOOKUP(C333,'Clients List'!$A:$F,4,FALSE)-SUMIFS($E$2:$E333,$C$2:$C333,C333,$D$2:$D333,"*Package*"))</f>
        <v/>
      </c>
      <c r="G333" t="str">
        <f t="shared" si="11"/>
        <v/>
      </c>
      <c r="H333" s="33">
        <f>IF(ISNUMBER(SEARCH("Group",D333)),IF(G333="",E333,IFERROR(E333/COUNTIF($G2:$G6000,G333),E333)),E333)</f>
        <v>0</v>
      </c>
      <c r="I333" s="1" t="str">
        <f>IFERROR(VLOOKUP(C333,'Clients List'!A:F,6,FALSE),"")</f>
        <v/>
      </c>
      <c r="K333" s="23" t="str">
        <f>IFERROR(INDEX([2]Packages!E:E, MATCH(1, ([2]Packages!A:A=B333)*([2]Packages!B:B=C333), 0)) - SUMIFS(D$2:D333, B$2:B333, B333, C$2:C333, C333),"")</f>
        <v/>
      </c>
    </row>
    <row r="334" spans="4:11" x14ac:dyDescent="0.45">
      <c r="D334" t="str">
        <f>IFERROR(VLOOKUP(C334,'Clients List'!$A:$F,2,FALSE),"")</f>
        <v/>
      </c>
      <c r="F334" s="1" t="str">
        <f>IF(OR(C334="",NOT(ISNUMBER(SEARCH("Package",D334)))),"",VLOOKUP(C334,'Clients List'!$A:$F,4,FALSE)-SUMIFS($E$2:$E334,$C$2:$C334,C334,$D$2:$D334,"*Package*"))</f>
        <v/>
      </c>
      <c r="G334" t="str">
        <f t="shared" si="11"/>
        <v/>
      </c>
      <c r="H334" s="33">
        <f>IF(ISNUMBER(SEARCH("Group",D334)),IF(G334="",E334,IFERROR(E334/COUNTIF($G2:$G6000,G334),E334)),E334)</f>
        <v>0</v>
      </c>
      <c r="I334" s="1" t="str">
        <f>IFERROR(VLOOKUP(C334,'Clients List'!A:F,6,FALSE),"")</f>
        <v/>
      </c>
      <c r="K334" s="23" t="str">
        <f>IFERROR(INDEX([2]Packages!E:E, MATCH(1, ([2]Packages!A:A=B334)*([2]Packages!B:B=C334), 0)) - SUMIFS(D$2:D334, B$2:B334, B334, C$2:C334, C334),"")</f>
        <v/>
      </c>
    </row>
    <row r="335" spans="4:11" x14ac:dyDescent="0.45">
      <c r="D335" t="str">
        <f>IFERROR(VLOOKUP(C335,'Clients List'!$A:$F,2,FALSE),"")</f>
        <v/>
      </c>
      <c r="F335" s="1" t="str">
        <f>IF(OR(C335="",NOT(ISNUMBER(SEARCH("Package",D335)))),"",VLOOKUP(C335,'Clients List'!$A:$F,4,FALSE)-SUMIFS($E$2:$E335,$C$2:$C335,C335,$D$2:$D335,"*Package*"))</f>
        <v/>
      </c>
      <c r="G335" t="str">
        <f t="shared" si="11"/>
        <v/>
      </c>
      <c r="H335" s="33">
        <f>IF(ISNUMBER(SEARCH("Group",D335)),IF(G335="",E335,IFERROR(E335/COUNTIF($G2:$G6000,G335),E335)),E335)</f>
        <v>0</v>
      </c>
      <c r="I335" s="1" t="str">
        <f>IFERROR(VLOOKUP(C335,'Clients List'!A:F,6,FALSE),"")</f>
        <v/>
      </c>
      <c r="K335" s="23" t="str">
        <f>IFERROR(INDEX([2]Packages!E:E, MATCH(1, ([2]Packages!A:A=B335)*([2]Packages!B:B=C335), 0)) - SUMIFS(D$2:D335, B$2:B335, B335, C$2:C335, C335),"")</f>
        <v/>
      </c>
    </row>
    <row r="336" spans="4:11" x14ac:dyDescent="0.45">
      <c r="D336" t="str">
        <f>IFERROR(VLOOKUP(C336,'Clients List'!$A:$F,2,FALSE),"")</f>
        <v/>
      </c>
      <c r="F336" s="1" t="str">
        <f>IF(OR(C336="",NOT(ISNUMBER(SEARCH("Package",D336)))),"",VLOOKUP(C336,'Clients List'!$A:$F,4,FALSE)-SUMIFS($E$2:$E336,$C$2:$C336,C336,$D$2:$D336,"*Package*"))</f>
        <v/>
      </c>
      <c r="G336" t="str">
        <f t="shared" si="11"/>
        <v/>
      </c>
      <c r="H336" s="33">
        <f>IF(ISNUMBER(SEARCH("Group",D336)),IF(G336="",E336,IFERROR(E336/COUNTIF($G2:$G6000,G336),E336)),E336)</f>
        <v>0</v>
      </c>
      <c r="I336" s="1" t="str">
        <f>IFERROR(VLOOKUP(C336,'Clients List'!A:F,6,FALSE),"")</f>
        <v/>
      </c>
      <c r="K336" s="23" t="str">
        <f>IFERROR(INDEX([2]Packages!E:E, MATCH(1, ([2]Packages!A:A=B336)*([2]Packages!B:B=C336), 0)) - SUMIFS(D$2:D336, B$2:B336, B336, C$2:C336, C336),"")</f>
        <v/>
      </c>
    </row>
    <row r="337" spans="4:11" x14ac:dyDescent="0.45">
      <c r="D337" t="str">
        <f>IFERROR(VLOOKUP(C337,'Clients List'!$A:$F,2,FALSE),"")</f>
        <v/>
      </c>
      <c r="F337" s="1" t="str">
        <f>IF(OR(C337="",NOT(ISNUMBER(SEARCH("Package",D337)))),"",VLOOKUP(C337,'Clients List'!$A:$F,4,FALSE)-SUMIFS($E$2:$E337,$C$2:$C337,C337,$D$2:$D337,"*Package*"))</f>
        <v/>
      </c>
      <c r="G337" t="str">
        <f t="shared" si="11"/>
        <v/>
      </c>
      <c r="H337" s="33">
        <f>IF(ISNUMBER(SEARCH("Group",D337)),IF(G337="",E337,IFERROR(E337/COUNTIF($G2:$G6000,G337),E337)),E337)</f>
        <v>0</v>
      </c>
      <c r="I337" s="1" t="str">
        <f>IFERROR(VLOOKUP(C337,'Clients List'!A:F,6,FALSE),"")</f>
        <v/>
      </c>
      <c r="K337" s="23" t="str">
        <f>IFERROR(INDEX([2]Packages!E:E, MATCH(1, ([2]Packages!A:A=B337)*([2]Packages!B:B=C337), 0)) - SUMIFS(D$2:D337, B$2:B337, B337, C$2:C337, C337),"")</f>
        <v/>
      </c>
    </row>
    <row r="338" spans="4:11" x14ac:dyDescent="0.45">
      <c r="D338" t="str">
        <f>IFERROR(VLOOKUP(C338,'Clients List'!$A:$F,2,FALSE),"")</f>
        <v/>
      </c>
      <c r="F338" s="1" t="str">
        <f>IF(OR(C338="",NOT(ISNUMBER(SEARCH("Package",D338)))),"",VLOOKUP(C338,'Clients List'!$A:$F,4,FALSE)-SUMIFS($E$2:$E338,$C$2:$C338,C338,$D$2:$D338,"*Package*"))</f>
        <v/>
      </c>
      <c r="G338" t="str">
        <f t="shared" si="11"/>
        <v/>
      </c>
      <c r="H338" s="33">
        <f>IF(ISNUMBER(SEARCH("Group",D338)),IF(G338="",E338,IFERROR(E338/COUNTIF($G2:$G6000,G338),E338)),E338)</f>
        <v>0</v>
      </c>
      <c r="I338" s="1" t="str">
        <f>IFERROR(VLOOKUP(C338,'Clients List'!A:F,6,FALSE),"")</f>
        <v/>
      </c>
      <c r="K338" s="23" t="str">
        <f>IFERROR(INDEX([2]Packages!E:E, MATCH(1, ([2]Packages!A:A=B338)*([2]Packages!B:B=C338), 0)) - SUMIFS(D$2:D338, B$2:B338, B338, C$2:C338, C338),"")</f>
        <v/>
      </c>
    </row>
    <row r="339" spans="4:11" x14ac:dyDescent="0.45">
      <c r="D339" t="str">
        <f>IFERROR(VLOOKUP(C339,'Clients List'!$A:$F,2,FALSE),"")</f>
        <v/>
      </c>
      <c r="F339" s="1" t="str">
        <f>IF(OR(C339="",NOT(ISNUMBER(SEARCH("Package",D339)))),"",VLOOKUP(C339,'Clients List'!$A:$F,4,FALSE)-SUMIFS($E$2:$E339,$C$2:$C339,C339,$D$2:$D339,"*Package*"))</f>
        <v/>
      </c>
      <c r="G339" t="str">
        <f t="shared" si="11"/>
        <v/>
      </c>
      <c r="H339" s="33">
        <f>IF(ISNUMBER(SEARCH("Group",D339)),IF(G339="",E339,IFERROR(E339/COUNTIF($G2:$G6000,G339),E339)),E339)</f>
        <v>0</v>
      </c>
      <c r="I339" s="1" t="str">
        <f>IFERROR(VLOOKUP(C339,'Clients List'!A:F,6,FALSE),"")</f>
        <v/>
      </c>
      <c r="K339" s="23" t="str">
        <f>IFERROR(INDEX([2]Packages!E:E, MATCH(1, ([2]Packages!A:A=B339)*([2]Packages!B:B=C339), 0)) - SUMIFS(D$2:D339, B$2:B339, B339, C$2:C339, C339),"")</f>
        <v/>
      </c>
    </row>
    <row r="340" spans="4:11" x14ac:dyDescent="0.45">
      <c r="D340" t="str">
        <f>IFERROR(VLOOKUP(C340,'Clients List'!$A:$F,2,FALSE),"")</f>
        <v/>
      </c>
      <c r="F340" s="1" t="str">
        <f>IF(OR(C340="",NOT(ISNUMBER(SEARCH("Package",D340)))),"",VLOOKUP(C340,'Clients List'!$A:$F,4,FALSE)-SUMIFS($E$2:$E340,$C$2:$C340,C340,$D$2:$D340,"*Package*"))</f>
        <v/>
      </c>
      <c r="G340" t="str">
        <f t="shared" si="11"/>
        <v/>
      </c>
      <c r="H340" s="33">
        <f>IF(ISNUMBER(SEARCH("Group",D340)),IF(G340="",E340,IFERROR(E340/COUNTIF($G2:$G6000,G340),E340)),E340)</f>
        <v>0</v>
      </c>
      <c r="I340" s="1" t="str">
        <f>IFERROR(VLOOKUP(C340,'Clients List'!A:F,6,FALSE),"")</f>
        <v/>
      </c>
      <c r="K340" s="23" t="str">
        <f>IFERROR(INDEX([2]Packages!E:E, MATCH(1, ([2]Packages!A:A=B340)*([2]Packages!B:B=C340), 0)) - SUMIFS(D$2:D340, B$2:B340, B340, C$2:C340, C340),"")</f>
        <v/>
      </c>
    </row>
    <row r="341" spans="4:11" x14ac:dyDescent="0.45">
      <c r="D341" t="str">
        <f>IFERROR(VLOOKUP(C341,'Clients List'!$A:$F,2,FALSE),"")</f>
        <v/>
      </c>
      <c r="F341" s="1" t="str">
        <f>IF(OR(C341="",NOT(ISNUMBER(SEARCH("Package",D341)))),"",VLOOKUP(C341,'Clients List'!$A:$F,4,FALSE)-SUMIFS($E$2:$E341,$C$2:$C341,C341,$D$2:$D341,"*Package*"))</f>
        <v/>
      </c>
      <c r="G341" t="str">
        <f t="shared" si="11"/>
        <v/>
      </c>
      <c r="H341" s="33">
        <f>IF(ISNUMBER(SEARCH("Group",D341)),IF(G341="",E341,IFERROR(E341/COUNTIF($G2:$G6000,G341),E341)),E341)</f>
        <v>0</v>
      </c>
      <c r="I341" s="1" t="str">
        <f>IFERROR(VLOOKUP(C341,'Clients List'!A:F,6,FALSE),"")</f>
        <v/>
      </c>
      <c r="K341" s="23" t="str">
        <f>IFERROR(INDEX([2]Packages!E:E, MATCH(1, ([2]Packages!A:A=B341)*([2]Packages!B:B=C341), 0)) - SUMIFS(D$2:D341, B$2:B341, B341, C$2:C341, C341),"")</f>
        <v/>
      </c>
    </row>
    <row r="342" spans="4:11" x14ac:dyDescent="0.45">
      <c r="D342" t="str">
        <f>IFERROR(VLOOKUP(C342,'Clients List'!$A:$F,2,FALSE),"")</f>
        <v/>
      </c>
      <c r="F342" s="1" t="str">
        <f>IF(OR(C342="",NOT(ISNUMBER(SEARCH("Package",D342)))),"",VLOOKUP(C342,'Clients List'!$A:$F,4,FALSE)-SUMIFS($E$2:$E342,$C$2:$C342,C342,$D$2:$D342,"*Package*"))</f>
        <v/>
      </c>
      <c r="G342" t="str">
        <f t="shared" si="11"/>
        <v/>
      </c>
      <c r="H342" s="33">
        <f>IF(ISNUMBER(SEARCH("Group",D342)),IF(G342="",E342,IFERROR(E342/COUNTIF($G2:$G6000,G342),E342)),E342)</f>
        <v>0</v>
      </c>
      <c r="I342" s="1" t="str">
        <f>IFERROR(VLOOKUP(C342,'Clients List'!A:F,6,FALSE),"")</f>
        <v/>
      </c>
      <c r="K342" s="23" t="str">
        <f>IFERROR(INDEX([2]Packages!E:E, MATCH(1, ([2]Packages!A:A=B342)*([2]Packages!B:B=C342), 0)) - SUMIFS(D$2:D342, B$2:B342, B342, C$2:C342, C342),"")</f>
        <v/>
      </c>
    </row>
    <row r="343" spans="4:11" x14ac:dyDescent="0.45">
      <c r="D343" t="str">
        <f>IFERROR(VLOOKUP(C343,'Clients List'!$A:$F,2,FALSE),"")</f>
        <v/>
      </c>
      <c r="F343" s="1" t="str">
        <f>IF(OR(C343="",NOT(ISNUMBER(SEARCH("Package",D343)))),"",VLOOKUP(C343,'Clients List'!$A:$F,4,FALSE)-SUMIFS($E$2:$E343,$C$2:$C343,C343,$D$2:$D343,"*Package*"))</f>
        <v/>
      </c>
      <c r="G343" t="str">
        <f t="shared" si="11"/>
        <v/>
      </c>
      <c r="H343" s="33">
        <f>IF(ISNUMBER(SEARCH("Group",D343)),IF(G343="",E343,IFERROR(E343/COUNTIF($G2:$G6000,G343),E343)),E343)</f>
        <v>0</v>
      </c>
      <c r="I343" s="1" t="str">
        <f>IFERROR(VLOOKUP(C343,'Clients List'!A:F,6,FALSE),"")</f>
        <v/>
      </c>
      <c r="K343" s="23" t="str">
        <f>IFERROR(INDEX([2]Packages!E:E, MATCH(1, ([2]Packages!A:A=B343)*([2]Packages!B:B=C343), 0)) - SUMIFS(D$2:D343, B$2:B343, B343, C$2:C343, C343),"")</f>
        <v/>
      </c>
    </row>
    <row r="344" spans="4:11" x14ac:dyDescent="0.45">
      <c r="D344" t="str">
        <f>IFERROR(VLOOKUP(C344,'Clients List'!$A:$F,2,FALSE),"")</f>
        <v/>
      </c>
      <c r="F344" s="1" t="str">
        <f>IF(OR(C344="",NOT(ISNUMBER(SEARCH("Package",D344)))),"",VLOOKUP(C344,'Clients List'!$A:$F,4,FALSE)-SUMIFS($E$2:$E344,$C$2:$C344,C344,$D$2:$D344,"*Package*"))</f>
        <v/>
      </c>
      <c r="G344" t="str">
        <f t="shared" si="11"/>
        <v/>
      </c>
      <c r="H344" s="33">
        <f>IF(ISNUMBER(SEARCH("Group",D344)),IF(G344="",E344,IFERROR(E344/COUNTIF($G2:$G6000,G344),E344)),E344)</f>
        <v>0</v>
      </c>
      <c r="I344" s="1" t="str">
        <f>IFERROR(VLOOKUP(C344,'Clients List'!A:F,6,FALSE),"")</f>
        <v/>
      </c>
      <c r="K344" s="23" t="str">
        <f>IFERROR(INDEX([2]Packages!E:E, MATCH(1, ([2]Packages!A:A=B344)*([2]Packages!B:B=C344), 0)) - SUMIFS(D$2:D344, B$2:B344, B344, C$2:C344, C344),"")</f>
        <v/>
      </c>
    </row>
    <row r="345" spans="4:11" x14ac:dyDescent="0.45">
      <c r="D345" t="str">
        <f>IFERROR(VLOOKUP(C345,'Clients List'!$A:$F,2,FALSE),"")</f>
        <v/>
      </c>
      <c r="F345" s="1" t="str">
        <f>IF(OR(C345="",NOT(ISNUMBER(SEARCH("Package",D345)))),"",VLOOKUP(C345,'Clients List'!$A:$F,4,FALSE)-SUMIFS($E$2:$E345,$C$2:$C345,C345,$D$2:$D345,"*Package*"))</f>
        <v/>
      </c>
      <c r="G345" t="str">
        <f t="shared" si="11"/>
        <v/>
      </c>
      <c r="H345" s="33">
        <f>IF(ISNUMBER(SEARCH("Group",D345)),IF(G345="",E345,IFERROR(E345/COUNTIF($G2:$G6000,G345),E345)),E345)</f>
        <v>0</v>
      </c>
      <c r="I345" s="1" t="str">
        <f>IFERROR(VLOOKUP(C345,'Clients List'!A:F,6,FALSE),"")</f>
        <v/>
      </c>
      <c r="K345" s="23" t="str">
        <f>IFERROR(INDEX([2]Packages!E:E, MATCH(1, ([2]Packages!A:A=B345)*([2]Packages!B:B=C345), 0)) - SUMIFS(D$2:D345, B$2:B345, B345, C$2:C345, C345),"")</f>
        <v/>
      </c>
    </row>
    <row r="346" spans="4:11" x14ac:dyDescent="0.45">
      <c r="D346" t="str">
        <f>IFERROR(VLOOKUP(C346,'Clients List'!$A:$F,2,FALSE),"")</f>
        <v/>
      </c>
      <c r="F346" s="1" t="str">
        <f>IF(OR(C346="",NOT(ISNUMBER(SEARCH("Package",D346)))),"",VLOOKUP(C346,'Clients List'!$A:$F,4,FALSE)-SUMIFS($E$2:$E346,$C$2:$C346,C346,$D$2:$D346,"*Package*"))</f>
        <v/>
      </c>
      <c r="G346" t="str">
        <f t="shared" si="11"/>
        <v/>
      </c>
      <c r="H346" s="33">
        <f>IF(ISNUMBER(SEARCH("Group",D346)),IF(G346="",E346,IFERROR(E346/COUNTIF($G2:$G6000,G346),E346)),E346)</f>
        <v>0</v>
      </c>
      <c r="I346" s="1" t="str">
        <f>IFERROR(VLOOKUP(C346,'Clients List'!A:F,6,FALSE),"")</f>
        <v/>
      </c>
      <c r="K346" s="23" t="str">
        <f>IFERROR(INDEX([2]Packages!E:E, MATCH(1, ([2]Packages!A:A=B346)*([2]Packages!B:B=C346), 0)) - SUMIFS(D$2:D346, B$2:B346, B346, C$2:C346, C346),"")</f>
        <v/>
      </c>
    </row>
    <row r="347" spans="4:11" x14ac:dyDescent="0.45">
      <c r="D347" t="str">
        <f>IFERROR(VLOOKUP(C347,'Clients List'!$A:$F,2,FALSE),"")</f>
        <v/>
      </c>
      <c r="F347" s="1" t="str">
        <f>IF(OR(C347="",NOT(ISNUMBER(SEARCH("Package",D347)))),"",VLOOKUP(C347,'Clients List'!$A:$F,4,FALSE)-SUMIFS($E$2:$E347,$C$2:$C347,C347,$D$2:$D347,"*Package*"))</f>
        <v/>
      </c>
      <c r="G347" t="str">
        <f t="shared" si="11"/>
        <v/>
      </c>
      <c r="H347" s="33">
        <f>IF(ISNUMBER(SEARCH("Group",D347)),IF(G347="",E347,IFERROR(E347/COUNTIF($G2:$G6000,G347),E347)),E347)</f>
        <v>0</v>
      </c>
      <c r="I347" s="1" t="str">
        <f>IFERROR(VLOOKUP(C347,'Clients List'!A:F,6,FALSE),"")</f>
        <v/>
      </c>
      <c r="K347" s="23" t="str">
        <f>IFERROR(INDEX([2]Packages!E:E, MATCH(1, ([2]Packages!A:A=B347)*([2]Packages!B:B=C347), 0)) - SUMIFS(D$2:D347, B$2:B347, B347, C$2:C347, C347),"")</f>
        <v/>
      </c>
    </row>
    <row r="348" spans="4:11" x14ac:dyDescent="0.45">
      <c r="D348" t="str">
        <f>IFERROR(VLOOKUP(C348,'Clients List'!$A:$F,2,FALSE),"")</f>
        <v/>
      </c>
      <c r="F348" s="1" t="str">
        <f>IF(OR(C348="",NOT(ISNUMBER(SEARCH("Package",D348)))),"",VLOOKUP(C348,'Clients List'!$A:$F,4,FALSE)-SUMIFS($E$2:$E348,$C$2:$C348,C348,$D$2:$D348,"*Package*"))</f>
        <v/>
      </c>
      <c r="G348" t="str">
        <f t="shared" si="11"/>
        <v/>
      </c>
      <c r="H348" s="33">
        <f>IF(ISNUMBER(SEARCH("Group",D348)),IF(G348="",E348,IFERROR(E348/COUNTIF($G2:$G6000,G348),E348)),E348)</f>
        <v>0</v>
      </c>
      <c r="I348" s="1" t="str">
        <f>IFERROR(VLOOKUP(C348,'Clients List'!A:F,6,FALSE),"")</f>
        <v/>
      </c>
      <c r="K348" s="23" t="str">
        <f>IFERROR(INDEX([2]Packages!E:E, MATCH(1, ([2]Packages!A:A=B348)*([2]Packages!B:B=C348), 0)) - SUMIFS(D$2:D348, B$2:B348, B348, C$2:C348, C348),"")</f>
        <v/>
      </c>
    </row>
    <row r="349" spans="4:11" x14ac:dyDescent="0.45">
      <c r="D349" t="str">
        <f>IFERROR(VLOOKUP(C349,'Clients List'!$A:$F,2,FALSE),"")</f>
        <v/>
      </c>
      <c r="F349" s="1" t="str">
        <f>IF(OR(C349="",NOT(ISNUMBER(SEARCH("Package",D349)))),"",VLOOKUP(C349,'Clients List'!$A:$F,4,FALSE)-SUMIFS($E$2:$E349,$C$2:$C349,C349,$D$2:$D349,"*Package*"))</f>
        <v/>
      </c>
      <c r="G349" t="str">
        <f t="shared" si="11"/>
        <v/>
      </c>
      <c r="H349" s="33">
        <f>IF(ISNUMBER(SEARCH("Group",D349)),IF(G349="",E349,IFERROR(E349/COUNTIF($G2:$G6000,G349),E349)),E349)</f>
        <v>0</v>
      </c>
      <c r="I349" s="1" t="str">
        <f>IFERROR(VLOOKUP(C349,'Clients List'!A:F,6,FALSE),"")</f>
        <v/>
      </c>
      <c r="K349" s="23" t="str">
        <f>IFERROR(INDEX([2]Packages!E:E, MATCH(1, ([2]Packages!A:A=B349)*([2]Packages!B:B=C349), 0)) - SUMIFS(D$2:D349, B$2:B349, B349, C$2:C349, C349),"")</f>
        <v/>
      </c>
    </row>
    <row r="350" spans="4:11" x14ac:dyDescent="0.45">
      <c r="D350" t="str">
        <f>IFERROR(VLOOKUP(C350,'Clients List'!$A:$F,2,FALSE),"")</f>
        <v/>
      </c>
      <c r="F350" s="1" t="str">
        <f>IF(OR(C350="",NOT(ISNUMBER(SEARCH("Package",D350)))),"",VLOOKUP(C350,'Clients List'!$A:$F,4,FALSE)-SUMIFS($E$2:$E350,$C$2:$C350,C350,$D$2:$D350,"*Package*"))</f>
        <v/>
      </c>
      <c r="G350" t="str">
        <f t="shared" si="11"/>
        <v/>
      </c>
      <c r="H350" s="33">
        <f>IF(ISNUMBER(SEARCH("Group",D350)),IF(G350="",E350,IFERROR(E350/COUNTIF($G2:$G6000,G350),E350)),E350)</f>
        <v>0</v>
      </c>
      <c r="I350" s="1" t="str">
        <f>IFERROR(VLOOKUP(C350,'Clients List'!A:F,6,FALSE),"")</f>
        <v/>
      </c>
      <c r="K350" s="23" t="str">
        <f>IFERROR(INDEX([2]Packages!E:E, MATCH(1, ([2]Packages!A:A=B350)*([2]Packages!B:B=C350), 0)) - SUMIFS(D$2:D350, B$2:B350, B350, C$2:C350, C350),"")</f>
        <v/>
      </c>
    </row>
    <row r="351" spans="4:11" x14ac:dyDescent="0.45">
      <c r="D351" t="str">
        <f>IFERROR(VLOOKUP(C351,'Clients List'!$A:$F,2,FALSE),"")</f>
        <v/>
      </c>
      <c r="F351" s="1" t="str">
        <f>IF(OR(C351="",NOT(ISNUMBER(SEARCH("Package",D351)))),"",VLOOKUP(C351,'Clients List'!$A:$F,4,FALSE)-SUMIFS($E$2:$E351,$C$2:$C351,C351,$D$2:$D351,"*Package*"))</f>
        <v/>
      </c>
      <c r="G351" t="str">
        <f t="shared" si="11"/>
        <v/>
      </c>
      <c r="H351" s="33">
        <f>IF(ISNUMBER(SEARCH("Group",D351)),IF(G351="",E351,IFERROR(E351/COUNTIF($G2:$G6000,G351),E351)),E351)</f>
        <v>0</v>
      </c>
      <c r="I351" s="1" t="str">
        <f>IFERROR(VLOOKUP(C351,'Clients List'!A:F,6,FALSE),"")</f>
        <v/>
      </c>
      <c r="K351" s="23" t="str">
        <f>IFERROR(INDEX([2]Packages!E:E, MATCH(1, ([2]Packages!A:A=B351)*([2]Packages!B:B=C351), 0)) - SUMIFS(D$2:D351, B$2:B351, B351, C$2:C351, C351),"")</f>
        <v/>
      </c>
    </row>
    <row r="352" spans="4:11" x14ac:dyDescent="0.45">
      <c r="D352" t="str">
        <f>IFERROR(VLOOKUP(C352,'Clients List'!$A:$F,2,FALSE),"")</f>
        <v/>
      </c>
      <c r="F352" s="1" t="str">
        <f>IF(OR(C352="",NOT(ISNUMBER(SEARCH("Package",D352)))),"",VLOOKUP(C352,'Clients List'!$A:$F,4,FALSE)-SUMIFS($E$2:$E352,$C$2:$C352,C352,$D$2:$D352,"*Package*"))</f>
        <v/>
      </c>
      <c r="G352" t="str">
        <f t="shared" si="11"/>
        <v/>
      </c>
      <c r="H352" s="33">
        <f>IF(ISNUMBER(SEARCH("Group",D352)),IF(G352="",E352,IFERROR(E352/COUNTIF($G2:$G6000,G352),E352)),E352)</f>
        <v>0</v>
      </c>
      <c r="I352" s="1" t="str">
        <f>IFERROR(VLOOKUP(C352,'Clients List'!A:F,6,FALSE),"")</f>
        <v/>
      </c>
      <c r="K352" s="23" t="str">
        <f>IFERROR(INDEX([2]Packages!E:E, MATCH(1, ([2]Packages!A:A=B352)*([2]Packages!B:B=C352), 0)) - SUMIFS(D$2:D352, B$2:B352, B352, C$2:C352, C352),"")</f>
        <v/>
      </c>
    </row>
    <row r="353" spans="4:11" x14ac:dyDescent="0.45">
      <c r="D353" t="str">
        <f>IFERROR(VLOOKUP(C353,'Clients List'!$A:$F,2,FALSE),"")</f>
        <v/>
      </c>
      <c r="F353" s="1" t="str">
        <f>IF(OR(C353="",NOT(ISNUMBER(SEARCH("Package",D353)))),"",VLOOKUP(C353,'Clients List'!$A:$F,4,FALSE)-SUMIFS($E$2:$E353,$C$2:$C353,C353,$D$2:$D353,"*Package*"))</f>
        <v/>
      </c>
      <c r="G353" t="str">
        <f t="shared" ref="G353:G384" si="12">IF(ISNUMBER(SEARCH("Group",D353)),IFERROR("GRP-"&amp;TEXT(IF(ISNUMBER(A353),A353,DATEVALUE(A353)),"yyyymmdd"),""),"" )</f>
        <v/>
      </c>
      <c r="H353" s="33">
        <f>IF(ISNUMBER(SEARCH("Group",D353)),IF(G353="",E353,IFERROR(E353/COUNTIF($G2:$G6000,G353),E353)),E353)</f>
        <v>0</v>
      </c>
      <c r="I353" s="1" t="str">
        <f>IFERROR(VLOOKUP(C353,'Clients List'!A:F,6,FALSE),"")</f>
        <v/>
      </c>
      <c r="K353" s="23" t="str">
        <f>IFERROR(INDEX([2]Packages!E:E, MATCH(1, ([2]Packages!A:A=B353)*([2]Packages!B:B=C353), 0)) - SUMIFS(D$2:D353, B$2:B353, B353, C$2:C353, C353),"")</f>
        <v/>
      </c>
    </row>
    <row r="354" spans="4:11" x14ac:dyDescent="0.45">
      <c r="D354" t="str">
        <f>IFERROR(VLOOKUP(C354,'Clients List'!$A:$F,2,FALSE),"")</f>
        <v/>
      </c>
      <c r="F354" s="1" t="str">
        <f>IF(OR(C354="",NOT(ISNUMBER(SEARCH("Package",D354)))),"",VLOOKUP(C354,'Clients List'!$A:$F,4,FALSE)-SUMIFS($E$2:$E354,$C$2:$C354,C354,$D$2:$D354,"*Package*"))</f>
        <v/>
      </c>
      <c r="G354" t="str">
        <f t="shared" si="12"/>
        <v/>
      </c>
      <c r="H354" s="33">
        <f>IF(ISNUMBER(SEARCH("Group",D354)),IF(G354="",E354,IFERROR(E354/COUNTIF($G2:$G6000,G354),E354)),E354)</f>
        <v>0</v>
      </c>
      <c r="I354" s="1" t="str">
        <f>IFERROR(VLOOKUP(C354,'Clients List'!A:F,6,FALSE),"")</f>
        <v/>
      </c>
      <c r="K354" s="23" t="str">
        <f>IFERROR(INDEX([2]Packages!E:E, MATCH(1, ([2]Packages!A:A=B354)*([2]Packages!B:B=C354), 0)) - SUMIFS(D$2:D354, B$2:B354, B354, C$2:C354, C354),"")</f>
        <v/>
      </c>
    </row>
    <row r="355" spans="4:11" x14ac:dyDescent="0.45">
      <c r="D355" t="str">
        <f>IFERROR(VLOOKUP(C355,'Clients List'!$A:$F,2,FALSE),"")</f>
        <v/>
      </c>
      <c r="F355" s="1" t="str">
        <f>IF(OR(C355="",NOT(ISNUMBER(SEARCH("Package",D355)))),"",VLOOKUP(C355,'Clients List'!$A:$F,4,FALSE)-SUMIFS($E$2:$E355,$C$2:$C355,C355,$D$2:$D355,"*Package*"))</f>
        <v/>
      </c>
      <c r="G355" t="str">
        <f t="shared" si="12"/>
        <v/>
      </c>
      <c r="H355" s="33">
        <f>IF(ISNUMBER(SEARCH("Group",D355)),IF(G355="",E355,IFERROR(E355/COUNTIF($G2:$G6000,G355),E355)),E355)</f>
        <v>0</v>
      </c>
      <c r="I355" s="1" t="str">
        <f>IFERROR(VLOOKUP(C355,'Clients List'!A:F,6,FALSE),"")</f>
        <v/>
      </c>
      <c r="K355" s="23" t="str">
        <f>IFERROR(INDEX([2]Packages!E:E, MATCH(1, ([2]Packages!A:A=B355)*([2]Packages!B:B=C355), 0)) - SUMIFS(D$2:D355, B$2:B355, B355, C$2:C355, C355),"")</f>
        <v/>
      </c>
    </row>
    <row r="356" spans="4:11" x14ac:dyDescent="0.45">
      <c r="D356" t="str">
        <f>IFERROR(VLOOKUP(C356,'Clients List'!$A:$F,2,FALSE),"")</f>
        <v/>
      </c>
      <c r="F356" s="1" t="str">
        <f>IF(OR(C356="",NOT(ISNUMBER(SEARCH("Package",D356)))),"",VLOOKUP(C356,'Clients List'!$A:$F,4,FALSE)-SUMIFS($E$2:$E356,$C$2:$C356,C356,$D$2:$D356,"*Package*"))</f>
        <v/>
      </c>
      <c r="G356" t="str">
        <f t="shared" si="12"/>
        <v/>
      </c>
      <c r="H356" s="33">
        <f>IF(ISNUMBER(SEARCH("Group",D356)),IF(G356="",E356,IFERROR(E356/COUNTIF($G2:$G6000,G356),E356)),E356)</f>
        <v>0</v>
      </c>
      <c r="I356" s="1" t="str">
        <f>IFERROR(VLOOKUP(C356,'Clients List'!A:F,6,FALSE),"")</f>
        <v/>
      </c>
      <c r="K356" s="23" t="str">
        <f>IFERROR(INDEX([2]Packages!E:E, MATCH(1, ([2]Packages!A:A=B356)*([2]Packages!B:B=C356), 0)) - SUMIFS(D$2:D356, B$2:B356, B356, C$2:C356, C356),"")</f>
        <v/>
      </c>
    </row>
    <row r="357" spans="4:11" x14ac:dyDescent="0.45">
      <c r="D357" t="str">
        <f>IFERROR(VLOOKUP(C357,'Clients List'!$A:$F,2,FALSE),"")</f>
        <v/>
      </c>
      <c r="F357" s="1" t="str">
        <f>IF(OR(C357="",NOT(ISNUMBER(SEARCH("Package",D357)))),"",VLOOKUP(C357,'Clients List'!$A:$F,4,FALSE)-SUMIFS($E$2:$E357,$C$2:$C357,C357,$D$2:$D357,"*Package*"))</f>
        <v/>
      </c>
      <c r="G357" t="str">
        <f t="shared" si="12"/>
        <v/>
      </c>
      <c r="H357" s="33">
        <f>IF(ISNUMBER(SEARCH("Group",D357)),IF(G357="",E357,IFERROR(E357/COUNTIF($G2:$G6000,G357),E357)),E357)</f>
        <v>0</v>
      </c>
      <c r="I357" s="1" t="str">
        <f>IFERROR(VLOOKUP(C357,'Clients List'!A:F,6,FALSE),"")</f>
        <v/>
      </c>
      <c r="K357" s="23" t="str">
        <f>IFERROR(INDEX([2]Packages!E:E, MATCH(1, ([2]Packages!A:A=B357)*([2]Packages!B:B=C357), 0)) - SUMIFS(D$2:D357, B$2:B357, B357, C$2:C357, C357),"")</f>
        <v/>
      </c>
    </row>
    <row r="358" spans="4:11" x14ac:dyDescent="0.45">
      <c r="D358" t="str">
        <f>IFERROR(VLOOKUP(C358,'Clients List'!$A:$F,2,FALSE),"")</f>
        <v/>
      </c>
      <c r="F358" s="1" t="str">
        <f>IF(OR(C358="",NOT(ISNUMBER(SEARCH("Package",D358)))),"",VLOOKUP(C358,'Clients List'!$A:$F,4,FALSE)-SUMIFS($E$2:$E358,$C$2:$C358,C358,$D$2:$D358,"*Package*"))</f>
        <v/>
      </c>
      <c r="G358" t="str">
        <f t="shared" si="12"/>
        <v/>
      </c>
      <c r="H358" s="33">
        <f>IF(ISNUMBER(SEARCH("Group",D358)),IF(G358="",E358,IFERROR(E358/COUNTIF($G2:$G6000,G358),E358)),E358)</f>
        <v>0</v>
      </c>
      <c r="I358" s="1" t="str">
        <f>IFERROR(VLOOKUP(C358,'Clients List'!A:F,6,FALSE),"")</f>
        <v/>
      </c>
      <c r="K358" s="23" t="str">
        <f>IFERROR(INDEX([2]Packages!E:E, MATCH(1, ([2]Packages!A:A=B358)*([2]Packages!B:B=C358), 0)) - SUMIFS(D$2:D358, B$2:B358, B358, C$2:C358, C358),"")</f>
        <v/>
      </c>
    </row>
    <row r="359" spans="4:11" x14ac:dyDescent="0.45">
      <c r="D359" t="str">
        <f>IFERROR(VLOOKUP(C359,'Clients List'!$A:$F,2,FALSE),"")</f>
        <v/>
      </c>
      <c r="F359" s="1" t="str">
        <f>IF(OR(C359="",NOT(ISNUMBER(SEARCH("Package",D359)))),"",VLOOKUP(C359,'Clients List'!$A:$F,4,FALSE)-SUMIFS($E$2:$E359,$C$2:$C359,C359,$D$2:$D359,"*Package*"))</f>
        <v/>
      </c>
      <c r="G359" t="str">
        <f t="shared" si="12"/>
        <v/>
      </c>
      <c r="H359" s="33">
        <f>IF(ISNUMBER(SEARCH("Group",D359)),IF(G359="",E359,IFERROR(E359/COUNTIF($G2:$G6000,G359),E359)),E359)</f>
        <v>0</v>
      </c>
      <c r="I359" s="1" t="str">
        <f>IFERROR(VLOOKUP(C359,'Clients List'!A:F,6,FALSE),"")</f>
        <v/>
      </c>
      <c r="K359" s="23" t="str">
        <f>IFERROR(INDEX([2]Packages!E:E, MATCH(1, ([2]Packages!A:A=B359)*([2]Packages!B:B=C359), 0)) - SUMIFS(D$2:D359, B$2:B359, B359, C$2:C359, C359),"")</f>
        <v/>
      </c>
    </row>
    <row r="360" spans="4:11" x14ac:dyDescent="0.45">
      <c r="D360" t="str">
        <f>IFERROR(VLOOKUP(C360,'Clients List'!$A:$F,2,FALSE),"")</f>
        <v/>
      </c>
      <c r="F360" s="1" t="str">
        <f>IF(OR(C360="",NOT(ISNUMBER(SEARCH("Package",D360)))),"",VLOOKUP(C360,'Clients List'!$A:$F,4,FALSE)-SUMIFS($E$2:$E360,$C$2:$C360,C360,$D$2:$D360,"*Package*"))</f>
        <v/>
      </c>
      <c r="G360" t="str">
        <f t="shared" si="12"/>
        <v/>
      </c>
      <c r="H360" s="33">
        <f>IF(ISNUMBER(SEARCH("Group",D360)),IF(G360="",E360,IFERROR(E360/COUNTIF($G2:$G6000,G360),E360)),E360)</f>
        <v>0</v>
      </c>
      <c r="I360" s="1" t="str">
        <f>IFERROR(VLOOKUP(C360,'Clients List'!A:F,6,FALSE),"")</f>
        <v/>
      </c>
      <c r="K360" s="23" t="str">
        <f>IFERROR(INDEX([2]Packages!E:E, MATCH(1, ([2]Packages!A:A=B360)*([2]Packages!B:B=C360), 0)) - SUMIFS(D$2:D360, B$2:B360, B360, C$2:C360, C360),"")</f>
        <v/>
      </c>
    </row>
    <row r="361" spans="4:11" x14ac:dyDescent="0.45">
      <c r="D361" t="str">
        <f>IFERROR(VLOOKUP(C361,'Clients List'!$A:$F,2,FALSE),"")</f>
        <v/>
      </c>
      <c r="F361" s="1" t="str">
        <f>IF(OR(C361="",NOT(ISNUMBER(SEARCH("Package",D361)))),"",VLOOKUP(C361,'Clients List'!$A:$F,4,FALSE)-SUMIFS($E$2:$E361,$C$2:$C361,C361,$D$2:$D361,"*Package*"))</f>
        <v/>
      </c>
      <c r="G361" t="str">
        <f t="shared" si="12"/>
        <v/>
      </c>
      <c r="H361" s="33">
        <f>IF(ISNUMBER(SEARCH("Group",D361)),IF(G361="",E361,IFERROR(E361/COUNTIF($G2:$G6000,G361),E361)),E361)</f>
        <v>0</v>
      </c>
      <c r="I361" s="1" t="str">
        <f>IFERROR(VLOOKUP(C361,'Clients List'!A:F,6,FALSE),"")</f>
        <v/>
      </c>
      <c r="K361" s="23" t="str">
        <f>IFERROR(INDEX([2]Packages!E:E, MATCH(1, ([2]Packages!A:A=B361)*([2]Packages!B:B=C361), 0)) - SUMIFS(D$2:D361, B$2:B361, B361, C$2:C361, C361),"")</f>
        <v/>
      </c>
    </row>
    <row r="362" spans="4:11" x14ac:dyDescent="0.45">
      <c r="D362" t="str">
        <f>IFERROR(VLOOKUP(C362,'Clients List'!$A:$F,2,FALSE),"")</f>
        <v/>
      </c>
      <c r="F362" s="1" t="str">
        <f>IF(OR(C362="",NOT(ISNUMBER(SEARCH("Package",D362)))),"",VLOOKUP(C362,'Clients List'!$A:$F,4,FALSE)-SUMIFS($E$2:$E362,$C$2:$C362,C362,$D$2:$D362,"*Package*"))</f>
        <v/>
      </c>
      <c r="G362" t="str">
        <f t="shared" si="12"/>
        <v/>
      </c>
      <c r="H362" s="33">
        <f>IF(ISNUMBER(SEARCH("Group",D362)),IF(G362="",E362,IFERROR(E362/COUNTIF($G2:$G6000,G362),E362)),E362)</f>
        <v>0</v>
      </c>
      <c r="I362" s="1" t="str">
        <f>IFERROR(VLOOKUP(C362,'Clients List'!A:F,6,FALSE),"")</f>
        <v/>
      </c>
      <c r="K362" s="23" t="str">
        <f>IFERROR(INDEX([2]Packages!E:E, MATCH(1, ([2]Packages!A:A=B362)*([2]Packages!B:B=C362), 0)) - SUMIFS(D$2:D362, B$2:B362, B362, C$2:C362, C362),"")</f>
        <v/>
      </c>
    </row>
    <row r="363" spans="4:11" x14ac:dyDescent="0.45">
      <c r="D363" t="str">
        <f>IFERROR(VLOOKUP(C363,'Clients List'!$A:$F,2,FALSE),"")</f>
        <v/>
      </c>
      <c r="F363" s="1" t="str">
        <f>IF(OR(C363="",NOT(ISNUMBER(SEARCH("Package",D363)))),"",VLOOKUP(C363,'Clients List'!$A:$F,4,FALSE)-SUMIFS($E$2:$E363,$C$2:$C363,C363,$D$2:$D363,"*Package*"))</f>
        <v/>
      </c>
      <c r="G363" t="str">
        <f t="shared" si="12"/>
        <v/>
      </c>
      <c r="H363" s="33">
        <f>IF(ISNUMBER(SEARCH("Group",D363)),IF(G363="",E363,IFERROR(E363/COUNTIF($G2:$G6000,G363),E363)),E363)</f>
        <v>0</v>
      </c>
      <c r="I363" s="1" t="str">
        <f>IFERROR(VLOOKUP(C363,'Clients List'!A:F,6,FALSE),"")</f>
        <v/>
      </c>
      <c r="K363" s="23" t="str">
        <f>IFERROR(INDEX([2]Packages!E:E, MATCH(1, ([2]Packages!A:A=B363)*([2]Packages!B:B=C363), 0)) - SUMIFS(D$2:D363, B$2:B363, B363, C$2:C363, C363),"")</f>
        <v/>
      </c>
    </row>
    <row r="364" spans="4:11" x14ac:dyDescent="0.45">
      <c r="D364" t="str">
        <f>IFERROR(VLOOKUP(C364,'Clients List'!$A:$F,2,FALSE),"")</f>
        <v/>
      </c>
      <c r="F364" s="1" t="str">
        <f>IF(OR(C364="",NOT(ISNUMBER(SEARCH("Package",D364)))),"",VLOOKUP(C364,'Clients List'!$A:$F,4,FALSE)-SUMIFS($E$2:$E364,$C$2:$C364,C364,$D$2:$D364,"*Package*"))</f>
        <v/>
      </c>
      <c r="G364" t="str">
        <f t="shared" si="12"/>
        <v/>
      </c>
      <c r="H364" s="33">
        <f>IF(ISNUMBER(SEARCH("Group",D364)),IF(G364="",E364,IFERROR(E364/COUNTIF($G2:$G6000,G364),E364)),E364)</f>
        <v>0</v>
      </c>
      <c r="I364" s="1" t="str">
        <f>IFERROR(VLOOKUP(C364,'Clients List'!A:F,6,FALSE),"")</f>
        <v/>
      </c>
      <c r="K364" s="23" t="str">
        <f>IFERROR(INDEX([2]Packages!E:E, MATCH(1, ([2]Packages!A:A=B364)*([2]Packages!B:B=C364), 0)) - SUMIFS(D$2:D364, B$2:B364, B364, C$2:C364, C364),"")</f>
        <v/>
      </c>
    </row>
    <row r="365" spans="4:11" x14ac:dyDescent="0.45">
      <c r="D365" t="str">
        <f>IFERROR(VLOOKUP(C365,'Clients List'!$A:$F,2,FALSE),"")</f>
        <v/>
      </c>
      <c r="F365" s="1" t="str">
        <f>IF(OR(C365="",NOT(ISNUMBER(SEARCH("Package",D365)))),"",VLOOKUP(C365,'Clients List'!$A:$F,4,FALSE)-SUMIFS($E$2:$E365,$C$2:$C365,C365,$D$2:$D365,"*Package*"))</f>
        <v/>
      </c>
      <c r="G365" t="str">
        <f t="shared" si="12"/>
        <v/>
      </c>
      <c r="H365" s="33">
        <f>IF(ISNUMBER(SEARCH("Group",D365)),IF(G365="",E365,IFERROR(E365/COUNTIF($G2:$G6000,G365),E365)),E365)</f>
        <v>0</v>
      </c>
      <c r="I365" s="1" t="str">
        <f>IFERROR(VLOOKUP(C365,'Clients List'!A:F,6,FALSE),"")</f>
        <v/>
      </c>
      <c r="K365" s="23" t="str">
        <f>IFERROR(INDEX([2]Packages!E:E, MATCH(1, ([2]Packages!A:A=B365)*([2]Packages!B:B=C365), 0)) - SUMIFS(D$2:D365, B$2:B365, B365, C$2:C365, C365),"")</f>
        <v/>
      </c>
    </row>
    <row r="366" spans="4:11" x14ac:dyDescent="0.45">
      <c r="D366" t="str">
        <f>IFERROR(VLOOKUP(C366,'Clients List'!$A:$F,2,FALSE),"")</f>
        <v/>
      </c>
      <c r="F366" s="1" t="str">
        <f>IF(OR(C366="",NOT(ISNUMBER(SEARCH("Package",D366)))),"",VLOOKUP(C366,'Clients List'!$A:$F,4,FALSE)-SUMIFS($E$2:$E366,$C$2:$C366,C366,$D$2:$D366,"*Package*"))</f>
        <v/>
      </c>
      <c r="G366" t="str">
        <f t="shared" si="12"/>
        <v/>
      </c>
      <c r="H366" s="33">
        <f>IF(ISNUMBER(SEARCH("Group",D366)),IF(G366="",E366,IFERROR(E366/COUNTIF($G2:$G6000,G366),E366)),E366)</f>
        <v>0</v>
      </c>
      <c r="I366" s="1" t="str">
        <f>IFERROR(VLOOKUP(C366,'Clients List'!A:F,6,FALSE),"")</f>
        <v/>
      </c>
      <c r="K366" s="23" t="str">
        <f>IFERROR(INDEX([2]Packages!E:E, MATCH(1, ([2]Packages!A:A=B366)*([2]Packages!B:B=C366), 0)) - SUMIFS(D$2:D366, B$2:B366, B366, C$2:C366, C366),"")</f>
        <v/>
      </c>
    </row>
    <row r="367" spans="4:11" x14ac:dyDescent="0.45">
      <c r="D367" t="str">
        <f>IFERROR(VLOOKUP(C367,'Clients List'!$A:$F,2,FALSE),"")</f>
        <v/>
      </c>
      <c r="F367" s="1" t="str">
        <f>IF(OR(C367="",NOT(ISNUMBER(SEARCH("Package",D367)))),"",VLOOKUP(C367,'Clients List'!$A:$F,4,FALSE)-SUMIFS($E$2:$E367,$C$2:$C367,C367,$D$2:$D367,"*Package*"))</f>
        <v/>
      </c>
      <c r="G367" t="str">
        <f t="shared" si="12"/>
        <v/>
      </c>
      <c r="H367" s="33">
        <f>IF(ISNUMBER(SEARCH("Group",D367)),IF(G367="",E367,IFERROR(E367/COUNTIF($G2:$G6000,G367),E367)),E367)</f>
        <v>0</v>
      </c>
      <c r="I367" s="1" t="str">
        <f>IFERROR(VLOOKUP(C367,'Clients List'!A:F,6,FALSE),"")</f>
        <v/>
      </c>
      <c r="K367" s="23" t="str">
        <f>IFERROR(INDEX([2]Packages!E:E, MATCH(1, ([2]Packages!A:A=B367)*([2]Packages!B:B=C367), 0)) - SUMIFS(D$2:D367, B$2:B367, B367, C$2:C367, C367),"")</f>
        <v/>
      </c>
    </row>
    <row r="368" spans="4:11" x14ac:dyDescent="0.45">
      <c r="D368" t="str">
        <f>IFERROR(VLOOKUP(C368,'Clients List'!$A:$F,2,FALSE),"")</f>
        <v/>
      </c>
      <c r="F368" s="1" t="str">
        <f>IF(OR(C368="",NOT(ISNUMBER(SEARCH("Package",D368)))),"",VLOOKUP(C368,'Clients List'!$A:$F,4,FALSE)-SUMIFS($E$2:$E368,$C$2:$C368,C368,$D$2:$D368,"*Package*"))</f>
        <v/>
      </c>
      <c r="G368" t="str">
        <f t="shared" si="12"/>
        <v/>
      </c>
      <c r="H368" s="33">
        <f>IF(ISNUMBER(SEARCH("Group",D368)),IF(G368="",E368,IFERROR(E368/COUNTIF($G2:$G6000,G368),E368)),E368)</f>
        <v>0</v>
      </c>
      <c r="I368" s="1" t="str">
        <f>IFERROR(VLOOKUP(C368,'Clients List'!A:F,6,FALSE),"")</f>
        <v/>
      </c>
      <c r="K368" s="23" t="str">
        <f>IFERROR(INDEX([2]Packages!E:E, MATCH(1, ([2]Packages!A:A=B368)*([2]Packages!B:B=C368), 0)) - SUMIFS(D$2:D368, B$2:B368, B368, C$2:C368, C368),"")</f>
        <v/>
      </c>
    </row>
    <row r="369" spans="4:11" x14ac:dyDescent="0.45">
      <c r="D369" t="str">
        <f>IFERROR(VLOOKUP(C369,'Clients List'!$A:$F,2,FALSE),"")</f>
        <v/>
      </c>
      <c r="F369" s="1" t="str">
        <f>IF(OR(C369="",NOT(ISNUMBER(SEARCH("Package",D369)))),"",VLOOKUP(C369,'Clients List'!$A:$F,4,FALSE)-SUMIFS($E$2:$E369,$C$2:$C369,C369,$D$2:$D369,"*Package*"))</f>
        <v/>
      </c>
      <c r="G369" t="str">
        <f t="shared" si="12"/>
        <v/>
      </c>
      <c r="H369" s="33">
        <f>IF(ISNUMBER(SEARCH("Group",D369)),IF(G369="",E369,IFERROR(E369/COUNTIF($G2:$G6000,G369),E369)),E369)</f>
        <v>0</v>
      </c>
      <c r="I369" s="1" t="str">
        <f>IFERROR(VLOOKUP(C369,'Clients List'!A:F,6,FALSE),"")</f>
        <v/>
      </c>
      <c r="K369" s="23" t="str">
        <f>IFERROR(INDEX([2]Packages!E:E, MATCH(1, ([2]Packages!A:A=B369)*([2]Packages!B:B=C369), 0)) - SUMIFS(D$2:D369, B$2:B369, B369, C$2:C369, C369),"")</f>
        <v/>
      </c>
    </row>
    <row r="370" spans="4:11" x14ac:dyDescent="0.45">
      <c r="D370" t="str">
        <f>IFERROR(VLOOKUP(C370,'Clients List'!$A:$F,2,FALSE),"")</f>
        <v/>
      </c>
      <c r="F370" s="1" t="str">
        <f>IF(OR(C370="",NOT(ISNUMBER(SEARCH("Package",D370)))),"",VLOOKUP(C370,'Clients List'!$A:$F,4,FALSE)-SUMIFS($E$2:$E370,$C$2:$C370,C370,$D$2:$D370,"*Package*"))</f>
        <v/>
      </c>
      <c r="G370" t="str">
        <f t="shared" si="12"/>
        <v/>
      </c>
      <c r="H370" s="33">
        <f>IF(ISNUMBER(SEARCH("Group",D370)),IF(G370="",E370,IFERROR(E370/COUNTIF($G2:$G6000,G370),E370)),E370)</f>
        <v>0</v>
      </c>
      <c r="I370" s="1" t="str">
        <f>IFERROR(VLOOKUP(C370,'Clients List'!A:F,6,FALSE),"")</f>
        <v/>
      </c>
      <c r="K370" s="23" t="str">
        <f>IFERROR(INDEX([2]Packages!E:E, MATCH(1, ([2]Packages!A:A=B370)*([2]Packages!B:B=C370), 0)) - SUMIFS(D$2:D370, B$2:B370, B370, C$2:C370, C370),"")</f>
        <v/>
      </c>
    </row>
    <row r="371" spans="4:11" x14ac:dyDescent="0.45">
      <c r="D371" t="str">
        <f>IFERROR(VLOOKUP(C371,'Clients List'!$A:$F,2,FALSE),"")</f>
        <v/>
      </c>
      <c r="F371" s="1" t="str">
        <f>IF(OR(C371="",NOT(ISNUMBER(SEARCH("Package",D371)))),"",VLOOKUP(C371,'Clients List'!$A:$F,4,FALSE)-SUMIFS($E$2:$E371,$C$2:$C371,C371,$D$2:$D371,"*Package*"))</f>
        <v/>
      </c>
      <c r="G371" t="str">
        <f t="shared" si="12"/>
        <v/>
      </c>
      <c r="H371" s="33">
        <f>IF(ISNUMBER(SEARCH("Group",D371)),IF(G371="",E371,IFERROR(E371/COUNTIF($G2:$G6000,G371),E371)),E371)</f>
        <v>0</v>
      </c>
      <c r="I371" s="1" t="str">
        <f>IFERROR(VLOOKUP(C371,'Clients List'!A:F,6,FALSE),"")</f>
        <v/>
      </c>
      <c r="K371" s="23" t="str">
        <f>IFERROR(INDEX([2]Packages!E:E, MATCH(1, ([2]Packages!A:A=B371)*([2]Packages!B:B=C371), 0)) - SUMIFS(D$2:D371, B$2:B371, B371, C$2:C371, C371),"")</f>
        <v/>
      </c>
    </row>
    <row r="372" spans="4:11" x14ac:dyDescent="0.45">
      <c r="D372" t="str">
        <f>IFERROR(VLOOKUP(C372,'Clients List'!$A:$F,2,FALSE),"")</f>
        <v/>
      </c>
      <c r="F372" s="1" t="str">
        <f>IF(OR(C372="",NOT(ISNUMBER(SEARCH("Package",D372)))),"",VLOOKUP(C372,'Clients List'!$A:$F,4,FALSE)-SUMIFS($E$2:$E372,$C$2:$C372,C372,$D$2:$D372,"*Package*"))</f>
        <v/>
      </c>
      <c r="G372" t="str">
        <f t="shared" si="12"/>
        <v/>
      </c>
      <c r="H372" s="33">
        <f>IF(ISNUMBER(SEARCH("Group",D372)),IF(G372="",E372,IFERROR(E372/COUNTIF($G2:$G6000,G372),E372)),E372)</f>
        <v>0</v>
      </c>
      <c r="I372" s="1" t="str">
        <f>IFERROR(VLOOKUP(C372,'Clients List'!A:F,6,FALSE),"")</f>
        <v/>
      </c>
      <c r="K372" s="23" t="str">
        <f>IFERROR(INDEX([2]Packages!E:E, MATCH(1, ([2]Packages!A:A=B372)*([2]Packages!B:B=C372), 0)) - SUMIFS(D$2:D372, B$2:B372, B372, C$2:C372, C372),"")</f>
        <v/>
      </c>
    </row>
    <row r="373" spans="4:11" x14ac:dyDescent="0.45">
      <c r="D373" t="str">
        <f>IFERROR(VLOOKUP(C373,'Clients List'!$A:$F,2,FALSE),"")</f>
        <v/>
      </c>
      <c r="F373" s="1" t="str">
        <f>IF(OR(C373="",NOT(ISNUMBER(SEARCH("Package",D373)))),"",VLOOKUP(C373,'Clients List'!$A:$F,4,FALSE)-SUMIFS($E$2:$E373,$C$2:$C373,C373,$D$2:$D373,"*Package*"))</f>
        <v/>
      </c>
      <c r="G373" t="str">
        <f t="shared" si="12"/>
        <v/>
      </c>
      <c r="H373" s="33">
        <f>IF(ISNUMBER(SEARCH("Group",D373)),IF(G373="",E373,IFERROR(E373/COUNTIF($G2:$G6000,G373),E373)),E373)</f>
        <v>0</v>
      </c>
      <c r="I373" s="1" t="str">
        <f>IFERROR(VLOOKUP(C373,'Clients List'!A:F,6,FALSE),"")</f>
        <v/>
      </c>
      <c r="K373" s="23" t="str">
        <f>IFERROR(INDEX([2]Packages!E:E, MATCH(1, ([2]Packages!A:A=B373)*([2]Packages!B:B=C373), 0)) - SUMIFS(D$2:D373, B$2:B373, B373, C$2:C373, C373),"")</f>
        <v/>
      </c>
    </row>
    <row r="374" spans="4:11" x14ac:dyDescent="0.45">
      <c r="D374" t="str">
        <f>IFERROR(VLOOKUP(C374,'Clients List'!$A:$F,2,FALSE),"")</f>
        <v/>
      </c>
      <c r="F374" s="1" t="str">
        <f>IF(OR(C374="",NOT(ISNUMBER(SEARCH("Package",D374)))),"",VLOOKUP(C374,'Clients List'!$A:$F,4,FALSE)-SUMIFS($E$2:$E374,$C$2:$C374,C374,$D$2:$D374,"*Package*"))</f>
        <v/>
      </c>
      <c r="G374" t="str">
        <f t="shared" si="12"/>
        <v/>
      </c>
      <c r="H374" s="33">
        <f>IF(ISNUMBER(SEARCH("Group",D374)),IF(G374="",E374,IFERROR(E374/COUNTIF($G2:$G6000,G374),E374)),E374)</f>
        <v>0</v>
      </c>
      <c r="I374" s="1" t="str">
        <f>IFERROR(VLOOKUP(C374,'Clients List'!A:F,6,FALSE),"")</f>
        <v/>
      </c>
      <c r="K374" s="23" t="str">
        <f>IFERROR(INDEX([2]Packages!E:E, MATCH(1, ([2]Packages!A:A=B374)*([2]Packages!B:B=C374), 0)) - SUMIFS(D$2:D374, B$2:B374, B374, C$2:C374, C374),"")</f>
        <v/>
      </c>
    </row>
    <row r="375" spans="4:11" x14ac:dyDescent="0.45">
      <c r="D375" t="str">
        <f>IFERROR(VLOOKUP(C375,'Clients List'!$A:$F,2,FALSE),"")</f>
        <v/>
      </c>
      <c r="F375" s="1" t="str">
        <f>IF(OR(C375="",NOT(ISNUMBER(SEARCH("Package",D375)))),"",VLOOKUP(C375,'Clients List'!$A:$F,4,FALSE)-SUMIFS($E$2:$E375,$C$2:$C375,C375,$D$2:$D375,"*Package*"))</f>
        <v/>
      </c>
      <c r="G375" t="str">
        <f t="shared" si="12"/>
        <v/>
      </c>
      <c r="H375" s="33">
        <f>IF(ISNUMBER(SEARCH("Group",D375)),IF(G375="",E375,IFERROR(E375/COUNTIF($G2:$G6000,G375),E375)),E375)</f>
        <v>0</v>
      </c>
      <c r="I375" s="1" t="str">
        <f>IFERROR(VLOOKUP(C375,'Clients List'!A:F,6,FALSE),"")</f>
        <v/>
      </c>
      <c r="K375" s="23" t="str">
        <f>IFERROR(INDEX([2]Packages!E:E, MATCH(1, ([2]Packages!A:A=B375)*([2]Packages!B:B=C375), 0)) - SUMIFS(D$2:D375, B$2:B375, B375, C$2:C375, C375),"")</f>
        <v/>
      </c>
    </row>
    <row r="376" spans="4:11" x14ac:dyDescent="0.45">
      <c r="D376" t="str">
        <f>IFERROR(VLOOKUP(C376,'Clients List'!$A:$F,2,FALSE),"")</f>
        <v/>
      </c>
      <c r="F376" s="1" t="str">
        <f>IF(OR(C376="",NOT(ISNUMBER(SEARCH("Package",D376)))),"",VLOOKUP(C376,'Clients List'!$A:$F,4,FALSE)-SUMIFS($E$2:$E376,$C$2:$C376,C376,$D$2:$D376,"*Package*"))</f>
        <v/>
      </c>
      <c r="G376" t="str">
        <f t="shared" si="12"/>
        <v/>
      </c>
      <c r="H376" s="33">
        <f>IF(ISNUMBER(SEARCH("Group",D376)),IF(G376="",E376,IFERROR(E376/COUNTIF($G2:$G6000,G376),E376)),E376)</f>
        <v>0</v>
      </c>
      <c r="I376" s="1" t="str">
        <f>IFERROR(VLOOKUP(C376,'Clients List'!A:F,6,FALSE),"")</f>
        <v/>
      </c>
      <c r="K376" s="23" t="str">
        <f>IFERROR(INDEX([2]Packages!E:E, MATCH(1, ([2]Packages!A:A=B376)*([2]Packages!B:B=C376), 0)) - SUMIFS(D$2:D376, B$2:B376, B376, C$2:C376, C376),"")</f>
        <v/>
      </c>
    </row>
    <row r="377" spans="4:11" x14ac:dyDescent="0.45">
      <c r="D377" t="str">
        <f>IFERROR(VLOOKUP(C377,'Clients List'!$A:$F,2,FALSE),"")</f>
        <v/>
      </c>
      <c r="F377" s="1" t="str">
        <f>IF(OR(C377="",NOT(ISNUMBER(SEARCH("Package",D377)))),"",VLOOKUP(C377,'Clients List'!$A:$F,4,FALSE)-SUMIFS($E$2:$E377,$C$2:$C377,C377,$D$2:$D377,"*Package*"))</f>
        <v/>
      </c>
      <c r="G377" t="str">
        <f t="shared" si="12"/>
        <v/>
      </c>
      <c r="H377" s="33">
        <f>IF(ISNUMBER(SEARCH("Group",D377)),IF(G377="",E377,IFERROR(E377/COUNTIF($G2:$G6000,G377),E377)),E377)</f>
        <v>0</v>
      </c>
      <c r="I377" s="1" t="str">
        <f>IFERROR(VLOOKUP(C377,'Clients List'!A:F,6,FALSE),"")</f>
        <v/>
      </c>
      <c r="K377" s="23" t="str">
        <f>IFERROR(INDEX([2]Packages!E:E, MATCH(1, ([2]Packages!A:A=B377)*([2]Packages!B:B=C377), 0)) - SUMIFS(D$2:D377, B$2:B377, B377, C$2:C377, C377),"")</f>
        <v/>
      </c>
    </row>
    <row r="378" spans="4:11" x14ac:dyDescent="0.45">
      <c r="D378" t="str">
        <f>IFERROR(VLOOKUP(C378,'Clients List'!$A:$F,2,FALSE),"")</f>
        <v/>
      </c>
      <c r="F378" s="1" t="str">
        <f>IF(OR(C378="",NOT(ISNUMBER(SEARCH("Package",D378)))),"",VLOOKUP(C378,'Clients List'!$A:$F,4,FALSE)-SUMIFS($E$2:$E378,$C$2:$C378,C378,$D$2:$D378,"*Package*"))</f>
        <v/>
      </c>
      <c r="G378" t="str">
        <f t="shared" si="12"/>
        <v/>
      </c>
      <c r="H378" s="33">
        <f>IF(ISNUMBER(SEARCH("Group",D378)),IF(G378="",E378,IFERROR(E378/COUNTIF($G2:$G6000,G378),E378)),E378)</f>
        <v>0</v>
      </c>
      <c r="I378" s="1" t="str">
        <f>IFERROR(VLOOKUP(C378,'Clients List'!A:F,6,FALSE),"")</f>
        <v/>
      </c>
      <c r="K378" s="23" t="str">
        <f>IFERROR(INDEX([2]Packages!E:E, MATCH(1, ([2]Packages!A:A=B378)*([2]Packages!B:B=C378), 0)) - SUMIFS(D$2:D378, B$2:B378, B378, C$2:C378, C378),"")</f>
        <v/>
      </c>
    </row>
    <row r="379" spans="4:11" x14ac:dyDescent="0.45">
      <c r="D379" t="str">
        <f>IFERROR(VLOOKUP(C379,'Clients List'!$A:$F,2,FALSE),"")</f>
        <v/>
      </c>
      <c r="F379" s="1" t="str">
        <f>IF(OR(C379="",NOT(ISNUMBER(SEARCH("Package",D379)))),"",VLOOKUP(C379,'Clients List'!$A:$F,4,FALSE)-SUMIFS($E$2:$E379,$C$2:$C379,C379,$D$2:$D379,"*Package*"))</f>
        <v/>
      </c>
      <c r="G379" t="str">
        <f t="shared" si="12"/>
        <v/>
      </c>
      <c r="H379" s="33">
        <f>IF(ISNUMBER(SEARCH("Group",D379)),IF(G379="",E379,IFERROR(E379/COUNTIF($G2:$G6000,G379),E379)),E379)</f>
        <v>0</v>
      </c>
      <c r="I379" s="1" t="str">
        <f>IFERROR(VLOOKUP(C379,'Clients List'!A:F,6,FALSE),"")</f>
        <v/>
      </c>
      <c r="K379" s="23" t="str">
        <f>IFERROR(INDEX([2]Packages!E:E, MATCH(1, ([2]Packages!A:A=B379)*([2]Packages!B:B=C379), 0)) - SUMIFS(D$2:D379, B$2:B379, B379, C$2:C379, C379),"")</f>
        <v/>
      </c>
    </row>
    <row r="380" spans="4:11" x14ac:dyDescent="0.45">
      <c r="D380" t="str">
        <f>IFERROR(VLOOKUP(C380,'Clients List'!$A:$F,2,FALSE),"")</f>
        <v/>
      </c>
      <c r="F380" s="1" t="str">
        <f>IF(OR(C380="",NOT(ISNUMBER(SEARCH("Package",D380)))),"",VLOOKUP(C380,'Clients List'!$A:$F,4,FALSE)-SUMIFS($E$2:$E380,$C$2:$C380,C380,$D$2:$D380,"*Package*"))</f>
        <v/>
      </c>
      <c r="G380" t="str">
        <f t="shared" si="12"/>
        <v/>
      </c>
      <c r="H380" s="33">
        <f>IF(ISNUMBER(SEARCH("Group",D380)),IF(G380="",E380,IFERROR(E380/COUNTIF($G2:$G6000,G380),E380)),E380)</f>
        <v>0</v>
      </c>
      <c r="I380" s="1" t="str">
        <f>IFERROR(VLOOKUP(C380,'Clients List'!A:F,6,FALSE),"")</f>
        <v/>
      </c>
      <c r="K380" s="23" t="str">
        <f>IFERROR(INDEX([2]Packages!E:E, MATCH(1, ([2]Packages!A:A=B380)*([2]Packages!B:B=C380), 0)) - SUMIFS(D$2:D380, B$2:B380, B380, C$2:C380, C380),"")</f>
        <v/>
      </c>
    </row>
    <row r="381" spans="4:11" x14ac:dyDescent="0.45">
      <c r="D381" t="str">
        <f>IFERROR(VLOOKUP(C381,'Clients List'!$A:$F,2,FALSE),"")</f>
        <v/>
      </c>
      <c r="F381" s="1" t="str">
        <f>IF(OR(C381="",NOT(ISNUMBER(SEARCH("Package",D381)))),"",VLOOKUP(C381,'Clients List'!$A:$F,4,FALSE)-SUMIFS($E$2:$E381,$C$2:$C381,C381,$D$2:$D381,"*Package*"))</f>
        <v/>
      </c>
      <c r="G381" t="str">
        <f t="shared" si="12"/>
        <v/>
      </c>
      <c r="H381" s="33">
        <f>IF(ISNUMBER(SEARCH("Group",D381)),IF(G381="",E381,IFERROR(E381/COUNTIF($G2:$G6000,G381),E381)),E381)</f>
        <v>0</v>
      </c>
      <c r="I381" s="1" t="str">
        <f>IFERROR(VLOOKUP(C381,'Clients List'!A:F,6,FALSE),"")</f>
        <v/>
      </c>
      <c r="K381" s="23" t="str">
        <f>IFERROR(INDEX([2]Packages!E:E, MATCH(1, ([2]Packages!A:A=B381)*([2]Packages!B:B=C381), 0)) - SUMIFS(D$2:D381, B$2:B381, B381, C$2:C381, C381),"")</f>
        <v/>
      </c>
    </row>
    <row r="382" spans="4:11" x14ac:dyDescent="0.45">
      <c r="D382" t="str">
        <f>IFERROR(VLOOKUP(C382,'Clients List'!$A:$F,2,FALSE),"")</f>
        <v/>
      </c>
      <c r="F382" s="1" t="str">
        <f>IF(OR(C382="",NOT(ISNUMBER(SEARCH("Package",D382)))),"",VLOOKUP(C382,'Clients List'!$A:$F,4,FALSE)-SUMIFS($E$2:$E382,$C$2:$C382,C382,$D$2:$D382,"*Package*"))</f>
        <v/>
      </c>
      <c r="G382" t="str">
        <f t="shared" si="12"/>
        <v/>
      </c>
      <c r="H382" s="33">
        <f>IF(ISNUMBER(SEARCH("Group",D382)),IF(G382="",E382,IFERROR(E382/COUNTIF($G2:$G6000,G382),E382)),E382)</f>
        <v>0</v>
      </c>
      <c r="I382" s="1" t="str">
        <f>IFERROR(VLOOKUP(C382,'Clients List'!A:F,6,FALSE),"")</f>
        <v/>
      </c>
      <c r="K382" s="23" t="str">
        <f>IFERROR(INDEX([2]Packages!E:E, MATCH(1, ([2]Packages!A:A=B382)*([2]Packages!B:B=C382), 0)) - SUMIFS(D$2:D382, B$2:B382, B382, C$2:C382, C382),"")</f>
        <v/>
      </c>
    </row>
    <row r="383" spans="4:11" x14ac:dyDescent="0.45">
      <c r="D383" t="str">
        <f>IFERROR(VLOOKUP(C383,'Clients List'!$A:$F,2,FALSE),"")</f>
        <v/>
      </c>
      <c r="F383" s="1" t="str">
        <f>IF(OR(C383="",NOT(ISNUMBER(SEARCH("Package",D383)))),"",VLOOKUP(C383,'Clients List'!$A:$F,4,FALSE)-SUMIFS($E$2:$E383,$C$2:$C383,C383,$D$2:$D383,"*Package*"))</f>
        <v/>
      </c>
      <c r="G383" t="str">
        <f t="shared" si="12"/>
        <v/>
      </c>
      <c r="H383" s="33">
        <f>IF(ISNUMBER(SEARCH("Group",D383)),IF(G383="",E383,IFERROR(E383/COUNTIF($G2:$G6000,G383),E383)),E383)</f>
        <v>0</v>
      </c>
      <c r="I383" s="1" t="str">
        <f>IFERROR(VLOOKUP(C383,'Clients List'!A:F,6,FALSE),"")</f>
        <v/>
      </c>
      <c r="K383" s="23" t="str">
        <f>IFERROR(INDEX([2]Packages!E:E, MATCH(1, ([2]Packages!A:A=B383)*([2]Packages!B:B=C383), 0)) - SUMIFS(D$2:D383, B$2:B383, B383, C$2:C383, C383),"")</f>
        <v/>
      </c>
    </row>
    <row r="384" spans="4:11" x14ac:dyDescent="0.45">
      <c r="D384" t="str">
        <f>IFERROR(VLOOKUP(C384,'Clients List'!$A:$F,2,FALSE),"")</f>
        <v/>
      </c>
      <c r="F384" s="1" t="str">
        <f>IF(OR(C384="",NOT(ISNUMBER(SEARCH("Package",D384)))),"",VLOOKUP(C384,'Clients List'!$A:$F,4,FALSE)-SUMIFS($E$2:$E384,$C$2:$C384,C384,$D$2:$D384,"*Package*"))</f>
        <v/>
      </c>
      <c r="G384" t="str">
        <f t="shared" si="12"/>
        <v/>
      </c>
      <c r="H384" s="33">
        <f>IF(ISNUMBER(SEARCH("Group",D384)),IF(G384="",E384,IFERROR(E384/COUNTIF($G2:$G6000,G384),E384)),E384)</f>
        <v>0</v>
      </c>
      <c r="I384" s="1" t="str">
        <f>IFERROR(VLOOKUP(C384,'Clients List'!A:F,6,FALSE),"")</f>
        <v/>
      </c>
      <c r="K384" s="23" t="str">
        <f>IFERROR(INDEX([2]Packages!E:E, MATCH(1, ([2]Packages!A:A=B384)*([2]Packages!B:B=C384), 0)) - SUMIFS(D$2:D384, B$2:B384, B384, C$2:C384, C384),"")</f>
        <v/>
      </c>
    </row>
    <row r="385" spans="4:11" x14ac:dyDescent="0.45">
      <c r="D385" t="str">
        <f>IFERROR(VLOOKUP(C385,'Clients List'!$A:$F,2,FALSE),"")</f>
        <v/>
      </c>
      <c r="F385" s="1" t="str">
        <f>IF(OR(C385="",NOT(ISNUMBER(SEARCH("Package",D385)))),"",VLOOKUP(C385,'Clients List'!$A:$F,4,FALSE)-SUMIFS($E$2:$E385,$C$2:$C385,C385,$D$2:$D385,"*Package*"))</f>
        <v/>
      </c>
      <c r="G385" t="str">
        <f t="shared" ref="G385:G416" si="13">IF(ISNUMBER(SEARCH("Group",D385)),IFERROR("GRP-"&amp;TEXT(IF(ISNUMBER(A385),A385,DATEVALUE(A385)),"yyyymmdd"),""),"" )</f>
        <v/>
      </c>
      <c r="H385" s="33">
        <f>IF(ISNUMBER(SEARCH("Group",D385)),IF(G385="",E385,IFERROR(E385/COUNTIF($G2:$G6000,G385),E385)),E385)</f>
        <v>0</v>
      </c>
      <c r="I385" s="1" t="str">
        <f>IFERROR(VLOOKUP(C385,'Clients List'!A:F,6,FALSE),"")</f>
        <v/>
      </c>
      <c r="K385" s="23" t="str">
        <f>IFERROR(INDEX([2]Packages!E:E, MATCH(1, ([2]Packages!A:A=B385)*([2]Packages!B:B=C385), 0)) - SUMIFS(D$2:D385, B$2:B385, B385, C$2:C385, C385),"")</f>
        <v/>
      </c>
    </row>
    <row r="386" spans="4:11" x14ac:dyDescent="0.45">
      <c r="D386" t="str">
        <f>IFERROR(VLOOKUP(C386,'Clients List'!$A:$F,2,FALSE),"")</f>
        <v/>
      </c>
      <c r="F386" s="1" t="str">
        <f>IF(OR(C386="",NOT(ISNUMBER(SEARCH("Package",D386)))),"",VLOOKUP(C386,'Clients List'!$A:$F,4,FALSE)-SUMIFS($E$2:$E386,$C$2:$C386,C386,$D$2:$D386,"*Package*"))</f>
        <v/>
      </c>
      <c r="G386" t="str">
        <f t="shared" si="13"/>
        <v/>
      </c>
      <c r="H386" s="33">
        <f>IF(ISNUMBER(SEARCH("Group",D386)),IF(G386="",E386,IFERROR(E386/COUNTIF($G2:$G6000,G386),E386)),E386)</f>
        <v>0</v>
      </c>
      <c r="I386" s="1" t="str">
        <f>IFERROR(VLOOKUP(C386,'Clients List'!A:F,6,FALSE),"")</f>
        <v/>
      </c>
      <c r="K386" s="23" t="str">
        <f>IFERROR(INDEX([2]Packages!E:E, MATCH(1, ([2]Packages!A:A=B386)*([2]Packages!B:B=C386), 0)) - SUMIFS(D$2:D386, B$2:B386, B386, C$2:C386, C386),"")</f>
        <v/>
      </c>
    </row>
    <row r="387" spans="4:11" x14ac:dyDescent="0.45">
      <c r="D387" t="str">
        <f>IFERROR(VLOOKUP(C387,'Clients List'!$A:$F,2,FALSE),"")</f>
        <v/>
      </c>
      <c r="F387" s="1" t="str">
        <f>IF(OR(C387="",NOT(ISNUMBER(SEARCH("Package",D387)))),"",VLOOKUP(C387,'Clients List'!$A:$F,4,FALSE)-SUMIFS($E$2:$E387,$C$2:$C387,C387,$D$2:$D387,"*Package*"))</f>
        <v/>
      </c>
      <c r="G387" t="str">
        <f t="shared" si="13"/>
        <v/>
      </c>
      <c r="H387" s="33">
        <f>IF(ISNUMBER(SEARCH("Group",D387)),IF(G387="",E387,IFERROR(E387/COUNTIF($G2:$G6000,G387),E387)),E387)</f>
        <v>0</v>
      </c>
      <c r="I387" s="1" t="str">
        <f>IFERROR(VLOOKUP(C387,'Clients List'!A:F,6,FALSE),"")</f>
        <v/>
      </c>
      <c r="K387" s="23" t="str">
        <f>IFERROR(INDEX([2]Packages!E:E, MATCH(1, ([2]Packages!A:A=B387)*([2]Packages!B:B=C387), 0)) - SUMIFS(D$2:D387, B$2:B387, B387, C$2:C387, C387),"")</f>
        <v/>
      </c>
    </row>
    <row r="388" spans="4:11" x14ac:dyDescent="0.45">
      <c r="D388" t="str">
        <f>IFERROR(VLOOKUP(C388,'Clients List'!$A:$F,2,FALSE),"")</f>
        <v/>
      </c>
      <c r="F388" s="1" t="str">
        <f>IF(OR(C388="",NOT(ISNUMBER(SEARCH("Package",D388)))),"",VLOOKUP(C388,'Clients List'!$A:$F,4,FALSE)-SUMIFS($E$2:$E388,$C$2:$C388,C388,$D$2:$D388,"*Package*"))</f>
        <v/>
      </c>
      <c r="G388" t="str">
        <f t="shared" si="13"/>
        <v/>
      </c>
      <c r="H388" s="33">
        <f>IF(ISNUMBER(SEARCH("Group",D388)),IF(G388="",E388,IFERROR(E388/COUNTIF($G2:$G6000,G388),E388)),E388)</f>
        <v>0</v>
      </c>
      <c r="I388" s="1" t="str">
        <f>IFERROR(VLOOKUP(C388,'Clients List'!A:F,6,FALSE),"")</f>
        <v/>
      </c>
      <c r="K388" s="23" t="str">
        <f>IFERROR(INDEX([2]Packages!E:E, MATCH(1, ([2]Packages!A:A=B388)*([2]Packages!B:B=C388), 0)) - SUMIFS(D$2:D388, B$2:B388, B388, C$2:C388, C388),"")</f>
        <v/>
      </c>
    </row>
    <row r="389" spans="4:11" x14ac:dyDescent="0.45">
      <c r="D389" t="str">
        <f>IFERROR(VLOOKUP(C389,'Clients List'!$A:$F,2,FALSE),"")</f>
        <v/>
      </c>
      <c r="F389" s="1" t="str">
        <f>IF(OR(C389="",NOT(ISNUMBER(SEARCH("Package",D389)))),"",VLOOKUP(C389,'Clients List'!$A:$F,4,FALSE)-SUMIFS($E$2:$E389,$C$2:$C389,C389,$D$2:$D389,"*Package*"))</f>
        <v/>
      </c>
      <c r="G389" t="str">
        <f t="shared" si="13"/>
        <v/>
      </c>
      <c r="H389" s="33">
        <f>IF(ISNUMBER(SEARCH("Group",D389)),IF(G389="",E389,IFERROR(E389/COUNTIF($G2:$G6000,G389),E389)),E389)</f>
        <v>0</v>
      </c>
      <c r="I389" s="1" t="str">
        <f>IFERROR(VLOOKUP(C389,'Clients List'!A:F,6,FALSE),"")</f>
        <v/>
      </c>
      <c r="K389" s="23" t="str">
        <f>IFERROR(INDEX([2]Packages!E:E, MATCH(1, ([2]Packages!A:A=B389)*([2]Packages!B:B=C389), 0)) - SUMIFS(D$2:D389, B$2:B389, B389, C$2:C389, C389),"")</f>
        <v/>
      </c>
    </row>
    <row r="390" spans="4:11" x14ac:dyDescent="0.45">
      <c r="D390" t="str">
        <f>IFERROR(VLOOKUP(C390,'Clients List'!$A:$F,2,FALSE),"")</f>
        <v/>
      </c>
      <c r="F390" s="1" t="str">
        <f>IF(OR(C390="",NOT(ISNUMBER(SEARCH("Package",D390)))),"",VLOOKUP(C390,'Clients List'!$A:$F,4,FALSE)-SUMIFS($E$2:$E390,$C$2:$C390,C390,$D$2:$D390,"*Package*"))</f>
        <v/>
      </c>
      <c r="G390" t="str">
        <f t="shared" si="13"/>
        <v/>
      </c>
      <c r="H390" s="33">
        <f>IF(ISNUMBER(SEARCH("Group",D390)),IF(G390="",E390,IFERROR(E390/COUNTIF($G2:$G6000,G390),E390)),E390)</f>
        <v>0</v>
      </c>
      <c r="I390" s="1" t="str">
        <f>IFERROR(VLOOKUP(C390,'Clients List'!A:F,6,FALSE),"")</f>
        <v/>
      </c>
      <c r="K390" s="23" t="str">
        <f>IFERROR(INDEX([2]Packages!E:E, MATCH(1, ([2]Packages!A:A=B390)*([2]Packages!B:B=C390), 0)) - SUMIFS(D$2:D390, B$2:B390, B390, C$2:C390, C390),"")</f>
        <v/>
      </c>
    </row>
    <row r="391" spans="4:11" x14ac:dyDescent="0.45">
      <c r="D391" t="str">
        <f>IFERROR(VLOOKUP(C391,'Clients List'!$A:$F,2,FALSE),"")</f>
        <v/>
      </c>
      <c r="F391" s="1" t="str">
        <f>IF(OR(C391="",NOT(ISNUMBER(SEARCH("Package",D391)))),"",VLOOKUP(C391,'Clients List'!$A:$F,4,FALSE)-SUMIFS($E$2:$E391,$C$2:$C391,C391,$D$2:$D391,"*Package*"))</f>
        <v/>
      </c>
      <c r="G391" t="str">
        <f t="shared" si="13"/>
        <v/>
      </c>
      <c r="H391" s="33">
        <f>IF(ISNUMBER(SEARCH("Group",D391)),IF(G391="",E391,IFERROR(E391/COUNTIF($G2:$G6000,G391),E391)),E391)</f>
        <v>0</v>
      </c>
      <c r="I391" s="1" t="str">
        <f>IFERROR(VLOOKUP(C391,'Clients List'!A:F,6,FALSE),"")</f>
        <v/>
      </c>
      <c r="K391" s="23" t="str">
        <f>IFERROR(INDEX([2]Packages!E:E, MATCH(1, ([2]Packages!A:A=B391)*([2]Packages!B:B=C391), 0)) - SUMIFS(D$2:D391, B$2:B391, B391, C$2:C391, C391),"")</f>
        <v/>
      </c>
    </row>
    <row r="392" spans="4:11" x14ac:dyDescent="0.45">
      <c r="D392" t="str">
        <f>IFERROR(VLOOKUP(C392,'Clients List'!$A:$F,2,FALSE),"")</f>
        <v/>
      </c>
      <c r="F392" s="1" t="str">
        <f>IF(OR(C392="",NOT(ISNUMBER(SEARCH("Package",D392)))),"",VLOOKUP(C392,'Clients List'!$A:$F,4,FALSE)-SUMIFS($E$2:$E392,$C$2:$C392,C392,$D$2:$D392,"*Package*"))</f>
        <v/>
      </c>
      <c r="G392" t="str">
        <f t="shared" si="13"/>
        <v/>
      </c>
      <c r="H392" s="33">
        <f>IF(ISNUMBER(SEARCH("Group",D392)),IF(G392="",E392,IFERROR(E392/COUNTIF($G2:$G6000,G392),E392)),E392)</f>
        <v>0</v>
      </c>
      <c r="I392" s="1" t="str">
        <f>IFERROR(VLOOKUP(C392,'Clients List'!A:F,6,FALSE),"")</f>
        <v/>
      </c>
      <c r="K392" s="23" t="str">
        <f>IFERROR(INDEX([2]Packages!E:E, MATCH(1, ([2]Packages!A:A=B392)*([2]Packages!B:B=C392), 0)) - SUMIFS(D$2:D392, B$2:B392, B392, C$2:C392, C392),"")</f>
        <v/>
      </c>
    </row>
    <row r="393" spans="4:11" x14ac:dyDescent="0.45">
      <c r="D393" t="str">
        <f>IFERROR(VLOOKUP(C393,'Clients List'!$A:$F,2,FALSE),"")</f>
        <v/>
      </c>
      <c r="F393" s="1" t="str">
        <f>IF(OR(C393="",NOT(ISNUMBER(SEARCH("Package",D393)))),"",VLOOKUP(C393,'Clients List'!$A:$F,4,FALSE)-SUMIFS($E$2:$E393,$C$2:$C393,C393,$D$2:$D393,"*Package*"))</f>
        <v/>
      </c>
      <c r="G393" t="str">
        <f t="shared" si="13"/>
        <v/>
      </c>
      <c r="H393" s="33">
        <f>IF(ISNUMBER(SEARCH("Group",D393)),IF(G393="",E393,IFERROR(E393/COUNTIF($G2:$G6000,G393),E393)),E393)</f>
        <v>0</v>
      </c>
      <c r="I393" s="1" t="str">
        <f>IFERROR(VLOOKUP(C393,'Clients List'!A:F,6,FALSE),"")</f>
        <v/>
      </c>
      <c r="K393" s="23" t="str">
        <f>IFERROR(INDEX([2]Packages!E:E, MATCH(1, ([2]Packages!A:A=B393)*([2]Packages!B:B=C393), 0)) - SUMIFS(D$2:D393, B$2:B393, B393, C$2:C393, C393),"")</f>
        <v/>
      </c>
    </row>
    <row r="394" spans="4:11" x14ac:dyDescent="0.45">
      <c r="D394" t="str">
        <f>IFERROR(VLOOKUP(C394,'Clients List'!$A:$F,2,FALSE),"")</f>
        <v/>
      </c>
      <c r="F394" s="1" t="str">
        <f>IF(OR(C394="",NOT(ISNUMBER(SEARCH("Package",D394)))),"",VLOOKUP(C394,'Clients List'!$A:$F,4,FALSE)-SUMIFS($E$2:$E394,$C$2:$C394,C394,$D$2:$D394,"*Package*"))</f>
        <v/>
      </c>
      <c r="G394" t="str">
        <f t="shared" si="13"/>
        <v/>
      </c>
      <c r="H394" s="33">
        <f>IF(ISNUMBER(SEARCH("Group",D394)),IF(G394="",E394,IFERROR(E394/COUNTIF($G2:$G6000,G394),E394)),E394)</f>
        <v>0</v>
      </c>
      <c r="I394" s="1" t="str">
        <f>IFERROR(VLOOKUP(C394,'Clients List'!A:F,6,FALSE),"")</f>
        <v/>
      </c>
      <c r="K394" s="23" t="str">
        <f>IFERROR(INDEX([2]Packages!E:E, MATCH(1, ([2]Packages!A:A=B394)*([2]Packages!B:B=C394), 0)) - SUMIFS(D$2:D394, B$2:B394, B394, C$2:C394, C394),"")</f>
        <v/>
      </c>
    </row>
    <row r="395" spans="4:11" x14ac:dyDescent="0.45">
      <c r="D395" t="str">
        <f>IFERROR(VLOOKUP(C395,'Clients List'!$A:$F,2,FALSE),"")</f>
        <v/>
      </c>
      <c r="F395" s="1" t="str">
        <f>IF(OR(C395="",NOT(ISNUMBER(SEARCH("Package",D395)))),"",VLOOKUP(C395,'Clients List'!$A:$F,4,FALSE)-SUMIFS($E$2:$E395,$C$2:$C395,C395,$D$2:$D395,"*Package*"))</f>
        <v/>
      </c>
      <c r="G395" t="str">
        <f t="shared" si="13"/>
        <v/>
      </c>
      <c r="H395" s="33">
        <f>IF(ISNUMBER(SEARCH("Group",D395)),IF(G395="",E395,IFERROR(E395/COUNTIF($G2:$G6000,G395),E395)),E395)</f>
        <v>0</v>
      </c>
      <c r="I395" s="1" t="str">
        <f>IFERROR(VLOOKUP(C395,'Clients List'!A:F,6,FALSE),"")</f>
        <v/>
      </c>
      <c r="K395" s="23" t="str">
        <f>IFERROR(INDEX([2]Packages!E:E, MATCH(1, ([2]Packages!A:A=B395)*([2]Packages!B:B=C395), 0)) - SUMIFS(D$2:D395, B$2:B395, B395, C$2:C395, C395),"")</f>
        <v/>
      </c>
    </row>
    <row r="396" spans="4:11" x14ac:dyDescent="0.45">
      <c r="D396" t="str">
        <f>IFERROR(VLOOKUP(C396,'Clients List'!$A:$F,2,FALSE),"")</f>
        <v/>
      </c>
      <c r="F396" s="1" t="str">
        <f>IF(OR(C396="",NOT(ISNUMBER(SEARCH("Package",D396)))),"",VLOOKUP(C396,'Clients List'!$A:$F,4,FALSE)-SUMIFS($E$2:$E396,$C$2:$C396,C396,$D$2:$D396,"*Package*"))</f>
        <v/>
      </c>
      <c r="G396" t="str">
        <f t="shared" si="13"/>
        <v/>
      </c>
      <c r="H396" s="33">
        <f>IF(ISNUMBER(SEARCH("Group",D396)),IF(G396="",E396,IFERROR(E396/COUNTIF($G2:$G6000,G396),E396)),E396)</f>
        <v>0</v>
      </c>
      <c r="I396" s="1" t="str">
        <f>IFERROR(VLOOKUP(C396,'Clients List'!A:F,6,FALSE),"")</f>
        <v/>
      </c>
      <c r="K396" s="23" t="str">
        <f>IFERROR(INDEX([2]Packages!E:E, MATCH(1, ([2]Packages!A:A=B396)*([2]Packages!B:B=C396), 0)) - SUMIFS(D$2:D396, B$2:B396, B396, C$2:C396, C396),"")</f>
        <v/>
      </c>
    </row>
    <row r="397" spans="4:11" x14ac:dyDescent="0.45">
      <c r="D397" t="str">
        <f>IFERROR(VLOOKUP(C397,'Clients List'!$A:$F,2,FALSE),"")</f>
        <v/>
      </c>
      <c r="F397" s="1" t="str">
        <f>IF(OR(C397="",NOT(ISNUMBER(SEARCH("Package",D397)))),"",VLOOKUP(C397,'Clients List'!$A:$F,4,FALSE)-SUMIFS($E$2:$E397,$C$2:$C397,C397,$D$2:$D397,"*Package*"))</f>
        <v/>
      </c>
      <c r="G397" t="str">
        <f t="shared" si="13"/>
        <v/>
      </c>
      <c r="H397" s="33">
        <f>IF(ISNUMBER(SEARCH("Group",D397)),IF(G397="",E397,IFERROR(E397/COUNTIF($G2:$G6000,G397),E397)),E397)</f>
        <v>0</v>
      </c>
      <c r="I397" s="1" t="str">
        <f>IFERROR(VLOOKUP(C397,'Clients List'!A:F,6,FALSE),"")</f>
        <v/>
      </c>
      <c r="K397" s="23" t="str">
        <f>IFERROR(INDEX([2]Packages!E:E, MATCH(1, ([2]Packages!A:A=B397)*([2]Packages!B:B=C397), 0)) - SUMIFS(D$2:D397, B$2:B397, B397, C$2:C397, C397),"")</f>
        <v/>
      </c>
    </row>
    <row r="398" spans="4:11" x14ac:dyDescent="0.45">
      <c r="D398" t="str">
        <f>IFERROR(VLOOKUP(C398,'Clients List'!$A:$F,2,FALSE),"")</f>
        <v/>
      </c>
      <c r="F398" s="1" t="str">
        <f>IF(OR(C398="",NOT(ISNUMBER(SEARCH("Package",D398)))),"",VLOOKUP(C398,'Clients List'!$A:$F,4,FALSE)-SUMIFS($E$2:$E398,$C$2:$C398,C398,$D$2:$D398,"*Package*"))</f>
        <v/>
      </c>
      <c r="G398" t="str">
        <f t="shared" si="13"/>
        <v/>
      </c>
      <c r="H398" s="33">
        <f>IF(ISNUMBER(SEARCH("Group",D398)),IF(G398="",E398,IFERROR(E398/COUNTIF($G2:$G6000,G398),E398)),E398)</f>
        <v>0</v>
      </c>
      <c r="I398" s="1" t="str">
        <f>IFERROR(VLOOKUP(C398,'Clients List'!A:F,6,FALSE),"")</f>
        <v/>
      </c>
      <c r="K398" s="23" t="str">
        <f>IFERROR(INDEX([2]Packages!E:E, MATCH(1, ([2]Packages!A:A=B398)*([2]Packages!B:B=C398), 0)) - SUMIFS(D$2:D398, B$2:B398, B398, C$2:C398, C398),"")</f>
        <v/>
      </c>
    </row>
    <row r="399" spans="4:11" x14ac:dyDescent="0.45">
      <c r="D399" t="str">
        <f>IFERROR(VLOOKUP(C399,'Clients List'!$A:$F,2,FALSE),"")</f>
        <v/>
      </c>
      <c r="F399" s="1" t="str">
        <f>IF(OR(C399="",NOT(ISNUMBER(SEARCH("Package",D399)))),"",VLOOKUP(C399,'Clients List'!$A:$F,4,FALSE)-SUMIFS($E$2:$E399,$C$2:$C399,C399,$D$2:$D399,"*Package*"))</f>
        <v/>
      </c>
      <c r="G399" t="str">
        <f t="shared" si="13"/>
        <v/>
      </c>
      <c r="H399" s="33">
        <f>IF(ISNUMBER(SEARCH("Group",D399)),IF(G399="",E399,IFERROR(E399/COUNTIF($G2:$G6000,G399),E399)),E399)</f>
        <v>0</v>
      </c>
      <c r="I399" s="1" t="str">
        <f>IFERROR(VLOOKUP(C399,'Clients List'!A:F,6,FALSE),"")</f>
        <v/>
      </c>
      <c r="K399" s="23" t="str">
        <f>IFERROR(INDEX([2]Packages!E:E, MATCH(1, ([2]Packages!A:A=B399)*([2]Packages!B:B=C399), 0)) - SUMIFS(D$2:D399, B$2:B399, B399, C$2:C399, C399),"")</f>
        <v/>
      </c>
    </row>
    <row r="400" spans="4:11" x14ac:dyDescent="0.45">
      <c r="D400" t="str">
        <f>IFERROR(VLOOKUP(C400,'Clients List'!$A:$F,2,FALSE),"")</f>
        <v/>
      </c>
      <c r="F400" s="1" t="str">
        <f>IF(OR(C400="",NOT(ISNUMBER(SEARCH("Package",D400)))),"",VLOOKUP(C400,'Clients List'!$A:$F,4,FALSE)-SUMIFS($E$2:$E400,$C$2:$C400,C400,$D$2:$D400,"*Package*"))</f>
        <v/>
      </c>
      <c r="G400" t="str">
        <f t="shared" si="13"/>
        <v/>
      </c>
      <c r="H400" s="33">
        <f>IF(ISNUMBER(SEARCH("Group",D400)),IF(G400="",E400,IFERROR(E400/COUNTIF($G2:$G6000,G400),E400)),E400)</f>
        <v>0</v>
      </c>
      <c r="I400" s="1" t="str">
        <f>IFERROR(VLOOKUP(C400,'Clients List'!A:F,6,FALSE),"")</f>
        <v/>
      </c>
      <c r="K400" s="23" t="str">
        <f>IFERROR(INDEX([2]Packages!E:E, MATCH(1, ([2]Packages!A:A=B400)*([2]Packages!B:B=C400), 0)) - SUMIFS(D$2:D400, B$2:B400, B400, C$2:C400, C400),"")</f>
        <v/>
      </c>
    </row>
    <row r="401" spans="4:11" x14ac:dyDescent="0.45">
      <c r="D401" t="str">
        <f>IFERROR(VLOOKUP(C401,'Clients List'!$A:$F,2,FALSE),"")</f>
        <v/>
      </c>
      <c r="F401" s="1" t="str">
        <f>IF(OR(C401="",NOT(ISNUMBER(SEARCH("Package",D401)))),"",VLOOKUP(C401,'Clients List'!$A:$F,4,FALSE)-SUMIFS($E$2:$E401,$C$2:$C401,C401,$D$2:$D401,"*Package*"))</f>
        <v/>
      </c>
      <c r="G401" t="str">
        <f t="shared" si="13"/>
        <v/>
      </c>
      <c r="H401" s="33">
        <f>IF(ISNUMBER(SEARCH("Group",D401)),IF(G401="",E401,IFERROR(E401/COUNTIF($G2:$G6000,G401),E401)),E401)</f>
        <v>0</v>
      </c>
      <c r="I401" s="1" t="str">
        <f>IFERROR(VLOOKUP(C401,'Clients List'!A:F,6,FALSE),"")</f>
        <v/>
      </c>
      <c r="K401" s="23" t="str">
        <f>IFERROR(INDEX([2]Packages!E:E, MATCH(1, ([2]Packages!A:A=B401)*([2]Packages!B:B=C401), 0)) - SUMIFS(D$2:D401, B$2:B401, B401, C$2:C401, C401),"")</f>
        <v/>
      </c>
    </row>
    <row r="402" spans="4:11" x14ac:dyDescent="0.45">
      <c r="D402" t="str">
        <f>IFERROR(VLOOKUP(C402,'Clients List'!$A:$F,2,FALSE),"")</f>
        <v/>
      </c>
      <c r="F402" s="1" t="str">
        <f>IF(OR(C402="",NOT(ISNUMBER(SEARCH("Package",D402)))),"",VLOOKUP(C402,'Clients List'!$A:$F,4,FALSE)-SUMIFS($E$2:$E402,$C$2:$C402,C402,$D$2:$D402,"*Package*"))</f>
        <v/>
      </c>
      <c r="G402" t="str">
        <f t="shared" si="13"/>
        <v/>
      </c>
      <c r="H402" s="33">
        <f>IF(ISNUMBER(SEARCH("Group",D402)),IF(G402="",E402,IFERROR(E402/COUNTIF($G2:$G6000,G402),E402)),E402)</f>
        <v>0</v>
      </c>
      <c r="I402" s="1" t="str">
        <f>IFERROR(VLOOKUP(C402,'Clients List'!A:F,6,FALSE),"")</f>
        <v/>
      </c>
      <c r="K402" s="23" t="str">
        <f>IFERROR(INDEX([2]Packages!E:E, MATCH(1, ([2]Packages!A:A=B402)*([2]Packages!B:B=C402), 0)) - SUMIFS(D$2:D402, B$2:B402, B402, C$2:C402, C402),"")</f>
        <v/>
      </c>
    </row>
    <row r="403" spans="4:11" x14ac:dyDescent="0.45">
      <c r="D403" t="str">
        <f>IFERROR(VLOOKUP(C403,'Clients List'!$A:$F,2,FALSE),"")</f>
        <v/>
      </c>
      <c r="F403" s="1" t="str">
        <f>IF(OR(C403="",NOT(ISNUMBER(SEARCH("Package",D403)))),"",VLOOKUP(C403,'Clients List'!$A:$F,4,FALSE)-SUMIFS($E$2:$E403,$C$2:$C403,C403,$D$2:$D403,"*Package*"))</f>
        <v/>
      </c>
      <c r="G403" t="str">
        <f t="shared" si="13"/>
        <v/>
      </c>
      <c r="H403" s="33">
        <f>IF(ISNUMBER(SEARCH("Group",D403)),IF(G403="",E403,IFERROR(E403/COUNTIF($G2:$G6000,G403),E403)),E403)</f>
        <v>0</v>
      </c>
      <c r="I403" s="1" t="str">
        <f>IFERROR(VLOOKUP(C403,'Clients List'!A:F,6,FALSE),"")</f>
        <v/>
      </c>
      <c r="K403" s="23" t="str">
        <f>IFERROR(INDEX([2]Packages!E:E, MATCH(1, ([2]Packages!A:A=B403)*([2]Packages!B:B=C403), 0)) - SUMIFS(D$2:D403, B$2:B403, B403, C$2:C403, C403),"")</f>
        <v/>
      </c>
    </row>
    <row r="404" spans="4:11" x14ac:dyDescent="0.45">
      <c r="D404" t="str">
        <f>IFERROR(VLOOKUP(C404,'Clients List'!$A:$F,2,FALSE),"")</f>
        <v/>
      </c>
      <c r="F404" s="1" t="str">
        <f>IF(OR(C404="",NOT(ISNUMBER(SEARCH("Package",D404)))),"",VLOOKUP(C404,'Clients List'!$A:$F,4,FALSE)-SUMIFS($E$2:$E404,$C$2:$C404,C404,$D$2:$D404,"*Package*"))</f>
        <v/>
      </c>
      <c r="G404" t="str">
        <f t="shared" si="13"/>
        <v/>
      </c>
      <c r="H404" s="33">
        <f>IF(ISNUMBER(SEARCH("Group",D404)),IF(G404="",E404,IFERROR(E404/COUNTIF($G2:$G6000,G404),E404)),E404)</f>
        <v>0</v>
      </c>
      <c r="I404" s="1" t="str">
        <f>IFERROR(VLOOKUP(C404,'Clients List'!A:F,6,FALSE),"")</f>
        <v/>
      </c>
      <c r="K404" s="23" t="str">
        <f>IFERROR(INDEX([2]Packages!E:E, MATCH(1, ([2]Packages!A:A=B404)*([2]Packages!B:B=C404), 0)) - SUMIFS(D$2:D404, B$2:B404, B404, C$2:C404, C404),"")</f>
        <v/>
      </c>
    </row>
    <row r="405" spans="4:11" x14ac:dyDescent="0.45">
      <c r="D405" t="str">
        <f>IFERROR(VLOOKUP(C405,'Clients List'!$A:$F,2,FALSE),"")</f>
        <v/>
      </c>
      <c r="F405" s="1" t="str">
        <f>IF(OR(C405="",NOT(ISNUMBER(SEARCH("Package",D405)))),"",VLOOKUP(C405,'Clients List'!$A:$F,4,FALSE)-SUMIFS($E$2:$E405,$C$2:$C405,C405,$D$2:$D405,"*Package*"))</f>
        <v/>
      </c>
      <c r="G405" t="str">
        <f t="shared" si="13"/>
        <v/>
      </c>
      <c r="H405" s="33">
        <f>IF(ISNUMBER(SEARCH("Group",D405)),IF(G405="",E405,IFERROR(E405/COUNTIF($G2:$G6000,G405),E405)),E405)</f>
        <v>0</v>
      </c>
      <c r="I405" s="1" t="str">
        <f>IFERROR(VLOOKUP(C405,'Clients List'!A:F,6,FALSE),"")</f>
        <v/>
      </c>
      <c r="K405" s="23" t="str">
        <f>IFERROR(INDEX([2]Packages!E:E, MATCH(1, ([2]Packages!A:A=B405)*([2]Packages!B:B=C405), 0)) - SUMIFS(D$2:D405, B$2:B405, B405, C$2:C405, C405),"")</f>
        <v/>
      </c>
    </row>
    <row r="406" spans="4:11" x14ac:dyDescent="0.45">
      <c r="D406" t="str">
        <f>IFERROR(VLOOKUP(C406,'Clients List'!$A:$F,2,FALSE),"")</f>
        <v/>
      </c>
      <c r="F406" s="1" t="str">
        <f>IF(OR(C406="",NOT(ISNUMBER(SEARCH("Package",D406)))),"",VLOOKUP(C406,'Clients List'!$A:$F,4,FALSE)-SUMIFS($E$2:$E406,$C$2:$C406,C406,$D$2:$D406,"*Package*"))</f>
        <v/>
      </c>
      <c r="G406" t="str">
        <f t="shared" si="13"/>
        <v/>
      </c>
      <c r="H406" s="33">
        <f>IF(ISNUMBER(SEARCH("Group",D406)),IF(G406="",E406,IFERROR(E406/COUNTIF($G2:$G6000,G406),E406)),E406)</f>
        <v>0</v>
      </c>
      <c r="I406" s="1" t="str">
        <f>IFERROR(VLOOKUP(C406,'Clients List'!A:F,6,FALSE),"")</f>
        <v/>
      </c>
      <c r="K406" s="23" t="str">
        <f>IFERROR(INDEX([2]Packages!E:E, MATCH(1, ([2]Packages!A:A=B406)*([2]Packages!B:B=C406), 0)) - SUMIFS(D$2:D406, B$2:B406, B406, C$2:C406, C406),"")</f>
        <v/>
      </c>
    </row>
    <row r="407" spans="4:11" x14ac:dyDescent="0.45">
      <c r="D407" t="str">
        <f>IFERROR(VLOOKUP(C407,'Clients List'!$A:$F,2,FALSE),"")</f>
        <v/>
      </c>
      <c r="F407" s="1" t="str">
        <f>IF(OR(C407="",NOT(ISNUMBER(SEARCH("Package",D407)))),"",VLOOKUP(C407,'Clients List'!$A:$F,4,FALSE)-SUMIFS($E$2:$E407,$C$2:$C407,C407,$D$2:$D407,"*Package*"))</f>
        <v/>
      </c>
      <c r="G407" t="str">
        <f t="shared" si="13"/>
        <v/>
      </c>
      <c r="H407" s="33">
        <f>IF(ISNUMBER(SEARCH("Group",D407)),IF(G407="",E407,IFERROR(E407/COUNTIF($G2:$G6000,G407),E407)),E407)</f>
        <v>0</v>
      </c>
      <c r="I407" s="1" t="str">
        <f>IFERROR(VLOOKUP(C407,'Clients List'!A:F,6,FALSE),"")</f>
        <v/>
      </c>
      <c r="K407" s="23" t="str">
        <f>IFERROR(INDEX([2]Packages!E:E, MATCH(1, ([2]Packages!A:A=B407)*([2]Packages!B:B=C407), 0)) - SUMIFS(D$2:D407, B$2:B407, B407, C$2:C407, C407),"")</f>
        <v/>
      </c>
    </row>
    <row r="408" spans="4:11" x14ac:dyDescent="0.45">
      <c r="D408" t="str">
        <f>IFERROR(VLOOKUP(C408,'Clients List'!$A:$F,2,FALSE),"")</f>
        <v/>
      </c>
      <c r="F408" s="1" t="str">
        <f>IF(OR(C408="",NOT(ISNUMBER(SEARCH("Package",D408)))),"",VLOOKUP(C408,'Clients List'!$A:$F,4,FALSE)-SUMIFS($E$2:$E408,$C$2:$C408,C408,$D$2:$D408,"*Package*"))</f>
        <v/>
      </c>
      <c r="G408" t="str">
        <f t="shared" si="13"/>
        <v/>
      </c>
      <c r="H408" s="33">
        <f>IF(ISNUMBER(SEARCH("Group",D408)),IF(G408="",E408,IFERROR(E408/COUNTIF($G2:$G6000,G408),E408)),E408)</f>
        <v>0</v>
      </c>
      <c r="I408" s="1" t="str">
        <f>IFERROR(VLOOKUP(C408,'Clients List'!A:F,6,FALSE),"")</f>
        <v/>
      </c>
      <c r="K408" s="23" t="str">
        <f>IFERROR(INDEX([2]Packages!E:E, MATCH(1, ([2]Packages!A:A=B408)*([2]Packages!B:B=C408), 0)) - SUMIFS(D$2:D408, B$2:B408, B408, C$2:C408, C408),"")</f>
        <v/>
      </c>
    </row>
    <row r="409" spans="4:11" x14ac:dyDescent="0.45">
      <c r="D409" t="str">
        <f>IFERROR(VLOOKUP(C409,'Clients List'!$A:$F,2,FALSE),"")</f>
        <v/>
      </c>
      <c r="F409" s="1" t="str">
        <f>IF(OR(C409="",NOT(ISNUMBER(SEARCH("Package",D409)))),"",VLOOKUP(C409,'Clients List'!$A:$F,4,FALSE)-SUMIFS($E$2:$E409,$C$2:$C409,C409,$D$2:$D409,"*Package*"))</f>
        <v/>
      </c>
      <c r="G409" t="str">
        <f t="shared" si="13"/>
        <v/>
      </c>
      <c r="H409" s="33">
        <f>IF(ISNUMBER(SEARCH("Group",D409)),IF(G409="",E409,IFERROR(E409/COUNTIF($G2:$G6000,G409),E409)),E409)</f>
        <v>0</v>
      </c>
      <c r="I409" s="1" t="str">
        <f>IFERROR(VLOOKUP(C409,'Clients List'!A:F,6,FALSE),"")</f>
        <v/>
      </c>
      <c r="K409" s="23" t="str">
        <f>IFERROR(INDEX([2]Packages!E:E, MATCH(1, ([2]Packages!A:A=B409)*([2]Packages!B:B=C409), 0)) - SUMIFS(D$2:D409, B$2:B409, B409, C$2:C409, C409),"")</f>
        <v/>
      </c>
    </row>
    <row r="410" spans="4:11" x14ac:dyDescent="0.45">
      <c r="D410" t="str">
        <f>IFERROR(VLOOKUP(C410,'Clients List'!$A:$F,2,FALSE),"")</f>
        <v/>
      </c>
      <c r="F410" s="1" t="str">
        <f>IF(OR(C410="",NOT(ISNUMBER(SEARCH("Package",D410)))),"",VLOOKUP(C410,'Clients List'!$A:$F,4,FALSE)-SUMIFS($E$2:$E410,$C$2:$C410,C410,$D$2:$D410,"*Package*"))</f>
        <v/>
      </c>
      <c r="G410" t="str">
        <f t="shared" si="13"/>
        <v/>
      </c>
      <c r="H410" s="33">
        <f>IF(ISNUMBER(SEARCH("Group",D410)),IF(G410="",E410,IFERROR(E410/COUNTIF($G2:$G6000,G410),E410)),E410)</f>
        <v>0</v>
      </c>
      <c r="I410" s="1" t="str">
        <f>IFERROR(VLOOKUP(C410,'Clients List'!A:F,6,FALSE),"")</f>
        <v/>
      </c>
      <c r="K410" s="23" t="str">
        <f>IFERROR(INDEX([2]Packages!E:E, MATCH(1, ([2]Packages!A:A=B410)*([2]Packages!B:B=C410), 0)) - SUMIFS(D$2:D410, B$2:B410, B410, C$2:C410, C410),"")</f>
        <v/>
      </c>
    </row>
    <row r="411" spans="4:11" x14ac:dyDescent="0.45">
      <c r="D411" t="str">
        <f>IFERROR(VLOOKUP(C411,'Clients List'!$A:$F,2,FALSE),"")</f>
        <v/>
      </c>
      <c r="F411" s="1" t="str">
        <f>IF(OR(C411="",NOT(ISNUMBER(SEARCH("Package",D411)))),"",VLOOKUP(C411,'Clients List'!$A:$F,4,FALSE)-SUMIFS($E$2:$E411,$C$2:$C411,C411,$D$2:$D411,"*Package*"))</f>
        <v/>
      </c>
      <c r="G411" t="str">
        <f t="shared" si="13"/>
        <v/>
      </c>
      <c r="H411" s="33">
        <f>IF(ISNUMBER(SEARCH("Group",D411)),IF(G411="",E411,IFERROR(E411/COUNTIF($G2:$G6000,G411),E411)),E411)</f>
        <v>0</v>
      </c>
      <c r="I411" s="1" t="str">
        <f>IFERROR(VLOOKUP(C411,'Clients List'!A:F,6,FALSE),"")</f>
        <v/>
      </c>
      <c r="K411" s="23" t="str">
        <f>IFERROR(INDEX([2]Packages!E:E, MATCH(1, ([2]Packages!A:A=B411)*([2]Packages!B:B=C411), 0)) - SUMIFS(D$2:D411, B$2:B411, B411, C$2:C411, C411),"")</f>
        <v/>
      </c>
    </row>
    <row r="412" spans="4:11" x14ac:dyDescent="0.45">
      <c r="D412" t="str">
        <f>IFERROR(VLOOKUP(C412,'Clients List'!$A:$F,2,FALSE),"")</f>
        <v/>
      </c>
      <c r="F412" s="1" t="str">
        <f>IF(OR(C412="",NOT(ISNUMBER(SEARCH("Package",D412)))),"",VLOOKUP(C412,'Clients List'!$A:$F,4,FALSE)-SUMIFS($E$2:$E412,$C$2:$C412,C412,$D$2:$D412,"*Package*"))</f>
        <v/>
      </c>
      <c r="G412" t="str">
        <f t="shared" si="13"/>
        <v/>
      </c>
      <c r="H412" s="33">
        <f>IF(ISNUMBER(SEARCH("Group",D412)),IF(G412="",E412,IFERROR(E412/COUNTIF($G2:$G6000,G412),E412)),E412)</f>
        <v>0</v>
      </c>
      <c r="I412" s="1" t="str">
        <f>IFERROR(VLOOKUP(C412,'Clients List'!A:F,6,FALSE),"")</f>
        <v/>
      </c>
      <c r="K412" s="23" t="str">
        <f>IFERROR(INDEX([2]Packages!E:E, MATCH(1, ([2]Packages!A:A=B412)*([2]Packages!B:B=C412), 0)) - SUMIFS(D$2:D412, B$2:B412, B412, C$2:C412, C412),"")</f>
        <v/>
      </c>
    </row>
    <row r="413" spans="4:11" x14ac:dyDescent="0.45">
      <c r="D413" t="str">
        <f>IFERROR(VLOOKUP(C413,'Clients List'!$A:$F,2,FALSE),"")</f>
        <v/>
      </c>
      <c r="F413" s="1" t="str">
        <f>IF(OR(C413="",NOT(ISNUMBER(SEARCH("Package",D413)))),"",VLOOKUP(C413,'Clients List'!$A:$F,4,FALSE)-SUMIFS($E$2:$E413,$C$2:$C413,C413,$D$2:$D413,"*Package*"))</f>
        <v/>
      </c>
      <c r="G413" t="str">
        <f t="shared" si="13"/>
        <v/>
      </c>
      <c r="H413" s="33">
        <f>IF(ISNUMBER(SEARCH("Group",D413)),IF(G413="",E413,IFERROR(E413/COUNTIF($G2:$G6000,G413),E413)),E413)</f>
        <v>0</v>
      </c>
      <c r="I413" s="1" t="str">
        <f>IFERROR(VLOOKUP(C413,'Clients List'!A:F,6,FALSE),"")</f>
        <v/>
      </c>
      <c r="K413" s="23" t="str">
        <f>IFERROR(INDEX([2]Packages!E:E, MATCH(1, ([2]Packages!A:A=B413)*([2]Packages!B:B=C413), 0)) - SUMIFS(D$2:D413, B$2:B413, B413, C$2:C413, C413),"")</f>
        <v/>
      </c>
    </row>
    <row r="414" spans="4:11" x14ac:dyDescent="0.45">
      <c r="D414" t="str">
        <f>IFERROR(VLOOKUP(C414,'Clients List'!$A:$F,2,FALSE),"")</f>
        <v/>
      </c>
      <c r="F414" s="1" t="str">
        <f>IF(OR(C414="",NOT(ISNUMBER(SEARCH("Package",D414)))),"",VLOOKUP(C414,'Clients List'!$A:$F,4,FALSE)-SUMIFS($E$2:$E414,$C$2:$C414,C414,$D$2:$D414,"*Package*"))</f>
        <v/>
      </c>
      <c r="G414" t="str">
        <f t="shared" si="13"/>
        <v/>
      </c>
      <c r="H414" s="33">
        <f>IF(ISNUMBER(SEARCH("Group",D414)),IF(G414="",E414,IFERROR(E414/COUNTIF($G2:$G6000,G414),E414)),E414)</f>
        <v>0</v>
      </c>
      <c r="I414" s="1" t="str">
        <f>IFERROR(VLOOKUP(C414,'Clients List'!A:F,6,FALSE),"")</f>
        <v/>
      </c>
      <c r="K414" s="23" t="str">
        <f>IFERROR(INDEX([2]Packages!E:E, MATCH(1, ([2]Packages!A:A=B414)*([2]Packages!B:B=C414), 0)) - SUMIFS(D$2:D414, B$2:B414, B414, C$2:C414, C414),"")</f>
        <v/>
      </c>
    </row>
    <row r="415" spans="4:11" x14ac:dyDescent="0.45">
      <c r="D415" t="str">
        <f>IFERROR(VLOOKUP(C415,'Clients List'!$A:$F,2,FALSE),"")</f>
        <v/>
      </c>
      <c r="F415" s="1" t="str">
        <f>IF(OR(C415="",NOT(ISNUMBER(SEARCH("Package",D415)))),"",VLOOKUP(C415,'Clients List'!$A:$F,4,FALSE)-SUMIFS($E$2:$E415,$C$2:$C415,C415,$D$2:$D415,"*Package*"))</f>
        <v/>
      </c>
      <c r="G415" t="str">
        <f t="shared" si="13"/>
        <v/>
      </c>
      <c r="H415" s="33">
        <f>IF(ISNUMBER(SEARCH("Group",D415)),IF(G415="",E415,IFERROR(E415/COUNTIF($G2:$G6000,G415),E415)),E415)</f>
        <v>0</v>
      </c>
      <c r="I415" s="1" t="str">
        <f>IFERROR(VLOOKUP(C415,'Clients List'!A:F,6,FALSE),"")</f>
        <v/>
      </c>
      <c r="K415" s="23" t="str">
        <f>IFERROR(INDEX([2]Packages!E:E, MATCH(1, ([2]Packages!A:A=B415)*([2]Packages!B:B=C415), 0)) - SUMIFS(D$2:D415, B$2:B415, B415, C$2:C415, C415),"")</f>
        <v/>
      </c>
    </row>
    <row r="416" spans="4:11" x14ac:dyDescent="0.45">
      <c r="D416" t="str">
        <f>IFERROR(VLOOKUP(C416,'Clients List'!$A:$F,2,FALSE),"")</f>
        <v/>
      </c>
      <c r="F416" s="1" t="str">
        <f>IF(OR(C416="",NOT(ISNUMBER(SEARCH("Package",D416)))),"",VLOOKUP(C416,'Clients List'!$A:$F,4,FALSE)-SUMIFS($E$2:$E416,$C$2:$C416,C416,$D$2:$D416,"*Package*"))</f>
        <v/>
      </c>
      <c r="G416" t="str">
        <f t="shared" si="13"/>
        <v/>
      </c>
      <c r="H416" s="33">
        <f>IF(ISNUMBER(SEARCH("Group",D416)),IF(G416="",E416,IFERROR(E416/COUNTIF($G2:$G6000,G416),E416)),E416)</f>
        <v>0</v>
      </c>
      <c r="I416" s="1" t="str">
        <f>IFERROR(VLOOKUP(C416,'Clients List'!A:F,6,FALSE),"")</f>
        <v/>
      </c>
      <c r="K416" s="23" t="str">
        <f>IFERROR(INDEX([2]Packages!E:E, MATCH(1, ([2]Packages!A:A=B416)*([2]Packages!B:B=C416), 0)) - SUMIFS(D$2:D416, B$2:B416, B416, C$2:C416, C416),"")</f>
        <v/>
      </c>
    </row>
    <row r="417" spans="1:11" x14ac:dyDescent="0.45">
      <c r="D417" t="str">
        <f>IFERROR(VLOOKUP(C417,'Clients List'!$A:$F,2,FALSE),"")</f>
        <v/>
      </c>
      <c r="F417" s="1" t="str">
        <f>IF(OR(C417="",NOT(ISNUMBER(SEARCH("Package",D417)))),"",VLOOKUP(C417,'Clients List'!$A:$F,4,FALSE)-SUMIFS($E$2:$E417,$C$2:$C417,C417,$D$2:$D417,"*Package*"))</f>
        <v/>
      </c>
      <c r="G417" t="str">
        <f t="shared" ref="G417:G428" si="14">IF(ISNUMBER(SEARCH("Group",D417)),IFERROR("GRP-"&amp;TEXT(IF(ISNUMBER(A417),A417,DATEVALUE(A417)),"yyyymmdd"),""),"" )</f>
        <v/>
      </c>
      <c r="H417" s="33">
        <f>IF(ISNUMBER(SEARCH("Group",D417)),IF(G417="",E417,IFERROR(E417/COUNTIF($G2:$G6000,G417),E417)),E417)</f>
        <v>0</v>
      </c>
      <c r="I417" s="1" t="str">
        <f>IFERROR(VLOOKUP(C417,'Clients List'!A:F,6,FALSE),"")</f>
        <v/>
      </c>
      <c r="K417" s="23" t="str">
        <f>IFERROR(INDEX([2]Packages!E:E, MATCH(1, ([2]Packages!A:A=B417)*([2]Packages!B:B=C417), 0)) - SUMIFS(D$2:D417, B$2:B417, B417, C$2:C417, C417),"")</f>
        <v/>
      </c>
    </row>
    <row r="418" spans="1:11" x14ac:dyDescent="0.45">
      <c r="D418" t="str">
        <f>IFERROR(VLOOKUP(C418,'Clients List'!$A:$F,2,FALSE),"")</f>
        <v/>
      </c>
      <c r="F418" s="1" t="str">
        <f>IF(OR(C418="",NOT(ISNUMBER(SEARCH("Package",D418)))),"",VLOOKUP(C418,'Clients List'!$A:$F,4,FALSE)-SUMIFS($E$2:$E418,$C$2:$C418,C418,$D$2:$D418,"*Package*"))</f>
        <v/>
      </c>
      <c r="G418" t="str">
        <f t="shared" si="14"/>
        <v/>
      </c>
      <c r="H418" s="33">
        <f>IF(ISNUMBER(SEARCH("Group",D418)),IF(G418="",E418,IFERROR(E418/COUNTIF($G2:$G6000,G418),E418)),E418)</f>
        <v>0</v>
      </c>
      <c r="I418" s="1" t="str">
        <f>IFERROR(VLOOKUP(C418,'Clients List'!A:F,6,FALSE),"")</f>
        <v/>
      </c>
      <c r="K418" s="23" t="str">
        <f>IFERROR(INDEX([2]Packages!E:E, MATCH(1, ([2]Packages!A:A=B418)*([2]Packages!B:B=C418), 0)) - SUMIFS(D$2:D418, B$2:B418, B418, C$2:C418, C418),"")</f>
        <v/>
      </c>
    </row>
    <row r="419" spans="1:11" x14ac:dyDescent="0.45">
      <c r="D419" t="str">
        <f>IFERROR(VLOOKUP(C419,'Clients List'!$A:$F,2,FALSE),"")</f>
        <v/>
      </c>
      <c r="F419" s="1" t="str">
        <f>IF(OR(C419="",NOT(ISNUMBER(SEARCH("Package",D419)))),"",VLOOKUP(C419,'Clients List'!$A:$F,4,FALSE)-SUMIFS($E$2:$E419,$C$2:$C419,C419,$D$2:$D419,"*Package*"))</f>
        <v/>
      </c>
      <c r="G419" t="str">
        <f t="shared" si="14"/>
        <v/>
      </c>
      <c r="H419" s="33">
        <f>IF(ISNUMBER(SEARCH("Group",D419)),IF(G419="",E419,IFERROR(E419/COUNTIF($G2:$G6000,G419),E419)),E419)</f>
        <v>0</v>
      </c>
      <c r="I419" s="1" t="str">
        <f>IFERROR(VLOOKUP(C419,'Clients List'!A:F,6,FALSE),"")</f>
        <v/>
      </c>
      <c r="K419" s="23" t="str">
        <f>IFERROR(INDEX([2]Packages!E:E, MATCH(1, ([2]Packages!A:A=B419)*([2]Packages!B:B=C419), 0)) - SUMIFS(D$2:D419, B$2:B419, B419, C$2:C419, C419),"")</f>
        <v/>
      </c>
    </row>
    <row r="420" spans="1:11" x14ac:dyDescent="0.45">
      <c r="D420" t="str">
        <f>IFERROR(VLOOKUP(C420,'Clients List'!$A:$F,2,FALSE),"")</f>
        <v/>
      </c>
      <c r="F420" s="1" t="str">
        <f>IF(OR(C420="",NOT(ISNUMBER(SEARCH("Package",D420)))),"",VLOOKUP(C420,'Clients List'!$A:$F,4,FALSE)-SUMIFS($E$2:$E420,$C$2:$C420,C420,$D$2:$D420,"*Package*"))</f>
        <v/>
      </c>
      <c r="G420" t="str">
        <f t="shared" si="14"/>
        <v/>
      </c>
      <c r="H420" s="33">
        <f>IF(ISNUMBER(SEARCH("Group",D420)),IF(G420="",E420,IFERROR(E420/COUNTIF($G2:$G6000,G420),E420)),E420)</f>
        <v>0</v>
      </c>
      <c r="I420" s="1" t="str">
        <f>IFERROR(VLOOKUP(C420,'Clients List'!A:F,6,FALSE),"")</f>
        <v/>
      </c>
      <c r="K420" s="23" t="str">
        <f>IFERROR(INDEX([2]Packages!E:E, MATCH(1, ([2]Packages!A:A=B420)*([2]Packages!B:B=C420), 0)) - SUMIFS(D$2:D420, B$2:B420, B420, C$2:C420, C420),"")</f>
        <v/>
      </c>
    </row>
    <row r="421" spans="1:11" x14ac:dyDescent="0.45">
      <c r="D421" t="str">
        <f>IFERROR(VLOOKUP(C421,'Clients List'!$A:$F,2,FALSE),"")</f>
        <v/>
      </c>
      <c r="F421" s="1" t="str">
        <f>IF(OR(C421="",NOT(ISNUMBER(SEARCH("Package",D421)))),"",VLOOKUP(C421,'Clients List'!$A:$F,4,FALSE)-SUMIFS($E$2:$E421,$C$2:$C421,C421,$D$2:$D421,"*Package*"))</f>
        <v/>
      </c>
      <c r="G421" t="str">
        <f t="shared" si="14"/>
        <v/>
      </c>
      <c r="H421" s="33">
        <f>IF(ISNUMBER(SEARCH("Group",D421)),IF(G421="",E421,IFERROR(E421/COUNTIF($G2:$G6000,G421),E421)),E421)</f>
        <v>0</v>
      </c>
      <c r="I421" s="1" t="str">
        <f>IFERROR(VLOOKUP(C421,'Clients List'!A:F,6,FALSE),"")</f>
        <v/>
      </c>
      <c r="K421" s="23" t="str">
        <f>IFERROR(INDEX([2]Packages!E:E, MATCH(1, ([2]Packages!A:A=B421)*([2]Packages!B:B=C421), 0)) - SUMIFS(D$2:D421, B$2:B421, B421, C$2:C421, C421),"")</f>
        <v/>
      </c>
    </row>
    <row r="422" spans="1:11" x14ac:dyDescent="0.45">
      <c r="D422" t="str">
        <f>IFERROR(VLOOKUP(C422,'Clients List'!$A:$F,2,FALSE),"")</f>
        <v/>
      </c>
      <c r="F422" s="1" t="str">
        <f>IF(OR(C422="",NOT(ISNUMBER(SEARCH("Package",D422)))),"",VLOOKUP(C422,'Clients List'!$A:$F,4,FALSE)-SUMIFS($E$2:$E422,$C$2:$C422,C422,$D$2:$D422,"*Package*"))</f>
        <v/>
      </c>
      <c r="G422" t="str">
        <f t="shared" si="14"/>
        <v/>
      </c>
      <c r="H422" s="33">
        <f>IF(ISNUMBER(SEARCH("Group",D422)),IF(G422="",E422,IFERROR(E422/COUNTIF($G2:$G6000,G422),E422)),E422)</f>
        <v>0</v>
      </c>
      <c r="I422" s="1" t="str">
        <f>IFERROR(VLOOKUP(C422,'Clients List'!A:F,6,FALSE),"")</f>
        <v/>
      </c>
      <c r="K422" s="23" t="str">
        <f>IFERROR(INDEX([2]Packages!E:E, MATCH(1, ([2]Packages!A:A=B422)*([2]Packages!B:B=C422), 0)) - SUMIFS(D$2:D422, B$2:B422, B422, C$2:C422, C422),"")</f>
        <v/>
      </c>
    </row>
    <row r="423" spans="1:11" x14ac:dyDescent="0.45">
      <c r="D423" t="str">
        <f>IFERROR(VLOOKUP(C423,'Clients List'!$A:$F,2,FALSE),"")</f>
        <v/>
      </c>
      <c r="F423" s="1" t="str">
        <f>IF(OR(C423="",NOT(ISNUMBER(SEARCH("Package",D423)))),"",VLOOKUP(C423,'Clients List'!$A:$F,4,FALSE)-SUMIFS($E$2:$E423,$C$2:$C423,C423,$D$2:$D423,"*Package*"))</f>
        <v/>
      </c>
      <c r="G423" t="str">
        <f t="shared" si="14"/>
        <v/>
      </c>
      <c r="H423" s="33">
        <f>IF(ISNUMBER(SEARCH("Group",D423)),IF(G423="",E423,IFERROR(E423/COUNTIF($G2:$G6000,G423),E423)),E423)</f>
        <v>0</v>
      </c>
      <c r="I423" s="1" t="str">
        <f>IFERROR(VLOOKUP(C423,'Clients List'!A:F,6,FALSE),"")</f>
        <v/>
      </c>
      <c r="K423" s="23" t="str">
        <f>IFERROR(INDEX([2]Packages!E:E, MATCH(1, ([2]Packages!A:A=B423)*([2]Packages!B:B=C423), 0)) - SUMIFS(D$2:D423, B$2:B423, B423, C$2:C423, C423),"")</f>
        <v/>
      </c>
    </row>
    <row r="424" spans="1:11" x14ac:dyDescent="0.45">
      <c r="D424" t="str">
        <f>IFERROR(VLOOKUP(C424,'Clients List'!$A:$F,2,FALSE),"")</f>
        <v/>
      </c>
      <c r="F424" s="1" t="str">
        <f>IF(OR(C424="",NOT(ISNUMBER(SEARCH("Package",D424)))),"",VLOOKUP(C424,'Clients List'!$A:$F,4,FALSE)-SUMIFS($E$2:$E424,$C$2:$C424,C424,$D$2:$D424,"*Package*"))</f>
        <v/>
      </c>
      <c r="G424" t="str">
        <f t="shared" si="14"/>
        <v/>
      </c>
      <c r="H424" s="33">
        <f>IF(ISNUMBER(SEARCH("Group",D424)),IF(G424="",E424,IFERROR(E424/COUNTIF($G2:$G6000,G424),E424)),E424)</f>
        <v>0</v>
      </c>
      <c r="I424" s="1" t="str">
        <f>IFERROR(VLOOKUP(C424,'Clients List'!A:F,6,FALSE),"")</f>
        <v/>
      </c>
      <c r="K424" s="23" t="str">
        <f>IFERROR(INDEX([2]Packages!E:E, MATCH(1, ([2]Packages!A:A=B424)*([2]Packages!B:B=C424), 0)) - SUMIFS(D$2:D424, B$2:B424, B424, C$2:C424, C424),"")</f>
        <v/>
      </c>
    </row>
    <row r="425" spans="1:11" x14ac:dyDescent="0.45">
      <c r="D425" t="str">
        <f>IFERROR(VLOOKUP(C425,'Clients List'!$A:$F,2,FALSE),"")</f>
        <v/>
      </c>
      <c r="F425" s="1" t="str">
        <f>IF(OR(C425="",NOT(ISNUMBER(SEARCH("Package",D425)))),"",VLOOKUP(C425,'Clients List'!$A:$F,4,FALSE)-SUMIFS($E$2:$E425,$C$2:$C425,C425,$D$2:$D425,"*Package*"))</f>
        <v/>
      </c>
      <c r="G425" t="str">
        <f t="shared" si="14"/>
        <v/>
      </c>
      <c r="H425" s="33">
        <f>IF(ISNUMBER(SEARCH("Group",D425)),IF(G425="",E425,IFERROR(E425/COUNTIF($G2:$G6000,G425),E425)),E425)</f>
        <v>0</v>
      </c>
      <c r="I425" s="1" t="str">
        <f>IFERROR(VLOOKUP(C425,'Clients List'!A:F,6,FALSE),"")</f>
        <v/>
      </c>
      <c r="K425" s="23" t="str">
        <f>IFERROR(INDEX([2]Packages!E:E, MATCH(1, ([2]Packages!A:A=B425)*([2]Packages!B:B=C425), 0)) - SUMIFS(D$2:D425, B$2:B425, B425, C$2:C425, C425),"")</f>
        <v/>
      </c>
    </row>
    <row r="426" spans="1:11" x14ac:dyDescent="0.45">
      <c r="D426" t="str">
        <f>IFERROR(VLOOKUP(C426,'Clients List'!$A:$F,2,FALSE),"")</f>
        <v/>
      </c>
      <c r="F426" s="1" t="str">
        <f>IF(OR(C426="",NOT(ISNUMBER(SEARCH("Package",D426)))),"",VLOOKUP(C426,'Clients List'!$A:$F,4,FALSE)-SUMIFS($E$2:$E426,$C$2:$C426,C426,$D$2:$D426,"*Package*"))</f>
        <v/>
      </c>
      <c r="G426" t="str">
        <f t="shared" si="14"/>
        <v/>
      </c>
      <c r="H426" s="33">
        <f>IF(ISNUMBER(SEARCH("Group",D426)),IF(G426="",E426,IFERROR(E426/COUNTIF($G2:$G6000,G426),E426)),E426)</f>
        <v>0</v>
      </c>
      <c r="I426" s="1" t="str">
        <f>IFERROR(VLOOKUP(C426,'Clients List'!A:F,6,FALSE),"")</f>
        <v/>
      </c>
      <c r="K426" s="23" t="str">
        <f>IFERROR(INDEX([2]Packages!E:E, MATCH(1, ([2]Packages!A:A=B426)*([2]Packages!B:B=C426), 0)) - SUMIFS(D$2:D426, B$2:B426, B426, C$2:C426, C426),"")</f>
        <v/>
      </c>
    </row>
    <row r="427" spans="1:11" x14ac:dyDescent="0.45">
      <c r="D427" t="str">
        <f>IFERROR(VLOOKUP(C427,'Clients List'!$A:$F,2,FALSE),"")</f>
        <v/>
      </c>
      <c r="F427" s="1" t="str">
        <f>IF(OR(C427="",NOT(ISNUMBER(SEARCH("Package",D427)))),"",VLOOKUP(C427,'Clients List'!$A:$F,4,FALSE)-SUMIFS($E$2:$E427,$C$2:$C427,C427,$D$2:$D427,"*Package*"))</f>
        <v/>
      </c>
      <c r="G427" t="str">
        <f t="shared" si="14"/>
        <v/>
      </c>
      <c r="H427" s="33">
        <f>IF(ISNUMBER(SEARCH("Group",D427)),IF(G427="",E427,IFERROR(E427/COUNTIF($G2:$G6000,G427),E427)),E427)</f>
        <v>0</v>
      </c>
      <c r="I427" s="1" t="str">
        <f>IFERROR(VLOOKUP(C427,'Clients List'!A:F,6,FALSE),"")</f>
        <v/>
      </c>
      <c r="K427" s="23" t="str">
        <f>IFERROR(INDEX([2]Packages!E:E, MATCH(1, ([2]Packages!A:A=B427)*([2]Packages!B:B=C427), 0)) - SUMIFS(D$2:D427, B$2:B427, B427, C$2:C427, C427),"")</f>
        <v/>
      </c>
    </row>
    <row r="428" spans="1:11" x14ac:dyDescent="0.45">
      <c r="D428" t="str">
        <f>IFERROR(VLOOKUP(C428,'Clients List'!$A:$F,2,FALSE),"")</f>
        <v/>
      </c>
      <c r="F428" s="1" t="str">
        <f>IF(OR(C428="",NOT(ISNUMBER(SEARCH("Package",D428)))),"",VLOOKUP(C428,'Clients List'!$A:$F,4,FALSE)-SUMIFS($E$2:$E428,$C$2:$C428,C428,$D$2:$D428,"*Package*"))</f>
        <v/>
      </c>
      <c r="G428" t="str">
        <f t="shared" si="14"/>
        <v/>
      </c>
      <c r="H428" s="33">
        <f>IF(ISNUMBER(SEARCH("Group",D428)),IF(G428="",E428,IFERROR(E428/COUNTIF($G2:$G6000,G428),E428)),E428)</f>
        <v>0</v>
      </c>
      <c r="I428" s="1" t="str">
        <f>IFERROR(VLOOKUP(C428,'Clients List'!A:F,6,FALSE),"")</f>
        <v/>
      </c>
      <c r="K428" s="23" t="str">
        <f>IFERROR(INDEX([2]Packages!E:E, MATCH(1, ([2]Packages!A:A=B428)*([2]Packages!B:B=C428), 0)) - SUMIFS(D$2:D428, B$2:B428, B428, C$2:C428, C428),"")</f>
        <v/>
      </c>
    </row>
    <row r="429" spans="1:11" x14ac:dyDescent="0.45">
      <c r="A429" s="8"/>
      <c r="C429" s="9"/>
      <c r="D429" s="10" t="str">
        <f>IFERROR(VLOOKUP(C429,'Clients List'!$A:$F,2,FALSE),"")</f>
        <v/>
      </c>
      <c r="E429" s="21">
        <f>SUM(E289:E428)</f>
        <v>0</v>
      </c>
      <c r="F429" s="1" t="str">
        <f>IF(OR(C429="",NOT(ISNUMBER(SEARCH("Package",D429)))),"",VLOOKUP(C429,'Clients List'!$A:$F,4,FALSE)-SUMIFS($E$2:$E429,$C$2:$C429,C429,$D$2:$D429,"*Package*"))</f>
        <v/>
      </c>
      <c r="H429" s="33">
        <f>SUM(H289:H428)</f>
        <v>0</v>
      </c>
      <c r="I429" s="11" t="str">
        <f>IFERROR(VLOOKUP(C429,'Clients List'!A:F,6,FALSE),"")</f>
        <v/>
      </c>
      <c r="K429" s="23" t="str">
        <f>IFERROR(INDEX([2]Packages!E:E, MATCH(1, ([2]Packages!A:A=B429)*([2]Packages!B:B=C429), 0)) - SUMIFS(D$2:D429, B$2:B429, B429, C$2:C429, C429),"")</f>
        <v/>
      </c>
    </row>
    <row r="430" spans="1:11" x14ac:dyDescent="0.45">
      <c r="D430" t="str">
        <f>IFERROR(VLOOKUP(C430,'Clients List'!$A:$F,2,FALSE),"")</f>
        <v/>
      </c>
      <c r="F430" s="1" t="str">
        <f>IF(OR(C430="",NOT(ISNUMBER(SEARCH("Package",D430)))),"",VLOOKUP(C430,'Clients List'!$A:$F,4,FALSE)-SUMIFS($E$2:$E430,$C$2:$C430,C430,$D$2:$D430,"*Package*"))</f>
        <v/>
      </c>
      <c r="G430" t="str">
        <f>IF(ISNUMBER(SEARCH("Group",D430)),IFERROR("GRP-"&amp;TEXT(IF(ISNUMBER(A430),A430,DATEVALUE(A430)),"yyyymmdd"),""),"" )</f>
        <v/>
      </c>
      <c r="H430" s="33">
        <f>IF(ISNUMBER(SEARCH("Group",D430)),IF(G430="",E430,IFERROR(E430/COUNTIF($G2:$G6000,G430),E430)),E430)</f>
        <v>0</v>
      </c>
      <c r="I430" s="1" t="str">
        <f>IFERROR(VLOOKUP(C430,'Clients List'!A:F,6,FALSE),"")</f>
        <v/>
      </c>
      <c r="K430" s="23" t="str">
        <f>IFERROR(INDEX([2]Packages!E:E, MATCH(1, ([2]Packages!A:A=B430)*([2]Packages!B:B=C430), 0)) - SUMIFS(D$2:D430, B$2:B430, B430, C$2:C430, C430),"")</f>
        <v/>
      </c>
    </row>
    <row r="431" spans="1:11" x14ac:dyDescent="0.45">
      <c r="A431" s="14" t="s">
        <v>18</v>
      </c>
      <c r="D431" t="str">
        <f>IFERROR(VLOOKUP(C431,'Clients List'!$A:$F,2,FALSE),"")</f>
        <v/>
      </c>
      <c r="F431" s="1" t="str">
        <f>IF(OR(C431="",NOT(ISNUMBER(SEARCH("Package",D431)))),"",VLOOKUP(C431,'Clients List'!$A:$F,4,FALSE)-SUMIFS($E$2:$E431,$C$2:$C431,C431,$D$2:$D431,"*Package*"))</f>
        <v/>
      </c>
      <c r="H431" s="33"/>
      <c r="I431" s="1" t="str">
        <f>IFERROR(VLOOKUP(C431,'Clients List'!A:F,6,FALSE),"")</f>
        <v/>
      </c>
      <c r="K431" s="23" t="str">
        <f>IFERROR(INDEX([2]Packages!E:E, MATCH(1, ([2]Packages!A:A=B431)*([2]Packages!B:B=C431), 0)) - SUMIFS(D$2:D431, B$2:B431, B431, C$2:C431, C431),"")</f>
        <v/>
      </c>
    </row>
    <row r="432" spans="1:11" x14ac:dyDescent="0.45">
      <c r="D432" t="str">
        <f>IFERROR(VLOOKUP(C432,'Clients List'!$A:$F,2,FALSE),"")</f>
        <v/>
      </c>
      <c r="F432" s="1" t="str">
        <f>IF(OR(C432="",NOT(ISNUMBER(SEARCH("Package",D432)))),"",VLOOKUP(C432,'Clients List'!$A:$F,4,FALSE)-SUMIFS($E$2:$E432,$C$2:$C432,C432,$D$2:$D432,"*Package*"))</f>
        <v/>
      </c>
      <c r="G432" t="str">
        <f t="shared" ref="G432:G463" si="15">IF(ISNUMBER(SEARCH("Group",D432)),IFERROR("GRP-"&amp;TEXT(IF(ISNUMBER(A432),A432,DATEVALUE(A432)),"yyyymmdd"),""),"" )</f>
        <v/>
      </c>
      <c r="H432" s="33">
        <f>IF(ISNUMBER(SEARCH("Group",D432)),IF(G432="",E432,IFERROR(E432/COUNTIF($G2:$G6000,G432),E432)),E432)</f>
        <v>0</v>
      </c>
      <c r="I432" s="1" t="str">
        <f>IFERROR(VLOOKUP(C432,'Clients List'!A:F,6,FALSE),"")</f>
        <v/>
      </c>
      <c r="K432" s="23" t="str">
        <f>IFERROR(INDEX([2]Packages!E:E, MATCH(1, ([2]Packages!A:A=B432)*([2]Packages!B:B=C432), 0)) - SUMIFS(D$2:D432, B$2:B432, B432, C$2:C432, C432),"")</f>
        <v/>
      </c>
    </row>
    <row r="433" spans="4:11" x14ac:dyDescent="0.45">
      <c r="D433" t="str">
        <f>IFERROR(VLOOKUP(C433,'Clients List'!$A:$F,2,FALSE),"")</f>
        <v/>
      </c>
      <c r="F433" s="1" t="str">
        <f>IF(OR(C433="",NOT(ISNUMBER(SEARCH("Package",D433)))),"",VLOOKUP(C433,'Clients List'!$A:$F,4,FALSE)-SUMIFS($E$2:$E433,$C$2:$C433,C433,$D$2:$D433,"*Package*"))</f>
        <v/>
      </c>
      <c r="G433" t="str">
        <f t="shared" si="15"/>
        <v/>
      </c>
      <c r="H433" s="33">
        <f>IF(ISNUMBER(SEARCH("Group",D433)),IF(G433="",E433,IFERROR(E433/COUNTIF($G2:$G6000,G433),E433)),E433)</f>
        <v>0</v>
      </c>
      <c r="I433" s="1" t="str">
        <f>IFERROR(VLOOKUP(C433,'Clients List'!A:F,6,FALSE),"")</f>
        <v/>
      </c>
      <c r="K433" s="23" t="str">
        <f>IFERROR(INDEX([2]Packages!E:E, MATCH(1, ([2]Packages!A:A=B433)*([2]Packages!B:B=C433), 0)) - SUMIFS(D$2:D433, B$2:B433, B433, C$2:C433, C433),"")</f>
        <v/>
      </c>
    </row>
    <row r="434" spans="4:11" x14ac:dyDescent="0.45">
      <c r="D434" t="str">
        <f>IFERROR(VLOOKUP(C434,'Clients List'!$A:$F,2,FALSE),"")</f>
        <v/>
      </c>
      <c r="F434" s="1" t="str">
        <f>IF(OR(C434="",NOT(ISNUMBER(SEARCH("Package",D434)))),"",VLOOKUP(C434,'Clients List'!$A:$F,4,FALSE)-SUMIFS($E$2:$E434,$C$2:$C434,C434,$D$2:$D434,"*Package*"))</f>
        <v/>
      </c>
      <c r="G434" t="str">
        <f t="shared" si="15"/>
        <v/>
      </c>
      <c r="H434" s="33">
        <f>IF(ISNUMBER(SEARCH("Group",D434)),IF(G434="",E434,IFERROR(E434/COUNTIF($G2:$G6000,G434),E434)),E434)</f>
        <v>0</v>
      </c>
      <c r="I434" s="1" t="str">
        <f>IFERROR(VLOOKUP(C434,'Clients List'!A:F,6,FALSE),"")</f>
        <v/>
      </c>
      <c r="K434" s="23" t="str">
        <f>IFERROR(INDEX([2]Packages!E:E, MATCH(1, ([2]Packages!A:A=B434)*([2]Packages!B:B=C434), 0)) - SUMIFS(D$2:D434, B$2:B434, B434, C$2:C434, C434),"")</f>
        <v/>
      </c>
    </row>
    <row r="435" spans="4:11" x14ac:dyDescent="0.45">
      <c r="D435" t="str">
        <f>IFERROR(VLOOKUP(C435,'Clients List'!$A:$F,2,FALSE),"")</f>
        <v/>
      </c>
      <c r="F435" s="1" t="str">
        <f>IF(OR(C435="",NOT(ISNUMBER(SEARCH("Package",D435)))),"",VLOOKUP(C435,'Clients List'!$A:$F,4,FALSE)-SUMIFS($E$2:$E435,$C$2:$C435,C435,$D$2:$D435,"*Package*"))</f>
        <v/>
      </c>
      <c r="G435" t="str">
        <f t="shared" si="15"/>
        <v/>
      </c>
      <c r="H435" s="33">
        <f>IF(ISNUMBER(SEARCH("Group",D435)),IF(G435="",E435,IFERROR(E435/COUNTIF($G2:$G6000,G435),E435)),E435)</f>
        <v>0</v>
      </c>
      <c r="I435" s="1" t="str">
        <f>IFERROR(VLOOKUP(C435,'Clients List'!A:F,6,FALSE),"")</f>
        <v/>
      </c>
      <c r="K435" s="23" t="str">
        <f>IFERROR(INDEX([2]Packages!E:E, MATCH(1, ([2]Packages!A:A=B435)*([2]Packages!B:B=C435), 0)) - SUMIFS(D$2:D435, B$2:B435, B435, C$2:C435, C435),"")</f>
        <v/>
      </c>
    </row>
    <row r="436" spans="4:11" x14ac:dyDescent="0.45">
      <c r="D436" t="str">
        <f>IFERROR(VLOOKUP(C436,'Clients List'!$A:$F,2,FALSE),"")</f>
        <v/>
      </c>
      <c r="F436" s="1" t="str">
        <f>IF(OR(C436="",NOT(ISNUMBER(SEARCH("Package",D436)))),"",VLOOKUP(C436,'Clients List'!$A:$F,4,FALSE)-SUMIFS($E$2:$E436,$C$2:$C436,C436,$D$2:$D436,"*Package*"))</f>
        <v/>
      </c>
      <c r="G436" t="str">
        <f t="shared" si="15"/>
        <v/>
      </c>
      <c r="H436" s="33">
        <f>IF(ISNUMBER(SEARCH("Group",D436)),IF(G436="",E436,IFERROR(E436/COUNTIF($G2:$G6000,G436),E436)),E436)</f>
        <v>0</v>
      </c>
      <c r="I436" s="1" t="str">
        <f>IFERROR(VLOOKUP(C436,'Clients List'!A:F,6,FALSE),"")</f>
        <v/>
      </c>
      <c r="K436" s="23" t="str">
        <f>IFERROR(INDEX([2]Packages!E:E, MATCH(1, ([2]Packages!A:A=B436)*([2]Packages!B:B=C436), 0)) - SUMIFS(D$2:D436, B$2:B436, B436, C$2:C436, C436),"")</f>
        <v/>
      </c>
    </row>
    <row r="437" spans="4:11" x14ac:dyDescent="0.45">
      <c r="D437" t="str">
        <f>IFERROR(VLOOKUP(C437,'Clients List'!$A:$F,2,FALSE),"")</f>
        <v/>
      </c>
      <c r="F437" s="1" t="str">
        <f>IF(OR(C437="",NOT(ISNUMBER(SEARCH("Package",D437)))),"",VLOOKUP(C437,'Clients List'!$A:$F,4,FALSE)-SUMIFS($E$2:$E437,$C$2:$C437,C437,$D$2:$D437,"*Package*"))</f>
        <v/>
      </c>
      <c r="G437" t="str">
        <f t="shared" si="15"/>
        <v/>
      </c>
      <c r="H437" s="33">
        <f>IF(ISNUMBER(SEARCH("Group",D437)),IF(G437="",E437,IFERROR(E437/COUNTIF($G2:$G6000,G437),E437)),E437)</f>
        <v>0</v>
      </c>
      <c r="I437" s="1" t="str">
        <f>IFERROR(VLOOKUP(C437,'Clients List'!A:F,6,FALSE),"")</f>
        <v/>
      </c>
      <c r="K437" s="23" t="str">
        <f>IFERROR(INDEX([2]Packages!E:E, MATCH(1, ([2]Packages!A:A=B437)*([2]Packages!B:B=C437), 0)) - SUMIFS(D$2:D437, B$2:B437, B437, C$2:C437, C437),"")</f>
        <v/>
      </c>
    </row>
    <row r="438" spans="4:11" x14ac:dyDescent="0.45">
      <c r="D438" t="str">
        <f>IFERROR(VLOOKUP(C438,'Clients List'!$A:$F,2,FALSE),"")</f>
        <v/>
      </c>
      <c r="F438" s="1" t="str">
        <f>IF(OR(C438="",NOT(ISNUMBER(SEARCH("Package",D438)))),"",VLOOKUP(C438,'Clients List'!$A:$F,4,FALSE)-SUMIFS($E$2:$E438,$C$2:$C438,C438,$D$2:$D438,"*Package*"))</f>
        <v/>
      </c>
      <c r="G438" t="str">
        <f t="shared" si="15"/>
        <v/>
      </c>
      <c r="H438" s="33">
        <f>IF(ISNUMBER(SEARCH("Group",D438)),IF(G438="",E438,IFERROR(E438/COUNTIF($G2:$G6000,G438),E438)),E438)</f>
        <v>0</v>
      </c>
      <c r="I438" s="1" t="str">
        <f>IFERROR(VLOOKUP(C438,'Clients List'!A:F,6,FALSE),"")</f>
        <v/>
      </c>
      <c r="K438" s="23" t="str">
        <f>IFERROR(INDEX([2]Packages!E:E, MATCH(1, ([2]Packages!A:A=B438)*([2]Packages!B:B=C438), 0)) - SUMIFS(D$2:D438, B$2:B438, B438, C$2:C438, C438),"")</f>
        <v/>
      </c>
    </row>
    <row r="439" spans="4:11" x14ac:dyDescent="0.45">
      <c r="D439" t="str">
        <f>IFERROR(VLOOKUP(C439,'Clients List'!$A:$F,2,FALSE),"")</f>
        <v/>
      </c>
      <c r="F439" s="1" t="str">
        <f>IF(OR(C439="",NOT(ISNUMBER(SEARCH("Package",D439)))),"",VLOOKUP(C439,'Clients List'!$A:$F,4,FALSE)-SUMIFS($E$2:$E439,$C$2:$C439,C439,$D$2:$D439,"*Package*"))</f>
        <v/>
      </c>
      <c r="G439" t="str">
        <f t="shared" si="15"/>
        <v/>
      </c>
      <c r="H439" s="33">
        <f>IF(ISNUMBER(SEARCH("Group",D439)),IF(G439="",E439,IFERROR(E439/COUNTIF($G2:$G6000,G439),E439)),E439)</f>
        <v>0</v>
      </c>
      <c r="I439" s="1" t="str">
        <f>IFERROR(VLOOKUP(C439,'Clients List'!A:F,6,FALSE),"")</f>
        <v/>
      </c>
      <c r="K439" s="23" t="str">
        <f>IFERROR(INDEX([2]Packages!E:E, MATCH(1, ([2]Packages!A:A=B439)*([2]Packages!B:B=C439), 0)) - SUMIFS(D$2:D439, B$2:B439, B439, C$2:C439, C439),"")</f>
        <v/>
      </c>
    </row>
    <row r="440" spans="4:11" x14ac:dyDescent="0.45">
      <c r="D440" t="str">
        <f>IFERROR(VLOOKUP(C440,'Clients List'!$A:$F,2,FALSE),"")</f>
        <v/>
      </c>
      <c r="F440" s="1" t="str">
        <f>IF(OR(C440="",NOT(ISNUMBER(SEARCH("Package",D440)))),"",VLOOKUP(C440,'Clients List'!$A:$F,4,FALSE)-SUMIFS($E$2:$E440,$C$2:$C440,C440,$D$2:$D440,"*Package*"))</f>
        <v/>
      </c>
      <c r="G440" t="str">
        <f t="shared" si="15"/>
        <v/>
      </c>
      <c r="H440" s="33">
        <f>IF(ISNUMBER(SEARCH("Group",D440)),IF(G440="",E440,IFERROR(E440/COUNTIF($G2:$G6000,G440),E440)),E440)</f>
        <v>0</v>
      </c>
      <c r="I440" s="1" t="str">
        <f>IFERROR(VLOOKUP(C440,'Clients List'!A:F,6,FALSE),"")</f>
        <v/>
      </c>
      <c r="K440" s="23" t="str">
        <f>IFERROR(INDEX([2]Packages!E:E, MATCH(1, ([2]Packages!A:A=B440)*([2]Packages!B:B=C440), 0)) - SUMIFS(D$2:D440, B$2:B440, B440, C$2:C440, C440),"")</f>
        <v/>
      </c>
    </row>
    <row r="441" spans="4:11" x14ac:dyDescent="0.45">
      <c r="D441" t="str">
        <f>IFERROR(VLOOKUP(C441,'Clients List'!$A:$F,2,FALSE),"")</f>
        <v/>
      </c>
      <c r="F441" s="1" t="str">
        <f>IF(OR(C441="",NOT(ISNUMBER(SEARCH("Package",D441)))),"",VLOOKUP(C441,'Clients List'!$A:$F,4,FALSE)-SUMIFS($E$2:$E441,$C$2:$C441,C441,$D$2:$D441,"*Package*"))</f>
        <v/>
      </c>
      <c r="G441" t="str">
        <f t="shared" si="15"/>
        <v/>
      </c>
      <c r="H441" s="33">
        <f>IF(ISNUMBER(SEARCH("Group",D441)),IF(G441="",E441,IFERROR(E441/COUNTIF($G2:$G6000,G441),E441)),E441)</f>
        <v>0</v>
      </c>
      <c r="I441" s="1" t="str">
        <f>IFERROR(VLOOKUP(C441,'Clients List'!A:F,6,FALSE),"")</f>
        <v/>
      </c>
      <c r="K441" s="23" t="str">
        <f>IFERROR(INDEX([2]Packages!E:E, MATCH(1, ([2]Packages!A:A=B441)*([2]Packages!B:B=C441), 0)) - SUMIFS(D$2:D441, B$2:B441, B441, C$2:C441, C441),"")</f>
        <v/>
      </c>
    </row>
    <row r="442" spans="4:11" x14ac:dyDescent="0.45">
      <c r="D442" t="str">
        <f>IFERROR(VLOOKUP(C442,'Clients List'!$A:$F,2,FALSE),"")</f>
        <v/>
      </c>
      <c r="F442" s="1" t="str">
        <f>IF(OR(C442="",NOT(ISNUMBER(SEARCH("Package",D442)))),"",VLOOKUP(C442,'Clients List'!$A:$F,4,FALSE)-SUMIFS($E$2:$E442,$C$2:$C442,C442,$D$2:$D442,"*Package*"))</f>
        <v/>
      </c>
      <c r="G442" t="str">
        <f t="shared" si="15"/>
        <v/>
      </c>
      <c r="H442" s="33">
        <f>IF(ISNUMBER(SEARCH("Group",D442)),IF(G442="",E442,IFERROR(E442/COUNTIF($G2:$G6000,G442),E442)),E442)</f>
        <v>0</v>
      </c>
      <c r="I442" s="1" t="str">
        <f>IFERROR(VLOOKUP(C442,'Clients List'!A:F,6,FALSE),"")</f>
        <v/>
      </c>
      <c r="K442" s="23" t="str">
        <f>IFERROR(INDEX([2]Packages!E:E, MATCH(1, ([2]Packages!A:A=B442)*([2]Packages!B:B=C442), 0)) - SUMIFS(D$2:D442, B$2:B442, B442, C$2:C442, C442),"")</f>
        <v/>
      </c>
    </row>
    <row r="443" spans="4:11" x14ac:dyDescent="0.45">
      <c r="D443" t="str">
        <f>IFERROR(VLOOKUP(C443,'Clients List'!$A:$F,2,FALSE),"")</f>
        <v/>
      </c>
      <c r="F443" s="1" t="str">
        <f>IF(OR(C443="",NOT(ISNUMBER(SEARCH("Package",D443)))),"",VLOOKUP(C443,'Clients List'!$A:$F,4,FALSE)-SUMIFS($E$2:$E443,$C$2:$C443,C443,$D$2:$D443,"*Package*"))</f>
        <v/>
      </c>
      <c r="G443" t="str">
        <f t="shared" si="15"/>
        <v/>
      </c>
      <c r="H443" s="33">
        <f>IF(ISNUMBER(SEARCH("Group",D443)),IF(G443="",E443,IFERROR(E443/COUNTIF($G2:$G6000,G443),E443)),E443)</f>
        <v>0</v>
      </c>
      <c r="I443" s="1" t="str">
        <f>IFERROR(VLOOKUP(C443,'Clients List'!A:F,6,FALSE),"")</f>
        <v/>
      </c>
      <c r="K443" s="23" t="str">
        <f>IFERROR(INDEX([2]Packages!E:E, MATCH(1, ([2]Packages!A:A=B443)*([2]Packages!B:B=C443), 0)) - SUMIFS(D$2:D443, B$2:B443, B443, C$2:C443, C443),"")</f>
        <v/>
      </c>
    </row>
    <row r="444" spans="4:11" x14ac:dyDescent="0.45">
      <c r="D444" t="str">
        <f>IFERROR(VLOOKUP(C444,'Clients List'!$A:$F,2,FALSE),"")</f>
        <v/>
      </c>
      <c r="F444" s="1" t="str">
        <f>IF(OR(C444="",NOT(ISNUMBER(SEARCH("Package",D444)))),"",VLOOKUP(C444,'Clients List'!$A:$F,4,FALSE)-SUMIFS($E$2:$E444,$C$2:$C444,C444,$D$2:$D444,"*Package*"))</f>
        <v/>
      </c>
      <c r="G444" t="str">
        <f t="shared" si="15"/>
        <v/>
      </c>
      <c r="H444" s="33">
        <f>IF(ISNUMBER(SEARCH("Group",D444)),IF(G444="",E444,IFERROR(E444/COUNTIF($G2:$G6000,G444),E444)),E444)</f>
        <v>0</v>
      </c>
      <c r="I444" s="1" t="str">
        <f>IFERROR(VLOOKUP(C444,'Clients List'!A:F,6,FALSE),"")</f>
        <v/>
      </c>
      <c r="K444" s="23" t="str">
        <f>IFERROR(INDEX([2]Packages!E:E, MATCH(1, ([2]Packages!A:A=B444)*([2]Packages!B:B=C444), 0)) - SUMIFS(D$2:D444, B$2:B444, B444, C$2:C444, C444),"")</f>
        <v/>
      </c>
    </row>
    <row r="445" spans="4:11" x14ac:dyDescent="0.45">
      <c r="D445" t="str">
        <f>IFERROR(VLOOKUP(C445,'Clients List'!$A:$F,2,FALSE),"")</f>
        <v/>
      </c>
      <c r="F445" s="1" t="str">
        <f>IF(OR(C445="",NOT(ISNUMBER(SEARCH("Package",D445)))),"",VLOOKUP(C445,'Clients List'!$A:$F,4,FALSE)-SUMIFS($E$2:$E445,$C$2:$C445,C445,$D$2:$D445,"*Package*"))</f>
        <v/>
      </c>
      <c r="G445" t="str">
        <f t="shared" si="15"/>
        <v/>
      </c>
      <c r="H445" s="33">
        <f>IF(ISNUMBER(SEARCH("Group",D445)),IF(G445="",E445,IFERROR(E445/COUNTIF($G2:$G6000,G445),E445)),E445)</f>
        <v>0</v>
      </c>
      <c r="I445" s="1" t="str">
        <f>IFERROR(VLOOKUP(C445,'Clients List'!A:F,6,FALSE),"")</f>
        <v/>
      </c>
      <c r="K445" s="23" t="str">
        <f>IFERROR(INDEX([2]Packages!E:E, MATCH(1, ([2]Packages!A:A=B445)*([2]Packages!B:B=C445), 0)) - SUMIFS(D$2:D445, B$2:B445, B445, C$2:C445, C445),"")</f>
        <v/>
      </c>
    </row>
    <row r="446" spans="4:11" x14ac:dyDescent="0.45">
      <c r="D446" t="str">
        <f>IFERROR(VLOOKUP(C446,'Clients List'!$A:$F,2,FALSE),"")</f>
        <v/>
      </c>
      <c r="F446" s="1" t="str">
        <f>IF(OR(C446="",NOT(ISNUMBER(SEARCH("Package",D446)))),"",VLOOKUP(C446,'Clients List'!$A:$F,4,FALSE)-SUMIFS($E$2:$E446,$C$2:$C446,C446,$D$2:$D446,"*Package*"))</f>
        <v/>
      </c>
      <c r="G446" t="str">
        <f t="shared" si="15"/>
        <v/>
      </c>
      <c r="H446" s="33">
        <f>IF(ISNUMBER(SEARCH("Group",D446)),IF(G446="",E446,IFERROR(E446/COUNTIF($G2:$G6000,G446),E446)),E446)</f>
        <v>0</v>
      </c>
      <c r="I446" s="1" t="str">
        <f>IFERROR(VLOOKUP(C446,'Clients List'!A:F,6,FALSE),"")</f>
        <v/>
      </c>
      <c r="K446" s="23" t="str">
        <f>IFERROR(INDEX([2]Packages!E:E, MATCH(1, ([2]Packages!A:A=B446)*([2]Packages!B:B=C446), 0)) - SUMIFS(D$2:D446, B$2:B446, B446, C$2:C446, C446),"")</f>
        <v/>
      </c>
    </row>
    <row r="447" spans="4:11" x14ac:dyDescent="0.45">
      <c r="D447" t="str">
        <f>IFERROR(VLOOKUP(C447,'Clients List'!$A:$F,2,FALSE),"")</f>
        <v/>
      </c>
      <c r="F447" s="1" t="str">
        <f>IF(OR(C447="",NOT(ISNUMBER(SEARCH("Package",D447)))),"",VLOOKUP(C447,'Clients List'!$A:$F,4,FALSE)-SUMIFS($E$2:$E447,$C$2:$C447,C447,$D$2:$D447,"*Package*"))</f>
        <v/>
      </c>
      <c r="G447" t="str">
        <f t="shared" si="15"/>
        <v/>
      </c>
      <c r="H447" s="33">
        <f>IF(ISNUMBER(SEARCH("Group",D447)),IF(G447="",E447,IFERROR(E447/COUNTIF($G2:$G6000,G447),E447)),E447)</f>
        <v>0</v>
      </c>
      <c r="I447" s="1" t="str">
        <f>IFERROR(VLOOKUP(C447,'Clients List'!A:F,6,FALSE),"")</f>
        <v/>
      </c>
      <c r="K447" s="23" t="str">
        <f>IFERROR(INDEX([2]Packages!E:E, MATCH(1, ([2]Packages!A:A=B447)*([2]Packages!B:B=C447), 0)) - SUMIFS(D$2:D447, B$2:B447, B447, C$2:C447, C447),"")</f>
        <v/>
      </c>
    </row>
    <row r="448" spans="4:11" x14ac:dyDescent="0.45">
      <c r="D448" t="str">
        <f>IFERROR(VLOOKUP(C448,'Clients List'!$A:$F,2,FALSE),"")</f>
        <v/>
      </c>
      <c r="F448" s="1" t="str">
        <f>IF(OR(C448="",NOT(ISNUMBER(SEARCH("Package",D448)))),"",VLOOKUP(C448,'Clients List'!$A:$F,4,FALSE)-SUMIFS($E$2:$E448,$C$2:$C448,C448,$D$2:$D448,"*Package*"))</f>
        <v/>
      </c>
      <c r="G448" t="str">
        <f t="shared" si="15"/>
        <v/>
      </c>
      <c r="H448" s="33">
        <f>IF(ISNUMBER(SEARCH("Group",D448)),IF(G448="",E448,IFERROR(E448/COUNTIF($G2:$G6000,G448),E448)),E448)</f>
        <v>0</v>
      </c>
      <c r="I448" s="1" t="str">
        <f>IFERROR(VLOOKUP(C448,'Clients List'!A:F,6,FALSE),"")</f>
        <v/>
      </c>
      <c r="K448" s="23" t="str">
        <f>IFERROR(INDEX([2]Packages!E:E, MATCH(1, ([2]Packages!A:A=B448)*([2]Packages!B:B=C448), 0)) - SUMIFS(D$2:D448, B$2:B448, B448, C$2:C448, C448),"")</f>
        <v/>
      </c>
    </row>
    <row r="449" spans="4:11" x14ac:dyDescent="0.45">
      <c r="D449" t="str">
        <f>IFERROR(VLOOKUP(C449,'Clients List'!$A:$F,2,FALSE),"")</f>
        <v/>
      </c>
      <c r="F449" s="1" t="str">
        <f>IF(OR(C449="",NOT(ISNUMBER(SEARCH("Package",D449)))),"",VLOOKUP(C449,'Clients List'!$A:$F,4,FALSE)-SUMIFS($E$2:$E449,$C$2:$C449,C449,$D$2:$D449,"*Package*"))</f>
        <v/>
      </c>
      <c r="G449" t="str">
        <f t="shared" si="15"/>
        <v/>
      </c>
      <c r="H449" s="33">
        <f>IF(ISNUMBER(SEARCH("Group",D449)),IF(G449="",E449,IFERROR(E449/COUNTIF($G2:$G6000,G449),E449)),E449)</f>
        <v>0</v>
      </c>
      <c r="I449" s="1" t="str">
        <f>IFERROR(VLOOKUP(C449,'Clients List'!A:F,6,FALSE),"")</f>
        <v/>
      </c>
      <c r="K449" s="23" t="str">
        <f>IFERROR(INDEX([2]Packages!E:E, MATCH(1, ([2]Packages!A:A=B449)*([2]Packages!B:B=C449), 0)) - SUMIFS(D$2:D449, B$2:B449, B449, C$2:C449, C449),"")</f>
        <v/>
      </c>
    </row>
    <row r="450" spans="4:11" x14ac:dyDescent="0.45">
      <c r="D450" t="str">
        <f>IFERROR(VLOOKUP(C450,'Clients List'!$A:$F,2,FALSE),"")</f>
        <v/>
      </c>
      <c r="F450" s="1" t="str">
        <f>IF(OR(C450="",NOT(ISNUMBER(SEARCH("Package",D450)))),"",VLOOKUP(C450,'Clients List'!$A:$F,4,FALSE)-SUMIFS($E$2:$E450,$C$2:$C450,C450,$D$2:$D450,"*Package*"))</f>
        <v/>
      </c>
      <c r="G450" t="str">
        <f t="shared" si="15"/>
        <v/>
      </c>
      <c r="H450" s="33">
        <f>IF(ISNUMBER(SEARCH("Group",D450)),IF(G450="",E450,IFERROR(E450/COUNTIF($G2:$G6000,G450),E450)),E450)</f>
        <v>0</v>
      </c>
      <c r="I450" s="1" t="str">
        <f>IFERROR(VLOOKUP(C450,'Clients List'!A:F,6,FALSE),"")</f>
        <v/>
      </c>
      <c r="K450" s="23" t="str">
        <f>IFERROR(INDEX([2]Packages!E:E, MATCH(1, ([2]Packages!A:A=B450)*([2]Packages!B:B=C450), 0)) - SUMIFS(D$2:D450, B$2:B450, B450, C$2:C450, C450),"")</f>
        <v/>
      </c>
    </row>
    <row r="451" spans="4:11" x14ac:dyDescent="0.45">
      <c r="D451" t="str">
        <f>IFERROR(VLOOKUP(C451,'Clients List'!$A:$F,2,FALSE),"")</f>
        <v/>
      </c>
      <c r="F451" s="1" t="str">
        <f>IF(OR(C451="",NOT(ISNUMBER(SEARCH("Package",D451)))),"",VLOOKUP(C451,'Clients List'!$A:$F,4,FALSE)-SUMIFS($E$2:$E451,$C$2:$C451,C451,$D$2:$D451,"*Package*"))</f>
        <v/>
      </c>
      <c r="G451" t="str">
        <f t="shared" si="15"/>
        <v/>
      </c>
      <c r="H451" s="33">
        <f>IF(ISNUMBER(SEARCH("Group",D451)),IF(G451="",E451,IFERROR(E451/COUNTIF($G2:$G6000,G451),E451)),E451)</f>
        <v>0</v>
      </c>
      <c r="I451" s="1" t="str">
        <f>IFERROR(VLOOKUP(C451,'Clients List'!A:F,6,FALSE),"")</f>
        <v/>
      </c>
      <c r="K451" s="23" t="str">
        <f>IFERROR(INDEX([2]Packages!E:E, MATCH(1, ([2]Packages!A:A=B451)*([2]Packages!B:B=C451), 0)) - SUMIFS(D$2:D451, B$2:B451, B451, C$2:C451, C451),"")</f>
        <v/>
      </c>
    </row>
    <row r="452" spans="4:11" x14ac:dyDescent="0.45">
      <c r="D452" t="str">
        <f>IFERROR(VLOOKUP(C452,'Clients List'!$A:$F,2,FALSE),"")</f>
        <v/>
      </c>
      <c r="F452" s="1" t="str">
        <f>IF(OR(C452="",NOT(ISNUMBER(SEARCH("Package",D452)))),"",VLOOKUP(C452,'Clients List'!$A:$F,4,FALSE)-SUMIFS($E$2:$E452,$C$2:$C452,C452,$D$2:$D452,"*Package*"))</f>
        <v/>
      </c>
      <c r="G452" t="str">
        <f t="shared" si="15"/>
        <v/>
      </c>
      <c r="H452" s="33">
        <f>IF(ISNUMBER(SEARCH("Group",D452)),IF(G452="",E452,IFERROR(E452/COUNTIF($G2:$G6000,G452),E452)),E452)</f>
        <v>0</v>
      </c>
      <c r="I452" s="1" t="str">
        <f>IFERROR(VLOOKUP(C452,'Clients List'!A:F,6,FALSE),"")</f>
        <v/>
      </c>
      <c r="K452" s="23" t="str">
        <f>IFERROR(INDEX([2]Packages!E:E, MATCH(1, ([2]Packages!A:A=B452)*([2]Packages!B:B=C452), 0)) - SUMIFS(D$2:D452, B$2:B452, B452, C$2:C452, C452),"")</f>
        <v/>
      </c>
    </row>
    <row r="453" spans="4:11" x14ac:dyDescent="0.45">
      <c r="D453" t="str">
        <f>IFERROR(VLOOKUP(C453,'Clients List'!$A:$F,2,FALSE),"")</f>
        <v/>
      </c>
      <c r="F453" s="1" t="str">
        <f>IF(OR(C453="",NOT(ISNUMBER(SEARCH("Package",D453)))),"",VLOOKUP(C453,'Clients List'!$A:$F,4,FALSE)-SUMIFS($E$2:$E453,$C$2:$C453,C453,$D$2:$D453,"*Package*"))</f>
        <v/>
      </c>
      <c r="G453" t="str">
        <f t="shared" si="15"/>
        <v/>
      </c>
      <c r="H453" s="33">
        <f>IF(ISNUMBER(SEARCH("Group",D453)),IF(G453="",E453,IFERROR(E453/COUNTIF($G2:$G6000,G453),E453)),E453)</f>
        <v>0</v>
      </c>
      <c r="I453" s="1" t="str">
        <f>IFERROR(VLOOKUP(C453,'Clients List'!A:F,6,FALSE),"")</f>
        <v/>
      </c>
      <c r="K453" s="23" t="str">
        <f>IFERROR(INDEX([2]Packages!E:E, MATCH(1, ([2]Packages!A:A=B453)*([2]Packages!B:B=C453), 0)) - SUMIFS(D$2:D453, B$2:B453, B453, C$2:C453, C453),"")</f>
        <v/>
      </c>
    </row>
    <row r="454" spans="4:11" x14ac:dyDescent="0.45">
      <c r="D454" t="str">
        <f>IFERROR(VLOOKUP(C454,'Clients List'!$A:$F,2,FALSE),"")</f>
        <v/>
      </c>
      <c r="F454" s="1" t="str">
        <f>IF(OR(C454="",NOT(ISNUMBER(SEARCH("Package",D454)))),"",VLOOKUP(C454,'Clients List'!$A:$F,4,FALSE)-SUMIFS($E$2:$E454,$C$2:$C454,C454,$D$2:$D454,"*Package*"))</f>
        <v/>
      </c>
      <c r="G454" t="str">
        <f t="shared" si="15"/>
        <v/>
      </c>
      <c r="H454" s="33">
        <f>IF(ISNUMBER(SEARCH("Group",D454)),IF(G454="",E454,IFERROR(E454/COUNTIF($G2:$G6000,G454),E454)),E454)</f>
        <v>0</v>
      </c>
      <c r="I454" s="1" t="str">
        <f>IFERROR(VLOOKUP(C454,'Clients List'!A:F,6,FALSE),"")</f>
        <v/>
      </c>
      <c r="K454" s="23" t="str">
        <f>IFERROR(INDEX([2]Packages!E:E, MATCH(1, ([2]Packages!A:A=B454)*([2]Packages!B:B=C454), 0)) - SUMIFS(D$2:D454, B$2:B454, B454, C$2:C454, C454),"")</f>
        <v/>
      </c>
    </row>
    <row r="455" spans="4:11" x14ac:dyDescent="0.45">
      <c r="D455" t="str">
        <f>IFERROR(VLOOKUP(C455,'Clients List'!$A:$F,2,FALSE),"")</f>
        <v/>
      </c>
      <c r="F455" s="1" t="str">
        <f>IF(OR(C455="",NOT(ISNUMBER(SEARCH("Package",D455)))),"",VLOOKUP(C455,'Clients List'!$A:$F,4,FALSE)-SUMIFS($E$2:$E455,$C$2:$C455,C455,$D$2:$D455,"*Package*"))</f>
        <v/>
      </c>
      <c r="G455" t="str">
        <f t="shared" si="15"/>
        <v/>
      </c>
      <c r="H455" s="33">
        <f>IF(ISNUMBER(SEARCH("Group",D455)),IF(G455="",E455,IFERROR(E455/COUNTIF($G2:$G6000,G455),E455)),E455)</f>
        <v>0</v>
      </c>
      <c r="I455" s="1" t="str">
        <f>IFERROR(VLOOKUP(C455,'Clients List'!A:F,6,FALSE),"")</f>
        <v/>
      </c>
      <c r="K455" s="23" t="str">
        <f>IFERROR(INDEX([2]Packages!E:E, MATCH(1, ([2]Packages!A:A=B455)*([2]Packages!B:B=C455), 0)) - SUMIFS(D$2:D455, B$2:B455, B455, C$2:C455, C455),"")</f>
        <v/>
      </c>
    </row>
    <row r="456" spans="4:11" x14ac:dyDescent="0.45">
      <c r="D456" t="str">
        <f>IFERROR(VLOOKUP(C456,'Clients List'!$A:$F,2,FALSE),"")</f>
        <v/>
      </c>
      <c r="F456" s="1" t="str">
        <f>IF(OR(C456="",NOT(ISNUMBER(SEARCH("Package",D456)))),"",VLOOKUP(C456,'Clients List'!$A:$F,4,FALSE)-SUMIFS($E$2:$E456,$C$2:$C456,C456,$D$2:$D456,"*Package*"))</f>
        <v/>
      </c>
      <c r="G456" t="str">
        <f t="shared" si="15"/>
        <v/>
      </c>
      <c r="H456" s="33">
        <f>IF(ISNUMBER(SEARCH("Group",D456)),IF(G456="",E456,IFERROR(E456/COUNTIF($G2:$G6000,G456),E456)),E456)</f>
        <v>0</v>
      </c>
      <c r="I456" s="1" t="str">
        <f>IFERROR(VLOOKUP(C456,'Clients List'!A:F,6,FALSE),"")</f>
        <v/>
      </c>
      <c r="K456" s="23" t="str">
        <f>IFERROR(INDEX([2]Packages!E:E, MATCH(1, ([2]Packages!A:A=B456)*([2]Packages!B:B=C456), 0)) - SUMIFS(D$2:D456, B$2:B456, B456, C$2:C456, C456),"")</f>
        <v/>
      </c>
    </row>
    <row r="457" spans="4:11" x14ac:dyDescent="0.45">
      <c r="D457" t="str">
        <f>IFERROR(VLOOKUP(C457,'Clients List'!$A:$F,2,FALSE),"")</f>
        <v/>
      </c>
      <c r="F457" s="1" t="str">
        <f>IF(OR(C457="",NOT(ISNUMBER(SEARCH("Package",D457)))),"",VLOOKUP(C457,'Clients List'!$A:$F,4,FALSE)-SUMIFS($E$2:$E457,$C$2:$C457,C457,$D$2:$D457,"*Package*"))</f>
        <v/>
      </c>
      <c r="G457" t="str">
        <f t="shared" si="15"/>
        <v/>
      </c>
      <c r="H457" s="33">
        <f>IF(ISNUMBER(SEARCH("Group",D457)),IF(G457="",E457,IFERROR(E457/COUNTIF($G2:$G6000,G457),E457)),E457)</f>
        <v>0</v>
      </c>
      <c r="I457" s="1" t="str">
        <f>IFERROR(VLOOKUP(C457,'Clients List'!A:F,6,FALSE),"")</f>
        <v/>
      </c>
      <c r="K457" s="23" t="str">
        <f>IFERROR(INDEX([2]Packages!E:E, MATCH(1, ([2]Packages!A:A=B457)*([2]Packages!B:B=C457), 0)) - SUMIFS(D$2:D457, B$2:B457, B457, C$2:C457, C457),"")</f>
        <v/>
      </c>
    </row>
    <row r="458" spans="4:11" x14ac:dyDescent="0.45">
      <c r="D458" t="str">
        <f>IFERROR(VLOOKUP(C458,'Clients List'!$A:$F,2,FALSE),"")</f>
        <v/>
      </c>
      <c r="F458" s="1" t="str">
        <f>IF(OR(C458="",NOT(ISNUMBER(SEARCH("Package",D458)))),"",VLOOKUP(C458,'Clients List'!$A:$F,4,FALSE)-SUMIFS($E$2:$E458,$C$2:$C458,C458,$D$2:$D458,"*Package*"))</f>
        <v/>
      </c>
      <c r="G458" t="str">
        <f t="shared" si="15"/>
        <v/>
      </c>
      <c r="H458" s="33">
        <f>IF(ISNUMBER(SEARCH("Group",D458)),IF(G458="",E458,IFERROR(E458/COUNTIF($G2:$G6000,G458),E458)),E458)</f>
        <v>0</v>
      </c>
      <c r="I458" s="1" t="str">
        <f>IFERROR(VLOOKUP(C458,'Clients List'!A:F,6,FALSE),"")</f>
        <v/>
      </c>
      <c r="K458" s="23" t="str">
        <f>IFERROR(INDEX([2]Packages!E:E, MATCH(1, ([2]Packages!A:A=B458)*([2]Packages!B:B=C458), 0)) - SUMIFS(D$2:D458, B$2:B458, B458, C$2:C458, C458),"")</f>
        <v/>
      </c>
    </row>
    <row r="459" spans="4:11" x14ac:dyDescent="0.45">
      <c r="D459" t="str">
        <f>IFERROR(VLOOKUP(C459,'Clients List'!$A:$F,2,FALSE),"")</f>
        <v/>
      </c>
      <c r="F459" s="1" t="str">
        <f>IF(OR(C459="",NOT(ISNUMBER(SEARCH("Package",D459)))),"",VLOOKUP(C459,'Clients List'!$A:$F,4,FALSE)-SUMIFS($E$2:$E459,$C$2:$C459,C459,$D$2:$D459,"*Package*"))</f>
        <v/>
      </c>
      <c r="G459" t="str">
        <f t="shared" si="15"/>
        <v/>
      </c>
      <c r="H459" s="33">
        <f>IF(ISNUMBER(SEARCH("Group",D459)),IF(G459="",E459,IFERROR(E459/COUNTIF($G2:$G6000,G459),E459)),E459)</f>
        <v>0</v>
      </c>
      <c r="I459" s="1" t="str">
        <f>IFERROR(VLOOKUP(C459,'Clients List'!A:F,6,FALSE),"")</f>
        <v/>
      </c>
      <c r="K459" s="23" t="str">
        <f>IFERROR(INDEX([2]Packages!E:E, MATCH(1, ([2]Packages!A:A=B459)*([2]Packages!B:B=C459), 0)) - SUMIFS(D$2:D459, B$2:B459, B459, C$2:C459, C459),"")</f>
        <v/>
      </c>
    </row>
    <row r="460" spans="4:11" x14ac:dyDescent="0.45">
      <c r="D460" t="str">
        <f>IFERROR(VLOOKUP(C460,'Clients List'!$A:$F,2,FALSE),"")</f>
        <v/>
      </c>
      <c r="F460" s="1" t="str">
        <f>IF(OR(C460="",NOT(ISNUMBER(SEARCH("Package",D460)))),"",VLOOKUP(C460,'Clients List'!$A:$F,4,FALSE)-SUMIFS($E$2:$E460,$C$2:$C460,C460,$D$2:$D460,"*Package*"))</f>
        <v/>
      </c>
      <c r="G460" t="str">
        <f t="shared" si="15"/>
        <v/>
      </c>
      <c r="H460" s="33">
        <f>IF(ISNUMBER(SEARCH("Group",D460)),IF(G460="",E460,IFERROR(E460/COUNTIF($G2:$G6000,G460),E460)),E460)</f>
        <v>0</v>
      </c>
      <c r="I460" s="1" t="str">
        <f>IFERROR(VLOOKUP(C460,'Clients List'!A:F,6,FALSE),"")</f>
        <v/>
      </c>
      <c r="K460" s="23" t="str">
        <f>IFERROR(INDEX([2]Packages!E:E, MATCH(1, ([2]Packages!A:A=B460)*([2]Packages!B:B=C460), 0)) - SUMIFS(D$2:D460, B$2:B460, B460, C$2:C460, C460),"")</f>
        <v/>
      </c>
    </row>
    <row r="461" spans="4:11" x14ac:dyDescent="0.45">
      <c r="D461" t="str">
        <f>IFERROR(VLOOKUP(C461,'Clients List'!$A:$F,2,FALSE),"")</f>
        <v/>
      </c>
      <c r="F461" s="1" t="str">
        <f>IF(OR(C461="",NOT(ISNUMBER(SEARCH("Package",D461)))),"",VLOOKUP(C461,'Clients List'!$A:$F,4,FALSE)-SUMIFS($E$2:$E461,$C$2:$C461,C461,$D$2:$D461,"*Package*"))</f>
        <v/>
      </c>
      <c r="G461" t="str">
        <f t="shared" si="15"/>
        <v/>
      </c>
      <c r="H461" s="33">
        <f>IF(ISNUMBER(SEARCH("Group",D461)),IF(G461="",E461,IFERROR(E461/COUNTIF($G2:$G6000,G461),E461)),E461)</f>
        <v>0</v>
      </c>
      <c r="I461" s="1" t="str">
        <f>IFERROR(VLOOKUP(C461,'Clients List'!A:F,6,FALSE),"")</f>
        <v/>
      </c>
      <c r="K461" s="23" t="str">
        <f>IFERROR(INDEX([2]Packages!E:E, MATCH(1, ([2]Packages!A:A=B461)*([2]Packages!B:B=C461), 0)) - SUMIFS(D$2:D461, B$2:B461, B461, C$2:C461, C461),"")</f>
        <v/>
      </c>
    </row>
    <row r="462" spans="4:11" x14ac:dyDescent="0.45">
      <c r="D462" t="str">
        <f>IFERROR(VLOOKUP(C462,'Clients List'!$A:$F,2,FALSE),"")</f>
        <v/>
      </c>
      <c r="F462" s="1" t="str">
        <f>IF(OR(C462="",NOT(ISNUMBER(SEARCH("Package",D462)))),"",VLOOKUP(C462,'Clients List'!$A:$F,4,FALSE)-SUMIFS($E$2:$E462,$C$2:$C462,C462,$D$2:$D462,"*Package*"))</f>
        <v/>
      </c>
      <c r="G462" t="str">
        <f t="shared" si="15"/>
        <v/>
      </c>
      <c r="H462" s="33">
        <f>IF(ISNUMBER(SEARCH("Group",D462)),IF(G462="",E462,IFERROR(E462/COUNTIF($G2:$G6000,G462),E462)),E462)</f>
        <v>0</v>
      </c>
      <c r="I462" s="1" t="str">
        <f>IFERROR(VLOOKUP(C462,'Clients List'!A:F,6,FALSE),"")</f>
        <v/>
      </c>
      <c r="K462" s="23" t="str">
        <f>IFERROR(INDEX([2]Packages!E:E, MATCH(1, ([2]Packages!A:A=B462)*([2]Packages!B:B=C462), 0)) - SUMIFS(D$2:D462, B$2:B462, B462, C$2:C462, C462),"")</f>
        <v/>
      </c>
    </row>
    <row r="463" spans="4:11" x14ac:dyDescent="0.45">
      <c r="D463" t="str">
        <f>IFERROR(VLOOKUP(C463,'Clients List'!$A:$F,2,FALSE),"")</f>
        <v/>
      </c>
      <c r="F463" s="1" t="str">
        <f>IF(OR(C463="",NOT(ISNUMBER(SEARCH("Package",D463)))),"",VLOOKUP(C463,'Clients List'!$A:$F,4,FALSE)-SUMIFS($E$2:$E463,$C$2:$C463,C463,$D$2:$D463,"*Package*"))</f>
        <v/>
      </c>
      <c r="G463" t="str">
        <f t="shared" si="15"/>
        <v/>
      </c>
      <c r="H463" s="33">
        <f>IF(ISNUMBER(SEARCH("Group",D463)),IF(G463="",E463,IFERROR(E463/COUNTIF($G2:$G6000,G463),E463)),E463)</f>
        <v>0</v>
      </c>
      <c r="I463" s="1" t="str">
        <f>IFERROR(VLOOKUP(C463,'Clients List'!A:F,6,FALSE),"")</f>
        <v/>
      </c>
      <c r="K463" s="23" t="str">
        <f>IFERROR(INDEX([2]Packages!E:E, MATCH(1, ([2]Packages!A:A=B463)*([2]Packages!B:B=C463), 0)) - SUMIFS(D$2:D463, B$2:B463, B463, C$2:C463, C463),"")</f>
        <v/>
      </c>
    </row>
    <row r="464" spans="4:11" x14ac:dyDescent="0.45">
      <c r="D464" t="str">
        <f>IFERROR(VLOOKUP(C464,'Clients List'!$A:$F,2,FALSE),"")</f>
        <v/>
      </c>
      <c r="F464" s="1" t="str">
        <f>IF(OR(C464="",NOT(ISNUMBER(SEARCH("Package",D464)))),"",VLOOKUP(C464,'Clients List'!$A:$F,4,FALSE)-SUMIFS($E$2:$E464,$C$2:$C464,C464,$D$2:$D464,"*Package*"))</f>
        <v/>
      </c>
      <c r="G464" t="str">
        <f t="shared" ref="G464:G495" si="16">IF(ISNUMBER(SEARCH("Group",D464)),IFERROR("GRP-"&amp;TEXT(IF(ISNUMBER(A464),A464,DATEVALUE(A464)),"yyyymmdd"),""),"" )</f>
        <v/>
      </c>
      <c r="H464" s="33">
        <f>IF(ISNUMBER(SEARCH("Group",D464)),IF(G464="",E464,IFERROR(E464/COUNTIF($G2:$G6000,G464),E464)),E464)</f>
        <v>0</v>
      </c>
      <c r="I464" s="1" t="str">
        <f>IFERROR(VLOOKUP(C464,'Clients List'!A:F,6,FALSE),"")</f>
        <v/>
      </c>
      <c r="K464" s="23" t="str">
        <f>IFERROR(INDEX([2]Packages!E:E, MATCH(1, ([2]Packages!A:A=B464)*([2]Packages!B:B=C464), 0)) - SUMIFS(D$2:D464, B$2:B464, B464, C$2:C464, C464),"")</f>
        <v/>
      </c>
    </row>
    <row r="465" spans="4:11" x14ac:dyDescent="0.45">
      <c r="D465" t="str">
        <f>IFERROR(VLOOKUP(C465,'Clients List'!$A:$F,2,FALSE),"")</f>
        <v/>
      </c>
      <c r="F465" s="1" t="str">
        <f>IF(OR(C465="",NOT(ISNUMBER(SEARCH("Package",D465)))),"",VLOOKUP(C465,'Clients List'!$A:$F,4,FALSE)-SUMIFS($E$2:$E465,$C$2:$C465,C465,$D$2:$D465,"*Package*"))</f>
        <v/>
      </c>
      <c r="G465" t="str">
        <f t="shared" si="16"/>
        <v/>
      </c>
      <c r="H465" s="33">
        <f>IF(ISNUMBER(SEARCH("Group",D465)),IF(G465="",E465,IFERROR(E465/COUNTIF($G2:$G6000,G465),E465)),E465)</f>
        <v>0</v>
      </c>
      <c r="I465" s="1" t="str">
        <f>IFERROR(VLOOKUP(C465,'Clients List'!A:F,6,FALSE),"")</f>
        <v/>
      </c>
      <c r="K465" s="23" t="str">
        <f>IFERROR(INDEX([2]Packages!E:E, MATCH(1, ([2]Packages!A:A=B465)*([2]Packages!B:B=C465), 0)) - SUMIFS(D$2:D465, B$2:B465, B465, C$2:C465, C465),"")</f>
        <v/>
      </c>
    </row>
    <row r="466" spans="4:11" x14ac:dyDescent="0.45">
      <c r="D466" t="str">
        <f>IFERROR(VLOOKUP(C466,'Clients List'!$A:$F,2,FALSE),"")</f>
        <v/>
      </c>
      <c r="F466" s="1" t="str">
        <f>IF(OR(C466="",NOT(ISNUMBER(SEARCH("Package",D466)))),"",VLOOKUP(C466,'Clients List'!$A:$F,4,FALSE)-SUMIFS($E$2:$E466,$C$2:$C466,C466,$D$2:$D466,"*Package*"))</f>
        <v/>
      </c>
      <c r="G466" t="str">
        <f t="shared" si="16"/>
        <v/>
      </c>
      <c r="H466" s="33">
        <f>IF(ISNUMBER(SEARCH("Group",D466)),IF(G466="",E466,IFERROR(E466/COUNTIF($G2:$G6000,G466),E466)),E466)</f>
        <v>0</v>
      </c>
      <c r="I466" s="1" t="str">
        <f>IFERROR(VLOOKUP(C466,'Clients List'!A:F,6,FALSE),"")</f>
        <v/>
      </c>
      <c r="K466" s="23" t="str">
        <f>IFERROR(INDEX([2]Packages!E:E, MATCH(1, ([2]Packages!A:A=B466)*([2]Packages!B:B=C466), 0)) - SUMIFS(D$2:D466, B$2:B466, B466, C$2:C466, C466),"")</f>
        <v/>
      </c>
    </row>
    <row r="467" spans="4:11" x14ac:dyDescent="0.45">
      <c r="D467" t="str">
        <f>IFERROR(VLOOKUP(C467,'Clients List'!$A:$F,2,FALSE),"")</f>
        <v/>
      </c>
      <c r="F467" s="1" t="str">
        <f>IF(OR(C467="",NOT(ISNUMBER(SEARCH("Package",D467)))),"",VLOOKUP(C467,'Clients List'!$A:$F,4,FALSE)-SUMIFS($E$2:$E467,$C$2:$C467,C467,$D$2:$D467,"*Package*"))</f>
        <v/>
      </c>
      <c r="G467" t="str">
        <f t="shared" si="16"/>
        <v/>
      </c>
      <c r="H467" s="33">
        <f>IF(ISNUMBER(SEARCH("Group",D467)),IF(G467="",E467,IFERROR(E467/COUNTIF($G2:$G6000,G467),E467)),E467)</f>
        <v>0</v>
      </c>
      <c r="I467" s="1" t="str">
        <f>IFERROR(VLOOKUP(C467,'Clients List'!A:F,6,FALSE),"")</f>
        <v/>
      </c>
      <c r="K467" s="23" t="str">
        <f>IFERROR(INDEX([2]Packages!E:E, MATCH(1, ([2]Packages!A:A=B467)*([2]Packages!B:B=C467), 0)) - SUMIFS(D$2:D467, B$2:B467, B467, C$2:C467, C467),"")</f>
        <v/>
      </c>
    </row>
    <row r="468" spans="4:11" x14ac:dyDescent="0.45">
      <c r="D468" t="str">
        <f>IFERROR(VLOOKUP(C468,'Clients List'!$A:$F,2,FALSE),"")</f>
        <v/>
      </c>
      <c r="F468" s="1" t="str">
        <f>IF(OR(C468="",NOT(ISNUMBER(SEARCH("Package",D468)))),"",VLOOKUP(C468,'Clients List'!$A:$F,4,FALSE)-SUMIFS($E$2:$E468,$C$2:$C468,C468,$D$2:$D468,"*Package*"))</f>
        <v/>
      </c>
      <c r="G468" t="str">
        <f t="shared" si="16"/>
        <v/>
      </c>
      <c r="H468" s="33">
        <f>IF(ISNUMBER(SEARCH("Group",D468)),IF(G468="",E468,IFERROR(E468/COUNTIF($G2:$G6000,G468),E468)),E468)</f>
        <v>0</v>
      </c>
      <c r="I468" s="1" t="str">
        <f>IFERROR(VLOOKUP(C468,'Clients List'!A:F,6,FALSE),"")</f>
        <v/>
      </c>
      <c r="K468" s="23" t="str">
        <f>IFERROR(INDEX([2]Packages!E:E, MATCH(1, ([2]Packages!A:A=B468)*([2]Packages!B:B=C468), 0)) - SUMIFS(D$2:D468, B$2:B468, B468, C$2:C468, C468),"")</f>
        <v/>
      </c>
    </row>
    <row r="469" spans="4:11" x14ac:dyDescent="0.45">
      <c r="D469" t="str">
        <f>IFERROR(VLOOKUP(C469,'Clients List'!$A:$F,2,FALSE),"")</f>
        <v/>
      </c>
      <c r="F469" s="1" t="str">
        <f>IF(OR(C469="",NOT(ISNUMBER(SEARCH("Package",D469)))),"",VLOOKUP(C469,'Clients List'!$A:$F,4,FALSE)-SUMIFS($E$2:$E469,$C$2:$C469,C469,$D$2:$D469,"*Package*"))</f>
        <v/>
      </c>
      <c r="G469" t="str">
        <f t="shared" si="16"/>
        <v/>
      </c>
      <c r="H469" s="33">
        <f>IF(ISNUMBER(SEARCH("Group",D469)),IF(G469="",E469,IFERROR(E469/COUNTIF($G2:$G6000,G469),E469)),E469)</f>
        <v>0</v>
      </c>
      <c r="I469" s="1" t="str">
        <f>IFERROR(VLOOKUP(C469,'Clients List'!A:F,6,FALSE),"")</f>
        <v/>
      </c>
      <c r="K469" s="23" t="str">
        <f>IFERROR(INDEX([2]Packages!E:E, MATCH(1, ([2]Packages!A:A=B469)*([2]Packages!B:B=C469), 0)) - SUMIFS(D$2:D469, B$2:B469, B469, C$2:C469, C469),"")</f>
        <v/>
      </c>
    </row>
    <row r="470" spans="4:11" x14ac:dyDescent="0.45">
      <c r="D470" t="str">
        <f>IFERROR(VLOOKUP(C470,'Clients List'!$A:$F,2,FALSE),"")</f>
        <v/>
      </c>
      <c r="F470" s="1" t="str">
        <f>IF(OR(C470="",NOT(ISNUMBER(SEARCH("Package",D470)))),"",VLOOKUP(C470,'Clients List'!$A:$F,4,FALSE)-SUMIFS($E$2:$E470,$C$2:$C470,C470,$D$2:$D470,"*Package*"))</f>
        <v/>
      </c>
      <c r="G470" t="str">
        <f t="shared" si="16"/>
        <v/>
      </c>
      <c r="H470" s="33">
        <f>IF(ISNUMBER(SEARCH("Group",D470)),IF(G470="",E470,IFERROR(E470/COUNTIF($G2:$G6000,G470),E470)),E470)</f>
        <v>0</v>
      </c>
      <c r="I470" s="1" t="str">
        <f>IFERROR(VLOOKUP(C470,'Clients List'!A:F,6,FALSE),"")</f>
        <v/>
      </c>
      <c r="K470" s="23" t="str">
        <f>IFERROR(INDEX([2]Packages!E:E, MATCH(1, ([2]Packages!A:A=B470)*([2]Packages!B:B=C470), 0)) - SUMIFS(D$2:D470, B$2:B470, B470, C$2:C470, C470),"")</f>
        <v/>
      </c>
    </row>
    <row r="471" spans="4:11" x14ac:dyDescent="0.45">
      <c r="D471" t="str">
        <f>IFERROR(VLOOKUP(C471,'Clients List'!$A:$F,2,FALSE),"")</f>
        <v/>
      </c>
      <c r="F471" s="1" t="str">
        <f>IF(OR(C471="",NOT(ISNUMBER(SEARCH("Package",D471)))),"",VLOOKUP(C471,'Clients List'!$A:$F,4,FALSE)-SUMIFS($E$2:$E471,$C$2:$C471,C471,$D$2:$D471,"*Package*"))</f>
        <v/>
      </c>
      <c r="G471" t="str">
        <f t="shared" si="16"/>
        <v/>
      </c>
      <c r="H471" s="33">
        <f>IF(ISNUMBER(SEARCH("Group",D471)),IF(G471="",E471,IFERROR(E471/COUNTIF($G2:$G6000,G471),E471)),E471)</f>
        <v>0</v>
      </c>
      <c r="I471" s="1" t="str">
        <f>IFERROR(VLOOKUP(C471,'Clients List'!A:F,6,FALSE),"")</f>
        <v/>
      </c>
      <c r="K471" s="23" t="str">
        <f>IFERROR(INDEX([2]Packages!E:E, MATCH(1, ([2]Packages!A:A=B471)*([2]Packages!B:B=C471), 0)) - SUMIFS(D$2:D471, B$2:B471, B471, C$2:C471, C471),"")</f>
        <v/>
      </c>
    </row>
    <row r="472" spans="4:11" x14ac:dyDescent="0.45">
      <c r="D472" t="str">
        <f>IFERROR(VLOOKUP(C472,'Clients List'!$A:$F,2,FALSE),"")</f>
        <v/>
      </c>
      <c r="F472" s="1" t="str">
        <f>IF(OR(C472="",NOT(ISNUMBER(SEARCH("Package",D472)))),"",VLOOKUP(C472,'Clients List'!$A:$F,4,FALSE)-SUMIFS($E$2:$E472,$C$2:$C472,C472,$D$2:$D472,"*Package*"))</f>
        <v/>
      </c>
      <c r="G472" t="str">
        <f t="shared" si="16"/>
        <v/>
      </c>
      <c r="H472" s="33">
        <f>IF(ISNUMBER(SEARCH("Group",D472)),IF(G472="",E472,IFERROR(E472/COUNTIF($G2:$G6000,G472),E472)),E472)</f>
        <v>0</v>
      </c>
      <c r="I472" s="1" t="str">
        <f>IFERROR(VLOOKUP(C472,'Clients List'!A:F,6,FALSE),"")</f>
        <v/>
      </c>
      <c r="K472" s="23" t="str">
        <f>IFERROR(INDEX([2]Packages!E:E, MATCH(1, ([2]Packages!A:A=B472)*([2]Packages!B:B=C472), 0)) - SUMIFS(D$2:D472, B$2:B472, B472, C$2:C472, C472),"")</f>
        <v/>
      </c>
    </row>
    <row r="473" spans="4:11" x14ac:dyDescent="0.45">
      <c r="D473" t="str">
        <f>IFERROR(VLOOKUP(C473,'Clients List'!$A:$F,2,FALSE),"")</f>
        <v/>
      </c>
      <c r="F473" s="1" t="str">
        <f>IF(OR(C473="",NOT(ISNUMBER(SEARCH("Package",D473)))),"",VLOOKUP(C473,'Clients List'!$A:$F,4,FALSE)-SUMIFS($E$2:$E473,$C$2:$C473,C473,$D$2:$D473,"*Package*"))</f>
        <v/>
      </c>
      <c r="G473" t="str">
        <f t="shared" si="16"/>
        <v/>
      </c>
      <c r="H473" s="33">
        <f>IF(ISNUMBER(SEARCH("Group",D473)),IF(G473="",E473,IFERROR(E473/COUNTIF($G2:$G6000,G473),E473)),E473)</f>
        <v>0</v>
      </c>
      <c r="I473" s="1" t="str">
        <f>IFERROR(VLOOKUP(C473,'Clients List'!A:F,6,FALSE),"")</f>
        <v/>
      </c>
      <c r="K473" s="23" t="str">
        <f>IFERROR(INDEX([2]Packages!E:E, MATCH(1, ([2]Packages!A:A=B473)*([2]Packages!B:B=C473), 0)) - SUMIFS(D$2:D473, B$2:B473, B473, C$2:C473, C473),"")</f>
        <v/>
      </c>
    </row>
    <row r="474" spans="4:11" x14ac:dyDescent="0.45">
      <c r="D474" t="str">
        <f>IFERROR(VLOOKUP(C474,'Clients List'!$A:$F,2,FALSE),"")</f>
        <v/>
      </c>
      <c r="F474" s="1" t="str">
        <f>IF(OR(C474="",NOT(ISNUMBER(SEARCH("Package",D474)))),"",VLOOKUP(C474,'Clients List'!$A:$F,4,FALSE)-SUMIFS($E$2:$E474,$C$2:$C474,C474,$D$2:$D474,"*Package*"))</f>
        <v/>
      </c>
      <c r="G474" t="str">
        <f t="shared" si="16"/>
        <v/>
      </c>
      <c r="H474" s="33">
        <f>IF(ISNUMBER(SEARCH("Group",D474)),IF(G474="",E474,IFERROR(E474/COUNTIF($G2:$G6000,G474),E474)),E474)</f>
        <v>0</v>
      </c>
      <c r="I474" s="1" t="str">
        <f>IFERROR(VLOOKUP(C474,'Clients List'!A:F,6,FALSE),"")</f>
        <v/>
      </c>
      <c r="K474" s="23" t="str">
        <f>IFERROR(INDEX([2]Packages!E:E, MATCH(1, ([2]Packages!A:A=B474)*([2]Packages!B:B=C474), 0)) - SUMIFS(D$2:D474, B$2:B474, B474, C$2:C474, C474),"")</f>
        <v/>
      </c>
    </row>
    <row r="475" spans="4:11" x14ac:dyDescent="0.45">
      <c r="D475" t="str">
        <f>IFERROR(VLOOKUP(C475,'Clients List'!$A:$F,2,FALSE),"")</f>
        <v/>
      </c>
      <c r="F475" s="1" t="str">
        <f>IF(OR(C475="",NOT(ISNUMBER(SEARCH("Package",D475)))),"",VLOOKUP(C475,'Clients List'!$A:$F,4,FALSE)-SUMIFS($E$2:$E475,$C$2:$C475,C475,$D$2:$D475,"*Package*"))</f>
        <v/>
      </c>
      <c r="G475" t="str">
        <f t="shared" si="16"/>
        <v/>
      </c>
      <c r="H475" s="33">
        <f>IF(ISNUMBER(SEARCH("Group",D475)),IF(G475="",E475,IFERROR(E475/COUNTIF($G2:$G6000,G475),E475)),E475)</f>
        <v>0</v>
      </c>
      <c r="I475" s="1" t="str">
        <f>IFERROR(VLOOKUP(C475,'Clients List'!A:F,6,FALSE),"")</f>
        <v/>
      </c>
      <c r="K475" s="23" t="str">
        <f>IFERROR(INDEX([2]Packages!E:E, MATCH(1, ([2]Packages!A:A=B475)*([2]Packages!B:B=C475), 0)) - SUMIFS(D$2:D475, B$2:B475, B475, C$2:C475, C475),"")</f>
        <v/>
      </c>
    </row>
    <row r="476" spans="4:11" x14ac:dyDescent="0.45">
      <c r="D476" t="str">
        <f>IFERROR(VLOOKUP(C476,'Clients List'!$A:$F,2,FALSE),"")</f>
        <v/>
      </c>
      <c r="F476" s="1" t="str">
        <f>IF(OR(C476="",NOT(ISNUMBER(SEARCH("Package",D476)))),"",VLOOKUP(C476,'Clients List'!$A:$F,4,FALSE)-SUMIFS($E$2:$E476,$C$2:$C476,C476,$D$2:$D476,"*Package*"))</f>
        <v/>
      </c>
      <c r="G476" t="str">
        <f t="shared" si="16"/>
        <v/>
      </c>
      <c r="H476" s="33">
        <f>IF(ISNUMBER(SEARCH("Group",D476)),IF(G476="",E476,IFERROR(E476/COUNTIF($G2:$G6000,G476),E476)),E476)</f>
        <v>0</v>
      </c>
      <c r="I476" s="1" t="str">
        <f>IFERROR(VLOOKUP(C476,'Clients List'!A:F,6,FALSE),"")</f>
        <v/>
      </c>
      <c r="K476" s="23" t="str">
        <f>IFERROR(INDEX([2]Packages!E:E, MATCH(1, ([2]Packages!A:A=B476)*([2]Packages!B:B=C476), 0)) - SUMIFS(D$2:D476, B$2:B476, B476, C$2:C476, C476),"")</f>
        <v/>
      </c>
    </row>
    <row r="477" spans="4:11" x14ac:dyDescent="0.45">
      <c r="D477" t="str">
        <f>IFERROR(VLOOKUP(C477,'Clients List'!$A:$F,2,FALSE),"")</f>
        <v/>
      </c>
      <c r="F477" s="1" t="str">
        <f>IF(OR(C477="",NOT(ISNUMBER(SEARCH("Package",D477)))),"",VLOOKUP(C477,'Clients List'!$A:$F,4,FALSE)-SUMIFS($E$2:$E477,$C$2:$C477,C477,$D$2:$D477,"*Package*"))</f>
        <v/>
      </c>
      <c r="G477" t="str">
        <f t="shared" si="16"/>
        <v/>
      </c>
      <c r="H477" s="33">
        <f>IF(ISNUMBER(SEARCH("Group",D477)),IF(G477="",E477,IFERROR(E477/COUNTIF($G2:$G6000,G477),E477)),E477)</f>
        <v>0</v>
      </c>
      <c r="I477" s="1" t="str">
        <f>IFERROR(VLOOKUP(C477,'Clients List'!A:F,6,FALSE),"")</f>
        <v/>
      </c>
      <c r="K477" s="23" t="str">
        <f>IFERROR(INDEX([2]Packages!E:E, MATCH(1, ([2]Packages!A:A=B477)*([2]Packages!B:B=C477), 0)) - SUMIFS(D$2:D477, B$2:B477, B477, C$2:C477, C477),"")</f>
        <v/>
      </c>
    </row>
    <row r="478" spans="4:11" x14ac:dyDescent="0.45">
      <c r="D478" t="str">
        <f>IFERROR(VLOOKUP(C478,'Clients List'!$A:$F,2,FALSE),"")</f>
        <v/>
      </c>
      <c r="F478" s="1" t="str">
        <f>IF(OR(C478="",NOT(ISNUMBER(SEARCH("Package",D478)))),"",VLOOKUP(C478,'Clients List'!$A:$F,4,FALSE)-SUMIFS($E$2:$E478,$C$2:$C478,C478,$D$2:$D478,"*Package*"))</f>
        <v/>
      </c>
      <c r="G478" t="str">
        <f t="shared" si="16"/>
        <v/>
      </c>
      <c r="H478" s="33">
        <f>IF(ISNUMBER(SEARCH("Group",D478)),IF(G478="",E478,IFERROR(E478/COUNTIF($G2:$G6000,G478),E478)),E478)</f>
        <v>0</v>
      </c>
      <c r="I478" s="1" t="str">
        <f>IFERROR(VLOOKUP(C478,'Clients List'!A:F,6,FALSE),"")</f>
        <v/>
      </c>
      <c r="K478" s="23" t="str">
        <f>IFERROR(INDEX([2]Packages!E:E, MATCH(1, ([2]Packages!A:A=B478)*([2]Packages!B:B=C478), 0)) - SUMIFS(D$2:D478, B$2:B478, B478, C$2:C478, C478),"")</f>
        <v/>
      </c>
    </row>
    <row r="479" spans="4:11" x14ac:dyDescent="0.45">
      <c r="D479" t="str">
        <f>IFERROR(VLOOKUP(C479,'Clients List'!$A:$F,2,FALSE),"")</f>
        <v/>
      </c>
      <c r="F479" s="1" t="str">
        <f>IF(OR(C479="",NOT(ISNUMBER(SEARCH("Package",D479)))),"",VLOOKUP(C479,'Clients List'!$A:$F,4,FALSE)-SUMIFS($E$2:$E479,$C$2:$C479,C479,$D$2:$D479,"*Package*"))</f>
        <v/>
      </c>
      <c r="G479" t="str">
        <f t="shared" si="16"/>
        <v/>
      </c>
      <c r="H479" s="33">
        <f>IF(ISNUMBER(SEARCH("Group",D479)),IF(G479="",E479,IFERROR(E479/COUNTIF($G2:$G6000,G479),E479)),E479)</f>
        <v>0</v>
      </c>
      <c r="I479" s="1" t="str">
        <f>IFERROR(VLOOKUP(C479,'Clients List'!A:F,6,FALSE),"")</f>
        <v/>
      </c>
      <c r="K479" s="23" t="str">
        <f>IFERROR(INDEX([2]Packages!E:E, MATCH(1, ([2]Packages!A:A=B479)*([2]Packages!B:B=C479), 0)) - SUMIFS(D$2:D479, B$2:B479, B479, C$2:C479, C479),"")</f>
        <v/>
      </c>
    </row>
    <row r="480" spans="4:11" x14ac:dyDescent="0.45">
      <c r="D480" t="str">
        <f>IFERROR(VLOOKUP(C480,'Clients List'!$A:$F,2,FALSE),"")</f>
        <v/>
      </c>
      <c r="F480" s="1" t="str">
        <f>IF(OR(C480="",NOT(ISNUMBER(SEARCH("Package",D480)))),"",VLOOKUP(C480,'Clients List'!$A:$F,4,FALSE)-SUMIFS($E$2:$E480,$C$2:$C480,C480,$D$2:$D480,"*Package*"))</f>
        <v/>
      </c>
      <c r="G480" t="str">
        <f t="shared" si="16"/>
        <v/>
      </c>
      <c r="H480" s="33">
        <f>IF(ISNUMBER(SEARCH("Group",D480)),IF(G480="",E480,IFERROR(E480/COUNTIF($G2:$G6000,G480),E480)),E480)</f>
        <v>0</v>
      </c>
      <c r="I480" s="1" t="str">
        <f>IFERROR(VLOOKUP(C480,'Clients List'!A:F,6,FALSE),"")</f>
        <v/>
      </c>
      <c r="K480" s="23" t="str">
        <f>IFERROR(INDEX([2]Packages!E:E, MATCH(1, ([2]Packages!A:A=B480)*([2]Packages!B:B=C480), 0)) - SUMIFS(D$2:D480, B$2:B480, B480, C$2:C480, C480),"")</f>
        <v/>
      </c>
    </row>
    <row r="481" spans="4:11" x14ac:dyDescent="0.45">
      <c r="D481" t="str">
        <f>IFERROR(VLOOKUP(C481,'Clients List'!$A:$F,2,FALSE),"")</f>
        <v/>
      </c>
      <c r="F481" s="1" t="str">
        <f>IF(OR(C481="",NOT(ISNUMBER(SEARCH("Package",D481)))),"",VLOOKUP(C481,'Clients List'!$A:$F,4,FALSE)-SUMIFS($E$2:$E481,$C$2:$C481,C481,$D$2:$D481,"*Package*"))</f>
        <v/>
      </c>
      <c r="G481" t="str">
        <f t="shared" si="16"/>
        <v/>
      </c>
      <c r="H481" s="33">
        <f>IF(ISNUMBER(SEARCH("Group",D481)),IF(G481="",E481,IFERROR(E481/COUNTIF($G2:$G6000,G481),E481)),E481)</f>
        <v>0</v>
      </c>
      <c r="I481" s="1" t="str">
        <f>IFERROR(VLOOKUP(C481,'Clients List'!A:F,6,FALSE),"")</f>
        <v/>
      </c>
      <c r="K481" s="23" t="str">
        <f>IFERROR(INDEX([2]Packages!E:E, MATCH(1, ([2]Packages!A:A=B481)*([2]Packages!B:B=C481), 0)) - SUMIFS(D$2:D481, B$2:B481, B481, C$2:C481, C481),"")</f>
        <v/>
      </c>
    </row>
    <row r="482" spans="4:11" x14ac:dyDescent="0.45">
      <c r="D482" t="str">
        <f>IFERROR(VLOOKUP(C482,'Clients List'!$A:$F,2,FALSE),"")</f>
        <v/>
      </c>
      <c r="F482" s="1" t="str">
        <f>IF(OR(C482="",NOT(ISNUMBER(SEARCH("Package",D482)))),"",VLOOKUP(C482,'Clients List'!$A:$F,4,FALSE)-SUMIFS($E$2:$E482,$C$2:$C482,C482,$D$2:$D482,"*Package*"))</f>
        <v/>
      </c>
      <c r="G482" t="str">
        <f t="shared" si="16"/>
        <v/>
      </c>
      <c r="H482" s="33">
        <f>IF(ISNUMBER(SEARCH("Group",D482)),IF(G482="",E482,IFERROR(E482/COUNTIF($G2:$G6000,G482),E482)),E482)</f>
        <v>0</v>
      </c>
      <c r="I482" s="1" t="str">
        <f>IFERROR(VLOOKUP(C482,'Clients List'!A:F,6,FALSE),"")</f>
        <v/>
      </c>
      <c r="K482" s="23" t="str">
        <f>IFERROR(INDEX([2]Packages!E:E, MATCH(1, ([2]Packages!A:A=B482)*([2]Packages!B:B=C482), 0)) - SUMIFS(D$2:D482, B$2:B482, B482, C$2:C482, C482),"")</f>
        <v/>
      </c>
    </row>
    <row r="483" spans="4:11" x14ac:dyDescent="0.45">
      <c r="D483" t="str">
        <f>IFERROR(VLOOKUP(C483,'Clients List'!$A:$F,2,FALSE),"")</f>
        <v/>
      </c>
      <c r="F483" s="1" t="str">
        <f>IF(OR(C483="",NOT(ISNUMBER(SEARCH("Package",D483)))),"",VLOOKUP(C483,'Clients List'!$A:$F,4,FALSE)-SUMIFS($E$2:$E483,$C$2:$C483,C483,$D$2:$D483,"*Package*"))</f>
        <v/>
      </c>
      <c r="G483" t="str">
        <f t="shared" si="16"/>
        <v/>
      </c>
      <c r="H483" s="33">
        <f>IF(ISNUMBER(SEARCH("Group",D483)),IF(G483="",E483,IFERROR(E483/COUNTIF($G2:$G6000,G483),E483)),E483)</f>
        <v>0</v>
      </c>
      <c r="I483" s="1" t="str">
        <f>IFERROR(VLOOKUP(C483,'Clients List'!A:F,6,FALSE),"")</f>
        <v/>
      </c>
      <c r="K483" s="23" t="str">
        <f>IFERROR(INDEX([2]Packages!E:E, MATCH(1, ([2]Packages!A:A=B483)*([2]Packages!B:B=C483), 0)) - SUMIFS(D$2:D483, B$2:B483, B483, C$2:C483, C483),"")</f>
        <v/>
      </c>
    </row>
    <row r="484" spans="4:11" x14ac:dyDescent="0.45">
      <c r="D484" t="str">
        <f>IFERROR(VLOOKUP(C484,'Clients List'!$A:$F,2,FALSE),"")</f>
        <v/>
      </c>
      <c r="F484" s="1" t="str">
        <f>IF(OR(C484="",NOT(ISNUMBER(SEARCH("Package",D484)))),"",VLOOKUP(C484,'Clients List'!$A:$F,4,FALSE)-SUMIFS($E$2:$E484,$C$2:$C484,C484,$D$2:$D484,"*Package*"))</f>
        <v/>
      </c>
      <c r="G484" t="str">
        <f t="shared" si="16"/>
        <v/>
      </c>
      <c r="H484" s="33">
        <f>IF(ISNUMBER(SEARCH("Group",D484)),IF(G484="",E484,IFERROR(E484/COUNTIF($G2:$G6000,G484),E484)),E484)</f>
        <v>0</v>
      </c>
      <c r="I484" s="1" t="str">
        <f>IFERROR(VLOOKUP(C484,'Clients List'!A:F,6,FALSE),"")</f>
        <v/>
      </c>
      <c r="K484" s="23" t="str">
        <f>IFERROR(INDEX([2]Packages!E:E, MATCH(1, ([2]Packages!A:A=B484)*([2]Packages!B:B=C484), 0)) - SUMIFS(D$2:D484, B$2:B484, B484, C$2:C484, C484),"")</f>
        <v/>
      </c>
    </row>
    <row r="485" spans="4:11" x14ac:dyDescent="0.45">
      <c r="D485" t="str">
        <f>IFERROR(VLOOKUP(C485,'Clients List'!$A:$F,2,FALSE),"")</f>
        <v/>
      </c>
      <c r="F485" s="1" t="str">
        <f>IF(OR(C485="",NOT(ISNUMBER(SEARCH("Package",D485)))),"",VLOOKUP(C485,'Clients List'!$A:$F,4,FALSE)-SUMIFS($E$2:$E485,$C$2:$C485,C485,$D$2:$D485,"*Package*"))</f>
        <v/>
      </c>
      <c r="G485" t="str">
        <f t="shared" si="16"/>
        <v/>
      </c>
      <c r="H485" s="33">
        <f>IF(ISNUMBER(SEARCH("Group",D485)),IF(G485="",E485,IFERROR(E485/COUNTIF($G2:$G6000,G485),E485)),E485)</f>
        <v>0</v>
      </c>
      <c r="I485" s="1" t="str">
        <f>IFERROR(VLOOKUP(C485,'Clients List'!A:F,6,FALSE),"")</f>
        <v/>
      </c>
      <c r="K485" s="23" t="str">
        <f>IFERROR(INDEX([2]Packages!E:E, MATCH(1, ([2]Packages!A:A=B485)*([2]Packages!B:B=C485), 0)) - SUMIFS(D$2:D485, B$2:B485, B485, C$2:C485, C485),"")</f>
        <v/>
      </c>
    </row>
    <row r="486" spans="4:11" x14ac:dyDescent="0.45">
      <c r="D486" t="str">
        <f>IFERROR(VLOOKUP(C486,'Clients List'!$A:$F,2,FALSE),"")</f>
        <v/>
      </c>
      <c r="F486" s="1" t="str">
        <f>IF(OR(C486="",NOT(ISNUMBER(SEARCH("Package",D486)))),"",VLOOKUP(C486,'Clients List'!$A:$F,4,FALSE)-SUMIFS($E$2:$E486,$C$2:$C486,C486,$D$2:$D486,"*Package*"))</f>
        <v/>
      </c>
      <c r="G486" t="str">
        <f t="shared" si="16"/>
        <v/>
      </c>
      <c r="H486" s="33">
        <f>IF(ISNUMBER(SEARCH("Group",D486)),IF(G486="",E486,IFERROR(E486/COUNTIF($G2:$G6000,G486),E486)),E486)</f>
        <v>0</v>
      </c>
      <c r="I486" s="1" t="str">
        <f>IFERROR(VLOOKUP(C486,'Clients List'!A:F,6,FALSE),"")</f>
        <v/>
      </c>
      <c r="K486" s="23" t="str">
        <f>IFERROR(INDEX([2]Packages!E:E, MATCH(1, ([2]Packages!A:A=B486)*([2]Packages!B:B=C486), 0)) - SUMIFS(D$2:D486, B$2:B486, B486, C$2:C486, C486),"")</f>
        <v/>
      </c>
    </row>
    <row r="487" spans="4:11" x14ac:dyDescent="0.45">
      <c r="D487" t="str">
        <f>IFERROR(VLOOKUP(C487,'Clients List'!$A:$F,2,FALSE),"")</f>
        <v/>
      </c>
      <c r="F487" s="1" t="str">
        <f>IF(OR(C487="",NOT(ISNUMBER(SEARCH("Package",D487)))),"",VLOOKUP(C487,'Clients List'!$A:$F,4,FALSE)-SUMIFS($E$2:$E487,$C$2:$C487,C487,$D$2:$D487,"*Package*"))</f>
        <v/>
      </c>
      <c r="G487" t="str">
        <f t="shared" si="16"/>
        <v/>
      </c>
      <c r="H487" s="33">
        <f>IF(ISNUMBER(SEARCH("Group",D487)),IF(G487="",E487,IFERROR(E487/COUNTIF($G2:$G6000,G487),E487)),E487)</f>
        <v>0</v>
      </c>
      <c r="I487" s="1" t="str">
        <f>IFERROR(VLOOKUP(C487,'Clients List'!A:F,6,FALSE),"")</f>
        <v/>
      </c>
      <c r="K487" s="23" t="str">
        <f>IFERROR(INDEX([2]Packages!E:E, MATCH(1, ([2]Packages!A:A=B487)*([2]Packages!B:B=C487), 0)) - SUMIFS(D$2:D487, B$2:B487, B487, C$2:C487, C487),"")</f>
        <v/>
      </c>
    </row>
    <row r="488" spans="4:11" x14ac:dyDescent="0.45">
      <c r="D488" t="str">
        <f>IFERROR(VLOOKUP(C488,'Clients List'!$A:$F,2,FALSE),"")</f>
        <v/>
      </c>
      <c r="F488" s="1" t="str">
        <f>IF(OR(C488="",NOT(ISNUMBER(SEARCH("Package",D488)))),"",VLOOKUP(C488,'Clients List'!$A:$F,4,FALSE)-SUMIFS($E$2:$E488,$C$2:$C488,C488,$D$2:$D488,"*Package*"))</f>
        <v/>
      </c>
      <c r="G488" t="str">
        <f t="shared" si="16"/>
        <v/>
      </c>
      <c r="H488" s="33">
        <f>IF(ISNUMBER(SEARCH("Group",D488)),IF(G488="",E488,IFERROR(E488/COUNTIF($G2:$G6000,G488),E488)),E488)</f>
        <v>0</v>
      </c>
      <c r="I488" s="1" t="str">
        <f>IFERROR(VLOOKUP(C488,'Clients List'!A:F,6,FALSE),"")</f>
        <v/>
      </c>
      <c r="K488" s="23" t="str">
        <f>IFERROR(INDEX([2]Packages!E:E, MATCH(1, ([2]Packages!A:A=B488)*([2]Packages!B:B=C488), 0)) - SUMIFS(D$2:D488, B$2:B488, B488, C$2:C488, C488),"")</f>
        <v/>
      </c>
    </row>
    <row r="489" spans="4:11" x14ac:dyDescent="0.45">
      <c r="D489" t="str">
        <f>IFERROR(VLOOKUP(C489,'Clients List'!$A:$F,2,FALSE),"")</f>
        <v/>
      </c>
      <c r="F489" s="1" t="str">
        <f>IF(OR(C489="",NOT(ISNUMBER(SEARCH("Package",D489)))),"",VLOOKUP(C489,'Clients List'!$A:$F,4,FALSE)-SUMIFS($E$2:$E489,$C$2:$C489,C489,$D$2:$D489,"*Package*"))</f>
        <v/>
      </c>
      <c r="G489" t="str">
        <f t="shared" si="16"/>
        <v/>
      </c>
      <c r="H489" s="33">
        <f>IF(ISNUMBER(SEARCH("Group",D489)),IF(G489="",E489,IFERROR(E489/COUNTIF($G2:$G6000,G489),E489)),E489)</f>
        <v>0</v>
      </c>
      <c r="I489" s="1" t="str">
        <f>IFERROR(VLOOKUP(C489,'Clients List'!A:F,6,FALSE),"")</f>
        <v/>
      </c>
      <c r="K489" s="23" t="str">
        <f>IFERROR(INDEX([2]Packages!E:E, MATCH(1, ([2]Packages!A:A=B489)*([2]Packages!B:B=C489), 0)) - SUMIFS(D$2:D489, B$2:B489, B489, C$2:C489, C489),"")</f>
        <v/>
      </c>
    </row>
    <row r="490" spans="4:11" x14ac:dyDescent="0.45">
      <c r="D490" t="str">
        <f>IFERROR(VLOOKUP(C490,'Clients List'!$A:$F,2,FALSE),"")</f>
        <v/>
      </c>
      <c r="F490" s="1" t="str">
        <f>IF(OR(C490="",NOT(ISNUMBER(SEARCH("Package",D490)))),"",VLOOKUP(C490,'Clients List'!$A:$F,4,FALSE)-SUMIFS($E$2:$E490,$C$2:$C490,C490,$D$2:$D490,"*Package*"))</f>
        <v/>
      </c>
      <c r="G490" t="str">
        <f t="shared" si="16"/>
        <v/>
      </c>
      <c r="H490" s="33">
        <f>IF(ISNUMBER(SEARCH("Group",D490)),IF(G490="",E490,IFERROR(E490/COUNTIF($G2:$G6000,G490),E490)),E490)</f>
        <v>0</v>
      </c>
      <c r="I490" s="1" t="str">
        <f>IFERROR(VLOOKUP(C490,'Clients List'!A:F,6,FALSE),"")</f>
        <v/>
      </c>
      <c r="K490" s="23" t="str">
        <f>IFERROR(INDEX([2]Packages!E:E, MATCH(1, ([2]Packages!A:A=B490)*([2]Packages!B:B=C490), 0)) - SUMIFS(D$2:D490, B$2:B490, B490, C$2:C490, C490),"")</f>
        <v/>
      </c>
    </row>
    <row r="491" spans="4:11" x14ac:dyDescent="0.45">
      <c r="D491" t="str">
        <f>IFERROR(VLOOKUP(C491,'Clients List'!$A:$F,2,FALSE),"")</f>
        <v/>
      </c>
      <c r="F491" s="1" t="str">
        <f>IF(OR(C491="",NOT(ISNUMBER(SEARCH("Package",D491)))),"",VLOOKUP(C491,'Clients List'!$A:$F,4,FALSE)-SUMIFS($E$2:$E491,$C$2:$C491,C491,$D$2:$D491,"*Package*"))</f>
        <v/>
      </c>
      <c r="G491" t="str">
        <f t="shared" si="16"/>
        <v/>
      </c>
      <c r="H491" s="33">
        <f>IF(ISNUMBER(SEARCH("Group",D491)),IF(G491="",E491,IFERROR(E491/COUNTIF($G2:$G6000,G491),E491)),E491)</f>
        <v>0</v>
      </c>
      <c r="I491" s="1" t="str">
        <f>IFERROR(VLOOKUP(C491,'Clients List'!A:F,6,FALSE),"")</f>
        <v/>
      </c>
      <c r="K491" s="23" t="str">
        <f>IFERROR(INDEX([2]Packages!E:E, MATCH(1, ([2]Packages!A:A=B491)*([2]Packages!B:B=C491), 0)) - SUMIFS(D$2:D491, B$2:B491, B491, C$2:C491, C491),"")</f>
        <v/>
      </c>
    </row>
    <row r="492" spans="4:11" x14ac:dyDescent="0.45">
      <c r="D492" t="str">
        <f>IFERROR(VLOOKUP(C492,'Clients List'!$A:$F,2,FALSE),"")</f>
        <v/>
      </c>
      <c r="F492" s="1" t="str">
        <f>IF(OR(C492="",NOT(ISNUMBER(SEARCH("Package",D492)))),"",VLOOKUP(C492,'Clients List'!$A:$F,4,FALSE)-SUMIFS($E$2:$E492,$C$2:$C492,C492,$D$2:$D492,"*Package*"))</f>
        <v/>
      </c>
      <c r="G492" t="str">
        <f t="shared" si="16"/>
        <v/>
      </c>
      <c r="H492" s="33">
        <f>IF(ISNUMBER(SEARCH("Group",D492)),IF(G492="",E492,IFERROR(E492/COUNTIF($G2:$G6000,G492),E492)),E492)</f>
        <v>0</v>
      </c>
      <c r="I492" s="1" t="str">
        <f>IFERROR(VLOOKUP(C492,'Clients List'!A:F,6,FALSE),"")</f>
        <v/>
      </c>
      <c r="K492" s="23" t="str">
        <f>IFERROR(INDEX([2]Packages!E:E, MATCH(1, ([2]Packages!A:A=B492)*([2]Packages!B:B=C492), 0)) - SUMIFS(D$2:D492, B$2:B492, B492, C$2:C492, C492),"")</f>
        <v/>
      </c>
    </row>
    <row r="493" spans="4:11" x14ac:dyDescent="0.45">
      <c r="D493" t="str">
        <f>IFERROR(VLOOKUP(C493,'Clients List'!$A:$F,2,FALSE),"")</f>
        <v/>
      </c>
      <c r="F493" s="1" t="str">
        <f>IF(OR(C493="",NOT(ISNUMBER(SEARCH("Package",D493)))),"",VLOOKUP(C493,'Clients List'!$A:$F,4,FALSE)-SUMIFS($E$2:$E493,$C$2:$C493,C493,$D$2:$D493,"*Package*"))</f>
        <v/>
      </c>
      <c r="G493" t="str">
        <f t="shared" si="16"/>
        <v/>
      </c>
      <c r="H493" s="33">
        <f>IF(ISNUMBER(SEARCH("Group",D493)),IF(G493="",E493,IFERROR(E493/COUNTIF($G2:$G6000,G493),E493)),E493)</f>
        <v>0</v>
      </c>
      <c r="I493" s="1" t="str">
        <f>IFERROR(VLOOKUP(C493,'Clients List'!A:F,6,FALSE),"")</f>
        <v/>
      </c>
      <c r="K493" s="23" t="str">
        <f>IFERROR(INDEX([2]Packages!E:E, MATCH(1, ([2]Packages!A:A=B493)*([2]Packages!B:B=C493), 0)) - SUMIFS(D$2:D493, B$2:B493, B493, C$2:C493, C493),"")</f>
        <v/>
      </c>
    </row>
    <row r="494" spans="4:11" x14ac:dyDescent="0.45">
      <c r="D494" t="str">
        <f>IFERROR(VLOOKUP(C494,'Clients List'!$A:$F,2,FALSE),"")</f>
        <v/>
      </c>
      <c r="F494" s="1" t="str">
        <f>IF(OR(C494="",NOT(ISNUMBER(SEARCH("Package",D494)))),"",VLOOKUP(C494,'Clients List'!$A:$F,4,FALSE)-SUMIFS($E$2:$E494,$C$2:$C494,C494,$D$2:$D494,"*Package*"))</f>
        <v/>
      </c>
      <c r="G494" t="str">
        <f t="shared" si="16"/>
        <v/>
      </c>
      <c r="H494" s="33">
        <f>IF(ISNUMBER(SEARCH("Group",D494)),IF(G494="",E494,IFERROR(E494/COUNTIF($G2:$G6000,G494),E494)),E494)</f>
        <v>0</v>
      </c>
      <c r="I494" s="1" t="str">
        <f>IFERROR(VLOOKUP(C494,'Clients List'!A:F,6,FALSE),"")</f>
        <v/>
      </c>
      <c r="K494" s="23" t="str">
        <f>IFERROR(INDEX([2]Packages!E:E, MATCH(1, ([2]Packages!A:A=B494)*([2]Packages!B:B=C494), 0)) - SUMIFS(D$2:D494, B$2:B494, B494, C$2:C494, C494),"")</f>
        <v/>
      </c>
    </row>
    <row r="495" spans="4:11" x14ac:dyDescent="0.45">
      <c r="D495" t="str">
        <f>IFERROR(VLOOKUP(C495,'Clients List'!$A:$F,2,FALSE),"")</f>
        <v/>
      </c>
      <c r="F495" s="1" t="str">
        <f>IF(OR(C495="",NOT(ISNUMBER(SEARCH("Package",D495)))),"",VLOOKUP(C495,'Clients List'!$A:$F,4,FALSE)-SUMIFS($E$2:$E495,$C$2:$C495,C495,$D$2:$D495,"*Package*"))</f>
        <v/>
      </c>
      <c r="G495" t="str">
        <f t="shared" si="16"/>
        <v/>
      </c>
      <c r="H495" s="33">
        <f>IF(ISNUMBER(SEARCH("Group",D495)),IF(G495="",E495,IFERROR(E495/COUNTIF($G2:$G6000,G495),E495)),E495)</f>
        <v>0</v>
      </c>
      <c r="I495" s="1" t="str">
        <f>IFERROR(VLOOKUP(C495,'Clients List'!A:F,6,FALSE),"")</f>
        <v/>
      </c>
      <c r="K495" s="23" t="str">
        <f>IFERROR(INDEX([2]Packages!E:E, MATCH(1, ([2]Packages!A:A=B495)*([2]Packages!B:B=C495), 0)) - SUMIFS(D$2:D495, B$2:B495, B495, C$2:C495, C495),"")</f>
        <v/>
      </c>
    </row>
    <row r="496" spans="4:11" x14ac:dyDescent="0.45">
      <c r="D496" t="str">
        <f>IFERROR(VLOOKUP(C496,'Clients List'!$A:$F,2,FALSE),"")</f>
        <v/>
      </c>
      <c r="F496" s="1" t="str">
        <f>IF(OR(C496="",NOT(ISNUMBER(SEARCH("Package",D496)))),"",VLOOKUP(C496,'Clients List'!$A:$F,4,FALSE)-SUMIFS($E$2:$E496,$C$2:$C496,C496,$D$2:$D496,"*Package*"))</f>
        <v/>
      </c>
      <c r="G496" t="str">
        <f t="shared" ref="G496:G527" si="17">IF(ISNUMBER(SEARCH("Group",D496)),IFERROR("GRP-"&amp;TEXT(IF(ISNUMBER(A496),A496,DATEVALUE(A496)),"yyyymmdd"),""),"" )</f>
        <v/>
      </c>
      <c r="H496" s="33">
        <f>IF(ISNUMBER(SEARCH("Group",D496)),IF(G496="",E496,IFERROR(E496/COUNTIF($G2:$G6000,G496),E496)),E496)</f>
        <v>0</v>
      </c>
      <c r="I496" s="1" t="str">
        <f>IFERROR(VLOOKUP(C496,'Clients List'!A:F,6,FALSE),"")</f>
        <v/>
      </c>
      <c r="K496" s="23" t="str">
        <f>IFERROR(INDEX([2]Packages!E:E, MATCH(1, ([2]Packages!A:A=B496)*([2]Packages!B:B=C496), 0)) - SUMIFS(D$2:D496, B$2:B496, B496, C$2:C496, C496),"")</f>
        <v/>
      </c>
    </row>
    <row r="497" spans="4:11" x14ac:dyDescent="0.45">
      <c r="D497" t="str">
        <f>IFERROR(VLOOKUP(C497,'Clients List'!$A:$F,2,FALSE),"")</f>
        <v/>
      </c>
      <c r="F497" s="1" t="str">
        <f>IF(OR(C497="",NOT(ISNUMBER(SEARCH("Package",D497)))),"",VLOOKUP(C497,'Clients List'!$A:$F,4,FALSE)-SUMIFS($E$2:$E497,$C$2:$C497,C497,$D$2:$D497,"*Package*"))</f>
        <v/>
      </c>
      <c r="G497" t="str">
        <f t="shared" si="17"/>
        <v/>
      </c>
      <c r="H497" s="33">
        <f>IF(ISNUMBER(SEARCH("Group",D497)),IF(G497="",E497,IFERROR(E497/COUNTIF($G2:$G6000,G497),E497)),E497)</f>
        <v>0</v>
      </c>
      <c r="I497" s="1" t="str">
        <f>IFERROR(VLOOKUP(C497,'Clients List'!A:F,6,FALSE),"")</f>
        <v/>
      </c>
      <c r="K497" s="23" t="str">
        <f>IFERROR(INDEX([2]Packages!E:E, MATCH(1, ([2]Packages!A:A=B497)*([2]Packages!B:B=C497), 0)) - SUMIFS(D$2:D497, B$2:B497, B497, C$2:C497, C497),"")</f>
        <v/>
      </c>
    </row>
    <row r="498" spans="4:11" x14ac:dyDescent="0.45">
      <c r="D498" t="str">
        <f>IFERROR(VLOOKUP(C498,'Clients List'!$A:$F,2,FALSE),"")</f>
        <v/>
      </c>
      <c r="F498" s="1" t="str">
        <f>IF(OR(C498="",NOT(ISNUMBER(SEARCH("Package",D498)))),"",VLOOKUP(C498,'Clients List'!$A:$F,4,FALSE)-SUMIFS($E$2:$E498,$C$2:$C498,C498,$D$2:$D498,"*Package*"))</f>
        <v/>
      </c>
      <c r="G498" t="str">
        <f t="shared" si="17"/>
        <v/>
      </c>
      <c r="H498" s="33">
        <f>IF(ISNUMBER(SEARCH("Group",D498)),IF(G498="",E498,IFERROR(E498/COUNTIF($G2:$G6000,G498),E498)),E498)</f>
        <v>0</v>
      </c>
      <c r="I498" s="1" t="str">
        <f>IFERROR(VLOOKUP(C498,'Clients List'!A:F,6,FALSE),"")</f>
        <v/>
      </c>
      <c r="K498" s="23" t="str">
        <f>IFERROR(INDEX([2]Packages!E:E, MATCH(1, ([2]Packages!A:A=B498)*([2]Packages!B:B=C498), 0)) - SUMIFS(D$2:D498, B$2:B498, B498, C$2:C498, C498),"")</f>
        <v/>
      </c>
    </row>
    <row r="499" spans="4:11" x14ac:dyDescent="0.45">
      <c r="D499" t="str">
        <f>IFERROR(VLOOKUP(C499,'Clients List'!$A:$F,2,FALSE),"")</f>
        <v/>
      </c>
      <c r="F499" s="1" t="str">
        <f>IF(OR(C499="",NOT(ISNUMBER(SEARCH("Package",D499)))),"",VLOOKUP(C499,'Clients List'!$A:$F,4,FALSE)-SUMIFS($E$2:$E499,$C$2:$C499,C499,$D$2:$D499,"*Package*"))</f>
        <v/>
      </c>
      <c r="G499" t="str">
        <f t="shared" si="17"/>
        <v/>
      </c>
      <c r="H499" s="33">
        <f>IF(ISNUMBER(SEARCH("Group",D499)),IF(G499="",E499,IFERROR(E499/COUNTIF($G2:$G6000,G499),E499)),E499)</f>
        <v>0</v>
      </c>
      <c r="I499" s="1" t="str">
        <f>IFERROR(VLOOKUP(C499,'Clients List'!A:F,6,FALSE),"")</f>
        <v/>
      </c>
      <c r="K499" s="23" t="str">
        <f>IFERROR(INDEX([2]Packages!E:E, MATCH(1, ([2]Packages!A:A=B499)*([2]Packages!B:B=C499), 0)) - SUMIFS(D$2:D499, B$2:B499, B499, C$2:C499, C499),"")</f>
        <v/>
      </c>
    </row>
    <row r="500" spans="4:11" x14ac:dyDescent="0.45">
      <c r="D500" t="str">
        <f>IFERROR(VLOOKUP(C500,'Clients List'!$A:$F,2,FALSE),"")</f>
        <v/>
      </c>
      <c r="F500" s="1" t="str">
        <f>IF(OR(C500="",NOT(ISNUMBER(SEARCH("Package",D500)))),"",VLOOKUP(C500,'Clients List'!$A:$F,4,FALSE)-SUMIFS($E$2:$E500,$C$2:$C500,C500,$D$2:$D500,"*Package*"))</f>
        <v/>
      </c>
      <c r="G500" t="str">
        <f t="shared" si="17"/>
        <v/>
      </c>
      <c r="H500" s="33">
        <f>IF(ISNUMBER(SEARCH("Group",D500)),IF(G500="",E500,IFERROR(E500/COUNTIF($G2:$G6000,G500),E500)),E500)</f>
        <v>0</v>
      </c>
      <c r="I500" s="1" t="str">
        <f>IFERROR(VLOOKUP(C500,'Clients List'!A:F,6,FALSE),"")</f>
        <v/>
      </c>
      <c r="K500" s="23" t="str">
        <f>IFERROR(INDEX([2]Packages!E:E, MATCH(1, ([2]Packages!A:A=B500)*([2]Packages!B:B=C500), 0)) - SUMIFS(D$2:D500, B$2:B500, B500, C$2:C500, C500),"")</f>
        <v/>
      </c>
    </row>
    <row r="501" spans="4:11" x14ac:dyDescent="0.45">
      <c r="D501" t="str">
        <f>IFERROR(VLOOKUP(C501,'Clients List'!$A:$F,2,FALSE),"")</f>
        <v/>
      </c>
      <c r="F501" s="1" t="str">
        <f>IF(OR(C501="",NOT(ISNUMBER(SEARCH("Package",D501)))),"",VLOOKUP(C501,'Clients List'!$A:$F,4,FALSE)-SUMIFS($E$2:$E501,$C$2:$C501,C501,$D$2:$D501,"*Package*"))</f>
        <v/>
      </c>
      <c r="G501" t="str">
        <f t="shared" si="17"/>
        <v/>
      </c>
      <c r="H501" s="33">
        <f>IF(ISNUMBER(SEARCH("Group",D501)),IF(G501="",E501,IFERROR(E501/COUNTIF($G2:$G6000,G501),E501)),E501)</f>
        <v>0</v>
      </c>
      <c r="I501" s="1" t="str">
        <f>IFERROR(VLOOKUP(C501,'Clients List'!A:F,6,FALSE),"")</f>
        <v/>
      </c>
      <c r="K501" s="23" t="str">
        <f>IFERROR(INDEX([2]Packages!E:E, MATCH(1, ([2]Packages!A:A=B501)*([2]Packages!B:B=C501), 0)) - SUMIFS(D$2:D501, B$2:B501, B501, C$2:C501, C501),"")</f>
        <v/>
      </c>
    </row>
    <row r="502" spans="4:11" x14ac:dyDescent="0.45">
      <c r="D502" t="str">
        <f>IFERROR(VLOOKUP(C502,'Clients List'!$A:$F,2,FALSE),"")</f>
        <v/>
      </c>
      <c r="F502" s="1" t="str">
        <f>IF(OR(C502="",NOT(ISNUMBER(SEARCH("Package",D502)))),"",VLOOKUP(C502,'Clients List'!$A:$F,4,FALSE)-SUMIFS($E$2:$E502,$C$2:$C502,C502,$D$2:$D502,"*Package*"))</f>
        <v/>
      </c>
      <c r="G502" t="str">
        <f t="shared" si="17"/>
        <v/>
      </c>
      <c r="H502" s="33">
        <f>IF(ISNUMBER(SEARCH("Group",D502)),IF(G502="",E502,IFERROR(E502/COUNTIF($G2:$G6000,G502),E502)),E502)</f>
        <v>0</v>
      </c>
      <c r="I502" s="1" t="str">
        <f>IFERROR(VLOOKUP(C502,'Clients List'!A:F,6,FALSE),"")</f>
        <v/>
      </c>
      <c r="K502" s="23" t="str">
        <f>IFERROR(INDEX([2]Packages!E:E, MATCH(1, ([2]Packages!A:A=B502)*([2]Packages!B:B=C502), 0)) - SUMIFS(D$2:D502, B$2:B502, B502, C$2:C502, C502),"")</f>
        <v/>
      </c>
    </row>
    <row r="503" spans="4:11" x14ac:dyDescent="0.45">
      <c r="D503" t="str">
        <f>IFERROR(VLOOKUP(C503,'Clients List'!$A:$F,2,FALSE),"")</f>
        <v/>
      </c>
      <c r="F503" s="1" t="str">
        <f>IF(OR(C503="",NOT(ISNUMBER(SEARCH("Package",D503)))),"",VLOOKUP(C503,'Clients List'!$A:$F,4,FALSE)-SUMIFS($E$2:$E503,$C$2:$C503,C503,$D$2:$D503,"*Package*"))</f>
        <v/>
      </c>
      <c r="G503" t="str">
        <f t="shared" si="17"/>
        <v/>
      </c>
      <c r="H503" s="33">
        <f>IF(ISNUMBER(SEARCH("Group",D503)),IF(G503="",E503,IFERROR(E503/COUNTIF($G2:$G6000,G503),E503)),E503)</f>
        <v>0</v>
      </c>
      <c r="I503" s="1" t="str">
        <f>IFERROR(VLOOKUP(C503,'Clients List'!A:F,6,FALSE),"")</f>
        <v/>
      </c>
      <c r="K503" s="23" t="str">
        <f>IFERROR(INDEX([2]Packages!E:E, MATCH(1, ([2]Packages!A:A=B503)*([2]Packages!B:B=C503), 0)) - SUMIFS(D$2:D503, B$2:B503, B503, C$2:C503, C503),"")</f>
        <v/>
      </c>
    </row>
    <row r="504" spans="4:11" x14ac:dyDescent="0.45">
      <c r="D504" t="str">
        <f>IFERROR(VLOOKUP(C504,'Clients List'!$A:$F,2,FALSE),"")</f>
        <v/>
      </c>
      <c r="F504" s="1" t="str">
        <f>IF(OR(C504="",NOT(ISNUMBER(SEARCH("Package",D504)))),"",VLOOKUP(C504,'Clients List'!$A:$F,4,FALSE)-SUMIFS($E$2:$E504,$C$2:$C504,C504,$D$2:$D504,"*Package*"))</f>
        <v/>
      </c>
      <c r="G504" t="str">
        <f t="shared" si="17"/>
        <v/>
      </c>
      <c r="H504" s="33">
        <f>IF(ISNUMBER(SEARCH("Group",D504)),IF(G504="",E504,IFERROR(E504/COUNTIF($G2:$G6000,G504),E504)),E504)</f>
        <v>0</v>
      </c>
      <c r="I504" s="1" t="str">
        <f>IFERROR(VLOOKUP(C504,'Clients List'!A:F,6,FALSE),"")</f>
        <v/>
      </c>
      <c r="K504" s="23" t="str">
        <f>IFERROR(INDEX([2]Packages!E:E, MATCH(1, ([2]Packages!A:A=B504)*([2]Packages!B:B=C504), 0)) - SUMIFS(D$2:D504, B$2:B504, B504, C$2:C504, C504),"")</f>
        <v/>
      </c>
    </row>
    <row r="505" spans="4:11" x14ac:dyDescent="0.45">
      <c r="D505" t="str">
        <f>IFERROR(VLOOKUP(C505,'Clients List'!$A:$F,2,FALSE),"")</f>
        <v/>
      </c>
      <c r="F505" s="1" t="str">
        <f>IF(OR(C505="",NOT(ISNUMBER(SEARCH("Package",D505)))),"",VLOOKUP(C505,'Clients List'!$A:$F,4,FALSE)-SUMIFS($E$2:$E505,$C$2:$C505,C505,$D$2:$D505,"*Package*"))</f>
        <v/>
      </c>
      <c r="G505" t="str">
        <f t="shared" si="17"/>
        <v/>
      </c>
      <c r="H505" s="33">
        <f>IF(ISNUMBER(SEARCH("Group",D505)),IF(G505="",E505,IFERROR(E505/COUNTIF($G2:$G6000,G505),E505)),E505)</f>
        <v>0</v>
      </c>
      <c r="I505" s="1" t="str">
        <f>IFERROR(VLOOKUP(C505,'Clients List'!A:F,6,FALSE),"")</f>
        <v/>
      </c>
      <c r="K505" s="23" t="str">
        <f>IFERROR(INDEX([2]Packages!E:E, MATCH(1, ([2]Packages!A:A=B505)*([2]Packages!B:B=C505), 0)) - SUMIFS(D$2:D505, B$2:B505, B505, C$2:C505, C505),"")</f>
        <v/>
      </c>
    </row>
    <row r="506" spans="4:11" x14ac:dyDescent="0.45">
      <c r="D506" t="str">
        <f>IFERROR(VLOOKUP(C506,'Clients List'!$A:$F,2,FALSE),"")</f>
        <v/>
      </c>
      <c r="F506" s="1" t="str">
        <f>IF(OR(C506="",NOT(ISNUMBER(SEARCH("Package",D506)))),"",VLOOKUP(C506,'Clients List'!$A:$F,4,FALSE)-SUMIFS($E$2:$E506,$C$2:$C506,C506,$D$2:$D506,"*Package*"))</f>
        <v/>
      </c>
      <c r="G506" t="str">
        <f t="shared" si="17"/>
        <v/>
      </c>
      <c r="H506" s="33">
        <f>IF(ISNUMBER(SEARCH("Group",D506)),IF(G506="",E506,IFERROR(E506/COUNTIF($G2:$G6000,G506),E506)),E506)</f>
        <v>0</v>
      </c>
      <c r="I506" s="1" t="str">
        <f>IFERROR(VLOOKUP(C506,'Clients List'!A:F,6,FALSE),"")</f>
        <v/>
      </c>
      <c r="K506" s="23" t="str">
        <f>IFERROR(INDEX([2]Packages!E:E, MATCH(1, ([2]Packages!A:A=B506)*([2]Packages!B:B=C506), 0)) - SUMIFS(D$2:D506, B$2:B506, B506, C$2:C506, C506),"")</f>
        <v/>
      </c>
    </row>
    <row r="507" spans="4:11" x14ac:dyDescent="0.45">
      <c r="D507" t="str">
        <f>IFERROR(VLOOKUP(C507,'Clients List'!$A:$F,2,FALSE),"")</f>
        <v/>
      </c>
      <c r="F507" s="1" t="str">
        <f>IF(OR(C507="",NOT(ISNUMBER(SEARCH("Package",D507)))),"",VLOOKUP(C507,'Clients List'!$A:$F,4,FALSE)-SUMIFS($E$2:$E507,$C$2:$C507,C507,$D$2:$D507,"*Package*"))</f>
        <v/>
      </c>
      <c r="G507" t="str">
        <f t="shared" si="17"/>
        <v/>
      </c>
      <c r="H507" s="33">
        <f>IF(ISNUMBER(SEARCH("Group",D507)),IF(G507="",E507,IFERROR(E507/COUNTIF($G2:$G6000,G507),E507)),E507)</f>
        <v>0</v>
      </c>
      <c r="I507" s="1" t="str">
        <f>IFERROR(VLOOKUP(C507,'Clients List'!A:F,6,FALSE),"")</f>
        <v/>
      </c>
      <c r="K507" s="23" t="str">
        <f>IFERROR(INDEX([2]Packages!E:E, MATCH(1, ([2]Packages!A:A=B507)*([2]Packages!B:B=C507), 0)) - SUMIFS(D$2:D507, B$2:B507, B507, C$2:C507, C507),"")</f>
        <v/>
      </c>
    </row>
    <row r="508" spans="4:11" x14ac:dyDescent="0.45">
      <c r="D508" t="str">
        <f>IFERROR(VLOOKUP(C508,'Clients List'!$A:$F,2,FALSE),"")</f>
        <v/>
      </c>
      <c r="F508" s="1" t="str">
        <f>IF(OR(C508="",NOT(ISNUMBER(SEARCH("Package",D508)))),"",VLOOKUP(C508,'Clients List'!$A:$F,4,FALSE)-SUMIFS($E$2:$E508,$C$2:$C508,C508,$D$2:$D508,"*Package*"))</f>
        <v/>
      </c>
      <c r="G508" t="str">
        <f t="shared" si="17"/>
        <v/>
      </c>
      <c r="H508" s="33">
        <f>IF(ISNUMBER(SEARCH("Group",D508)),IF(G508="",E508,IFERROR(E508/COUNTIF($G2:$G6000,G508),E508)),E508)</f>
        <v>0</v>
      </c>
      <c r="I508" s="1" t="str">
        <f>IFERROR(VLOOKUP(C508,'Clients List'!A:F,6,FALSE),"")</f>
        <v/>
      </c>
      <c r="K508" s="23" t="str">
        <f>IFERROR(INDEX([2]Packages!E:E, MATCH(1, ([2]Packages!A:A=B508)*([2]Packages!B:B=C508), 0)) - SUMIFS(D$2:D508, B$2:B508, B508, C$2:C508, C508),"")</f>
        <v/>
      </c>
    </row>
    <row r="509" spans="4:11" x14ac:dyDescent="0.45">
      <c r="D509" t="str">
        <f>IFERROR(VLOOKUP(C509,'Clients List'!$A:$F,2,FALSE),"")</f>
        <v/>
      </c>
      <c r="F509" s="1" t="str">
        <f>IF(OR(C509="",NOT(ISNUMBER(SEARCH("Package",D509)))),"",VLOOKUP(C509,'Clients List'!$A:$F,4,FALSE)-SUMIFS($E$2:$E509,$C$2:$C509,C509,$D$2:$D509,"*Package*"))</f>
        <v/>
      </c>
      <c r="G509" t="str">
        <f t="shared" si="17"/>
        <v/>
      </c>
      <c r="H509" s="33">
        <f>IF(ISNUMBER(SEARCH("Group",D509)),IF(G509="",E509,IFERROR(E509/COUNTIF($G2:$G6000,G509),E509)),E509)</f>
        <v>0</v>
      </c>
      <c r="I509" s="1" t="str">
        <f>IFERROR(VLOOKUP(C509,'Clients List'!A:F,6,FALSE),"")</f>
        <v/>
      </c>
      <c r="K509" s="23" t="str">
        <f>IFERROR(INDEX([2]Packages!E:E, MATCH(1, ([2]Packages!A:A=B509)*([2]Packages!B:B=C509), 0)) - SUMIFS(D$2:D509, B$2:B509, B509, C$2:C509, C509),"")</f>
        <v/>
      </c>
    </row>
    <row r="510" spans="4:11" x14ac:dyDescent="0.45">
      <c r="D510" t="str">
        <f>IFERROR(VLOOKUP(C510,'Clients List'!$A:$F,2,FALSE),"")</f>
        <v/>
      </c>
      <c r="F510" s="1" t="str">
        <f>IF(OR(C510="",NOT(ISNUMBER(SEARCH("Package",D510)))),"",VLOOKUP(C510,'Clients List'!$A:$F,4,FALSE)-SUMIFS($E$2:$E510,$C$2:$C510,C510,$D$2:$D510,"*Package*"))</f>
        <v/>
      </c>
      <c r="G510" t="str">
        <f t="shared" si="17"/>
        <v/>
      </c>
      <c r="H510" s="33">
        <f>IF(ISNUMBER(SEARCH("Group",D510)),IF(G510="",E510,IFERROR(E510/COUNTIF($G2:$G6000,G510),E510)),E510)</f>
        <v>0</v>
      </c>
      <c r="I510" s="1" t="str">
        <f>IFERROR(VLOOKUP(C510,'Clients List'!A:F,6,FALSE),"")</f>
        <v/>
      </c>
      <c r="K510" s="23" t="str">
        <f>IFERROR(INDEX([2]Packages!E:E, MATCH(1, ([2]Packages!A:A=B510)*([2]Packages!B:B=C510), 0)) - SUMIFS(D$2:D510, B$2:B510, B510, C$2:C510, C510),"")</f>
        <v/>
      </c>
    </row>
    <row r="511" spans="4:11" x14ac:dyDescent="0.45">
      <c r="D511" t="str">
        <f>IFERROR(VLOOKUP(C511,'Clients List'!$A:$F,2,FALSE),"")</f>
        <v/>
      </c>
      <c r="F511" s="1" t="str">
        <f>IF(OR(C511="",NOT(ISNUMBER(SEARCH("Package",D511)))),"",VLOOKUP(C511,'Clients List'!$A:$F,4,FALSE)-SUMIFS($E$2:$E511,$C$2:$C511,C511,$D$2:$D511,"*Package*"))</f>
        <v/>
      </c>
      <c r="G511" t="str">
        <f t="shared" si="17"/>
        <v/>
      </c>
      <c r="H511" s="33">
        <f>IF(ISNUMBER(SEARCH("Group",D511)),IF(G511="",E511,IFERROR(E511/COUNTIF($G2:$G6000,G511),E511)),E511)</f>
        <v>0</v>
      </c>
      <c r="I511" s="1" t="str">
        <f>IFERROR(VLOOKUP(C511,'Clients List'!A:F,6,FALSE),"")</f>
        <v/>
      </c>
      <c r="K511" s="23" t="str">
        <f>IFERROR(INDEX([2]Packages!E:E, MATCH(1, ([2]Packages!A:A=B511)*([2]Packages!B:B=C511), 0)) - SUMIFS(D$2:D511, B$2:B511, B511, C$2:C511, C511),"")</f>
        <v/>
      </c>
    </row>
    <row r="512" spans="4:11" x14ac:dyDescent="0.45">
      <c r="D512" t="str">
        <f>IFERROR(VLOOKUP(C512,'Clients List'!$A:$F,2,FALSE),"")</f>
        <v/>
      </c>
      <c r="F512" s="1" t="str">
        <f>IF(OR(C512="",NOT(ISNUMBER(SEARCH("Package",D512)))),"",VLOOKUP(C512,'Clients List'!$A:$F,4,FALSE)-SUMIFS($E$2:$E512,$C$2:$C512,C512,$D$2:$D512,"*Package*"))</f>
        <v/>
      </c>
      <c r="G512" t="str">
        <f t="shared" si="17"/>
        <v/>
      </c>
      <c r="H512" s="33">
        <f>IF(ISNUMBER(SEARCH("Group",D512)),IF(G512="",E512,IFERROR(E512/COUNTIF($G2:$G6000,G512),E512)),E512)</f>
        <v>0</v>
      </c>
      <c r="I512" s="1" t="str">
        <f>IFERROR(VLOOKUP(C512,'Clients List'!A:F,6,FALSE),"")</f>
        <v/>
      </c>
      <c r="K512" s="23" t="str">
        <f>IFERROR(INDEX([2]Packages!E:E, MATCH(1, ([2]Packages!A:A=B512)*([2]Packages!B:B=C512), 0)) - SUMIFS(D$2:D512, B$2:B512, B512, C$2:C512, C512),"")</f>
        <v/>
      </c>
    </row>
    <row r="513" spans="4:11" x14ac:dyDescent="0.45">
      <c r="D513" t="str">
        <f>IFERROR(VLOOKUP(C513,'Clients List'!$A:$F,2,FALSE),"")</f>
        <v/>
      </c>
      <c r="F513" s="1" t="str">
        <f>IF(OR(C513="",NOT(ISNUMBER(SEARCH("Package",D513)))),"",VLOOKUP(C513,'Clients List'!$A:$F,4,FALSE)-SUMIFS($E$2:$E513,$C$2:$C513,C513,$D$2:$D513,"*Package*"))</f>
        <v/>
      </c>
      <c r="G513" t="str">
        <f t="shared" si="17"/>
        <v/>
      </c>
      <c r="H513" s="33">
        <f>IF(ISNUMBER(SEARCH("Group",D513)),IF(G513="",E513,IFERROR(E513/COUNTIF($G2:$G6000,G513),E513)),E513)</f>
        <v>0</v>
      </c>
      <c r="I513" s="1" t="str">
        <f>IFERROR(VLOOKUP(C513,'Clients List'!A:F,6,FALSE),"")</f>
        <v/>
      </c>
      <c r="K513" s="23" t="str">
        <f>IFERROR(INDEX([2]Packages!E:E, MATCH(1, ([2]Packages!A:A=B513)*([2]Packages!B:B=C513), 0)) - SUMIFS(D$2:D513, B$2:B513, B513, C$2:C513, C513),"")</f>
        <v/>
      </c>
    </row>
    <row r="514" spans="4:11" x14ac:dyDescent="0.45">
      <c r="D514" t="str">
        <f>IFERROR(VLOOKUP(C514,'Clients List'!$A:$F,2,FALSE),"")</f>
        <v/>
      </c>
      <c r="F514" s="1" t="str">
        <f>IF(OR(C514="",NOT(ISNUMBER(SEARCH("Package",D514)))),"",VLOOKUP(C514,'Clients List'!$A:$F,4,FALSE)-SUMIFS($E$2:$E514,$C$2:$C514,C514,$D$2:$D514,"*Package*"))</f>
        <v/>
      </c>
      <c r="G514" t="str">
        <f t="shared" si="17"/>
        <v/>
      </c>
      <c r="H514" s="33">
        <f>IF(ISNUMBER(SEARCH("Group",D514)),IF(G514="",E514,IFERROR(E514/COUNTIF($G2:$G6000,G514),E514)),E514)</f>
        <v>0</v>
      </c>
      <c r="I514" s="1" t="str">
        <f>IFERROR(VLOOKUP(C514,'Clients List'!A:F,6,FALSE),"")</f>
        <v/>
      </c>
      <c r="K514" s="23" t="str">
        <f>IFERROR(INDEX([2]Packages!E:E, MATCH(1, ([2]Packages!A:A=B514)*([2]Packages!B:B=C514), 0)) - SUMIFS(D$2:D514, B$2:B514, B514, C$2:C514, C514),"")</f>
        <v/>
      </c>
    </row>
    <row r="515" spans="4:11" x14ac:dyDescent="0.45">
      <c r="D515" t="str">
        <f>IFERROR(VLOOKUP(C515,'Clients List'!$A:$F,2,FALSE),"")</f>
        <v/>
      </c>
      <c r="F515" s="1" t="str">
        <f>IF(OR(C515="",NOT(ISNUMBER(SEARCH("Package",D515)))),"",VLOOKUP(C515,'Clients List'!$A:$F,4,FALSE)-SUMIFS($E$2:$E515,$C$2:$C515,C515,$D$2:$D515,"*Package*"))</f>
        <v/>
      </c>
      <c r="G515" t="str">
        <f t="shared" si="17"/>
        <v/>
      </c>
      <c r="H515" s="33">
        <f>IF(ISNUMBER(SEARCH("Group",D515)),IF(G515="",E515,IFERROR(E515/COUNTIF($G2:$G6000,G515),E515)),E515)</f>
        <v>0</v>
      </c>
      <c r="I515" s="1" t="str">
        <f>IFERROR(VLOOKUP(C515,'Clients List'!A:F,6,FALSE),"")</f>
        <v/>
      </c>
      <c r="K515" s="23" t="str">
        <f>IFERROR(INDEX([2]Packages!E:E, MATCH(1, ([2]Packages!A:A=B515)*([2]Packages!B:B=C515), 0)) - SUMIFS(D$2:D515, B$2:B515, B515, C$2:C515, C515),"")</f>
        <v/>
      </c>
    </row>
    <row r="516" spans="4:11" x14ac:dyDescent="0.45">
      <c r="D516" t="str">
        <f>IFERROR(VLOOKUP(C516,'Clients List'!$A:$F,2,FALSE),"")</f>
        <v/>
      </c>
      <c r="F516" s="1" t="str">
        <f>IF(OR(C516="",NOT(ISNUMBER(SEARCH("Package",D516)))),"",VLOOKUP(C516,'Clients List'!$A:$F,4,FALSE)-SUMIFS($E$2:$E516,$C$2:$C516,C516,$D$2:$D516,"*Package*"))</f>
        <v/>
      </c>
      <c r="G516" t="str">
        <f t="shared" si="17"/>
        <v/>
      </c>
      <c r="H516" s="33">
        <f>IF(ISNUMBER(SEARCH("Group",D516)),IF(G516="",E516,IFERROR(E516/COUNTIF($G2:$G6000,G516),E516)),E516)</f>
        <v>0</v>
      </c>
      <c r="I516" s="1" t="str">
        <f>IFERROR(VLOOKUP(C516,'Clients List'!A:F,6,FALSE),"")</f>
        <v/>
      </c>
      <c r="K516" s="23" t="str">
        <f>IFERROR(INDEX([2]Packages!E:E, MATCH(1, ([2]Packages!A:A=B516)*([2]Packages!B:B=C516), 0)) - SUMIFS(D$2:D516, B$2:B516, B516, C$2:C516, C516),"")</f>
        <v/>
      </c>
    </row>
    <row r="517" spans="4:11" x14ac:dyDescent="0.45">
      <c r="D517" t="str">
        <f>IFERROR(VLOOKUP(C517,'Clients List'!$A:$F,2,FALSE),"")</f>
        <v/>
      </c>
      <c r="F517" s="1" t="str">
        <f>IF(OR(C517="",NOT(ISNUMBER(SEARCH("Package",D517)))),"",VLOOKUP(C517,'Clients List'!$A:$F,4,FALSE)-SUMIFS($E$2:$E517,$C$2:$C517,C517,$D$2:$D517,"*Package*"))</f>
        <v/>
      </c>
      <c r="G517" t="str">
        <f t="shared" si="17"/>
        <v/>
      </c>
      <c r="H517" s="33">
        <f>IF(ISNUMBER(SEARCH("Group",D517)),IF(G517="",E517,IFERROR(E517/COUNTIF($G2:$G6000,G517),E517)),E517)</f>
        <v>0</v>
      </c>
      <c r="I517" s="1" t="str">
        <f>IFERROR(VLOOKUP(C517,'Clients List'!A:F,6,FALSE),"")</f>
        <v/>
      </c>
      <c r="K517" s="23" t="str">
        <f>IFERROR(INDEX([2]Packages!E:E, MATCH(1, ([2]Packages!A:A=B517)*([2]Packages!B:B=C517), 0)) - SUMIFS(D$2:D517, B$2:B517, B517, C$2:C517, C517),"")</f>
        <v/>
      </c>
    </row>
    <row r="518" spans="4:11" x14ac:dyDescent="0.45">
      <c r="D518" t="str">
        <f>IFERROR(VLOOKUP(C518,'Clients List'!$A:$F,2,FALSE),"")</f>
        <v/>
      </c>
      <c r="F518" s="1" t="str">
        <f>IF(OR(C518="",NOT(ISNUMBER(SEARCH("Package",D518)))),"",VLOOKUP(C518,'Clients List'!$A:$F,4,FALSE)-SUMIFS($E$2:$E518,$C$2:$C518,C518,$D$2:$D518,"*Package*"))</f>
        <v/>
      </c>
      <c r="G518" t="str">
        <f t="shared" si="17"/>
        <v/>
      </c>
      <c r="H518" s="33">
        <f>IF(ISNUMBER(SEARCH("Group",D518)),IF(G518="",E518,IFERROR(E518/COUNTIF($G2:$G6000,G518),E518)),E518)</f>
        <v>0</v>
      </c>
      <c r="I518" s="1" t="str">
        <f>IFERROR(VLOOKUP(C518,'Clients List'!A:F,6,FALSE),"")</f>
        <v/>
      </c>
      <c r="K518" s="23" t="str">
        <f>IFERROR(INDEX([2]Packages!E:E, MATCH(1, ([2]Packages!A:A=B518)*([2]Packages!B:B=C518), 0)) - SUMIFS(D$2:D518, B$2:B518, B518, C$2:C518, C518),"")</f>
        <v/>
      </c>
    </row>
    <row r="519" spans="4:11" x14ac:dyDescent="0.45">
      <c r="D519" t="str">
        <f>IFERROR(VLOOKUP(C519,'Clients List'!$A:$F,2,FALSE),"")</f>
        <v/>
      </c>
      <c r="F519" s="1" t="str">
        <f>IF(OR(C519="",NOT(ISNUMBER(SEARCH("Package",D519)))),"",VLOOKUP(C519,'Clients List'!$A:$F,4,FALSE)-SUMIFS($E$2:$E519,$C$2:$C519,C519,$D$2:$D519,"*Package*"))</f>
        <v/>
      </c>
      <c r="G519" t="str">
        <f t="shared" si="17"/>
        <v/>
      </c>
      <c r="H519" s="33">
        <f>IF(ISNUMBER(SEARCH("Group",D519)),IF(G519="",E519,IFERROR(E519/COUNTIF($G2:$G6000,G519),E519)),E519)</f>
        <v>0</v>
      </c>
      <c r="I519" s="1" t="str">
        <f>IFERROR(VLOOKUP(C519,'Clients List'!A:F,6,FALSE),"")</f>
        <v/>
      </c>
      <c r="K519" s="23" t="str">
        <f>IFERROR(INDEX([2]Packages!E:E, MATCH(1, ([2]Packages!A:A=B519)*([2]Packages!B:B=C519), 0)) - SUMIFS(D$2:D519, B$2:B519, B519, C$2:C519, C519),"")</f>
        <v/>
      </c>
    </row>
    <row r="520" spans="4:11" x14ac:dyDescent="0.45">
      <c r="D520" t="str">
        <f>IFERROR(VLOOKUP(C520,'Clients List'!$A:$F,2,FALSE),"")</f>
        <v/>
      </c>
      <c r="F520" s="1" t="str">
        <f>IF(OR(C520="",NOT(ISNUMBER(SEARCH("Package",D520)))),"",VLOOKUP(C520,'Clients List'!$A:$F,4,FALSE)-SUMIFS($E$2:$E520,$C$2:$C520,C520,$D$2:$D520,"*Package*"))</f>
        <v/>
      </c>
      <c r="G520" t="str">
        <f t="shared" si="17"/>
        <v/>
      </c>
      <c r="H520" s="33">
        <f>IF(ISNUMBER(SEARCH("Group",D520)),IF(G520="",E520,IFERROR(E520/COUNTIF($G2:$G6000,G520),E520)),E520)</f>
        <v>0</v>
      </c>
      <c r="I520" s="1" t="str">
        <f>IFERROR(VLOOKUP(C520,'Clients List'!A:F,6,FALSE),"")</f>
        <v/>
      </c>
      <c r="K520" s="23" t="str">
        <f>IFERROR(INDEX([2]Packages!E:E, MATCH(1, ([2]Packages!A:A=B520)*([2]Packages!B:B=C520), 0)) - SUMIFS(D$2:D520, B$2:B520, B520, C$2:C520, C520),"")</f>
        <v/>
      </c>
    </row>
    <row r="521" spans="4:11" x14ac:dyDescent="0.45">
      <c r="D521" t="str">
        <f>IFERROR(VLOOKUP(C521,'Clients List'!$A:$F,2,FALSE),"")</f>
        <v/>
      </c>
      <c r="F521" s="1" t="str">
        <f>IF(OR(C521="",NOT(ISNUMBER(SEARCH("Package",D521)))),"",VLOOKUP(C521,'Clients List'!$A:$F,4,FALSE)-SUMIFS($E$2:$E521,$C$2:$C521,C521,$D$2:$D521,"*Package*"))</f>
        <v/>
      </c>
      <c r="G521" t="str">
        <f t="shared" si="17"/>
        <v/>
      </c>
      <c r="H521" s="33">
        <f>IF(ISNUMBER(SEARCH("Group",D521)),IF(G521="",E521,IFERROR(E521/COUNTIF($G2:$G6000,G521),E521)),E521)</f>
        <v>0</v>
      </c>
      <c r="I521" s="1" t="str">
        <f>IFERROR(VLOOKUP(C521,'Clients List'!A:F,6,FALSE),"")</f>
        <v/>
      </c>
      <c r="K521" s="23" t="str">
        <f>IFERROR(INDEX([2]Packages!E:E, MATCH(1, ([2]Packages!A:A=B521)*([2]Packages!B:B=C521), 0)) - SUMIFS(D$2:D521, B$2:B521, B521, C$2:C521, C521),"")</f>
        <v/>
      </c>
    </row>
    <row r="522" spans="4:11" x14ac:dyDescent="0.45">
      <c r="D522" t="str">
        <f>IFERROR(VLOOKUP(C522,'Clients List'!$A:$F,2,FALSE),"")</f>
        <v/>
      </c>
      <c r="F522" s="1" t="str">
        <f>IF(OR(C522="",NOT(ISNUMBER(SEARCH("Package",D522)))),"",VLOOKUP(C522,'Clients List'!$A:$F,4,FALSE)-SUMIFS($E$2:$E522,$C$2:$C522,C522,$D$2:$D522,"*Package*"))</f>
        <v/>
      </c>
      <c r="G522" t="str">
        <f t="shared" si="17"/>
        <v/>
      </c>
      <c r="H522" s="33">
        <f>IF(ISNUMBER(SEARCH("Group",D522)),IF(G522="",E522,IFERROR(E522/COUNTIF($G2:$G6000,G522),E522)),E522)</f>
        <v>0</v>
      </c>
      <c r="I522" s="1" t="str">
        <f>IFERROR(VLOOKUP(C522,'Clients List'!A:F,6,FALSE),"")</f>
        <v/>
      </c>
      <c r="K522" s="23" t="str">
        <f>IFERROR(INDEX([2]Packages!E:E, MATCH(1, ([2]Packages!A:A=B522)*([2]Packages!B:B=C522), 0)) - SUMIFS(D$2:D522, B$2:B522, B522, C$2:C522, C522),"")</f>
        <v/>
      </c>
    </row>
    <row r="523" spans="4:11" x14ac:dyDescent="0.45">
      <c r="D523" t="str">
        <f>IFERROR(VLOOKUP(C523,'Clients List'!$A:$F,2,FALSE),"")</f>
        <v/>
      </c>
      <c r="F523" s="1" t="str">
        <f>IF(OR(C523="",NOT(ISNUMBER(SEARCH("Package",D523)))),"",VLOOKUP(C523,'Clients List'!$A:$F,4,FALSE)-SUMIFS($E$2:$E523,$C$2:$C523,C523,$D$2:$D523,"*Package*"))</f>
        <v/>
      </c>
      <c r="G523" t="str">
        <f t="shared" si="17"/>
        <v/>
      </c>
      <c r="H523" s="33">
        <f>IF(ISNUMBER(SEARCH("Group",D523)),IF(G523="",E523,IFERROR(E523/COUNTIF($G2:$G6000,G523),E523)),E523)</f>
        <v>0</v>
      </c>
      <c r="I523" s="1" t="str">
        <f>IFERROR(VLOOKUP(C523,'Clients List'!A:F,6,FALSE),"")</f>
        <v/>
      </c>
      <c r="K523" s="23" t="str">
        <f>IFERROR(INDEX([2]Packages!E:E, MATCH(1, ([2]Packages!A:A=B523)*([2]Packages!B:B=C523), 0)) - SUMIFS(D$2:D523, B$2:B523, B523, C$2:C523, C523),"")</f>
        <v/>
      </c>
    </row>
    <row r="524" spans="4:11" x14ac:dyDescent="0.45">
      <c r="D524" t="str">
        <f>IFERROR(VLOOKUP(C524,'Clients List'!$A:$F,2,FALSE),"")</f>
        <v/>
      </c>
      <c r="F524" s="1" t="str">
        <f>IF(OR(C524="",NOT(ISNUMBER(SEARCH("Package",D524)))),"",VLOOKUP(C524,'Clients List'!$A:$F,4,FALSE)-SUMIFS($E$2:$E524,$C$2:$C524,C524,$D$2:$D524,"*Package*"))</f>
        <v/>
      </c>
      <c r="G524" t="str">
        <f t="shared" si="17"/>
        <v/>
      </c>
      <c r="H524" s="33">
        <f>IF(ISNUMBER(SEARCH("Group",D524)),IF(G524="",E524,IFERROR(E524/COUNTIF($G2:$G6000,G524),E524)),E524)</f>
        <v>0</v>
      </c>
      <c r="I524" s="1" t="str">
        <f>IFERROR(VLOOKUP(C524,'Clients List'!A:F,6,FALSE),"")</f>
        <v/>
      </c>
      <c r="K524" s="23" t="str">
        <f>IFERROR(INDEX([2]Packages!E:E, MATCH(1, ([2]Packages!A:A=B524)*([2]Packages!B:B=C524), 0)) - SUMIFS(D$2:D524, B$2:B524, B524, C$2:C524, C524),"")</f>
        <v/>
      </c>
    </row>
    <row r="525" spans="4:11" x14ac:dyDescent="0.45">
      <c r="D525" t="str">
        <f>IFERROR(VLOOKUP(C525,'Clients List'!$A:$F,2,FALSE),"")</f>
        <v/>
      </c>
      <c r="F525" s="1" t="str">
        <f>IF(OR(C525="",NOT(ISNUMBER(SEARCH("Package",D525)))),"",VLOOKUP(C525,'Clients List'!$A:$F,4,FALSE)-SUMIFS($E$2:$E525,$C$2:$C525,C525,$D$2:$D525,"*Package*"))</f>
        <v/>
      </c>
      <c r="G525" t="str">
        <f t="shared" si="17"/>
        <v/>
      </c>
      <c r="H525" s="33">
        <f>IF(ISNUMBER(SEARCH("Group",D525)),IF(G525="",E525,IFERROR(E525/COUNTIF($G2:$G6000,G525),E525)),E525)</f>
        <v>0</v>
      </c>
      <c r="I525" s="1" t="str">
        <f>IFERROR(VLOOKUP(C525,'Clients List'!A:F,6,FALSE),"")</f>
        <v/>
      </c>
      <c r="K525" s="23" t="str">
        <f>IFERROR(INDEX([2]Packages!E:E, MATCH(1, ([2]Packages!A:A=B525)*([2]Packages!B:B=C525), 0)) - SUMIFS(D$2:D525, B$2:B525, B525, C$2:C525, C525),"")</f>
        <v/>
      </c>
    </row>
    <row r="526" spans="4:11" x14ac:dyDescent="0.45">
      <c r="D526" t="str">
        <f>IFERROR(VLOOKUP(C526,'Clients List'!$A:$F,2,FALSE),"")</f>
        <v/>
      </c>
      <c r="F526" s="1" t="str">
        <f>IF(OR(C526="",NOT(ISNUMBER(SEARCH("Package",D526)))),"",VLOOKUP(C526,'Clients List'!$A:$F,4,FALSE)-SUMIFS($E$2:$E526,$C$2:$C526,C526,$D$2:$D526,"*Package*"))</f>
        <v/>
      </c>
      <c r="G526" t="str">
        <f t="shared" si="17"/>
        <v/>
      </c>
      <c r="H526" s="33">
        <f>IF(ISNUMBER(SEARCH("Group",D526)),IF(G526="",E526,IFERROR(E526/COUNTIF($G2:$G6000,G526),E526)),E526)</f>
        <v>0</v>
      </c>
      <c r="I526" s="1" t="str">
        <f>IFERROR(VLOOKUP(C526,'Clients List'!A:F,6,FALSE),"")</f>
        <v/>
      </c>
      <c r="K526" s="23" t="str">
        <f>IFERROR(INDEX([2]Packages!E:E, MATCH(1, ([2]Packages!A:A=B526)*([2]Packages!B:B=C526), 0)) - SUMIFS(D$2:D526, B$2:B526, B526, C$2:C526, C526),"")</f>
        <v/>
      </c>
    </row>
    <row r="527" spans="4:11" x14ac:dyDescent="0.45">
      <c r="D527" t="str">
        <f>IFERROR(VLOOKUP(C527,'Clients List'!$A:$F,2,FALSE),"")</f>
        <v/>
      </c>
      <c r="F527" s="1" t="str">
        <f>IF(OR(C527="",NOT(ISNUMBER(SEARCH("Package",D527)))),"",VLOOKUP(C527,'Clients List'!$A:$F,4,FALSE)-SUMIFS($E$2:$E527,$C$2:$C527,C527,$D$2:$D527,"*Package*"))</f>
        <v/>
      </c>
      <c r="G527" t="str">
        <f t="shared" si="17"/>
        <v/>
      </c>
      <c r="H527" s="33">
        <f>IF(ISNUMBER(SEARCH("Group",D527)),IF(G527="",E527,IFERROR(E527/COUNTIF($G2:$G6000,G527),E527)),E527)</f>
        <v>0</v>
      </c>
      <c r="I527" s="1" t="str">
        <f>IFERROR(VLOOKUP(C527,'Clients List'!A:F,6,FALSE),"")</f>
        <v/>
      </c>
      <c r="K527" s="23" t="str">
        <f>IFERROR(INDEX([2]Packages!E:E, MATCH(1, ([2]Packages!A:A=B527)*([2]Packages!B:B=C527), 0)) - SUMIFS(D$2:D527, B$2:B527, B527, C$2:C527, C527),"")</f>
        <v/>
      </c>
    </row>
    <row r="528" spans="4:11" x14ac:dyDescent="0.45">
      <c r="D528" t="str">
        <f>IFERROR(VLOOKUP(C528,'Clients List'!$A:$F,2,FALSE),"")</f>
        <v/>
      </c>
      <c r="F528" s="1" t="str">
        <f>IF(OR(C528="",NOT(ISNUMBER(SEARCH("Package",D528)))),"",VLOOKUP(C528,'Clients List'!$A:$F,4,FALSE)-SUMIFS($E$2:$E528,$C$2:$C528,C528,$D$2:$D528,"*Package*"))</f>
        <v/>
      </c>
      <c r="G528" t="str">
        <f t="shared" ref="G528:G559" si="18">IF(ISNUMBER(SEARCH("Group",D528)),IFERROR("GRP-"&amp;TEXT(IF(ISNUMBER(A528),A528,DATEVALUE(A528)),"yyyymmdd"),""),"" )</f>
        <v/>
      </c>
      <c r="H528" s="33">
        <f>IF(ISNUMBER(SEARCH("Group",D528)),IF(G528="",E528,IFERROR(E528/COUNTIF($G2:$G6000,G528),E528)),E528)</f>
        <v>0</v>
      </c>
      <c r="I528" s="1" t="str">
        <f>IFERROR(VLOOKUP(C528,'Clients List'!A:F,6,FALSE),"")</f>
        <v/>
      </c>
      <c r="K528" s="23" t="str">
        <f>IFERROR(INDEX([2]Packages!E:E, MATCH(1, ([2]Packages!A:A=B528)*([2]Packages!B:B=C528), 0)) - SUMIFS(D$2:D528, B$2:B528, B528, C$2:C528, C528),"")</f>
        <v/>
      </c>
    </row>
    <row r="529" spans="4:11" x14ac:dyDescent="0.45">
      <c r="D529" t="str">
        <f>IFERROR(VLOOKUP(C529,'Clients List'!$A:$F,2,FALSE),"")</f>
        <v/>
      </c>
      <c r="F529" s="1" t="str">
        <f>IF(OR(C529="",NOT(ISNUMBER(SEARCH("Package",D529)))),"",VLOOKUP(C529,'Clients List'!$A:$F,4,FALSE)-SUMIFS($E$2:$E529,$C$2:$C529,C529,$D$2:$D529,"*Package*"))</f>
        <v/>
      </c>
      <c r="G529" t="str">
        <f t="shared" si="18"/>
        <v/>
      </c>
      <c r="H529" s="33">
        <f>IF(ISNUMBER(SEARCH("Group",D529)),IF(G529="",E529,IFERROR(E529/COUNTIF($G2:$G6000,G529),E529)),E529)</f>
        <v>0</v>
      </c>
      <c r="I529" s="1" t="str">
        <f>IFERROR(VLOOKUP(C529,'Clients List'!A:F,6,FALSE),"")</f>
        <v/>
      </c>
      <c r="K529" s="23" t="str">
        <f>IFERROR(INDEX([2]Packages!E:E, MATCH(1, ([2]Packages!A:A=B529)*([2]Packages!B:B=C529), 0)) - SUMIFS(D$2:D529, B$2:B529, B529, C$2:C529, C529),"")</f>
        <v/>
      </c>
    </row>
    <row r="530" spans="4:11" x14ac:dyDescent="0.45">
      <c r="D530" t="str">
        <f>IFERROR(VLOOKUP(C530,'Clients List'!$A:$F,2,FALSE),"")</f>
        <v/>
      </c>
      <c r="F530" s="1" t="str">
        <f>IF(OR(C530="",NOT(ISNUMBER(SEARCH("Package",D530)))),"",VLOOKUP(C530,'Clients List'!$A:$F,4,FALSE)-SUMIFS($E$2:$E530,$C$2:$C530,C530,$D$2:$D530,"*Package*"))</f>
        <v/>
      </c>
      <c r="G530" t="str">
        <f t="shared" si="18"/>
        <v/>
      </c>
      <c r="H530" s="33">
        <f>IF(ISNUMBER(SEARCH("Group",D530)),IF(G530="",E530,IFERROR(E530/COUNTIF($G2:$G6000,G530),E530)),E530)</f>
        <v>0</v>
      </c>
      <c r="I530" s="1" t="str">
        <f>IFERROR(VLOOKUP(C530,'Clients List'!A:F,6,FALSE),"")</f>
        <v/>
      </c>
      <c r="K530" s="23" t="str">
        <f>IFERROR(INDEX([2]Packages!E:E, MATCH(1, ([2]Packages!A:A=B530)*([2]Packages!B:B=C530), 0)) - SUMIFS(D$2:D530, B$2:B530, B530, C$2:C530, C530),"")</f>
        <v/>
      </c>
    </row>
    <row r="531" spans="4:11" x14ac:dyDescent="0.45">
      <c r="D531" t="str">
        <f>IFERROR(VLOOKUP(C531,'Clients List'!$A:$F,2,FALSE),"")</f>
        <v/>
      </c>
      <c r="F531" s="1" t="str">
        <f>IF(OR(C531="",NOT(ISNUMBER(SEARCH("Package",D531)))),"",VLOOKUP(C531,'Clients List'!$A:$F,4,FALSE)-SUMIFS($E$2:$E531,$C$2:$C531,C531,$D$2:$D531,"*Package*"))</f>
        <v/>
      </c>
      <c r="G531" t="str">
        <f t="shared" si="18"/>
        <v/>
      </c>
      <c r="H531" s="33">
        <f>IF(ISNUMBER(SEARCH("Group",D531)),IF(G531="",E531,IFERROR(E531/COUNTIF($G2:$G6000,G531),E531)),E531)</f>
        <v>0</v>
      </c>
      <c r="I531" s="1" t="str">
        <f>IFERROR(VLOOKUP(C531,'Clients List'!A:F,6,FALSE),"")</f>
        <v/>
      </c>
      <c r="K531" s="23" t="str">
        <f>IFERROR(INDEX([2]Packages!E:E, MATCH(1, ([2]Packages!A:A=B531)*([2]Packages!B:B=C531), 0)) - SUMIFS(D$2:D531, B$2:B531, B531, C$2:C531, C531),"")</f>
        <v/>
      </c>
    </row>
    <row r="532" spans="4:11" x14ac:dyDescent="0.45">
      <c r="D532" t="str">
        <f>IFERROR(VLOOKUP(C532,'Clients List'!$A:$F,2,FALSE),"")</f>
        <v/>
      </c>
      <c r="F532" s="1" t="str">
        <f>IF(OR(C532="",NOT(ISNUMBER(SEARCH("Package",D532)))),"",VLOOKUP(C532,'Clients List'!$A:$F,4,FALSE)-SUMIFS($E$2:$E532,$C$2:$C532,C532,$D$2:$D532,"*Package*"))</f>
        <v/>
      </c>
      <c r="G532" t="str">
        <f t="shared" si="18"/>
        <v/>
      </c>
      <c r="H532" s="33">
        <f>IF(ISNUMBER(SEARCH("Group",D532)),IF(G532="",E532,IFERROR(E532/COUNTIF($G2:$G6000,G532),E532)),E532)</f>
        <v>0</v>
      </c>
      <c r="I532" s="1" t="str">
        <f>IFERROR(VLOOKUP(C532,'Clients List'!A:F,6,FALSE),"")</f>
        <v/>
      </c>
      <c r="K532" s="23" t="str">
        <f>IFERROR(INDEX([2]Packages!E:E, MATCH(1, ([2]Packages!A:A=B532)*([2]Packages!B:B=C532), 0)) - SUMIFS(D$2:D532, B$2:B532, B532, C$2:C532, C532),"")</f>
        <v/>
      </c>
    </row>
    <row r="533" spans="4:11" x14ac:dyDescent="0.45">
      <c r="D533" t="str">
        <f>IFERROR(VLOOKUP(C533,'Clients List'!$A:$F,2,FALSE),"")</f>
        <v/>
      </c>
      <c r="F533" s="1" t="str">
        <f>IF(OR(C533="",NOT(ISNUMBER(SEARCH("Package",D533)))),"",VLOOKUP(C533,'Clients List'!$A:$F,4,FALSE)-SUMIFS($E$2:$E533,$C$2:$C533,C533,$D$2:$D533,"*Package*"))</f>
        <v/>
      </c>
      <c r="G533" t="str">
        <f t="shared" si="18"/>
        <v/>
      </c>
      <c r="H533" s="33">
        <f>IF(ISNUMBER(SEARCH("Group",D533)),IF(G533="",E533,IFERROR(E533/COUNTIF($G2:$G6000,G533),E533)),E533)</f>
        <v>0</v>
      </c>
      <c r="I533" s="1" t="str">
        <f>IFERROR(VLOOKUP(C533,'Clients List'!A:F,6,FALSE),"")</f>
        <v/>
      </c>
      <c r="K533" s="23" t="str">
        <f>IFERROR(INDEX([2]Packages!E:E, MATCH(1, ([2]Packages!A:A=B533)*([2]Packages!B:B=C533), 0)) - SUMIFS(D$2:D533, B$2:B533, B533, C$2:C533, C533),"")</f>
        <v/>
      </c>
    </row>
    <row r="534" spans="4:11" x14ac:dyDescent="0.45">
      <c r="D534" t="str">
        <f>IFERROR(VLOOKUP(C534,'Clients List'!$A:$F,2,FALSE),"")</f>
        <v/>
      </c>
      <c r="F534" s="1" t="str">
        <f>IF(OR(C534="",NOT(ISNUMBER(SEARCH("Package",D534)))),"",VLOOKUP(C534,'Clients List'!$A:$F,4,FALSE)-SUMIFS($E$2:$E534,$C$2:$C534,C534,$D$2:$D534,"*Package*"))</f>
        <v/>
      </c>
      <c r="G534" t="str">
        <f t="shared" si="18"/>
        <v/>
      </c>
      <c r="H534" s="33">
        <f>IF(ISNUMBER(SEARCH("Group",D534)),IF(G534="",E534,IFERROR(E534/COUNTIF($G2:$G6000,G534),E534)),E534)</f>
        <v>0</v>
      </c>
      <c r="I534" s="1" t="str">
        <f>IFERROR(VLOOKUP(C534,'Clients List'!A:F,6,FALSE),"")</f>
        <v/>
      </c>
      <c r="K534" s="23" t="str">
        <f>IFERROR(INDEX([2]Packages!E:E, MATCH(1, ([2]Packages!A:A=B534)*([2]Packages!B:B=C534), 0)) - SUMIFS(D$2:D534, B$2:B534, B534, C$2:C534, C534),"")</f>
        <v/>
      </c>
    </row>
    <row r="535" spans="4:11" x14ac:dyDescent="0.45">
      <c r="D535" t="str">
        <f>IFERROR(VLOOKUP(C535,'Clients List'!$A:$F,2,FALSE),"")</f>
        <v/>
      </c>
      <c r="F535" s="1" t="str">
        <f>IF(OR(C535="",NOT(ISNUMBER(SEARCH("Package",D535)))),"",VLOOKUP(C535,'Clients List'!$A:$F,4,FALSE)-SUMIFS($E$2:$E535,$C$2:$C535,C535,$D$2:$D535,"*Package*"))</f>
        <v/>
      </c>
      <c r="G535" t="str">
        <f t="shared" si="18"/>
        <v/>
      </c>
      <c r="H535" s="33">
        <f>IF(ISNUMBER(SEARCH("Group",D535)),IF(G535="",E535,IFERROR(E535/COUNTIF($G2:$G6000,G535),E535)),E535)</f>
        <v>0</v>
      </c>
      <c r="I535" s="1" t="str">
        <f>IFERROR(VLOOKUP(C535,'Clients List'!A:F,6,FALSE),"")</f>
        <v/>
      </c>
      <c r="K535" s="23" t="str">
        <f>IFERROR(INDEX([2]Packages!E:E, MATCH(1, ([2]Packages!A:A=B535)*([2]Packages!B:B=C535), 0)) - SUMIFS(D$2:D535, B$2:B535, B535, C$2:C535, C535),"")</f>
        <v/>
      </c>
    </row>
    <row r="536" spans="4:11" x14ac:dyDescent="0.45">
      <c r="D536" t="str">
        <f>IFERROR(VLOOKUP(C536,'Clients List'!$A:$F,2,FALSE),"")</f>
        <v/>
      </c>
      <c r="F536" s="1" t="str">
        <f>IF(OR(C536="",NOT(ISNUMBER(SEARCH("Package",D536)))),"",VLOOKUP(C536,'Clients List'!$A:$F,4,FALSE)-SUMIFS($E$2:$E536,$C$2:$C536,C536,$D$2:$D536,"*Package*"))</f>
        <v/>
      </c>
      <c r="G536" t="str">
        <f t="shared" si="18"/>
        <v/>
      </c>
      <c r="H536" s="33">
        <f>IF(ISNUMBER(SEARCH("Group",D536)),IF(G536="",E536,IFERROR(E536/COUNTIF($G2:$G6000,G536),E536)),E536)</f>
        <v>0</v>
      </c>
      <c r="I536" s="1" t="str">
        <f>IFERROR(VLOOKUP(C536,'Clients List'!A:F,6,FALSE),"")</f>
        <v/>
      </c>
      <c r="K536" s="23" t="str">
        <f>IFERROR(INDEX([2]Packages!E:E, MATCH(1, ([2]Packages!A:A=B536)*([2]Packages!B:B=C536), 0)) - SUMIFS(D$2:D536, B$2:B536, B536, C$2:C536, C536),"")</f>
        <v/>
      </c>
    </row>
    <row r="537" spans="4:11" x14ac:dyDescent="0.45">
      <c r="D537" t="str">
        <f>IFERROR(VLOOKUP(C537,'Clients List'!$A:$F,2,FALSE),"")</f>
        <v/>
      </c>
      <c r="F537" s="1" t="str">
        <f>IF(OR(C537="",NOT(ISNUMBER(SEARCH("Package",D537)))),"",VLOOKUP(C537,'Clients List'!$A:$F,4,FALSE)-SUMIFS($E$2:$E537,$C$2:$C537,C537,$D$2:$D537,"*Package*"))</f>
        <v/>
      </c>
      <c r="G537" t="str">
        <f t="shared" si="18"/>
        <v/>
      </c>
      <c r="H537" s="33">
        <f>IF(ISNUMBER(SEARCH("Group",D537)),IF(G537="",E537,IFERROR(E537/COUNTIF($G2:$G6000,G537),E537)),E537)</f>
        <v>0</v>
      </c>
      <c r="I537" s="1" t="str">
        <f>IFERROR(VLOOKUP(C537,'Clients List'!A:F,6,FALSE),"")</f>
        <v/>
      </c>
      <c r="K537" s="23" t="str">
        <f>IFERROR(INDEX([2]Packages!E:E, MATCH(1, ([2]Packages!A:A=B537)*([2]Packages!B:B=C537), 0)) - SUMIFS(D$2:D537, B$2:B537, B537, C$2:C537, C537),"")</f>
        <v/>
      </c>
    </row>
    <row r="538" spans="4:11" x14ac:dyDescent="0.45">
      <c r="D538" t="str">
        <f>IFERROR(VLOOKUP(C538,'Clients List'!$A:$F,2,FALSE),"")</f>
        <v/>
      </c>
      <c r="F538" s="1" t="str">
        <f>IF(OR(C538="",NOT(ISNUMBER(SEARCH("Package",D538)))),"",VLOOKUP(C538,'Clients List'!$A:$F,4,FALSE)-SUMIFS($E$2:$E538,$C$2:$C538,C538,$D$2:$D538,"*Package*"))</f>
        <v/>
      </c>
      <c r="G538" t="str">
        <f t="shared" si="18"/>
        <v/>
      </c>
      <c r="H538" s="33">
        <f>IF(ISNUMBER(SEARCH("Group",D538)),IF(G538="",E538,IFERROR(E538/COUNTIF($G2:$G6000,G538),E538)),E538)</f>
        <v>0</v>
      </c>
      <c r="I538" s="1" t="str">
        <f>IFERROR(VLOOKUP(C538,'Clients List'!A:F,6,FALSE),"")</f>
        <v/>
      </c>
      <c r="K538" s="23" t="str">
        <f>IFERROR(INDEX([2]Packages!E:E, MATCH(1, ([2]Packages!A:A=B538)*([2]Packages!B:B=C538), 0)) - SUMIFS(D$2:D538, B$2:B538, B538, C$2:C538, C538),"")</f>
        <v/>
      </c>
    </row>
    <row r="539" spans="4:11" x14ac:dyDescent="0.45">
      <c r="D539" t="str">
        <f>IFERROR(VLOOKUP(C539,'Clients List'!$A:$F,2,FALSE),"")</f>
        <v/>
      </c>
      <c r="F539" s="1" t="str">
        <f>IF(OR(C539="",NOT(ISNUMBER(SEARCH("Package",D539)))),"",VLOOKUP(C539,'Clients List'!$A:$F,4,FALSE)-SUMIFS($E$2:$E539,$C$2:$C539,C539,$D$2:$D539,"*Package*"))</f>
        <v/>
      </c>
      <c r="G539" t="str">
        <f t="shared" si="18"/>
        <v/>
      </c>
      <c r="H539" s="33">
        <f>IF(ISNUMBER(SEARCH("Group",D539)),IF(G539="",E539,IFERROR(E539/COUNTIF($G2:$G6000,G539),E539)),E539)</f>
        <v>0</v>
      </c>
      <c r="I539" s="1" t="str">
        <f>IFERROR(VLOOKUP(C539,'Clients List'!A:F,6,FALSE),"")</f>
        <v/>
      </c>
      <c r="K539" s="23" t="str">
        <f>IFERROR(INDEX([2]Packages!E:E, MATCH(1, ([2]Packages!A:A=B539)*([2]Packages!B:B=C539), 0)) - SUMIFS(D$2:D539, B$2:B539, B539, C$2:C539, C539),"")</f>
        <v/>
      </c>
    </row>
    <row r="540" spans="4:11" x14ac:dyDescent="0.45">
      <c r="D540" t="str">
        <f>IFERROR(VLOOKUP(C540,'Clients List'!$A:$F,2,FALSE),"")</f>
        <v/>
      </c>
      <c r="F540" s="1" t="str">
        <f>IF(OR(C540="",NOT(ISNUMBER(SEARCH("Package",D540)))),"",VLOOKUP(C540,'Clients List'!$A:$F,4,FALSE)-SUMIFS($E$2:$E540,$C$2:$C540,C540,$D$2:$D540,"*Package*"))</f>
        <v/>
      </c>
      <c r="G540" t="str">
        <f t="shared" si="18"/>
        <v/>
      </c>
      <c r="H540" s="33">
        <f>IF(ISNUMBER(SEARCH("Group",D540)),IF(G540="",E540,IFERROR(E540/COUNTIF($G2:$G6000,G540),E540)),E540)</f>
        <v>0</v>
      </c>
      <c r="I540" s="1" t="str">
        <f>IFERROR(VLOOKUP(C540,'Clients List'!A:F,6,FALSE),"")</f>
        <v/>
      </c>
      <c r="K540" s="23" t="str">
        <f>IFERROR(INDEX([2]Packages!E:E, MATCH(1, ([2]Packages!A:A=B540)*([2]Packages!B:B=C540), 0)) - SUMIFS(D$2:D540, B$2:B540, B540, C$2:C540, C540),"")</f>
        <v/>
      </c>
    </row>
    <row r="541" spans="4:11" x14ac:dyDescent="0.45">
      <c r="D541" t="str">
        <f>IFERROR(VLOOKUP(C541,'Clients List'!$A:$F,2,FALSE),"")</f>
        <v/>
      </c>
      <c r="F541" s="1" t="str">
        <f>IF(OR(C541="",NOT(ISNUMBER(SEARCH("Package",D541)))),"",VLOOKUP(C541,'Clients List'!$A:$F,4,FALSE)-SUMIFS($E$2:$E541,$C$2:$C541,C541,$D$2:$D541,"*Package*"))</f>
        <v/>
      </c>
      <c r="G541" t="str">
        <f t="shared" si="18"/>
        <v/>
      </c>
      <c r="H541" s="33">
        <f>IF(ISNUMBER(SEARCH("Group",D541)),IF(G541="",E541,IFERROR(E541/COUNTIF($G2:$G6000,G541),E541)),E541)</f>
        <v>0</v>
      </c>
      <c r="I541" s="1" t="str">
        <f>IFERROR(VLOOKUP(C541,'Clients List'!A:F,6,FALSE),"")</f>
        <v/>
      </c>
      <c r="K541" s="23" t="str">
        <f>IFERROR(INDEX([2]Packages!E:E, MATCH(1, ([2]Packages!A:A=B541)*([2]Packages!B:B=C541), 0)) - SUMIFS(D$2:D541, B$2:B541, B541, C$2:C541, C541),"")</f>
        <v/>
      </c>
    </row>
    <row r="542" spans="4:11" x14ac:dyDescent="0.45">
      <c r="D542" t="str">
        <f>IFERROR(VLOOKUP(C542,'Clients List'!$A:$F,2,FALSE),"")</f>
        <v/>
      </c>
      <c r="F542" s="1" t="str">
        <f>IF(OR(C542="",NOT(ISNUMBER(SEARCH("Package",D542)))),"",VLOOKUP(C542,'Clients List'!$A:$F,4,FALSE)-SUMIFS($E$2:$E542,$C$2:$C542,C542,$D$2:$D542,"*Package*"))</f>
        <v/>
      </c>
      <c r="G542" t="str">
        <f t="shared" si="18"/>
        <v/>
      </c>
      <c r="H542" s="33">
        <f>IF(ISNUMBER(SEARCH("Group",D542)),IF(G542="",E542,IFERROR(E542/COUNTIF($G2:$G6000,G542),E542)),E542)</f>
        <v>0</v>
      </c>
      <c r="I542" s="1" t="str">
        <f>IFERROR(VLOOKUP(C542,'Clients List'!A:F,6,FALSE),"")</f>
        <v/>
      </c>
      <c r="K542" s="23" t="str">
        <f>IFERROR(INDEX([2]Packages!E:E, MATCH(1, ([2]Packages!A:A=B542)*([2]Packages!B:B=C542), 0)) - SUMIFS(D$2:D542, B$2:B542, B542, C$2:C542, C542),"")</f>
        <v/>
      </c>
    </row>
    <row r="543" spans="4:11" x14ac:dyDescent="0.45">
      <c r="D543" t="str">
        <f>IFERROR(VLOOKUP(C543,'Clients List'!$A:$F,2,FALSE),"")</f>
        <v/>
      </c>
      <c r="F543" s="1" t="str">
        <f>IF(OR(C543="",NOT(ISNUMBER(SEARCH("Package",D543)))),"",VLOOKUP(C543,'Clients List'!$A:$F,4,FALSE)-SUMIFS($E$2:$E543,$C$2:$C543,C543,$D$2:$D543,"*Package*"))</f>
        <v/>
      </c>
      <c r="G543" t="str">
        <f t="shared" si="18"/>
        <v/>
      </c>
      <c r="H543" s="33">
        <f>IF(ISNUMBER(SEARCH("Group",D543)),IF(G543="",E543,IFERROR(E543/COUNTIF($G2:$G6000,G543),E543)),E543)</f>
        <v>0</v>
      </c>
      <c r="I543" s="1" t="str">
        <f>IFERROR(VLOOKUP(C543,'Clients List'!A:F,6,FALSE),"")</f>
        <v/>
      </c>
      <c r="K543" s="23" t="str">
        <f>IFERROR(INDEX([2]Packages!E:E, MATCH(1, ([2]Packages!A:A=B543)*([2]Packages!B:B=C543), 0)) - SUMIFS(D$2:D543, B$2:B543, B543, C$2:C543, C543),"")</f>
        <v/>
      </c>
    </row>
    <row r="544" spans="4:11" x14ac:dyDescent="0.45">
      <c r="D544" t="str">
        <f>IFERROR(VLOOKUP(C544,'Clients List'!$A:$F,2,FALSE),"")</f>
        <v/>
      </c>
      <c r="F544" s="1" t="str">
        <f>IF(OR(C544="",NOT(ISNUMBER(SEARCH("Package",D544)))),"",VLOOKUP(C544,'Clients List'!$A:$F,4,FALSE)-SUMIFS($E$2:$E544,$C$2:$C544,C544,$D$2:$D544,"*Package*"))</f>
        <v/>
      </c>
      <c r="G544" t="str">
        <f t="shared" si="18"/>
        <v/>
      </c>
      <c r="H544" s="33">
        <f>IF(ISNUMBER(SEARCH("Group",D544)),IF(G544="",E544,IFERROR(E544/COUNTIF($G2:$G6000,G544),E544)),E544)</f>
        <v>0</v>
      </c>
      <c r="I544" s="1" t="str">
        <f>IFERROR(VLOOKUP(C544,'Clients List'!A:F,6,FALSE),"")</f>
        <v/>
      </c>
      <c r="K544" s="23" t="str">
        <f>IFERROR(INDEX([2]Packages!E:E, MATCH(1, ([2]Packages!A:A=B544)*([2]Packages!B:B=C544), 0)) - SUMIFS(D$2:D544, B$2:B544, B544, C$2:C544, C544),"")</f>
        <v/>
      </c>
    </row>
    <row r="545" spans="4:11" x14ac:dyDescent="0.45">
      <c r="D545" t="str">
        <f>IFERROR(VLOOKUP(C545,'Clients List'!$A:$F,2,FALSE),"")</f>
        <v/>
      </c>
      <c r="F545" s="1" t="str">
        <f>IF(OR(C545="",NOT(ISNUMBER(SEARCH("Package",D545)))),"",VLOOKUP(C545,'Clients List'!$A:$F,4,FALSE)-SUMIFS($E$2:$E545,$C$2:$C545,C545,$D$2:$D545,"*Package*"))</f>
        <v/>
      </c>
      <c r="G545" t="str">
        <f t="shared" si="18"/>
        <v/>
      </c>
      <c r="H545" s="33">
        <f>IF(ISNUMBER(SEARCH("Group",D545)),IF(G545="",E545,IFERROR(E545/COUNTIF($G2:$G6000,G545),E545)),E545)</f>
        <v>0</v>
      </c>
      <c r="I545" s="1" t="str">
        <f>IFERROR(VLOOKUP(C545,'Clients List'!A:F,6,FALSE),"")</f>
        <v/>
      </c>
      <c r="K545" s="23" t="str">
        <f>IFERROR(INDEX([2]Packages!E:E, MATCH(1, ([2]Packages!A:A=B545)*([2]Packages!B:B=C545), 0)) - SUMIFS(D$2:D545, B$2:B545, B545, C$2:C545, C545),"")</f>
        <v/>
      </c>
    </row>
    <row r="546" spans="4:11" x14ac:dyDescent="0.45">
      <c r="D546" t="str">
        <f>IFERROR(VLOOKUP(C546,'Clients List'!$A:$F,2,FALSE),"")</f>
        <v/>
      </c>
      <c r="F546" s="1" t="str">
        <f>IF(OR(C546="",NOT(ISNUMBER(SEARCH("Package",D546)))),"",VLOOKUP(C546,'Clients List'!$A:$F,4,FALSE)-SUMIFS($E$2:$E546,$C$2:$C546,C546,$D$2:$D546,"*Package*"))</f>
        <v/>
      </c>
      <c r="G546" t="str">
        <f t="shared" si="18"/>
        <v/>
      </c>
      <c r="H546" s="33">
        <f>IF(ISNUMBER(SEARCH("Group",D546)),IF(G546="",E546,IFERROR(E546/COUNTIF($G2:$G6000,G546),E546)),E546)</f>
        <v>0</v>
      </c>
      <c r="I546" s="1" t="str">
        <f>IFERROR(VLOOKUP(C546,'Clients List'!A:F,6,FALSE),"")</f>
        <v/>
      </c>
      <c r="K546" s="23" t="str">
        <f>IFERROR(INDEX([2]Packages!E:E, MATCH(1, ([2]Packages!A:A=B546)*([2]Packages!B:B=C546), 0)) - SUMIFS(D$2:D546, B$2:B546, B546, C$2:C546, C546),"")</f>
        <v/>
      </c>
    </row>
    <row r="547" spans="4:11" x14ac:dyDescent="0.45">
      <c r="D547" t="str">
        <f>IFERROR(VLOOKUP(C547,'Clients List'!$A:$F,2,FALSE),"")</f>
        <v/>
      </c>
      <c r="F547" s="1" t="str">
        <f>IF(OR(C547="",NOT(ISNUMBER(SEARCH("Package",D547)))),"",VLOOKUP(C547,'Clients List'!$A:$F,4,FALSE)-SUMIFS($E$2:$E547,$C$2:$C547,C547,$D$2:$D547,"*Package*"))</f>
        <v/>
      </c>
      <c r="G547" t="str">
        <f t="shared" si="18"/>
        <v/>
      </c>
      <c r="H547" s="33">
        <f>IF(ISNUMBER(SEARCH("Group",D547)),IF(G547="",E547,IFERROR(E547/COUNTIF($G2:$G6000,G547),E547)),E547)</f>
        <v>0</v>
      </c>
      <c r="I547" s="1" t="str">
        <f>IFERROR(VLOOKUP(C547,'Clients List'!A:F,6,FALSE),"")</f>
        <v/>
      </c>
      <c r="K547" s="23" t="str">
        <f>IFERROR(INDEX([2]Packages!E:E, MATCH(1, ([2]Packages!A:A=B547)*([2]Packages!B:B=C547), 0)) - SUMIFS(D$2:D547, B$2:B547, B547, C$2:C547, C547),"")</f>
        <v/>
      </c>
    </row>
    <row r="548" spans="4:11" x14ac:dyDescent="0.45">
      <c r="D548" t="str">
        <f>IFERROR(VLOOKUP(C548,'Clients List'!$A:$F,2,FALSE),"")</f>
        <v/>
      </c>
      <c r="F548" s="1" t="str">
        <f>IF(OR(C548="",NOT(ISNUMBER(SEARCH("Package",D548)))),"",VLOOKUP(C548,'Clients List'!$A:$F,4,FALSE)-SUMIFS($E$2:$E548,$C$2:$C548,C548,$D$2:$D548,"*Package*"))</f>
        <v/>
      </c>
      <c r="G548" t="str">
        <f t="shared" si="18"/>
        <v/>
      </c>
      <c r="H548" s="33">
        <f>IF(ISNUMBER(SEARCH("Group",D548)),IF(G548="",E548,IFERROR(E548/COUNTIF($G2:$G6000,G548),E548)),E548)</f>
        <v>0</v>
      </c>
      <c r="I548" s="1" t="str">
        <f>IFERROR(VLOOKUP(C548,'Clients List'!A:F,6,FALSE),"")</f>
        <v/>
      </c>
      <c r="K548" s="23" t="str">
        <f>IFERROR(INDEX([2]Packages!E:E, MATCH(1, ([2]Packages!A:A=B548)*([2]Packages!B:B=C548), 0)) - SUMIFS(D$2:D548, B$2:B548, B548, C$2:C548, C548),"")</f>
        <v/>
      </c>
    </row>
    <row r="549" spans="4:11" x14ac:dyDescent="0.45">
      <c r="D549" t="str">
        <f>IFERROR(VLOOKUP(C549,'Clients List'!$A:$F,2,FALSE),"")</f>
        <v/>
      </c>
      <c r="F549" s="1" t="str">
        <f>IF(OR(C549="",NOT(ISNUMBER(SEARCH("Package",D549)))),"",VLOOKUP(C549,'Clients List'!$A:$F,4,FALSE)-SUMIFS($E$2:$E549,$C$2:$C549,C549,$D$2:$D549,"*Package*"))</f>
        <v/>
      </c>
      <c r="G549" t="str">
        <f t="shared" si="18"/>
        <v/>
      </c>
      <c r="H549" s="33">
        <f>IF(ISNUMBER(SEARCH("Group",D549)),IF(G549="",E549,IFERROR(E549/COUNTIF($G2:$G6000,G549),E549)),E549)</f>
        <v>0</v>
      </c>
      <c r="I549" s="1" t="str">
        <f>IFERROR(VLOOKUP(C549,'Clients List'!A:F,6,FALSE),"")</f>
        <v/>
      </c>
      <c r="K549" s="23" t="str">
        <f>IFERROR(INDEX([2]Packages!E:E, MATCH(1, ([2]Packages!A:A=B549)*([2]Packages!B:B=C549), 0)) - SUMIFS(D$2:D549, B$2:B549, B549, C$2:C549, C549),"")</f>
        <v/>
      </c>
    </row>
    <row r="550" spans="4:11" x14ac:dyDescent="0.45">
      <c r="D550" t="str">
        <f>IFERROR(VLOOKUP(C550,'Clients List'!$A:$F,2,FALSE),"")</f>
        <v/>
      </c>
      <c r="F550" s="1" t="str">
        <f>IF(OR(C550="",NOT(ISNUMBER(SEARCH("Package",D550)))),"",VLOOKUP(C550,'Clients List'!$A:$F,4,FALSE)-SUMIFS($E$2:$E550,$C$2:$C550,C550,$D$2:$D550,"*Package*"))</f>
        <v/>
      </c>
      <c r="G550" t="str">
        <f t="shared" si="18"/>
        <v/>
      </c>
      <c r="H550" s="33">
        <f>IF(ISNUMBER(SEARCH("Group",D550)),IF(G550="",E550,IFERROR(E550/COUNTIF($G2:$G6000,G550),E550)),E550)</f>
        <v>0</v>
      </c>
      <c r="I550" s="1" t="str">
        <f>IFERROR(VLOOKUP(C550,'Clients List'!A:F,6,FALSE),"")</f>
        <v/>
      </c>
      <c r="K550" s="23" t="str">
        <f>IFERROR(INDEX([2]Packages!E:E, MATCH(1, ([2]Packages!A:A=B550)*([2]Packages!B:B=C550), 0)) - SUMIFS(D$2:D550, B$2:B550, B550, C$2:C550, C550),"")</f>
        <v/>
      </c>
    </row>
    <row r="551" spans="4:11" x14ac:dyDescent="0.45">
      <c r="D551" t="str">
        <f>IFERROR(VLOOKUP(C551,'Clients List'!$A:$F,2,FALSE),"")</f>
        <v/>
      </c>
      <c r="F551" s="1" t="str">
        <f>IF(OR(C551="",NOT(ISNUMBER(SEARCH("Package",D551)))),"",VLOOKUP(C551,'Clients List'!$A:$F,4,FALSE)-SUMIFS($E$2:$E551,$C$2:$C551,C551,$D$2:$D551,"*Package*"))</f>
        <v/>
      </c>
      <c r="G551" t="str">
        <f t="shared" si="18"/>
        <v/>
      </c>
      <c r="H551" s="33">
        <f>IF(ISNUMBER(SEARCH("Group",D551)),IF(G551="",E551,IFERROR(E551/COUNTIF($G2:$G6000,G551),E551)),E551)</f>
        <v>0</v>
      </c>
      <c r="I551" s="1" t="str">
        <f>IFERROR(VLOOKUP(C551,'Clients List'!A:F,6,FALSE),"")</f>
        <v/>
      </c>
      <c r="K551" s="23" t="str">
        <f>IFERROR(INDEX([2]Packages!E:E, MATCH(1, ([2]Packages!A:A=B551)*([2]Packages!B:B=C551), 0)) - SUMIFS(D$2:D551, B$2:B551, B551, C$2:C551, C551),"")</f>
        <v/>
      </c>
    </row>
    <row r="552" spans="4:11" x14ac:dyDescent="0.45">
      <c r="D552" t="str">
        <f>IFERROR(VLOOKUP(C552,'Clients List'!$A:$F,2,FALSE),"")</f>
        <v/>
      </c>
      <c r="F552" s="1" t="str">
        <f>IF(OR(C552="",NOT(ISNUMBER(SEARCH("Package",D552)))),"",VLOOKUP(C552,'Clients List'!$A:$F,4,FALSE)-SUMIFS($E$2:$E552,$C$2:$C552,C552,$D$2:$D552,"*Package*"))</f>
        <v/>
      </c>
      <c r="G552" t="str">
        <f t="shared" si="18"/>
        <v/>
      </c>
      <c r="H552" s="33">
        <f>IF(ISNUMBER(SEARCH("Group",D552)),IF(G552="",E552,IFERROR(E552/COUNTIF($G2:$G6000,G552),E552)),E552)</f>
        <v>0</v>
      </c>
      <c r="I552" s="1" t="str">
        <f>IFERROR(VLOOKUP(C552,'Clients List'!A:F,6,FALSE),"")</f>
        <v/>
      </c>
      <c r="K552" s="23" t="str">
        <f>IFERROR(INDEX([2]Packages!E:E, MATCH(1, ([2]Packages!A:A=B552)*([2]Packages!B:B=C552), 0)) - SUMIFS(D$2:D552, B$2:B552, B552, C$2:C552, C552),"")</f>
        <v/>
      </c>
    </row>
    <row r="553" spans="4:11" x14ac:dyDescent="0.45">
      <c r="D553" t="str">
        <f>IFERROR(VLOOKUP(C553,'Clients List'!$A:$F,2,FALSE),"")</f>
        <v/>
      </c>
      <c r="F553" s="1" t="str">
        <f>IF(OR(C553="",NOT(ISNUMBER(SEARCH("Package",D553)))),"",VLOOKUP(C553,'Clients List'!$A:$F,4,FALSE)-SUMIFS($E$2:$E553,$C$2:$C553,C553,$D$2:$D553,"*Package*"))</f>
        <v/>
      </c>
      <c r="G553" t="str">
        <f t="shared" si="18"/>
        <v/>
      </c>
      <c r="H553" s="33">
        <f>IF(ISNUMBER(SEARCH("Group",D553)),IF(G553="",E553,IFERROR(E553/COUNTIF($G2:$G6000,G553),E553)),E553)</f>
        <v>0</v>
      </c>
      <c r="I553" s="1" t="str">
        <f>IFERROR(VLOOKUP(C553,'Clients List'!A:F,6,FALSE),"")</f>
        <v/>
      </c>
      <c r="K553" s="23" t="str">
        <f>IFERROR(INDEX([2]Packages!E:E, MATCH(1, ([2]Packages!A:A=B553)*([2]Packages!B:B=C553), 0)) - SUMIFS(D$2:D553, B$2:B553, B553, C$2:C553, C553),"")</f>
        <v/>
      </c>
    </row>
    <row r="554" spans="4:11" x14ac:dyDescent="0.45">
      <c r="D554" t="str">
        <f>IFERROR(VLOOKUP(C554,'Clients List'!$A:$F,2,FALSE),"")</f>
        <v/>
      </c>
      <c r="F554" s="1" t="str">
        <f>IF(OR(C554="",NOT(ISNUMBER(SEARCH("Package",D554)))),"",VLOOKUP(C554,'Clients List'!$A:$F,4,FALSE)-SUMIFS($E$2:$E554,$C$2:$C554,C554,$D$2:$D554,"*Package*"))</f>
        <v/>
      </c>
      <c r="G554" t="str">
        <f t="shared" si="18"/>
        <v/>
      </c>
      <c r="H554" s="33">
        <f>IF(ISNUMBER(SEARCH("Group",D554)),IF(G554="",E554,IFERROR(E554/COUNTIF($G2:$G6000,G554),E554)),E554)</f>
        <v>0</v>
      </c>
      <c r="I554" s="1" t="str">
        <f>IFERROR(VLOOKUP(C554,'Clients List'!A:F,6,FALSE),"")</f>
        <v/>
      </c>
      <c r="K554" s="23" t="str">
        <f>IFERROR(INDEX([2]Packages!E:E, MATCH(1, ([2]Packages!A:A=B554)*([2]Packages!B:B=C554), 0)) - SUMIFS(D$2:D554, B$2:B554, B554, C$2:C554, C554),"")</f>
        <v/>
      </c>
    </row>
    <row r="555" spans="4:11" x14ac:dyDescent="0.45">
      <c r="D555" t="str">
        <f>IFERROR(VLOOKUP(C555,'Clients List'!$A:$F,2,FALSE),"")</f>
        <v/>
      </c>
      <c r="F555" s="1" t="str">
        <f>IF(OR(C555="",NOT(ISNUMBER(SEARCH("Package",D555)))),"",VLOOKUP(C555,'Clients List'!$A:$F,4,FALSE)-SUMIFS($E$2:$E555,$C$2:$C555,C555,$D$2:$D555,"*Package*"))</f>
        <v/>
      </c>
      <c r="G555" t="str">
        <f t="shared" si="18"/>
        <v/>
      </c>
      <c r="H555" s="33">
        <f>IF(ISNUMBER(SEARCH("Group",D555)),IF(G555="",E555,IFERROR(E555/COUNTIF($G2:$G6000,G555),E555)),E555)</f>
        <v>0</v>
      </c>
      <c r="I555" s="1" t="str">
        <f>IFERROR(VLOOKUP(C555,'Clients List'!A:F,6,FALSE),"")</f>
        <v/>
      </c>
      <c r="K555" s="23" t="str">
        <f>IFERROR(INDEX([2]Packages!E:E, MATCH(1, ([2]Packages!A:A=B555)*([2]Packages!B:B=C555), 0)) - SUMIFS(D$2:D555, B$2:B555, B555, C$2:C555, C555),"")</f>
        <v/>
      </c>
    </row>
    <row r="556" spans="4:11" x14ac:dyDescent="0.45">
      <c r="D556" t="str">
        <f>IFERROR(VLOOKUP(C556,'Clients List'!$A:$F,2,FALSE),"")</f>
        <v/>
      </c>
      <c r="F556" s="1" t="str">
        <f>IF(OR(C556="",NOT(ISNUMBER(SEARCH("Package",D556)))),"",VLOOKUP(C556,'Clients List'!$A:$F,4,FALSE)-SUMIFS($E$2:$E556,$C$2:$C556,C556,$D$2:$D556,"*Package*"))</f>
        <v/>
      </c>
      <c r="G556" t="str">
        <f t="shared" si="18"/>
        <v/>
      </c>
      <c r="H556" s="33">
        <f>IF(ISNUMBER(SEARCH("Group",D556)),IF(G556="",E556,IFERROR(E556/COUNTIF($G2:$G6000,G556),E556)),E556)</f>
        <v>0</v>
      </c>
      <c r="I556" s="1" t="str">
        <f>IFERROR(VLOOKUP(C556,'Clients List'!A:F,6,FALSE),"")</f>
        <v/>
      </c>
      <c r="K556" s="23" t="str">
        <f>IFERROR(INDEX([2]Packages!E:E, MATCH(1, ([2]Packages!A:A=B556)*([2]Packages!B:B=C556), 0)) - SUMIFS(D$2:D556, B$2:B556, B556, C$2:C556, C556),"")</f>
        <v/>
      </c>
    </row>
    <row r="557" spans="4:11" x14ac:dyDescent="0.45">
      <c r="D557" t="str">
        <f>IFERROR(VLOOKUP(C557,'Clients List'!$A:$F,2,FALSE),"")</f>
        <v/>
      </c>
      <c r="F557" s="1" t="str">
        <f>IF(OR(C557="",NOT(ISNUMBER(SEARCH("Package",D557)))),"",VLOOKUP(C557,'Clients List'!$A:$F,4,FALSE)-SUMIFS($E$2:$E557,$C$2:$C557,C557,$D$2:$D557,"*Package*"))</f>
        <v/>
      </c>
      <c r="G557" t="str">
        <f t="shared" si="18"/>
        <v/>
      </c>
      <c r="H557" s="33">
        <f>IF(ISNUMBER(SEARCH("Group",D557)),IF(G557="",E557,IFERROR(E557/COUNTIF($G2:$G6000,G557),E557)),E557)</f>
        <v>0</v>
      </c>
      <c r="I557" s="1" t="str">
        <f>IFERROR(VLOOKUP(C557,'Clients List'!A:F,6,FALSE),"")</f>
        <v/>
      </c>
      <c r="K557" s="23" t="str">
        <f>IFERROR(INDEX([2]Packages!E:E, MATCH(1, ([2]Packages!A:A=B557)*([2]Packages!B:B=C557), 0)) - SUMIFS(D$2:D557, B$2:B557, B557, C$2:C557, C557),"")</f>
        <v/>
      </c>
    </row>
    <row r="558" spans="4:11" x14ac:dyDescent="0.45">
      <c r="D558" t="str">
        <f>IFERROR(VLOOKUP(C558,'Clients List'!$A:$F,2,FALSE),"")</f>
        <v/>
      </c>
      <c r="F558" s="1" t="str">
        <f>IF(OR(C558="",NOT(ISNUMBER(SEARCH("Package",D558)))),"",VLOOKUP(C558,'Clients List'!$A:$F,4,FALSE)-SUMIFS($E$2:$E558,$C$2:$C558,C558,$D$2:$D558,"*Package*"))</f>
        <v/>
      </c>
      <c r="G558" t="str">
        <f t="shared" si="18"/>
        <v/>
      </c>
      <c r="H558" s="33">
        <f>IF(ISNUMBER(SEARCH("Group",D558)),IF(G558="",E558,IFERROR(E558/COUNTIF($G2:$G6000,G558),E558)),E558)</f>
        <v>0</v>
      </c>
      <c r="I558" s="1" t="str">
        <f>IFERROR(VLOOKUP(C558,'Clients List'!A:F,6,FALSE),"")</f>
        <v/>
      </c>
      <c r="K558" s="23" t="str">
        <f>IFERROR(INDEX([2]Packages!E:E, MATCH(1, ([2]Packages!A:A=B558)*([2]Packages!B:B=C558), 0)) - SUMIFS(D$2:D558, B$2:B558, B558, C$2:C558, C558),"")</f>
        <v/>
      </c>
    </row>
    <row r="559" spans="4:11" x14ac:dyDescent="0.45">
      <c r="D559" t="str">
        <f>IFERROR(VLOOKUP(C559,'Clients List'!$A:$F,2,FALSE),"")</f>
        <v/>
      </c>
      <c r="F559" s="1" t="str">
        <f>IF(OR(C559="",NOT(ISNUMBER(SEARCH("Package",D559)))),"",VLOOKUP(C559,'Clients List'!$A:$F,4,FALSE)-SUMIFS($E$2:$E559,$C$2:$C559,C559,$D$2:$D559,"*Package*"))</f>
        <v/>
      </c>
      <c r="G559" t="str">
        <f t="shared" si="18"/>
        <v/>
      </c>
      <c r="H559" s="33">
        <f>IF(ISNUMBER(SEARCH("Group",D559)),IF(G559="",E559,IFERROR(E559/COUNTIF($G2:$G6000,G559),E559)),E559)</f>
        <v>0</v>
      </c>
      <c r="I559" s="1" t="str">
        <f>IFERROR(VLOOKUP(C559,'Clients List'!A:F,6,FALSE),"")</f>
        <v/>
      </c>
      <c r="K559" s="23" t="str">
        <f>IFERROR(INDEX([2]Packages!E:E, MATCH(1, ([2]Packages!A:A=B559)*([2]Packages!B:B=C559), 0)) - SUMIFS(D$2:D559, B$2:B559, B559, C$2:C559, C559),"")</f>
        <v/>
      </c>
    </row>
    <row r="560" spans="4:11" x14ac:dyDescent="0.45">
      <c r="D560" t="str">
        <f>IFERROR(VLOOKUP(C560,'Clients List'!$A:$F,2,FALSE),"")</f>
        <v/>
      </c>
      <c r="F560" s="1" t="str">
        <f>IF(OR(C560="",NOT(ISNUMBER(SEARCH("Package",D560)))),"",VLOOKUP(C560,'Clients List'!$A:$F,4,FALSE)-SUMIFS($E$2:$E560,$C$2:$C560,C560,$D$2:$D560,"*Package*"))</f>
        <v/>
      </c>
      <c r="G560" t="str">
        <f t="shared" ref="G560:G571" si="19">IF(ISNUMBER(SEARCH("Group",D560)),IFERROR("GRP-"&amp;TEXT(IF(ISNUMBER(A560),A560,DATEVALUE(A560)),"yyyymmdd"),""),"" )</f>
        <v/>
      </c>
      <c r="H560" s="33">
        <f>IF(ISNUMBER(SEARCH("Group",D560)),IF(G560="",E560,IFERROR(E560/COUNTIF($G2:$G6000,G560),E560)),E560)</f>
        <v>0</v>
      </c>
      <c r="I560" s="1" t="str">
        <f>IFERROR(VLOOKUP(C560,'Clients List'!A:F,6,FALSE),"")</f>
        <v/>
      </c>
      <c r="K560" s="23" t="str">
        <f>IFERROR(INDEX([2]Packages!E:E, MATCH(1, ([2]Packages!A:A=B560)*([2]Packages!B:B=C560), 0)) - SUMIFS(D$2:D560, B$2:B560, B560, C$2:C560, C560),"")</f>
        <v/>
      </c>
    </row>
    <row r="561" spans="1:11" x14ac:dyDescent="0.45">
      <c r="D561" t="str">
        <f>IFERROR(VLOOKUP(C561,'Clients List'!$A:$F,2,FALSE),"")</f>
        <v/>
      </c>
      <c r="F561" s="1" t="str">
        <f>IF(OR(C561="",NOT(ISNUMBER(SEARCH("Package",D561)))),"",VLOOKUP(C561,'Clients List'!$A:$F,4,FALSE)-SUMIFS($E$2:$E561,$C$2:$C561,C561,$D$2:$D561,"*Package*"))</f>
        <v/>
      </c>
      <c r="G561" t="str">
        <f t="shared" si="19"/>
        <v/>
      </c>
      <c r="H561" s="33">
        <f>IF(ISNUMBER(SEARCH("Group",D561)),IF(G561="",E561,IFERROR(E561/COUNTIF($G2:$G6000,G561),E561)),E561)</f>
        <v>0</v>
      </c>
      <c r="I561" s="1" t="str">
        <f>IFERROR(VLOOKUP(C561,'Clients List'!A:F,6,FALSE),"")</f>
        <v/>
      </c>
      <c r="K561" s="23" t="str">
        <f>IFERROR(INDEX([2]Packages!E:E, MATCH(1, ([2]Packages!A:A=B561)*([2]Packages!B:B=C561), 0)) - SUMIFS(D$2:D561, B$2:B561, B561, C$2:C561, C561),"")</f>
        <v/>
      </c>
    </row>
    <row r="562" spans="1:11" x14ac:dyDescent="0.45">
      <c r="D562" t="str">
        <f>IFERROR(VLOOKUP(C562,'Clients List'!$A:$F,2,FALSE),"")</f>
        <v/>
      </c>
      <c r="F562" s="1" t="str">
        <f>IF(OR(C562="",NOT(ISNUMBER(SEARCH("Package",D562)))),"",VLOOKUP(C562,'Clients List'!$A:$F,4,FALSE)-SUMIFS($E$2:$E562,$C$2:$C562,C562,$D$2:$D562,"*Package*"))</f>
        <v/>
      </c>
      <c r="G562" t="str">
        <f t="shared" si="19"/>
        <v/>
      </c>
      <c r="H562" s="33">
        <f>IF(ISNUMBER(SEARCH("Group",D562)),IF(G562="",E562,IFERROR(E562/COUNTIF($G2:$G6000,G562),E562)),E562)</f>
        <v>0</v>
      </c>
      <c r="I562" s="1" t="str">
        <f>IFERROR(VLOOKUP(C562,'Clients List'!A:F,6,FALSE),"")</f>
        <v/>
      </c>
      <c r="K562" s="23" t="str">
        <f>IFERROR(INDEX([2]Packages!E:E, MATCH(1, ([2]Packages!A:A=B562)*([2]Packages!B:B=C562), 0)) - SUMIFS(D$2:D562, B$2:B562, B562, C$2:C562, C562),"")</f>
        <v/>
      </c>
    </row>
    <row r="563" spans="1:11" x14ac:dyDescent="0.45">
      <c r="D563" t="str">
        <f>IFERROR(VLOOKUP(C563,'Clients List'!$A:$F,2,FALSE),"")</f>
        <v/>
      </c>
      <c r="F563" s="1" t="str">
        <f>IF(OR(C563="",NOT(ISNUMBER(SEARCH("Package",D563)))),"",VLOOKUP(C563,'Clients List'!$A:$F,4,FALSE)-SUMIFS($E$2:$E563,$C$2:$C563,C563,$D$2:$D563,"*Package*"))</f>
        <v/>
      </c>
      <c r="G563" t="str">
        <f t="shared" si="19"/>
        <v/>
      </c>
      <c r="H563" s="33">
        <f>IF(ISNUMBER(SEARCH("Group",D563)),IF(G563="",E563,IFERROR(E563/COUNTIF($G2:$G6000,G563),E563)),E563)</f>
        <v>0</v>
      </c>
      <c r="I563" s="1" t="str">
        <f>IFERROR(VLOOKUP(C563,'Clients List'!A:F,6,FALSE),"")</f>
        <v/>
      </c>
      <c r="K563" s="23" t="str">
        <f>IFERROR(INDEX([2]Packages!E:E, MATCH(1, ([2]Packages!A:A=B563)*([2]Packages!B:B=C563), 0)) - SUMIFS(D$2:D563, B$2:B563, B563, C$2:C563, C563),"")</f>
        <v/>
      </c>
    </row>
    <row r="564" spans="1:11" x14ac:dyDescent="0.45">
      <c r="D564" t="str">
        <f>IFERROR(VLOOKUP(C564,'Clients List'!$A:$F,2,FALSE),"")</f>
        <v/>
      </c>
      <c r="F564" s="1" t="str">
        <f>IF(OR(C564="",NOT(ISNUMBER(SEARCH("Package",D564)))),"",VLOOKUP(C564,'Clients List'!$A:$F,4,FALSE)-SUMIFS($E$2:$E564,$C$2:$C564,C564,$D$2:$D564,"*Package*"))</f>
        <v/>
      </c>
      <c r="G564" t="str">
        <f t="shared" si="19"/>
        <v/>
      </c>
      <c r="H564" s="33">
        <f>IF(ISNUMBER(SEARCH("Group",D564)),IF(G564="",E564,IFERROR(E564/COUNTIF($G2:$G6000,G564),E564)),E564)</f>
        <v>0</v>
      </c>
      <c r="I564" s="1" t="str">
        <f>IFERROR(VLOOKUP(C564,'Clients List'!A:F,6,FALSE),"")</f>
        <v/>
      </c>
      <c r="K564" s="23" t="str">
        <f>IFERROR(INDEX([2]Packages!E:E, MATCH(1, ([2]Packages!A:A=B564)*([2]Packages!B:B=C564), 0)) - SUMIFS(D$2:D564, B$2:B564, B564, C$2:C564, C564),"")</f>
        <v/>
      </c>
    </row>
    <row r="565" spans="1:11" x14ac:dyDescent="0.45">
      <c r="D565" t="str">
        <f>IFERROR(VLOOKUP(C565,'Clients List'!$A:$F,2,FALSE),"")</f>
        <v/>
      </c>
      <c r="F565" s="1" t="str">
        <f>IF(OR(C565="",NOT(ISNUMBER(SEARCH("Package",D565)))),"",VLOOKUP(C565,'Clients List'!$A:$F,4,FALSE)-SUMIFS($E$2:$E565,$C$2:$C565,C565,$D$2:$D565,"*Package*"))</f>
        <v/>
      </c>
      <c r="G565" t="str">
        <f t="shared" si="19"/>
        <v/>
      </c>
      <c r="H565" s="33">
        <f>IF(ISNUMBER(SEARCH("Group",D565)),IF(G565="",E565,IFERROR(E565/COUNTIF($G2:$G6000,G565),E565)),E565)</f>
        <v>0</v>
      </c>
      <c r="I565" s="1" t="str">
        <f>IFERROR(VLOOKUP(C565,'Clients List'!A:F,6,FALSE),"")</f>
        <v/>
      </c>
      <c r="K565" s="23" t="str">
        <f>IFERROR(INDEX([2]Packages!E:E, MATCH(1, ([2]Packages!A:A=B565)*([2]Packages!B:B=C565), 0)) - SUMIFS(D$2:D565, B$2:B565, B565, C$2:C565, C565),"")</f>
        <v/>
      </c>
    </row>
    <row r="566" spans="1:11" x14ac:dyDescent="0.45">
      <c r="D566" t="str">
        <f>IFERROR(VLOOKUP(C566,'Clients List'!$A:$F,2,FALSE),"")</f>
        <v/>
      </c>
      <c r="F566" s="1" t="str">
        <f>IF(OR(C566="",NOT(ISNUMBER(SEARCH("Package",D566)))),"",VLOOKUP(C566,'Clients List'!$A:$F,4,FALSE)-SUMIFS($E$2:$E566,$C$2:$C566,C566,$D$2:$D566,"*Package*"))</f>
        <v/>
      </c>
      <c r="G566" t="str">
        <f t="shared" si="19"/>
        <v/>
      </c>
      <c r="H566" s="33">
        <f>IF(ISNUMBER(SEARCH("Group",D566)),IF(G566="",E566,IFERROR(E566/COUNTIF($G2:$G6000,G566),E566)),E566)</f>
        <v>0</v>
      </c>
      <c r="I566" s="1" t="str">
        <f>IFERROR(VLOOKUP(C566,'Clients List'!A:F,6,FALSE),"")</f>
        <v/>
      </c>
      <c r="K566" s="23" t="str">
        <f>IFERROR(INDEX([2]Packages!E:E, MATCH(1, ([2]Packages!A:A=B566)*([2]Packages!B:B=C566), 0)) - SUMIFS(D$2:D566, B$2:B566, B566, C$2:C566, C566),"")</f>
        <v/>
      </c>
    </row>
    <row r="567" spans="1:11" x14ac:dyDescent="0.45">
      <c r="D567" t="str">
        <f>IFERROR(VLOOKUP(C567,'Clients List'!$A:$F,2,FALSE),"")</f>
        <v/>
      </c>
      <c r="F567" s="1" t="str">
        <f>IF(OR(C567="",NOT(ISNUMBER(SEARCH("Package",D567)))),"",VLOOKUP(C567,'Clients List'!$A:$F,4,FALSE)-SUMIFS($E$2:$E567,$C$2:$C567,C567,$D$2:$D567,"*Package*"))</f>
        <v/>
      </c>
      <c r="G567" t="str">
        <f t="shared" si="19"/>
        <v/>
      </c>
      <c r="H567" s="33">
        <f>IF(ISNUMBER(SEARCH("Group",D567)),IF(G567="",E567,IFERROR(E567/COUNTIF($G2:$G6000,G567),E567)),E567)</f>
        <v>0</v>
      </c>
      <c r="I567" s="1" t="str">
        <f>IFERROR(VLOOKUP(C567,'Clients List'!A:F,6,FALSE),"")</f>
        <v/>
      </c>
      <c r="K567" s="23" t="str">
        <f>IFERROR(INDEX([2]Packages!E:E, MATCH(1, ([2]Packages!A:A=B567)*([2]Packages!B:B=C567), 0)) - SUMIFS(D$2:D567, B$2:B567, B567, C$2:C567, C567),"")</f>
        <v/>
      </c>
    </row>
    <row r="568" spans="1:11" x14ac:dyDescent="0.45">
      <c r="D568" t="str">
        <f>IFERROR(VLOOKUP(C568,'Clients List'!$A:$F,2,FALSE),"")</f>
        <v/>
      </c>
      <c r="F568" s="1" t="str">
        <f>IF(OR(C568="",NOT(ISNUMBER(SEARCH("Package",D568)))),"",VLOOKUP(C568,'Clients List'!$A:$F,4,FALSE)-SUMIFS($E$2:$E568,$C$2:$C568,C568,$D$2:$D568,"*Package*"))</f>
        <v/>
      </c>
      <c r="G568" t="str">
        <f t="shared" si="19"/>
        <v/>
      </c>
      <c r="H568" s="33">
        <f>IF(ISNUMBER(SEARCH("Group",D568)),IF(G568="",E568,IFERROR(E568/COUNTIF($G2:$G6000,G568),E568)),E568)</f>
        <v>0</v>
      </c>
      <c r="I568" s="1" t="str">
        <f>IFERROR(VLOOKUP(C568,'Clients List'!A:F,6,FALSE),"")</f>
        <v/>
      </c>
      <c r="K568" s="23" t="str">
        <f>IFERROR(INDEX([2]Packages!E:E, MATCH(1, ([2]Packages!A:A=B568)*([2]Packages!B:B=C568), 0)) - SUMIFS(D$2:D568, B$2:B568, B568, C$2:C568, C568),"")</f>
        <v/>
      </c>
    </row>
    <row r="569" spans="1:11" x14ac:dyDescent="0.45">
      <c r="D569" t="str">
        <f>IFERROR(VLOOKUP(C569,'Clients List'!$A:$F,2,FALSE),"")</f>
        <v/>
      </c>
      <c r="F569" s="1" t="str">
        <f>IF(OR(C569="",NOT(ISNUMBER(SEARCH("Package",D569)))),"",VLOOKUP(C569,'Clients List'!$A:$F,4,FALSE)-SUMIFS($E$2:$E569,$C$2:$C569,C569,$D$2:$D569,"*Package*"))</f>
        <v/>
      </c>
      <c r="G569" t="str">
        <f t="shared" si="19"/>
        <v/>
      </c>
      <c r="H569" s="33">
        <f>IF(ISNUMBER(SEARCH("Group",D569)),IF(G569="",E569,IFERROR(E569/COUNTIF($G2:$G6000,G569),E569)),E569)</f>
        <v>0</v>
      </c>
      <c r="I569" s="1" t="str">
        <f>IFERROR(VLOOKUP(C569,'Clients List'!A:F,6,FALSE),"")</f>
        <v/>
      </c>
      <c r="K569" s="23" t="str">
        <f>IFERROR(INDEX([2]Packages!E:E, MATCH(1, ([2]Packages!A:A=B569)*([2]Packages!B:B=C569), 0)) - SUMIFS(D$2:D569, B$2:B569, B569, C$2:C569, C569),"")</f>
        <v/>
      </c>
    </row>
    <row r="570" spans="1:11" x14ac:dyDescent="0.45">
      <c r="D570" t="str">
        <f>IFERROR(VLOOKUP(C570,'Clients List'!$A:$F,2,FALSE),"")</f>
        <v/>
      </c>
      <c r="F570" s="1" t="str">
        <f>IF(OR(C570="",NOT(ISNUMBER(SEARCH("Package",D570)))),"",VLOOKUP(C570,'Clients List'!$A:$F,4,FALSE)-SUMIFS($E$2:$E570,$C$2:$C570,C570,$D$2:$D570,"*Package*"))</f>
        <v/>
      </c>
      <c r="G570" t="str">
        <f t="shared" si="19"/>
        <v/>
      </c>
      <c r="H570" s="33">
        <f>IF(ISNUMBER(SEARCH("Group",D570)),IF(G570="",E570,IFERROR(E570/COUNTIF($G2:$G6000,G570),E570)),E570)</f>
        <v>0</v>
      </c>
      <c r="I570" s="1" t="str">
        <f>IFERROR(VLOOKUP(C570,'Clients List'!A:F,6,FALSE),"")</f>
        <v/>
      </c>
      <c r="K570" s="23" t="str">
        <f>IFERROR(INDEX([2]Packages!E:E, MATCH(1, ([2]Packages!A:A=B570)*([2]Packages!B:B=C570), 0)) - SUMIFS(D$2:D570, B$2:B570, B570, C$2:C570, C570),"")</f>
        <v/>
      </c>
    </row>
    <row r="571" spans="1:11" x14ac:dyDescent="0.45">
      <c r="D571" t="str">
        <f>IFERROR(VLOOKUP(C571,'Clients List'!$A:$F,2,FALSE),"")</f>
        <v/>
      </c>
      <c r="F571" s="1" t="str">
        <f>IF(OR(C571="",NOT(ISNUMBER(SEARCH("Package",D571)))),"",VLOOKUP(C571,'Clients List'!$A:$F,4,FALSE)-SUMIFS($E$2:$E571,$C$2:$C571,C571,$D$2:$D571,"*Package*"))</f>
        <v/>
      </c>
      <c r="G571" t="str">
        <f t="shared" si="19"/>
        <v/>
      </c>
      <c r="H571" s="33">
        <f>IF(ISNUMBER(SEARCH("Group",D571)),IF(G571="",E571,IFERROR(E571/COUNTIF($G2:$G6000,G571),E571)),E571)</f>
        <v>0</v>
      </c>
      <c r="I571" s="1" t="str">
        <f>IFERROR(VLOOKUP(C571,'Clients List'!A:F,6,FALSE),"")</f>
        <v/>
      </c>
      <c r="K571" s="23" t="str">
        <f>IFERROR(INDEX([2]Packages!E:E, MATCH(1, ([2]Packages!A:A=B571)*([2]Packages!B:B=C571), 0)) - SUMIFS(D$2:D571, B$2:B571, B571, C$2:C571, C571),"")</f>
        <v/>
      </c>
    </row>
    <row r="572" spans="1:11" x14ac:dyDescent="0.45">
      <c r="A572" s="8"/>
      <c r="C572" s="9"/>
      <c r="D572" s="10" t="str">
        <f>IFERROR(VLOOKUP(C572,'Clients List'!$A:$F,2,FALSE),"")</f>
        <v/>
      </c>
      <c r="E572" s="21">
        <f>SUM(E432:E571)</f>
        <v>0</v>
      </c>
      <c r="F572" s="1" t="str">
        <f>IF(OR(C572="",NOT(ISNUMBER(SEARCH("Package",D572)))),"",VLOOKUP(C572,'Clients List'!$A:$F,4,FALSE)-SUMIFS($E$2:$E572,$C$2:$C572,C572,$D$2:$D572,"*Package*"))</f>
        <v/>
      </c>
      <c r="H572" s="33">
        <f>SUM(H432:H571)</f>
        <v>0</v>
      </c>
      <c r="I572" s="11" t="str">
        <f>IFERROR(VLOOKUP(C572,'Clients List'!A:F,6,FALSE),"")</f>
        <v/>
      </c>
      <c r="K572" s="23" t="str">
        <f>IFERROR(INDEX([2]Packages!E:E, MATCH(1, ([2]Packages!A:A=B572)*([2]Packages!B:B=C572), 0)) - SUMIFS(D$2:D572, B$2:B572, B572, C$2:C572, C572),"")</f>
        <v/>
      </c>
    </row>
    <row r="573" spans="1:11" x14ac:dyDescent="0.45">
      <c r="D573" t="str">
        <f>IFERROR(VLOOKUP(C573,'Clients List'!$A:$F,2,FALSE),"")</f>
        <v/>
      </c>
      <c r="F573" s="1" t="str">
        <f>IF(OR(C573="",NOT(ISNUMBER(SEARCH("Package",D573)))),"",VLOOKUP(C573,'Clients List'!$A:$F,4,FALSE)-SUMIFS($E$2:$E573,$C$2:$C573,C573,$D$2:$D573,"*Package*"))</f>
        <v/>
      </c>
      <c r="G573" t="str">
        <f>IF(ISNUMBER(SEARCH("Group",D573)),IFERROR("GRP-"&amp;TEXT(IF(ISNUMBER(A573),A573,DATEVALUE(A573)),"yyyymmdd"),""),"" )</f>
        <v/>
      </c>
      <c r="H573" s="33">
        <f>IF(ISNUMBER(SEARCH("Group",D573)),IF(G573="",E573,IFERROR(E573/COUNTIF($G2:$G6000,G573),E573)),E573)</f>
        <v>0</v>
      </c>
      <c r="I573" s="1" t="str">
        <f>IFERROR(VLOOKUP(C573,'Clients List'!A:F,6,FALSE),"")</f>
        <v/>
      </c>
      <c r="K573" s="23" t="str">
        <f>IFERROR(INDEX([2]Packages!E:E, MATCH(1, ([2]Packages!A:A=B573)*([2]Packages!B:B=C573), 0)) - SUMIFS(D$2:D573, B$2:B573, B573, C$2:C573, C573),"")</f>
        <v/>
      </c>
    </row>
    <row r="574" spans="1:11" x14ac:dyDescent="0.45">
      <c r="A574" s="14" t="s">
        <v>19</v>
      </c>
      <c r="D574" t="str">
        <f>IFERROR(VLOOKUP(C574,'Clients List'!$A:$F,2,FALSE),"")</f>
        <v/>
      </c>
      <c r="F574" s="1" t="str">
        <f>IF(OR(C574="",NOT(ISNUMBER(SEARCH("Package",D574)))),"",VLOOKUP(C574,'Clients List'!$A:$F,4,FALSE)-SUMIFS($E$2:$E574,$C$2:$C574,C574,$D$2:$D574,"*Package*"))</f>
        <v/>
      </c>
      <c r="H574" s="33"/>
      <c r="I574" s="1" t="str">
        <f>IFERROR(VLOOKUP(C574,'Clients List'!A:F,6,FALSE),"")</f>
        <v/>
      </c>
      <c r="K574" s="23" t="str">
        <f>IFERROR(INDEX([2]Packages!E:E, MATCH(1, ([2]Packages!A:A=B574)*([2]Packages!B:B=C574), 0)) - SUMIFS(D$2:D574, B$2:B574, B574, C$2:C574, C574),"")</f>
        <v/>
      </c>
    </row>
    <row r="575" spans="1:11" x14ac:dyDescent="0.45">
      <c r="D575" t="str">
        <f>IFERROR(VLOOKUP(C575,'Clients List'!$A:$F,2,FALSE),"")</f>
        <v/>
      </c>
      <c r="F575" s="1" t="str">
        <f>IF(OR(C575="",NOT(ISNUMBER(SEARCH("Package",D575)))),"",VLOOKUP(C575,'Clients List'!$A:$F,4,FALSE)-SUMIFS($E$2:$E575,$C$2:$C575,C575,$D$2:$D575,"*Package*"))</f>
        <v/>
      </c>
      <c r="G575" t="str">
        <f t="shared" ref="G575:G606" si="20">IF(ISNUMBER(SEARCH("Group",D575)),IFERROR("GRP-"&amp;TEXT(IF(ISNUMBER(A575),A575,DATEVALUE(A575)),"yyyymmdd"),""),"" )</f>
        <v/>
      </c>
      <c r="H575" s="33">
        <f>IF(ISNUMBER(SEARCH("Group",D575)),IF(G575="",E575,IFERROR(E575/COUNTIF($G2:$G6000,G575),E575)),E575)</f>
        <v>0</v>
      </c>
      <c r="I575" s="1" t="str">
        <f>IFERROR(VLOOKUP(C575,'Clients List'!A:F,6,FALSE),"")</f>
        <v/>
      </c>
      <c r="K575" s="23" t="str">
        <f>IFERROR(INDEX([2]Packages!E:E, MATCH(1, ([2]Packages!A:A=B575)*([2]Packages!B:B=C575), 0)) - SUMIFS(D$2:D575, B$2:B575, B575, C$2:C575, C575),"")</f>
        <v/>
      </c>
    </row>
    <row r="576" spans="1:11" x14ac:dyDescent="0.45">
      <c r="D576" t="str">
        <f>IFERROR(VLOOKUP(C576,'Clients List'!$A:$F,2,FALSE),"")</f>
        <v/>
      </c>
      <c r="F576" s="1" t="str">
        <f>IF(OR(C576="",NOT(ISNUMBER(SEARCH("Package",D576)))),"",VLOOKUP(C576,'Clients List'!$A:$F,4,FALSE)-SUMIFS($E$2:$E576,$C$2:$C576,C576,$D$2:$D576,"*Package*"))</f>
        <v/>
      </c>
      <c r="G576" t="str">
        <f t="shared" si="20"/>
        <v/>
      </c>
      <c r="H576" s="33">
        <f>IF(ISNUMBER(SEARCH("Group",D576)),IF(G576="",E576,IFERROR(E576/COUNTIF($G2:$G6000,G576),E576)),E576)</f>
        <v>0</v>
      </c>
      <c r="I576" s="1" t="str">
        <f>IFERROR(VLOOKUP(C576,'Clients List'!A:F,6,FALSE),"")</f>
        <v/>
      </c>
      <c r="K576" s="23" t="str">
        <f>IFERROR(INDEX([2]Packages!E:E, MATCH(1, ([2]Packages!A:A=B576)*([2]Packages!B:B=C576), 0)) - SUMIFS(D$2:D576, B$2:B576, B576, C$2:C576, C576),"")</f>
        <v/>
      </c>
    </row>
    <row r="577" spans="4:11" x14ac:dyDescent="0.45">
      <c r="D577" t="str">
        <f>IFERROR(VLOOKUP(C577,'Clients List'!$A:$F,2,FALSE),"")</f>
        <v/>
      </c>
      <c r="F577" s="1" t="str">
        <f>IF(OR(C577="",NOT(ISNUMBER(SEARCH("Package",D577)))),"",VLOOKUP(C577,'Clients List'!$A:$F,4,FALSE)-SUMIFS($E$2:$E577,$C$2:$C577,C577,$D$2:$D577,"*Package*"))</f>
        <v/>
      </c>
      <c r="G577" t="str">
        <f t="shared" si="20"/>
        <v/>
      </c>
      <c r="H577" s="33">
        <f>IF(ISNUMBER(SEARCH("Group",D577)),IF(G577="",E577,IFERROR(E577/COUNTIF($G2:$G6000,G577),E577)),E577)</f>
        <v>0</v>
      </c>
      <c r="I577" s="1" t="str">
        <f>IFERROR(VLOOKUP(C577,'Clients List'!A:F,6,FALSE),"")</f>
        <v/>
      </c>
      <c r="K577" s="23" t="str">
        <f>IFERROR(INDEX([2]Packages!E:E, MATCH(1, ([2]Packages!A:A=B577)*([2]Packages!B:B=C577), 0)) - SUMIFS(D$2:D577, B$2:B577, B577, C$2:C577, C577),"")</f>
        <v/>
      </c>
    </row>
    <row r="578" spans="4:11" x14ac:dyDescent="0.45">
      <c r="D578" t="str">
        <f>IFERROR(VLOOKUP(C578,'Clients List'!$A:$F,2,FALSE),"")</f>
        <v/>
      </c>
      <c r="F578" s="1" t="str">
        <f>IF(OR(C578="",NOT(ISNUMBER(SEARCH("Package",D578)))),"",VLOOKUP(C578,'Clients List'!$A:$F,4,FALSE)-SUMIFS($E$2:$E578,$C$2:$C578,C578,$D$2:$D578,"*Package*"))</f>
        <v/>
      </c>
      <c r="G578" t="str">
        <f t="shared" si="20"/>
        <v/>
      </c>
      <c r="H578" s="33">
        <f>IF(ISNUMBER(SEARCH("Group",D578)),IF(G578="",E578,IFERROR(E578/COUNTIF($G2:$G6000,G578),E578)),E578)</f>
        <v>0</v>
      </c>
      <c r="I578" s="1" t="str">
        <f>IFERROR(VLOOKUP(C578,'Clients List'!A:F,6,FALSE),"")</f>
        <v/>
      </c>
      <c r="K578" s="23" t="str">
        <f>IFERROR(INDEX([2]Packages!E:E, MATCH(1, ([2]Packages!A:A=B578)*([2]Packages!B:B=C578), 0)) - SUMIFS(D$2:D578, B$2:B578, B578, C$2:C578, C578),"")</f>
        <v/>
      </c>
    </row>
    <row r="579" spans="4:11" x14ac:dyDescent="0.45">
      <c r="D579" t="str">
        <f>IFERROR(VLOOKUP(C579,'Clients List'!$A:$F,2,FALSE),"")</f>
        <v/>
      </c>
      <c r="F579" s="1" t="str">
        <f>IF(OR(C579="",NOT(ISNUMBER(SEARCH("Package",D579)))),"",VLOOKUP(C579,'Clients List'!$A:$F,4,FALSE)-SUMIFS($E$2:$E579,$C$2:$C579,C579,$D$2:$D579,"*Package*"))</f>
        <v/>
      </c>
      <c r="G579" t="str">
        <f t="shared" si="20"/>
        <v/>
      </c>
      <c r="H579" s="33">
        <f>IF(ISNUMBER(SEARCH("Group",D579)),IF(G579="",E579,IFERROR(E579/COUNTIF($G2:$G6000,G579),E579)),E579)</f>
        <v>0</v>
      </c>
      <c r="I579" s="1" t="str">
        <f>IFERROR(VLOOKUP(C579,'Clients List'!A:F,6,FALSE),"")</f>
        <v/>
      </c>
      <c r="K579" s="23" t="str">
        <f>IFERROR(INDEX([2]Packages!E:E, MATCH(1, ([2]Packages!A:A=B579)*([2]Packages!B:B=C579), 0)) - SUMIFS(D$2:D579, B$2:B579, B579, C$2:C579, C579),"")</f>
        <v/>
      </c>
    </row>
    <row r="580" spans="4:11" x14ac:dyDescent="0.45">
      <c r="D580" t="str">
        <f>IFERROR(VLOOKUP(C580,'Clients List'!$A:$F,2,FALSE),"")</f>
        <v/>
      </c>
      <c r="F580" s="1" t="str">
        <f>IF(OR(C580="",NOT(ISNUMBER(SEARCH("Package",D580)))),"",VLOOKUP(C580,'Clients List'!$A:$F,4,FALSE)-SUMIFS($E$2:$E580,$C$2:$C580,C580,$D$2:$D580,"*Package*"))</f>
        <v/>
      </c>
      <c r="G580" t="str">
        <f t="shared" si="20"/>
        <v/>
      </c>
      <c r="H580" s="33">
        <f>IF(ISNUMBER(SEARCH("Group",D580)),IF(G580="",E580,IFERROR(E580/COUNTIF($G2:$G6000,G580),E580)),E580)</f>
        <v>0</v>
      </c>
      <c r="I580" s="1" t="str">
        <f>IFERROR(VLOOKUP(C580,'Clients List'!A:F,6,FALSE),"")</f>
        <v/>
      </c>
      <c r="K580" s="23" t="str">
        <f>IFERROR(INDEX([2]Packages!E:E, MATCH(1, ([2]Packages!A:A=B580)*([2]Packages!B:B=C580), 0)) - SUMIFS(D$2:D580, B$2:B580, B580, C$2:C580, C580),"")</f>
        <v/>
      </c>
    </row>
    <row r="581" spans="4:11" x14ac:dyDescent="0.45">
      <c r="D581" t="str">
        <f>IFERROR(VLOOKUP(C581,'Clients List'!$A:$F,2,FALSE),"")</f>
        <v/>
      </c>
      <c r="F581" s="1" t="str">
        <f>IF(OR(C581="",NOT(ISNUMBER(SEARCH("Package",D581)))),"",VLOOKUP(C581,'Clients List'!$A:$F,4,FALSE)-SUMIFS($E$2:$E581,$C$2:$C581,C581,$D$2:$D581,"*Package*"))</f>
        <v/>
      </c>
      <c r="G581" t="str">
        <f t="shared" si="20"/>
        <v/>
      </c>
      <c r="H581" s="33">
        <f>IF(ISNUMBER(SEARCH("Group",D581)),IF(G581="",E581,IFERROR(E581/COUNTIF($G2:$G6000,G581),E581)),E581)</f>
        <v>0</v>
      </c>
      <c r="I581" s="1" t="str">
        <f>IFERROR(VLOOKUP(C581,'Clients List'!A:F,6,FALSE),"")</f>
        <v/>
      </c>
      <c r="K581" s="23" t="str">
        <f>IFERROR(INDEX([2]Packages!E:E, MATCH(1, ([2]Packages!A:A=B581)*([2]Packages!B:B=C581), 0)) - SUMIFS(D$2:D581, B$2:B581, B581, C$2:C581, C581),"")</f>
        <v/>
      </c>
    </row>
    <row r="582" spans="4:11" x14ac:dyDescent="0.45">
      <c r="D582" t="str">
        <f>IFERROR(VLOOKUP(C582,'Clients List'!$A:$F,2,FALSE),"")</f>
        <v/>
      </c>
      <c r="F582" s="1" t="str">
        <f>IF(OR(C582="",NOT(ISNUMBER(SEARCH("Package",D582)))),"",VLOOKUP(C582,'Clients List'!$A:$F,4,FALSE)-SUMIFS($E$2:$E582,$C$2:$C582,C582,$D$2:$D582,"*Package*"))</f>
        <v/>
      </c>
      <c r="G582" t="str">
        <f t="shared" si="20"/>
        <v/>
      </c>
      <c r="H582" s="33">
        <f>IF(ISNUMBER(SEARCH("Group",D582)),IF(G582="",E582,IFERROR(E582/COUNTIF($G2:$G6000,G582),E582)),E582)</f>
        <v>0</v>
      </c>
      <c r="I582" s="1" t="str">
        <f>IFERROR(VLOOKUP(C582,'Clients List'!A:F,6,FALSE),"")</f>
        <v/>
      </c>
      <c r="K582" s="23" t="str">
        <f>IFERROR(INDEX([2]Packages!E:E, MATCH(1, ([2]Packages!A:A=B582)*([2]Packages!B:B=C582), 0)) - SUMIFS(D$2:D582, B$2:B582, B582, C$2:C582, C582),"")</f>
        <v/>
      </c>
    </row>
    <row r="583" spans="4:11" x14ac:dyDescent="0.45">
      <c r="D583" t="str">
        <f>IFERROR(VLOOKUP(C583,'Clients List'!$A:$F,2,FALSE),"")</f>
        <v/>
      </c>
      <c r="F583" s="1" t="str">
        <f>IF(OR(C583="",NOT(ISNUMBER(SEARCH("Package",D583)))),"",VLOOKUP(C583,'Clients List'!$A:$F,4,FALSE)-SUMIFS($E$2:$E583,$C$2:$C583,C583,$D$2:$D583,"*Package*"))</f>
        <v/>
      </c>
      <c r="G583" t="str">
        <f t="shared" si="20"/>
        <v/>
      </c>
      <c r="H583" s="33">
        <f>IF(ISNUMBER(SEARCH("Group",D583)),IF(G583="",E583,IFERROR(E583/COUNTIF($G2:$G6000,G583),E583)),E583)</f>
        <v>0</v>
      </c>
      <c r="I583" s="1" t="str">
        <f>IFERROR(VLOOKUP(C583,'Clients List'!A:F,6,FALSE),"")</f>
        <v/>
      </c>
      <c r="K583" s="23" t="str">
        <f>IFERROR(INDEX([2]Packages!E:E, MATCH(1, ([2]Packages!A:A=B583)*([2]Packages!B:B=C583), 0)) - SUMIFS(D$2:D583, B$2:B583, B583, C$2:C583, C583),"")</f>
        <v/>
      </c>
    </row>
    <row r="584" spans="4:11" x14ac:dyDescent="0.45">
      <c r="D584" t="str">
        <f>IFERROR(VLOOKUP(C584,'Clients List'!$A:$F,2,FALSE),"")</f>
        <v/>
      </c>
      <c r="F584" s="1" t="str">
        <f>IF(OR(C584="",NOT(ISNUMBER(SEARCH("Package",D584)))),"",VLOOKUP(C584,'Clients List'!$A:$F,4,FALSE)-SUMIFS($E$2:$E584,$C$2:$C584,C584,$D$2:$D584,"*Package*"))</f>
        <v/>
      </c>
      <c r="G584" t="str">
        <f t="shared" si="20"/>
        <v/>
      </c>
      <c r="H584" s="33">
        <f>IF(ISNUMBER(SEARCH("Group",D584)),IF(G584="",E584,IFERROR(E584/COUNTIF($G2:$G6000,G584),E584)),E584)</f>
        <v>0</v>
      </c>
      <c r="I584" s="1" t="str">
        <f>IFERROR(VLOOKUP(C584,'Clients List'!A:F,6,FALSE),"")</f>
        <v/>
      </c>
      <c r="K584" s="23" t="str">
        <f>IFERROR(INDEX([2]Packages!E:E, MATCH(1, ([2]Packages!A:A=B584)*([2]Packages!B:B=C584), 0)) - SUMIFS(D$2:D584, B$2:B584, B584, C$2:C584, C584),"")</f>
        <v/>
      </c>
    </row>
    <row r="585" spans="4:11" x14ac:dyDescent="0.45">
      <c r="D585" t="str">
        <f>IFERROR(VLOOKUP(C585,'Clients List'!$A:$F,2,FALSE),"")</f>
        <v/>
      </c>
      <c r="F585" s="1" t="str">
        <f>IF(OR(C585="",NOT(ISNUMBER(SEARCH("Package",D585)))),"",VLOOKUP(C585,'Clients List'!$A:$F,4,FALSE)-SUMIFS($E$2:$E585,$C$2:$C585,C585,$D$2:$D585,"*Package*"))</f>
        <v/>
      </c>
      <c r="G585" t="str">
        <f t="shared" si="20"/>
        <v/>
      </c>
      <c r="H585" s="33">
        <f>IF(ISNUMBER(SEARCH("Group",D585)),IF(G585="",E585,IFERROR(E585/COUNTIF($G2:$G6000,G585),E585)),E585)</f>
        <v>0</v>
      </c>
      <c r="I585" s="1" t="str">
        <f>IFERROR(VLOOKUP(C585,'Clients List'!A:F,6,FALSE),"")</f>
        <v/>
      </c>
      <c r="K585" s="23" t="str">
        <f>IFERROR(INDEX([2]Packages!E:E, MATCH(1, ([2]Packages!A:A=B585)*([2]Packages!B:B=C585), 0)) - SUMIFS(D$2:D585, B$2:B585, B585, C$2:C585, C585),"")</f>
        <v/>
      </c>
    </row>
    <row r="586" spans="4:11" x14ac:dyDescent="0.45">
      <c r="D586" t="str">
        <f>IFERROR(VLOOKUP(C586,'Clients List'!$A:$F,2,FALSE),"")</f>
        <v/>
      </c>
      <c r="F586" s="1" t="str">
        <f>IF(OR(C586="",NOT(ISNUMBER(SEARCH("Package",D586)))),"",VLOOKUP(C586,'Clients List'!$A:$F,4,FALSE)-SUMIFS($E$2:$E586,$C$2:$C586,C586,$D$2:$D586,"*Package*"))</f>
        <v/>
      </c>
      <c r="G586" t="str">
        <f t="shared" si="20"/>
        <v/>
      </c>
      <c r="H586" s="33">
        <f>IF(ISNUMBER(SEARCH("Group",D586)),IF(G586="",E586,IFERROR(E586/COUNTIF($G2:$G6000,G586),E586)),E586)</f>
        <v>0</v>
      </c>
      <c r="I586" s="1" t="str">
        <f>IFERROR(VLOOKUP(C586,'Clients List'!A:F,6,FALSE),"")</f>
        <v/>
      </c>
      <c r="K586" s="23" t="str">
        <f>IFERROR(INDEX([2]Packages!E:E, MATCH(1, ([2]Packages!A:A=B586)*([2]Packages!B:B=C586), 0)) - SUMIFS(D$2:D586, B$2:B586, B586, C$2:C586, C586),"")</f>
        <v/>
      </c>
    </row>
    <row r="587" spans="4:11" x14ac:dyDescent="0.45">
      <c r="D587" t="str">
        <f>IFERROR(VLOOKUP(C587,'Clients List'!$A:$F,2,FALSE),"")</f>
        <v/>
      </c>
      <c r="F587" s="1" t="str">
        <f>IF(OR(C587="",NOT(ISNUMBER(SEARCH("Package",D587)))),"",VLOOKUP(C587,'Clients List'!$A:$F,4,FALSE)-SUMIFS($E$2:$E587,$C$2:$C587,C587,$D$2:$D587,"*Package*"))</f>
        <v/>
      </c>
      <c r="G587" t="str">
        <f t="shared" si="20"/>
        <v/>
      </c>
      <c r="H587" s="33">
        <f>IF(ISNUMBER(SEARCH("Group",D587)),IF(G587="",E587,IFERROR(E587/COUNTIF($G2:$G6000,G587),E587)),E587)</f>
        <v>0</v>
      </c>
      <c r="I587" s="1" t="str">
        <f>IFERROR(VLOOKUP(C587,'Clients List'!A:F,6,FALSE),"")</f>
        <v/>
      </c>
      <c r="K587" s="23" t="str">
        <f>IFERROR(INDEX([2]Packages!E:E, MATCH(1, ([2]Packages!A:A=B587)*([2]Packages!B:B=C587), 0)) - SUMIFS(D$2:D587, B$2:B587, B587, C$2:C587, C587),"")</f>
        <v/>
      </c>
    </row>
    <row r="588" spans="4:11" x14ac:dyDescent="0.45">
      <c r="D588" t="str">
        <f>IFERROR(VLOOKUP(C588,'Clients List'!$A:$F,2,FALSE),"")</f>
        <v/>
      </c>
      <c r="F588" s="1" t="str">
        <f>IF(OR(C588="",NOT(ISNUMBER(SEARCH("Package",D588)))),"",VLOOKUP(C588,'Clients List'!$A:$F,4,FALSE)-SUMIFS($E$2:$E588,$C$2:$C588,C588,$D$2:$D588,"*Package*"))</f>
        <v/>
      </c>
      <c r="G588" t="str">
        <f t="shared" si="20"/>
        <v/>
      </c>
      <c r="H588" s="33">
        <f>IF(ISNUMBER(SEARCH("Group",D588)),IF(G588="",E588,IFERROR(E588/COUNTIF($G2:$G6000,G588),E588)),E588)</f>
        <v>0</v>
      </c>
      <c r="I588" s="1" t="str">
        <f>IFERROR(VLOOKUP(C588,'Clients List'!A:F,6,FALSE),"")</f>
        <v/>
      </c>
      <c r="K588" s="23" t="str">
        <f>IFERROR(INDEX([2]Packages!E:E, MATCH(1, ([2]Packages!A:A=B588)*([2]Packages!B:B=C588), 0)) - SUMIFS(D$2:D588, B$2:B588, B588, C$2:C588, C588),"")</f>
        <v/>
      </c>
    </row>
    <row r="589" spans="4:11" x14ac:dyDescent="0.45">
      <c r="D589" t="str">
        <f>IFERROR(VLOOKUP(C589,'Clients List'!$A:$F,2,FALSE),"")</f>
        <v/>
      </c>
      <c r="F589" s="1" t="str">
        <f>IF(OR(C589="",NOT(ISNUMBER(SEARCH("Package",D589)))),"",VLOOKUP(C589,'Clients List'!$A:$F,4,FALSE)-SUMIFS($E$2:$E589,$C$2:$C589,C589,$D$2:$D589,"*Package*"))</f>
        <v/>
      </c>
      <c r="G589" t="str">
        <f t="shared" si="20"/>
        <v/>
      </c>
      <c r="H589" s="33">
        <f>IF(ISNUMBER(SEARCH("Group",D589)),IF(G589="",E589,IFERROR(E589/COUNTIF($G2:$G6000,G589),E589)),E589)</f>
        <v>0</v>
      </c>
      <c r="I589" s="1" t="str">
        <f>IFERROR(VLOOKUP(C589,'Clients List'!A:F,6,FALSE),"")</f>
        <v/>
      </c>
      <c r="K589" s="23" t="str">
        <f>IFERROR(INDEX([2]Packages!E:E, MATCH(1, ([2]Packages!A:A=B589)*([2]Packages!B:B=C589), 0)) - SUMIFS(D$2:D589, B$2:B589, B589, C$2:C589, C589),"")</f>
        <v/>
      </c>
    </row>
    <row r="590" spans="4:11" x14ac:dyDescent="0.45">
      <c r="D590" t="str">
        <f>IFERROR(VLOOKUP(C590,'Clients List'!$A:$F,2,FALSE),"")</f>
        <v/>
      </c>
      <c r="F590" s="1" t="str">
        <f>IF(OR(C590="",NOT(ISNUMBER(SEARCH("Package",D590)))),"",VLOOKUP(C590,'Clients List'!$A:$F,4,FALSE)-SUMIFS($E$2:$E590,$C$2:$C590,C590,$D$2:$D590,"*Package*"))</f>
        <v/>
      </c>
      <c r="G590" t="str">
        <f t="shared" si="20"/>
        <v/>
      </c>
      <c r="H590" s="33">
        <f>IF(ISNUMBER(SEARCH("Group",D590)),IF(G590="",E590,IFERROR(E590/COUNTIF($G2:$G6000,G590),E590)),E590)</f>
        <v>0</v>
      </c>
      <c r="I590" s="1" t="str">
        <f>IFERROR(VLOOKUP(C590,'Clients List'!A:F,6,FALSE),"")</f>
        <v/>
      </c>
      <c r="K590" s="23" t="str">
        <f>IFERROR(INDEX([2]Packages!E:E, MATCH(1, ([2]Packages!A:A=B590)*([2]Packages!B:B=C590), 0)) - SUMIFS(D$2:D590, B$2:B590, B590, C$2:C590, C590),"")</f>
        <v/>
      </c>
    </row>
    <row r="591" spans="4:11" x14ac:dyDescent="0.45">
      <c r="D591" t="str">
        <f>IFERROR(VLOOKUP(C591,'Clients List'!$A:$F,2,FALSE),"")</f>
        <v/>
      </c>
      <c r="F591" s="1" t="str">
        <f>IF(OR(C591="",NOT(ISNUMBER(SEARCH("Package",D591)))),"",VLOOKUP(C591,'Clients List'!$A:$F,4,FALSE)-SUMIFS($E$2:$E591,$C$2:$C591,C591,$D$2:$D591,"*Package*"))</f>
        <v/>
      </c>
      <c r="G591" t="str">
        <f t="shared" si="20"/>
        <v/>
      </c>
      <c r="H591" s="33">
        <f>IF(ISNUMBER(SEARCH("Group",D591)),IF(G591="",E591,IFERROR(E591/COUNTIF($G2:$G6000,G591),E591)),E591)</f>
        <v>0</v>
      </c>
      <c r="I591" s="1" t="str">
        <f>IFERROR(VLOOKUP(C591,'Clients List'!A:F,6,FALSE),"")</f>
        <v/>
      </c>
      <c r="K591" s="23" t="str">
        <f>IFERROR(INDEX([2]Packages!E:E, MATCH(1, ([2]Packages!A:A=B591)*([2]Packages!B:B=C591), 0)) - SUMIFS(D$2:D591, B$2:B591, B591, C$2:C591, C591),"")</f>
        <v/>
      </c>
    </row>
    <row r="592" spans="4:11" x14ac:dyDescent="0.45">
      <c r="D592" t="str">
        <f>IFERROR(VLOOKUP(C592,'Clients List'!$A:$F,2,FALSE),"")</f>
        <v/>
      </c>
      <c r="F592" s="1" t="str">
        <f>IF(OR(C592="",NOT(ISNUMBER(SEARCH("Package",D592)))),"",VLOOKUP(C592,'Clients List'!$A:$F,4,FALSE)-SUMIFS($E$2:$E592,$C$2:$C592,C592,$D$2:$D592,"*Package*"))</f>
        <v/>
      </c>
      <c r="G592" t="str">
        <f t="shared" si="20"/>
        <v/>
      </c>
      <c r="H592" s="33">
        <f>IF(ISNUMBER(SEARCH("Group",D592)),IF(G592="",E592,IFERROR(E592/COUNTIF($G2:$G6000,G592),E592)),E592)</f>
        <v>0</v>
      </c>
      <c r="I592" s="1" t="str">
        <f>IFERROR(VLOOKUP(C592,'Clients List'!A:F,6,FALSE),"")</f>
        <v/>
      </c>
      <c r="K592" s="23" t="str">
        <f>IFERROR(INDEX([2]Packages!E:E, MATCH(1, ([2]Packages!A:A=B592)*([2]Packages!B:B=C592), 0)) - SUMIFS(D$2:D592, B$2:B592, B592, C$2:C592, C592),"")</f>
        <v/>
      </c>
    </row>
    <row r="593" spans="4:11" x14ac:dyDescent="0.45">
      <c r="D593" t="str">
        <f>IFERROR(VLOOKUP(C593,'Clients List'!$A:$F,2,FALSE),"")</f>
        <v/>
      </c>
      <c r="F593" s="1" t="str">
        <f>IF(OR(C593="",NOT(ISNUMBER(SEARCH("Package",D593)))),"",VLOOKUP(C593,'Clients List'!$A:$F,4,FALSE)-SUMIFS($E$2:$E593,$C$2:$C593,C593,$D$2:$D593,"*Package*"))</f>
        <v/>
      </c>
      <c r="G593" t="str">
        <f t="shared" si="20"/>
        <v/>
      </c>
      <c r="H593" s="33">
        <f>IF(ISNUMBER(SEARCH("Group",D593)),IF(G593="",E593,IFERROR(E593/COUNTIF($G2:$G6000,G593),E593)),E593)</f>
        <v>0</v>
      </c>
      <c r="I593" s="1" t="str">
        <f>IFERROR(VLOOKUP(C593,'Clients List'!A:F,6,FALSE),"")</f>
        <v/>
      </c>
      <c r="K593" s="23" t="str">
        <f>IFERROR(INDEX([2]Packages!E:E, MATCH(1, ([2]Packages!A:A=B593)*([2]Packages!B:B=C593), 0)) - SUMIFS(D$2:D593, B$2:B593, B593, C$2:C593, C593),"")</f>
        <v/>
      </c>
    </row>
    <row r="594" spans="4:11" x14ac:dyDescent="0.45">
      <c r="D594" t="str">
        <f>IFERROR(VLOOKUP(C594,'Clients List'!$A:$F,2,FALSE),"")</f>
        <v/>
      </c>
      <c r="F594" s="1" t="str">
        <f>IF(OR(C594="",NOT(ISNUMBER(SEARCH("Package",D594)))),"",VLOOKUP(C594,'Clients List'!$A:$F,4,FALSE)-SUMIFS($E$2:$E594,$C$2:$C594,C594,$D$2:$D594,"*Package*"))</f>
        <v/>
      </c>
      <c r="G594" t="str">
        <f t="shared" si="20"/>
        <v/>
      </c>
      <c r="H594" s="33">
        <f>IF(ISNUMBER(SEARCH("Group",D594)),IF(G594="",E594,IFERROR(E594/COUNTIF($G2:$G6000,G594),E594)),E594)</f>
        <v>0</v>
      </c>
      <c r="I594" s="1" t="str">
        <f>IFERROR(VLOOKUP(C594,'Clients List'!A:F,6,FALSE),"")</f>
        <v/>
      </c>
      <c r="K594" s="23" t="str">
        <f>IFERROR(INDEX([2]Packages!E:E, MATCH(1, ([2]Packages!A:A=B594)*([2]Packages!B:B=C594), 0)) - SUMIFS(D$2:D594, B$2:B594, B594, C$2:C594, C594),"")</f>
        <v/>
      </c>
    </row>
    <row r="595" spans="4:11" x14ac:dyDescent="0.45">
      <c r="D595" t="str">
        <f>IFERROR(VLOOKUP(C595,'Clients List'!$A:$F,2,FALSE),"")</f>
        <v/>
      </c>
      <c r="F595" s="1" t="str">
        <f>IF(OR(C595="",NOT(ISNUMBER(SEARCH("Package",D595)))),"",VLOOKUP(C595,'Clients List'!$A:$F,4,FALSE)-SUMIFS($E$2:$E595,$C$2:$C595,C595,$D$2:$D595,"*Package*"))</f>
        <v/>
      </c>
      <c r="G595" t="str">
        <f t="shared" si="20"/>
        <v/>
      </c>
      <c r="H595" s="33">
        <f>IF(ISNUMBER(SEARCH("Group",D595)),IF(G595="",E595,IFERROR(E595/COUNTIF($G2:$G6000,G595),E595)),E595)</f>
        <v>0</v>
      </c>
      <c r="I595" s="1" t="str">
        <f>IFERROR(VLOOKUP(C595,'Clients List'!A:F,6,FALSE),"")</f>
        <v/>
      </c>
      <c r="K595" s="23" t="str">
        <f>IFERROR(INDEX([2]Packages!E:E, MATCH(1, ([2]Packages!A:A=B595)*([2]Packages!B:B=C595), 0)) - SUMIFS(D$2:D595, B$2:B595, B595, C$2:C595, C595),"")</f>
        <v/>
      </c>
    </row>
    <row r="596" spans="4:11" x14ac:dyDescent="0.45">
      <c r="D596" t="str">
        <f>IFERROR(VLOOKUP(C596,'Clients List'!$A:$F,2,FALSE),"")</f>
        <v/>
      </c>
      <c r="F596" s="1" t="str">
        <f>IF(OR(C596="",NOT(ISNUMBER(SEARCH("Package",D596)))),"",VLOOKUP(C596,'Clients List'!$A:$F,4,FALSE)-SUMIFS($E$2:$E596,$C$2:$C596,C596,$D$2:$D596,"*Package*"))</f>
        <v/>
      </c>
      <c r="G596" t="str">
        <f t="shared" si="20"/>
        <v/>
      </c>
      <c r="H596" s="33">
        <f>IF(ISNUMBER(SEARCH("Group",D596)),IF(G596="",E596,IFERROR(E596/COUNTIF($G2:$G6000,G596),E596)),E596)</f>
        <v>0</v>
      </c>
      <c r="I596" s="1" t="str">
        <f>IFERROR(VLOOKUP(C596,'Clients List'!A:F,6,FALSE),"")</f>
        <v/>
      </c>
      <c r="K596" s="23" t="str">
        <f>IFERROR(INDEX([2]Packages!E:E, MATCH(1, ([2]Packages!A:A=B596)*([2]Packages!B:B=C596), 0)) - SUMIFS(D$2:D596, B$2:B596, B596, C$2:C596, C596),"")</f>
        <v/>
      </c>
    </row>
    <row r="597" spans="4:11" x14ac:dyDescent="0.45">
      <c r="D597" t="str">
        <f>IFERROR(VLOOKUP(C597,'Clients List'!$A:$F,2,FALSE),"")</f>
        <v/>
      </c>
      <c r="F597" s="1" t="str">
        <f>IF(OR(C597="",NOT(ISNUMBER(SEARCH("Package",D597)))),"",VLOOKUP(C597,'Clients List'!$A:$F,4,FALSE)-SUMIFS($E$2:$E597,$C$2:$C597,C597,$D$2:$D597,"*Package*"))</f>
        <v/>
      </c>
      <c r="G597" t="str">
        <f t="shared" si="20"/>
        <v/>
      </c>
      <c r="H597" s="33">
        <f>IF(ISNUMBER(SEARCH("Group",D597)),IF(G597="",E597,IFERROR(E597/COUNTIF($G2:$G6000,G597),E597)),E597)</f>
        <v>0</v>
      </c>
      <c r="I597" s="1" t="str">
        <f>IFERROR(VLOOKUP(C597,'Clients List'!A:F,6,FALSE),"")</f>
        <v/>
      </c>
      <c r="K597" s="23" t="str">
        <f>IFERROR(INDEX([2]Packages!E:E, MATCH(1, ([2]Packages!A:A=B597)*([2]Packages!B:B=C597), 0)) - SUMIFS(D$2:D597, B$2:B597, B597, C$2:C597, C597),"")</f>
        <v/>
      </c>
    </row>
    <row r="598" spans="4:11" x14ac:dyDescent="0.45">
      <c r="D598" t="str">
        <f>IFERROR(VLOOKUP(C598,'Clients List'!$A:$F,2,FALSE),"")</f>
        <v/>
      </c>
      <c r="F598" s="1" t="str">
        <f>IF(OR(C598="",NOT(ISNUMBER(SEARCH("Package",D598)))),"",VLOOKUP(C598,'Clients List'!$A:$F,4,FALSE)-SUMIFS($E$2:$E598,$C$2:$C598,C598,$D$2:$D598,"*Package*"))</f>
        <v/>
      </c>
      <c r="G598" t="str">
        <f t="shared" si="20"/>
        <v/>
      </c>
      <c r="H598" s="33">
        <f>IF(ISNUMBER(SEARCH("Group",D598)),IF(G598="",E598,IFERROR(E598/COUNTIF($G2:$G6000,G598),E598)),E598)</f>
        <v>0</v>
      </c>
      <c r="I598" s="1" t="str">
        <f>IFERROR(VLOOKUP(C598,'Clients List'!A:F,6,FALSE),"")</f>
        <v/>
      </c>
      <c r="K598" s="23" t="str">
        <f>IFERROR(INDEX([2]Packages!E:E, MATCH(1, ([2]Packages!A:A=B598)*([2]Packages!B:B=C598), 0)) - SUMIFS(D$2:D598, B$2:B598, B598, C$2:C598, C598),"")</f>
        <v/>
      </c>
    </row>
    <row r="599" spans="4:11" x14ac:dyDescent="0.45">
      <c r="D599" t="str">
        <f>IFERROR(VLOOKUP(C599,'Clients List'!$A:$F,2,FALSE),"")</f>
        <v/>
      </c>
      <c r="F599" s="1" t="str">
        <f>IF(OR(C599="",NOT(ISNUMBER(SEARCH("Package",D599)))),"",VLOOKUP(C599,'Clients List'!$A:$F,4,FALSE)-SUMIFS($E$2:$E599,$C$2:$C599,C599,$D$2:$D599,"*Package*"))</f>
        <v/>
      </c>
      <c r="G599" t="str">
        <f t="shared" si="20"/>
        <v/>
      </c>
      <c r="H599" s="33">
        <f>IF(ISNUMBER(SEARCH("Group",D599)),IF(G599="",E599,IFERROR(E599/COUNTIF($G2:$G6000,G599),E599)),E599)</f>
        <v>0</v>
      </c>
      <c r="I599" s="1" t="str">
        <f>IFERROR(VLOOKUP(C599,'Clients List'!A:F,6,FALSE),"")</f>
        <v/>
      </c>
      <c r="K599" s="23" t="str">
        <f>IFERROR(INDEX([2]Packages!E:E, MATCH(1, ([2]Packages!A:A=B599)*([2]Packages!B:B=C599), 0)) - SUMIFS(D$2:D599, B$2:B599, B599, C$2:C599, C599),"")</f>
        <v/>
      </c>
    </row>
    <row r="600" spans="4:11" x14ac:dyDescent="0.45">
      <c r="D600" t="str">
        <f>IFERROR(VLOOKUP(C600,'Clients List'!$A:$F,2,FALSE),"")</f>
        <v/>
      </c>
      <c r="F600" s="1" t="str">
        <f>IF(OR(C600="",NOT(ISNUMBER(SEARCH("Package",D600)))),"",VLOOKUP(C600,'Clients List'!$A:$F,4,FALSE)-SUMIFS($E$2:$E600,$C$2:$C600,C600,$D$2:$D600,"*Package*"))</f>
        <v/>
      </c>
      <c r="G600" t="str">
        <f t="shared" si="20"/>
        <v/>
      </c>
      <c r="H600" s="33">
        <f>IF(ISNUMBER(SEARCH("Group",D600)),IF(G600="",E600,IFERROR(E600/COUNTIF($G2:$G6000,G600),E600)),E600)</f>
        <v>0</v>
      </c>
      <c r="I600" s="1" t="str">
        <f>IFERROR(VLOOKUP(C600,'Clients List'!A:F,6,FALSE),"")</f>
        <v/>
      </c>
      <c r="K600" s="23" t="str">
        <f>IFERROR(INDEX([2]Packages!E:E, MATCH(1, ([2]Packages!A:A=B600)*([2]Packages!B:B=C600), 0)) - SUMIFS(D$2:D600, B$2:B600, B600, C$2:C600, C600),"")</f>
        <v/>
      </c>
    </row>
    <row r="601" spans="4:11" x14ac:dyDescent="0.45">
      <c r="D601" t="str">
        <f>IFERROR(VLOOKUP(C601,'Clients List'!$A:$F,2,FALSE),"")</f>
        <v/>
      </c>
      <c r="F601" s="1" t="str">
        <f>IF(OR(C601="",NOT(ISNUMBER(SEARCH("Package",D601)))),"",VLOOKUP(C601,'Clients List'!$A:$F,4,FALSE)-SUMIFS($E$2:$E601,$C$2:$C601,C601,$D$2:$D601,"*Package*"))</f>
        <v/>
      </c>
      <c r="G601" t="str">
        <f t="shared" si="20"/>
        <v/>
      </c>
      <c r="H601" s="33">
        <f>IF(ISNUMBER(SEARCH("Group",D601)),IF(G601="",E601,IFERROR(E601/COUNTIF($G2:$G6000,G601),E601)),E601)</f>
        <v>0</v>
      </c>
      <c r="I601" s="1" t="str">
        <f>IFERROR(VLOOKUP(C601,'Clients List'!A:F,6,FALSE),"")</f>
        <v/>
      </c>
      <c r="K601" s="23" t="str">
        <f>IFERROR(INDEX([2]Packages!E:E, MATCH(1, ([2]Packages!A:A=B601)*([2]Packages!B:B=C601), 0)) - SUMIFS(D$2:D601, B$2:B601, B601, C$2:C601, C601),"")</f>
        <v/>
      </c>
    </row>
    <row r="602" spans="4:11" x14ac:dyDescent="0.45">
      <c r="D602" t="str">
        <f>IFERROR(VLOOKUP(C602,'Clients List'!$A:$F,2,FALSE),"")</f>
        <v/>
      </c>
      <c r="F602" s="1" t="str">
        <f>IF(OR(C602="",NOT(ISNUMBER(SEARCH("Package",D602)))),"",VLOOKUP(C602,'Clients List'!$A:$F,4,FALSE)-SUMIFS($E$2:$E602,$C$2:$C602,C602,$D$2:$D602,"*Package*"))</f>
        <v/>
      </c>
      <c r="G602" t="str">
        <f t="shared" si="20"/>
        <v/>
      </c>
      <c r="H602" s="33">
        <f>IF(ISNUMBER(SEARCH("Group",D602)),IF(G602="",E602,IFERROR(E602/COUNTIF($G2:$G6000,G602),E602)),E602)</f>
        <v>0</v>
      </c>
      <c r="I602" s="1" t="str">
        <f>IFERROR(VLOOKUP(C602,'Clients List'!A:F,6,FALSE),"")</f>
        <v/>
      </c>
      <c r="K602" s="23" t="str">
        <f>IFERROR(INDEX([2]Packages!E:E, MATCH(1, ([2]Packages!A:A=B602)*([2]Packages!B:B=C602), 0)) - SUMIFS(D$2:D602, B$2:B602, B602, C$2:C602, C602),"")</f>
        <v/>
      </c>
    </row>
    <row r="603" spans="4:11" x14ac:dyDescent="0.45">
      <c r="D603" t="str">
        <f>IFERROR(VLOOKUP(C603,'Clients List'!$A:$F,2,FALSE),"")</f>
        <v/>
      </c>
      <c r="F603" s="1" t="str">
        <f>IF(OR(C603="",NOT(ISNUMBER(SEARCH("Package",D603)))),"",VLOOKUP(C603,'Clients List'!$A:$F,4,FALSE)-SUMIFS($E$2:$E603,$C$2:$C603,C603,$D$2:$D603,"*Package*"))</f>
        <v/>
      </c>
      <c r="G603" t="str">
        <f t="shared" si="20"/>
        <v/>
      </c>
      <c r="H603" s="33">
        <f>IF(ISNUMBER(SEARCH("Group",D603)),IF(G603="",E603,IFERROR(E603/COUNTIF($G2:$G6000,G603),E603)),E603)</f>
        <v>0</v>
      </c>
      <c r="I603" s="1" t="str">
        <f>IFERROR(VLOOKUP(C603,'Clients List'!A:F,6,FALSE),"")</f>
        <v/>
      </c>
      <c r="K603" s="23" t="str">
        <f>IFERROR(INDEX([2]Packages!E:E, MATCH(1, ([2]Packages!A:A=B603)*([2]Packages!B:B=C603), 0)) - SUMIFS(D$2:D603, B$2:B603, B603, C$2:C603, C603),"")</f>
        <v/>
      </c>
    </row>
    <row r="604" spans="4:11" x14ac:dyDescent="0.45">
      <c r="D604" t="str">
        <f>IFERROR(VLOOKUP(C604,'Clients List'!$A:$F,2,FALSE),"")</f>
        <v/>
      </c>
      <c r="F604" s="1" t="str">
        <f>IF(OR(C604="",NOT(ISNUMBER(SEARCH("Package",D604)))),"",VLOOKUP(C604,'Clients List'!$A:$F,4,FALSE)-SUMIFS($E$2:$E604,$C$2:$C604,C604,$D$2:$D604,"*Package*"))</f>
        <v/>
      </c>
      <c r="G604" t="str">
        <f t="shared" si="20"/>
        <v/>
      </c>
      <c r="H604" s="33">
        <f>IF(ISNUMBER(SEARCH("Group",D604)),IF(G604="",E604,IFERROR(E604/COUNTIF($G2:$G6000,G604),E604)),E604)</f>
        <v>0</v>
      </c>
      <c r="I604" s="1" t="str">
        <f>IFERROR(VLOOKUP(C604,'Clients List'!A:F,6,FALSE),"")</f>
        <v/>
      </c>
      <c r="K604" s="23" t="str">
        <f>IFERROR(INDEX([2]Packages!E:E, MATCH(1, ([2]Packages!A:A=B604)*([2]Packages!B:B=C604), 0)) - SUMIFS(D$2:D604, B$2:B604, B604, C$2:C604, C604),"")</f>
        <v/>
      </c>
    </row>
    <row r="605" spans="4:11" x14ac:dyDescent="0.45">
      <c r="D605" t="str">
        <f>IFERROR(VLOOKUP(C605,'Clients List'!$A:$F,2,FALSE),"")</f>
        <v/>
      </c>
      <c r="F605" s="1" t="str">
        <f>IF(OR(C605="",NOT(ISNUMBER(SEARCH("Package",D605)))),"",VLOOKUP(C605,'Clients List'!$A:$F,4,FALSE)-SUMIFS($E$2:$E605,$C$2:$C605,C605,$D$2:$D605,"*Package*"))</f>
        <v/>
      </c>
      <c r="G605" t="str">
        <f t="shared" si="20"/>
        <v/>
      </c>
      <c r="H605" s="33">
        <f>IF(ISNUMBER(SEARCH("Group",D605)),IF(G605="",E605,IFERROR(E605/COUNTIF($G2:$G6000,G605),E605)),E605)</f>
        <v>0</v>
      </c>
      <c r="I605" s="1" t="str">
        <f>IFERROR(VLOOKUP(C605,'Clients List'!A:F,6,FALSE),"")</f>
        <v/>
      </c>
      <c r="K605" s="23" t="str">
        <f>IFERROR(INDEX([2]Packages!E:E, MATCH(1, ([2]Packages!A:A=B605)*([2]Packages!B:B=C605), 0)) - SUMIFS(D$2:D605, B$2:B605, B605, C$2:C605, C605),"")</f>
        <v/>
      </c>
    </row>
    <row r="606" spans="4:11" x14ac:dyDescent="0.45">
      <c r="D606" t="str">
        <f>IFERROR(VLOOKUP(C606,'Clients List'!$A:$F,2,FALSE),"")</f>
        <v/>
      </c>
      <c r="F606" s="1" t="str">
        <f>IF(OR(C606="",NOT(ISNUMBER(SEARCH("Package",D606)))),"",VLOOKUP(C606,'Clients List'!$A:$F,4,FALSE)-SUMIFS($E$2:$E606,$C$2:$C606,C606,$D$2:$D606,"*Package*"))</f>
        <v/>
      </c>
      <c r="G606" t="str">
        <f t="shared" si="20"/>
        <v/>
      </c>
      <c r="H606" s="33">
        <f>IF(ISNUMBER(SEARCH("Group",D606)),IF(G606="",E606,IFERROR(E606/COUNTIF($G2:$G6000,G606),E606)),E606)</f>
        <v>0</v>
      </c>
      <c r="I606" s="1" t="str">
        <f>IFERROR(VLOOKUP(C606,'Clients List'!A:F,6,FALSE),"")</f>
        <v/>
      </c>
      <c r="K606" s="23" t="str">
        <f>IFERROR(INDEX([2]Packages!E:E, MATCH(1, ([2]Packages!A:A=B606)*([2]Packages!B:B=C606), 0)) - SUMIFS(D$2:D606, B$2:B606, B606, C$2:C606, C606),"")</f>
        <v/>
      </c>
    </row>
    <row r="607" spans="4:11" x14ac:dyDescent="0.45">
      <c r="D607" t="str">
        <f>IFERROR(VLOOKUP(C607,'Clients List'!$A:$F,2,FALSE),"")</f>
        <v/>
      </c>
      <c r="F607" s="1" t="str">
        <f>IF(OR(C607="",NOT(ISNUMBER(SEARCH("Package",D607)))),"",VLOOKUP(C607,'Clients List'!$A:$F,4,FALSE)-SUMIFS($E$2:$E607,$C$2:$C607,C607,$D$2:$D607,"*Package*"))</f>
        <v/>
      </c>
      <c r="G607" t="str">
        <f t="shared" ref="G607:G638" si="21">IF(ISNUMBER(SEARCH("Group",D607)),IFERROR("GRP-"&amp;TEXT(IF(ISNUMBER(A607),A607,DATEVALUE(A607)),"yyyymmdd"),""),"" )</f>
        <v/>
      </c>
      <c r="H607" s="33">
        <f>IF(ISNUMBER(SEARCH("Group",D607)),IF(G607="",E607,IFERROR(E607/COUNTIF($G2:$G6000,G607),E607)),E607)</f>
        <v>0</v>
      </c>
      <c r="I607" s="1" t="str">
        <f>IFERROR(VLOOKUP(C607,'Clients List'!A:F,6,FALSE),"")</f>
        <v/>
      </c>
      <c r="K607" s="23" t="str">
        <f>IFERROR(INDEX([2]Packages!E:E, MATCH(1, ([2]Packages!A:A=B607)*([2]Packages!B:B=C607), 0)) - SUMIFS(D$2:D607, B$2:B607, B607, C$2:C607, C607),"")</f>
        <v/>
      </c>
    </row>
    <row r="608" spans="4:11" x14ac:dyDescent="0.45">
      <c r="D608" t="str">
        <f>IFERROR(VLOOKUP(C608,'Clients List'!$A:$F,2,FALSE),"")</f>
        <v/>
      </c>
      <c r="F608" s="1" t="str">
        <f>IF(OR(C608="",NOT(ISNUMBER(SEARCH("Package",D608)))),"",VLOOKUP(C608,'Clients List'!$A:$F,4,FALSE)-SUMIFS($E$2:$E608,$C$2:$C608,C608,$D$2:$D608,"*Package*"))</f>
        <v/>
      </c>
      <c r="G608" t="str">
        <f t="shared" si="21"/>
        <v/>
      </c>
      <c r="H608" s="33">
        <f>IF(ISNUMBER(SEARCH("Group",D608)),IF(G608="",E608,IFERROR(E608/COUNTIF($G2:$G6000,G608),E608)),E608)</f>
        <v>0</v>
      </c>
      <c r="I608" s="1" t="str">
        <f>IFERROR(VLOOKUP(C608,'Clients List'!A:F,6,FALSE),"")</f>
        <v/>
      </c>
      <c r="K608" s="23" t="str">
        <f>IFERROR(INDEX([2]Packages!E:E, MATCH(1, ([2]Packages!A:A=B608)*([2]Packages!B:B=C608), 0)) - SUMIFS(D$2:D608, B$2:B608, B608, C$2:C608, C608),"")</f>
        <v/>
      </c>
    </row>
    <row r="609" spans="4:11" x14ac:dyDescent="0.45">
      <c r="D609" t="str">
        <f>IFERROR(VLOOKUP(C609,'Clients List'!$A:$F,2,FALSE),"")</f>
        <v/>
      </c>
      <c r="F609" s="1" t="str">
        <f>IF(OR(C609="",NOT(ISNUMBER(SEARCH("Package",D609)))),"",VLOOKUP(C609,'Clients List'!$A:$F,4,FALSE)-SUMIFS($E$2:$E609,$C$2:$C609,C609,$D$2:$D609,"*Package*"))</f>
        <v/>
      </c>
      <c r="G609" t="str">
        <f t="shared" si="21"/>
        <v/>
      </c>
      <c r="H609" s="33">
        <f>IF(ISNUMBER(SEARCH("Group",D609)),IF(G609="",E609,IFERROR(E609/COUNTIF($G2:$G6000,G609),E609)),E609)</f>
        <v>0</v>
      </c>
      <c r="I609" s="1" t="str">
        <f>IFERROR(VLOOKUP(C609,'Clients List'!A:F,6,FALSE),"")</f>
        <v/>
      </c>
      <c r="K609" s="23" t="str">
        <f>IFERROR(INDEX([2]Packages!E:E, MATCH(1, ([2]Packages!A:A=B609)*([2]Packages!B:B=C609), 0)) - SUMIFS(D$2:D609, B$2:B609, B609, C$2:C609, C609),"")</f>
        <v/>
      </c>
    </row>
    <row r="610" spans="4:11" x14ac:dyDescent="0.45">
      <c r="D610" t="str">
        <f>IFERROR(VLOOKUP(C610,'Clients List'!$A:$F,2,FALSE),"")</f>
        <v/>
      </c>
      <c r="F610" s="1" t="str">
        <f>IF(OR(C610="",NOT(ISNUMBER(SEARCH("Package",D610)))),"",VLOOKUP(C610,'Clients List'!$A:$F,4,FALSE)-SUMIFS($E$2:$E610,$C$2:$C610,C610,$D$2:$D610,"*Package*"))</f>
        <v/>
      </c>
      <c r="G610" t="str">
        <f t="shared" si="21"/>
        <v/>
      </c>
      <c r="H610" s="33">
        <f>IF(ISNUMBER(SEARCH("Group",D610)),IF(G610="",E610,IFERROR(E610/COUNTIF($G2:$G6000,G610),E610)),E610)</f>
        <v>0</v>
      </c>
      <c r="I610" s="1" t="str">
        <f>IFERROR(VLOOKUP(C610,'Clients List'!A:F,6,FALSE),"")</f>
        <v/>
      </c>
      <c r="K610" s="23" t="str">
        <f>IFERROR(INDEX([2]Packages!E:E, MATCH(1, ([2]Packages!A:A=B610)*([2]Packages!B:B=C610), 0)) - SUMIFS(D$2:D610, B$2:B610, B610, C$2:C610, C610),"")</f>
        <v/>
      </c>
    </row>
    <row r="611" spans="4:11" x14ac:dyDescent="0.45">
      <c r="D611" t="str">
        <f>IFERROR(VLOOKUP(C611,'Clients List'!$A:$F,2,FALSE),"")</f>
        <v/>
      </c>
      <c r="F611" s="1" t="str">
        <f>IF(OR(C611="",NOT(ISNUMBER(SEARCH("Package",D611)))),"",VLOOKUP(C611,'Clients List'!$A:$F,4,FALSE)-SUMIFS($E$2:$E611,$C$2:$C611,C611,$D$2:$D611,"*Package*"))</f>
        <v/>
      </c>
      <c r="G611" t="str">
        <f t="shared" si="21"/>
        <v/>
      </c>
      <c r="H611" s="33">
        <f>IF(ISNUMBER(SEARCH("Group",D611)),IF(G611="",E611,IFERROR(E611/COUNTIF($G2:$G6000,G611),E611)),E611)</f>
        <v>0</v>
      </c>
      <c r="I611" s="1" t="str">
        <f>IFERROR(VLOOKUP(C611,'Clients List'!A:F,6,FALSE),"")</f>
        <v/>
      </c>
      <c r="K611" s="23" t="str">
        <f>IFERROR(INDEX([2]Packages!E:E, MATCH(1, ([2]Packages!A:A=B611)*([2]Packages!B:B=C611), 0)) - SUMIFS(D$2:D611, B$2:B611, B611, C$2:C611, C611),"")</f>
        <v/>
      </c>
    </row>
    <row r="612" spans="4:11" x14ac:dyDescent="0.45">
      <c r="D612" t="str">
        <f>IFERROR(VLOOKUP(C612,'Clients List'!$A:$F,2,FALSE),"")</f>
        <v/>
      </c>
      <c r="F612" s="1" t="str">
        <f>IF(OR(C612="",NOT(ISNUMBER(SEARCH("Package",D612)))),"",VLOOKUP(C612,'Clients List'!$A:$F,4,FALSE)-SUMIFS($E$2:$E612,$C$2:$C612,C612,$D$2:$D612,"*Package*"))</f>
        <v/>
      </c>
      <c r="G612" t="str">
        <f t="shared" si="21"/>
        <v/>
      </c>
      <c r="H612" s="33">
        <f>IF(ISNUMBER(SEARCH("Group",D612)),IF(G612="",E612,IFERROR(E612/COUNTIF($G2:$G6000,G612),E612)),E612)</f>
        <v>0</v>
      </c>
      <c r="I612" s="1" t="str">
        <f>IFERROR(VLOOKUP(C612,'Clients List'!A:F,6,FALSE),"")</f>
        <v/>
      </c>
      <c r="K612" s="23" t="str">
        <f>IFERROR(INDEX([2]Packages!E:E, MATCH(1, ([2]Packages!A:A=B612)*([2]Packages!B:B=C612), 0)) - SUMIFS(D$2:D612, B$2:B612, B612, C$2:C612, C612),"")</f>
        <v/>
      </c>
    </row>
    <row r="613" spans="4:11" x14ac:dyDescent="0.45">
      <c r="D613" t="str">
        <f>IFERROR(VLOOKUP(C613,'Clients List'!$A:$F,2,FALSE),"")</f>
        <v/>
      </c>
      <c r="F613" s="1" t="str">
        <f>IF(OR(C613="",NOT(ISNUMBER(SEARCH("Package",D613)))),"",VLOOKUP(C613,'Clients List'!$A:$F,4,FALSE)-SUMIFS($E$2:$E613,$C$2:$C613,C613,$D$2:$D613,"*Package*"))</f>
        <v/>
      </c>
      <c r="G613" t="str">
        <f t="shared" si="21"/>
        <v/>
      </c>
      <c r="H613" s="33">
        <f>IF(ISNUMBER(SEARCH("Group",D613)),IF(G613="",E613,IFERROR(E613/COUNTIF($G2:$G6000,G613),E613)),E613)</f>
        <v>0</v>
      </c>
      <c r="I613" s="1" t="str">
        <f>IFERROR(VLOOKUP(C613,'Clients List'!A:F,6,FALSE),"")</f>
        <v/>
      </c>
      <c r="K613" s="23" t="str">
        <f>IFERROR(INDEX([2]Packages!E:E, MATCH(1, ([2]Packages!A:A=B613)*([2]Packages!B:B=C613), 0)) - SUMIFS(D$2:D613, B$2:B613, B613, C$2:C613, C613),"")</f>
        <v/>
      </c>
    </row>
    <row r="614" spans="4:11" x14ac:dyDescent="0.45">
      <c r="D614" t="str">
        <f>IFERROR(VLOOKUP(C614,'Clients List'!$A:$F,2,FALSE),"")</f>
        <v/>
      </c>
      <c r="F614" s="1" t="str">
        <f>IF(OR(C614="",NOT(ISNUMBER(SEARCH("Package",D614)))),"",VLOOKUP(C614,'Clients List'!$A:$F,4,FALSE)-SUMIFS($E$2:$E614,$C$2:$C614,C614,$D$2:$D614,"*Package*"))</f>
        <v/>
      </c>
      <c r="G614" t="str">
        <f t="shared" si="21"/>
        <v/>
      </c>
      <c r="H614" s="33">
        <f>IF(ISNUMBER(SEARCH("Group",D614)),IF(G614="",E614,IFERROR(E614/COUNTIF($G2:$G6000,G614),E614)),E614)</f>
        <v>0</v>
      </c>
      <c r="I614" s="1" t="str">
        <f>IFERROR(VLOOKUP(C614,'Clients List'!A:F,6,FALSE),"")</f>
        <v/>
      </c>
      <c r="K614" s="23" t="str">
        <f>IFERROR(INDEX([2]Packages!E:E, MATCH(1, ([2]Packages!A:A=B614)*([2]Packages!B:B=C614), 0)) - SUMIFS(D$2:D614, B$2:B614, B614, C$2:C614, C614),"")</f>
        <v/>
      </c>
    </row>
    <row r="615" spans="4:11" x14ac:dyDescent="0.45">
      <c r="D615" t="str">
        <f>IFERROR(VLOOKUP(C615,'Clients List'!$A:$F,2,FALSE),"")</f>
        <v/>
      </c>
      <c r="F615" s="1" t="str">
        <f>IF(OR(C615="",NOT(ISNUMBER(SEARCH("Package",D615)))),"",VLOOKUP(C615,'Clients List'!$A:$F,4,FALSE)-SUMIFS($E$2:$E615,$C$2:$C615,C615,$D$2:$D615,"*Package*"))</f>
        <v/>
      </c>
      <c r="G615" t="str">
        <f t="shared" si="21"/>
        <v/>
      </c>
      <c r="H615" s="33">
        <f>IF(ISNUMBER(SEARCH("Group",D615)),IF(G615="",E615,IFERROR(E615/COUNTIF($G2:$G6000,G615),E615)),E615)</f>
        <v>0</v>
      </c>
      <c r="I615" s="1" t="str">
        <f>IFERROR(VLOOKUP(C615,'Clients List'!A:F,6,FALSE),"")</f>
        <v/>
      </c>
      <c r="K615" s="23" t="str">
        <f>IFERROR(INDEX([2]Packages!E:E, MATCH(1, ([2]Packages!A:A=B615)*([2]Packages!B:B=C615), 0)) - SUMIFS(D$2:D615, B$2:B615, B615, C$2:C615, C615),"")</f>
        <v/>
      </c>
    </row>
    <row r="616" spans="4:11" x14ac:dyDescent="0.45">
      <c r="D616" t="str">
        <f>IFERROR(VLOOKUP(C616,'Clients List'!$A:$F,2,FALSE),"")</f>
        <v/>
      </c>
      <c r="F616" s="1" t="str">
        <f>IF(OR(C616="",NOT(ISNUMBER(SEARCH("Package",D616)))),"",VLOOKUP(C616,'Clients List'!$A:$F,4,FALSE)-SUMIFS($E$2:$E616,$C$2:$C616,C616,$D$2:$D616,"*Package*"))</f>
        <v/>
      </c>
      <c r="G616" t="str">
        <f t="shared" si="21"/>
        <v/>
      </c>
      <c r="H616" s="33">
        <f>IF(ISNUMBER(SEARCH("Group",D616)),IF(G616="",E616,IFERROR(E616/COUNTIF($G2:$G6000,G616),E616)),E616)</f>
        <v>0</v>
      </c>
      <c r="I616" s="1" t="str">
        <f>IFERROR(VLOOKUP(C616,'Clients List'!A:F,6,FALSE),"")</f>
        <v/>
      </c>
      <c r="K616" s="23" t="str">
        <f>IFERROR(INDEX([2]Packages!E:E, MATCH(1, ([2]Packages!A:A=B616)*([2]Packages!B:B=C616), 0)) - SUMIFS(D$2:D616, B$2:B616, B616, C$2:C616, C616),"")</f>
        <v/>
      </c>
    </row>
    <row r="617" spans="4:11" x14ac:dyDescent="0.45">
      <c r="D617" t="str">
        <f>IFERROR(VLOOKUP(C617,'Clients List'!$A:$F,2,FALSE),"")</f>
        <v/>
      </c>
      <c r="F617" s="1" t="str">
        <f>IF(OR(C617="",NOT(ISNUMBER(SEARCH("Package",D617)))),"",VLOOKUP(C617,'Clients List'!$A:$F,4,FALSE)-SUMIFS($E$2:$E617,$C$2:$C617,C617,$D$2:$D617,"*Package*"))</f>
        <v/>
      </c>
      <c r="G617" t="str">
        <f t="shared" si="21"/>
        <v/>
      </c>
      <c r="H617" s="33">
        <f>IF(ISNUMBER(SEARCH("Group",D617)),IF(G617="",E617,IFERROR(E617/COUNTIF($G2:$G6000,G617),E617)),E617)</f>
        <v>0</v>
      </c>
      <c r="I617" s="1" t="str">
        <f>IFERROR(VLOOKUP(C617,'Clients List'!A:F,6,FALSE),"")</f>
        <v/>
      </c>
      <c r="K617" s="23" t="str">
        <f>IFERROR(INDEX([2]Packages!E:E, MATCH(1, ([2]Packages!A:A=B617)*([2]Packages!B:B=C617), 0)) - SUMIFS(D$2:D617, B$2:B617, B617, C$2:C617, C617),"")</f>
        <v/>
      </c>
    </row>
    <row r="618" spans="4:11" x14ac:dyDescent="0.45">
      <c r="D618" t="str">
        <f>IFERROR(VLOOKUP(C618,'Clients List'!$A:$F,2,FALSE),"")</f>
        <v/>
      </c>
      <c r="F618" s="1" t="str">
        <f>IF(OR(C618="",NOT(ISNUMBER(SEARCH("Package",D618)))),"",VLOOKUP(C618,'Clients List'!$A:$F,4,FALSE)-SUMIFS($E$2:$E618,$C$2:$C618,C618,$D$2:$D618,"*Package*"))</f>
        <v/>
      </c>
      <c r="G618" t="str">
        <f t="shared" si="21"/>
        <v/>
      </c>
      <c r="H618" s="33">
        <f>IF(ISNUMBER(SEARCH("Group",D618)),IF(G618="",E618,IFERROR(E618/COUNTIF($G2:$G6000,G618),E618)),E618)</f>
        <v>0</v>
      </c>
      <c r="I618" s="1" t="str">
        <f>IFERROR(VLOOKUP(C618,'Clients List'!A:F,6,FALSE),"")</f>
        <v/>
      </c>
      <c r="K618" s="23" t="str">
        <f>IFERROR(INDEX([2]Packages!E:E, MATCH(1, ([2]Packages!A:A=B618)*([2]Packages!B:B=C618), 0)) - SUMIFS(D$2:D618, B$2:B618, B618, C$2:C618, C618),"")</f>
        <v/>
      </c>
    </row>
    <row r="619" spans="4:11" x14ac:dyDescent="0.45">
      <c r="D619" t="str">
        <f>IFERROR(VLOOKUP(C619,'Clients List'!$A:$F,2,FALSE),"")</f>
        <v/>
      </c>
      <c r="F619" s="1" t="str">
        <f>IF(OR(C619="",NOT(ISNUMBER(SEARCH("Package",D619)))),"",VLOOKUP(C619,'Clients List'!$A:$F,4,FALSE)-SUMIFS($E$2:$E619,$C$2:$C619,C619,$D$2:$D619,"*Package*"))</f>
        <v/>
      </c>
      <c r="G619" t="str">
        <f t="shared" si="21"/>
        <v/>
      </c>
      <c r="H619" s="33">
        <f>IF(ISNUMBER(SEARCH("Group",D619)),IF(G619="",E619,IFERROR(E619/COUNTIF($G2:$G6000,G619),E619)),E619)</f>
        <v>0</v>
      </c>
      <c r="I619" s="1" t="str">
        <f>IFERROR(VLOOKUP(C619,'Clients List'!A:F,6,FALSE),"")</f>
        <v/>
      </c>
      <c r="K619" s="23" t="str">
        <f>IFERROR(INDEX([2]Packages!E:E, MATCH(1, ([2]Packages!A:A=B619)*([2]Packages!B:B=C619), 0)) - SUMIFS(D$2:D619, B$2:B619, B619, C$2:C619, C619),"")</f>
        <v/>
      </c>
    </row>
    <row r="620" spans="4:11" x14ac:dyDescent="0.45">
      <c r="D620" t="str">
        <f>IFERROR(VLOOKUP(C620,'Clients List'!$A:$F,2,FALSE),"")</f>
        <v/>
      </c>
      <c r="F620" s="1" t="str">
        <f>IF(OR(C620="",NOT(ISNUMBER(SEARCH("Package",D620)))),"",VLOOKUP(C620,'Clients List'!$A:$F,4,FALSE)-SUMIFS($E$2:$E620,$C$2:$C620,C620,$D$2:$D620,"*Package*"))</f>
        <v/>
      </c>
      <c r="G620" t="str">
        <f t="shared" si="21"/>
        <v/>
      </c>
      <c r="H620" s="33">
        <f>IF(ISNUMBER(SEARCH("Group",D620)),IF(G620="",E620,IFERROR(E620/COUNTIF($G2:$G6000,G620),E620)),E620)</f>
        <v>0</v>
      </c>
      <c r="I620" s="1" t="str">
        <f>IFERROR(VLOOKUP(C620,'Clients List'!A:F,6,FALSE),"")</f>
        <v/>
      </c>
      <c r="K620" s="23" t="str">
        <f>IFERROR(INDEX([2]Packages!E:E, MATCH(1, ([2]Packages!A:A=B620)*([2]Packages!B:B=C620), 0)) - SUMIFS(D$2:D620, B$2:B620, B620, C$2:C620, C620),"")</f>
        <v/>
      </c>
    </row>
    <row r="621" spans="4:11" x14ac:dyDescent="0.45">
      <c r="D621" t="str">
        <f>IFERROR(VLOOKUP(C621,'Clients List'!$A:$F,2,FALSE),"")</f>
        <v/>
      </c>
      <c r="F621" s="1" t="str">
        <f>IF(OR(C621="",NOT(ISNUMBER(SEARCH("Package",D621)))),"",VLOOKUP(C621,'Clients List'!$A:$F,4,FALSE)-SUMIFS($E$2:$E621,$C$2:$C621,C621,$D$2:$D621,"*Package*"))</f>
        <v/>
      </c>
      <c r="G621" t="str">
        <f t="shared" si="21"/>
        <v/>
      </c>
      <c r="H621" s="33">
        <f>IF(ISNUMBER(SEARCH("Group",D621)),IF(G621="",E621,IFERROR(E621/COUNTIF($G2:$G6000,G621),E621)),E621)</f>
        <v>0</v>
      </c>
      <c r="I621" s="1" t="str">
        <f>IFERROR(VLOOKUP(C621,'Clients List'!A:F,6,FALSE),"")</f>
        <v/>
      </c>
      <c r="K621" s="23" t="str">
        <f>IFERROR(INDEX([2]Packages!E:E, MATCH(1, ([2]Packages!A:A=B621)*([2]Packages!B:B=C621), 0)) - SUMIFS(D$2:D621, B$2:B621, B621, C$2:C621, C621),"")</f>
        <v/>
      </c>
    </row>
    <row r="622" spans="4:11" x14ac:dyDescent="0.45">
      <c r="D622" t="str">
        <f>IFERROR(VLOOKUP(C622,'Clients List'!$A:$F,2,FALSE),"")</f>
        <v/>
      </c>
      <c r="F622" s="1" t="str">
        <f>IF(OR(C622="",NOT(ISNUMBER(SEARCH("Package",D622)))),"",VLOOKUP(C622,'Clients List'!$A:$F,4,FALSE)-SUMIFS($E$2:$E622,$C$2:$C622,C622,$D$2:$D622,"*Package*"))</f>
        <v/>
      </c>
      <c r="G622" t="str">
        <f t="shared" si="21"/>
        <v/>
      </c>
      <c r="H622" s="33">
        <f>IF(ISNUMBER(SEARCH("Group",D622)),IF(G622="",E622,IFERROR(E622/COUNTIF($G2:$G6000,G622),E622)),E622)</f>
        <v>0</v>
      </c>
      <c r="I622" s="1" t="str">
        <f>IFERROR(VLOOKUP(C622,'Clients List'!A:F,6,FALSE),"")</f>
        <v/>
      </c>
      <c r="K622" s="23" t="str">
        <f>IFERROR(INDEX([2]Packages!E:E, MATCH(1, ([2]Packages!A:A=B622)*([2]Packages!B:B=C622), 0)) - SUMIFS(D$2:D622, B$2:B622, B622, C$2:C622, C622),"")</f>
        <v/>
      </c>
    </row>
    <row r="623" spans="4:11" x14ac:dyDescent="0.45">
      <c r="D623" t="str">
        <f>IFERROR(VLOOKUP(C623,'Clients List'!$A:$F,2,FALSE),"")</f>
        <v/>
      </c>
      <c r="F623" s="1" t="str">
        <f>IF(OR(C623="",NOT(ISNUMBER(SEARCH("Package",D623)))),"",VLOOKUP(C623,'Clients List'!$A:$F,4,FALSE)-SUMIFS($E$2:$E623,$C$2:$C623,C623,$D$2:$D623,"*Package*"))</f>
        <v/>
      </c>
      <c r="G623" t="str">
        <f t="shared" si="21"/>
        <v/>
      </c>
      <c r="H623" s="33">
        <f>IF(ISNUMBER(SEARCH("Group",D623)),IF(G623="",E623,IFERROR(E623/COUNTIF($G2:$G6000,G623),E623)),E623)</f>
        <v>0</v>
      </c>
      <c r="I623" s="1" t="str">
        <f>IFERROR(VLOOKUP(C623,'Clients List'!A:F,6,FALSE),"")</f>
        <v/>
      </c>
      <c r="K623" s="23" t="str">
        <f>IFERROR(INDEX([2]Packages!E:E, MATCH(1, ([2]Packages!A:A=B623)*([2]Packages!B:B=C623), 0)) - SUMIFS(D$2:D623, B$2:B623, B623, C$2:C623, C623),"")</f>
        <v/>
      </c>
    </row>
    <row r="624" spans="4:11" x14ac:dyDescent="0.45">
      <c r="D624" t="str">
        <f>IFERROR(VLOOKUP(C624,'Clients List'!$A:$F,2,FALSE),"")</f>
        <v/>
      </c>
      <c r="F624" s="1" t="str">
        <f>IF(OR(C624="",NOT(ISNUMBER(SEARCH("Package",D624)))),"",VLOOKUP(C624,'Clients List'!$A:$F,4,FALSE)-SUMIFS($E$2:$E624,$C$2:$C624,C624,$D$2:$D624,"*Package*"))</f>
        <v/>
      </c>
      <c r="G624" t="str">
        <f t="shared" si="21"/>
        <v/>
      </c>
      <c r="H624" s="33">
        <f>IF(ISNUMBER(SEARCH("Group",D624)),IF(G624="",E624,IFERROR(E624/COUNTIF($G2:$G6000,G624),E624)),E624)</f>
        <v>0</v>
      </c>
      <c r="I624" s="1" t="str">
        <f>IFERROR(VLOOKUP(C624,'Clients List'!A:F,6,FALSE),"")</f>
        <v/>
      </c>
      <c r="K624" s="23" t="str">
        <f>IFERROR(INDEX([2]Packages!E:E, MATCH(1, ([2]Packages!A:A=B624)*([2]Packages!B:B=C624), 0)) - SUMIFS(D$2:D624, B$2:B624, B624, C$2:C624, C624),"")</f>
        <v/>
      </c>
    </row>
    <row r="625" spans="4:11" x14ac:dyDescent="0.45">
      <c r="D625" t="str">
        <f>IFERROR(VLOOKUP(C625,'Clients List'!$A:$F,2,FALSE),"")</f>
        <v/>
      </c>
      <c r="F625" s="1" t="str">
        <f>IF(OR(C625="",NOT(ISNUMBER(SEARCH("Package",D625)))),"",VLOOKUP(C625,'Clients List'!$A:$F,4,FALSE)-SUMIFS($E$2:$E625,$C$2:$C625,C625,$D$2:$D625,"*Package*"))</f>
        <v/>
      </c>
      <c r="G625" t="str">
        <f t="shared" si="21"/>
        <v/>
      </c>
      <c r="H625" s="33">
        <f>IF(ISNUMBER(SEARCH("Group",D625)),IF(G625="",E625,IFERROR(E625/COUNTIF($G2:$G6000,G625),E625)),E625)</f>
        <v>0</v>
      </c>
      <c r="I625" s="1" t="str">
        <f>IFERROR(VLOOKUP(C625,'Clients List'!A:F,6,FALSE),"")</f>
        <v/>
      </c>
      <c r="K625" s="23" t="str">
        <f>IFERROR(INDEX([2]Packages!E:E, MATCH(1, ([2]Packages!A:A=B625)*([2]Packages!B:B=C625), 0)) - SUMIFS(D$2:D625, B$2:B625, B625, C$2:C625, C625),"")</f>
        <v/>
      </c>
    </row>
    <row r="626" spans="4:11" x14ac:dyDescent="0.45">
      <c r="D626" t="str">
        <f>IFERROR(VLOOKUP(C626,'Clients List'!$A:$F,2,FALSE),"")</f>
        <v/>
      </c>
      <c r="F626" s="1" t="str">
        <f>IF(OR(C626="",NOT(ISNUMBER(SEARCH("Package",D626)))),"",VLOOKUP(C626,'Clients List'!$A:$F,4,FALSE)-SUMIFS($E$2:$E626,$C$2:$C626,C626,$D$2:$D626,"*Package*"))</f>
        <v/>
      </c>
      <c r="G626" t="str">
        <f t="shared" si="21"/>
        <v/>
      </c>
      <c r="H626" s="33">
        <f>IF(ISNUMBER(SEARCH("Group",D626)),IF(G626="",E626,IFERROR(E626/COUNTIF($G2:$G6000,G626),E626)),E626)</f>
        <v>0</v>
      </c>
      <c r="I626" s="1" t="str">
        <f>IFERROR(VLOOKUP(C626,'Clients List'!A:F,6,FALSE),"")</f>
        <v/>
      </c>
      <c r="K626" s="23" t="str">
        <f>IFERROR(INDEX([2]Packages!E:E, MATCH(1, ([2]Packages!A:A=B626)*([2]Packages!B:B=C626), 0)) - SUMIFS(D$2:D626, B$2:B626, B626, C$2:C626, C626),"")</f>
        <v/>
      </c>
    </row>
    <row r="627" spans="4:11" x14ac:dyDescent="0.45">
      <c r="D627" t="str">
        <f>IFERROR(VLOOKUP(C627,'Clients List'!$A:$F,2,FALSE),"")</f>
        <v/>
      </c>
      <c r="F627" s="1" t="str">
        <f>IF(OR(C627="",NOT(ISNUMBER(SEARCH("Package",D627)))),"",VLOOKUP(C627,'Clients List'!$A:$F,4,FALSE)-SUMIFS($E$2:$E627,$C$2:$C627,C627,$D$2:$D627,"*Package*"))</f>
        <v/>
      </c>
      <c r="G627" t="str">
        <f t="shared" si="21"/>
        <v/>
      </c>
      <c r="H627" s="33">
        <f>IF(ISNUMBER(SEARCH("Group",D627)),IF(G627="",E627,IFERROR(E627/COUNTIF($G2:$G6000,G627),E627)),E627)</f>
        <v>0</v>
      </c>
      <c r="I627" s="1" t="str">
        <f>IFERROR(VLOOKUP(C627,'Clients List'!A:F,6,FALSE),"")</f>
        <v/>
      </c>
      <c r="K627" s="23" t="str">
        <f>IFERROR(INDEX([2]Packages!E:E, MATCH(1, ([2]Packages!A:A=B627)*([2]Packages!B:B=C627), 0)) - SUMIFS(D$2:D627, B$2:B627, B627, C$2:C627, C627),"")</f>
        <v/>
      </c>
    </row>
    <row r="628" spans="4:11" x14ac:dyDescent="0.45">
      <c r="D628" t="str">
        <f>IFERROR(VLOOKUP(C628,'Clients List'!$A:$F,2,FALSE),"")</f>
        <v/>
      </c>
      <c r="F628" s="1" t="str">
        <f>IF(OR(C628="",NOT(ISNUMBER(SEARCH("Package",D628)))),"",VLOOKUP(C628,'Clients List'!$A:$F,4,FALSE)-SUMIFS($E$2:$E628,$C$2:$C628,C628,$D$2:$D628,"*Package*"))</f>
        <v/>
      </c>
      <c r="G628" t="str">
        <f t="shared" si="21"/>
        <v/>
      </c>
      <c r="H628" s="33">
        <f>IF(ISNUMBER(SEARCH("Group",D628)),IF(G628="",E628,IFERROR(E628/COUNTIF($G2:$G6000,G628),E628)),E628)</f>
        <v>0</v>
      </c>
      <c r="I628" s="1" t="str">
        <f>IFERROR(VLOOKUP(C628,'Clients List'!A:F,6,FALSE),"")</f>
        <v/>
      </c>
      <c r="K628" s="23" t="str">
        <f>IFERROR(INDEX([2]Packages!E:E, MATCH(1, ([2]Packages!A:A=B628)*([2]Packages!B:B=C628), 0)) - SUMIFS(D$2:D628, B$2:B628, B628, C$2:C628, C628),"")</f>
        <v/>
      </c>
    </row>
    <row r="629" spans="4:11" x14ac:dyDescent="0.45">
      <c r="D629" t="str">
        <f>IFERROR(VLOOKUP(C629,'Clients List'!$A:$F,2,FALSE),"")</f>
        <v/>
      </c>
      <c r="F629" s="1" t="str">
        <f>IF(OR(C629="",NOT(ISNUMBER(SEARCH("Package",D629)))),"",VLOOKUP(C629,'Clients List'!$A:$F,4,FALSE)-SUMIFS($E$2:$E629,$C$2:$C629,C629,$D$2:$D629,"*Package*"))</f>
        <v/>
      </c>
      <c r="G629" t="str">
        <f t="shared" si="21"/>
        <v/>
      </c>
      <c r="H629" s="33">
        <f>IF(ISNUMBER(SEARCH("Group",D629)),IF(G629="",E629,IFERROR(E629/COUNTIF($G2:$G6000,G629),E629)),E629)</f>
        <v>0</v>
      </c>
      <c r="I629" s="1" t="str">
        <f>IFERROR(VLOOKUP(C629,'Clients List'!A:F,6,FALSE),"")</f>
        <v/>
      </c>
      <c r="K629" s="23" t="str">
        <f>IFERROR(INDEX([2]Packages!E:E, MATCH(1, ([2]Packages!A:A=B629)*([2]Packages!B:B=C629), 0)) - SUMIFS(D$2:D629, B$2:B629, B629, C$2:C629, C629),"")</f>
        <v/>
      </c>
    </row>
    <row r="630" spans="4:11" x14ac:dyDescent="0.45">
      <c r="D630" t="str">
        <f>IFERROR(VLOOKUP(C630,'Clients List'!$A:$F,2,FALSE),"")</f>
        <v/>
      </c>
      <c r="F630" s="1" t="str">
        <f>IF(OR(C630="",NOT(ISNUMBER(SEARCH("Package",D630)))),"",VLOOKUP(C630,'Clients List'!$A:$F,4,FALSE)-SUMIFS($E$2:$E630,$C$2:$C630,C630,$D$2:$D630,"*Package*"))</f>
        <v/>
      </c>
      <c r="G630" t="str">
        <f t="shared" si="21"/>
        <v/>
      </c>
      <c r="H630" s="33">
        <f>IF(ISNUMBER(SEARCH("Group",D630)),IF(G630="",E630,IFERROR(E630/COUNTIF($G2:$G6000,G630),E630)),E630)</f>
        <v>0</v>
      </c>
      <c r="I630" s="1" t="str">
        <f>IFERROR(VLOOKUP(C630,'Clients List'!A:F,6,FALSE),"")</f>
        <v/>
      </c>
      <c r="K630" s="23" t="str">
        <f>IFERROR(INDEX([2]Packages!E:E, MATCH(1, ([2]Packages!A:A=B630)*([2]Packages!B:B=C630), 0)) - SUMIFS(D$2:D630, B$2:B630, B630, C$2:C630, C630),"")</f>
        <v/>
      </c>
    </row>
    <row r="631" spans="4:11" x14ac:dyDescent="0.45">
      <c r="D631" t="str">
        <f>IFERROR(VLOOKUP(C631,'Clients List'!$A:$F,2,FALSE),"")</f>
        <v/>
      </c>
      <c r="F631" s="1" t="str">
        <f>IF(OR(C631="",NOT(ISNUMBER(SEARCH("Package",D631)))),"",VLOOKUP(C631,'Clients List'!$A:$F,4,FALSE)-SUMIFS($E$2:$E631,$C$2:$C631,C631,$D$2:$D631,"*Package*"))</f>
        <v/>
      </c>
      <c r="G631" t="str">
        <f t="shared" si="21"/>
        <v/>
      </c>
      <c r="H631" s="33">
        <f>IF(ISNUMBER(SEARCH("Group",D631)),IF(G631="",E631,IFERROR(E631/COUNTIF($G2:$G6000,G631),E631)),E631)</f>
        <v>0</v>
      </c>
      <c r="I631" s="1" t="str">
        <f>IFERROR(VLOOKUP(C631,'Clients List'!A:F,6,FALSE),"")</f>
        <v/>
      </c>
      <c r="K631" s="23" t="str">
        <f>IFERROR(INDEX([2]Packages!E:E, MATCH(1, ([2]Packages!A:A=B631)*([2]Packages!B:B=C631), 0)) - SUMIFS(D$2:D631, B$2:B631, B631, C$2:C631, C631),"")</f>
        <v/>
      </c>
    </row>
    <row r="632" spans="4:11" x14ac:dyDescent="0.45">
      <c r="D632" t="str">
        <f>IFERROR(VLOOKUP(C632,'Clients List'!$A:$F,2,FALSE),"")</f>
        <v/>
      </c>
      <c r="F632" s="1" t="str">
        <f>IF(OR(C632="",NOT(ISNUMBER(SEARCH("Package",D632)))),"",VLOOKUP(C632,'Clients List'!$A:$F,4,FALSE)-SUMIFS($E$2:$E632,$C$2:$C632,C632,$D$2:$D632,"*Package*"))</f>
        <v/>
      </c>
      <c r="G632" t="str">
        <f t="shared" si="21"/>
        <v/>
      </c>
      <c r="H632" s="33">
        <f>IF(ISNUMBER(SEARCH("Group",D632)),IF(G632="",E632,IFERROR(E632/COUNTIF($G2:$G6000,G632),E632)),E632)</f>
        <v>0</v>
      </c>
      <c r="I632" s="1" t="str">
        <f>IFERROR(VLOOKUP(C632,'Clients List'!A:F,6,FALSE),"")</f>
        <v/>
      </c>
      <c r="K632" s="23" t="str">
        <f>IFERROR(INDEX([2]Packages!E:E, MATCH(1, ([2]Packages!A:A=B632)*([2]Packages!B:B=C632), 0)) - SUMIFS(D$2:D632, B$2:B632, B632, C$2:C632, C632),"")</f>
        <v/>
      </c>
    </row>
    <row r="633" spans="4:11" x14ac:dyDescent="0.45">
      <c r="D633" t="str">
        <f>IFERROR(VLOOKUP(C633,'Clients List'!$A:$F,2,FALSE),"")</f>
        <v/>
      </c>
      <c r="F633" s="1" t="str">
        <f>IF(OR(C633="",NOT(ISNUMBER(SEARCH("Package",D633)))),"",VLOOKUP(C633,'Clients List'!$A:$F,4,FALSE)-SUMIFS($E$2:$E633,$C$2:$C633,C633,$D$2:$D633,"*Package*"))</f>
        <v/>
      </c>
      <c r="G633" t="str">
        <f t="shared" si="21"/>
        <v/>
      </c>
      <c r="H633" s="33">
        <f>IF(ISNUMBER(SEARCH("Group",D633)),IF(G633="",E633,IFERROR(E633/COUNTIF($G2:$G6000,G633),E633)),E633)</f>
        <v>0</v>
      </c>
      <c r="I633" s="1" t="str">
        <f>IFERROR(VLOOKUP(C633,'Clients List'!A:F,6,FALSE),"")</f>
        <v/>
      </c>
      <c r="K633" s="23" t="str">
        <f>IFERROR(INDEX([2]Packages!E:E, MATCH(1, ([2]Packages!A:A=B633)*([2]Packages!B:B=C633), 0)) - SUMIFS(D$2:D633, B$2:B633, B633, C$2:C633, C633),"")</f>
        <v/>
      </c>
    </row>
    <row r="634" spans="4:11" x14ac:dyDescent="0.45">
      <c r="D634" t="str">
        <f>IFERROR(VLOOKUP(C634,'Clients List'!$A:$F,2,FALSE),"")</f>
        <v/>
      </c>
      <c r="F634" s="1" t="str">
        <f>IF(OR(C634="",NOT(ISNUMBER(SEARCH("Package",D634)))),"",VLOOKUP(C634,'Clients List'!$A:$F,4,FALSE)-SUMIFS($E$2:$E634,$C$2:$C634,C634,$D$2:$D634,"*Package*"))</f>
        <v/>
      </c>
      <c r="G634" t="str">
        <f t="shared" si="21"/>
        <v/>
      </c>
      <c r="H634" s="33">
        <f>IF(ISNUMBER(SEARCH("Group",D634)),IF(G634="",E634,IFERROR(E634/COUNTIF($G2:$G6000,G634),E634)),E634)</f>
        <v>0</v>
      </c>
      <c r="I634" s="1" t="str">
        <f>IFERROR(VLOOKUP(C634,'Clients List'!A:F,6,FALSE),"")</f>
        <v/>
      </c>
      <c r="K634" s="23" t="str">
        <f>IFERROR(INDEX([2]Packages!E:E, MATCH(1, ([2]Packages!A:A=B634)*([2]Packages!B:B=C634), 0)) - SUMIFS(D$2:D634, B$2:B634, B634, C$2:C634, C634),"")</f>
        <v/>
      </c>
    </row>
    <row r="635" spans="4:11" x14ac:dyDescent="0.45">
      <c r="D635" t="str">
        <f>IFERROR(VLOOKUP(C635,'Clients List'!$A:$F,2,FALSE),"")</f>
        <v/>
      </c>
      <c r="F635" s="1" t="str">
        <f>IF(OR(C635="",NOT(ISNUMBER(SEARCH("Package",D635)))),"",VLOOKUP(C635,'Clients List'!$A:$F,4,FALSE)-SUMIFS($E$2:$E635,$C$2:$C635,C635,$D$2:$D635,"*Package*"))</f>
        <v/>
      </c>
      <c r="G635" t="str">
        <f t="shared" si="21"/>
        <v/>
      </c>
      <c r="H635" s="33">
        <f>IF(ISNUMBER(SEARCH("Group",D635)),IF(G635="",E635,IFERROR(E635/COUNTIF($G2:$G6000,G635),E635)),E635)</f>
        <v>0</v>
      </c>
      <c r="I635" s="1" t="str">
        <f>IFERROR(VLOOKUP(C635,'Clients List'!A:F,6,FALSE),"")</f>
        <v/>
      </c>
      <c r="K635" s="23" t="str">
        <f>IFERROR(INDEX([2]Packages!E:E, MATCH(1, ([2]Packages!A:A=B635)*([2]Packages!B:B=C635), 0)) - SUMIFS(D$2:D635, B$2:B635, B635, C$2:C635, C635),"")</f>
        <v/>
      </c>
    </row>
    <row r="636" spans="4:11" x14ac:dyDescent="0.45">
      <c r="D636" t="str">
        <f>IFERROR(VLOOKUP(C636,'Clients List'!$A:$F,2,FALSE),"")</f>
        <v/>
      </c>
      <c r="F636" s="1" t="str">
        <f>IF(OR(C636="",NOT(ISNUMBER(SEARCH("Package",D636)))),"",VLOOKUP(C636,'Clients List'!$A:$F,4,FALSE)-SUMIFS($E$2:$E636,$C$2:$C636,C636,$D$2:$D636,"*Package*"))</f>
        <v/>
      </c>
      <c r="G636" t="str">
        <f t="shared" si="21"/>
        <v/>
      </c>
      <c r="H636" s="33">
        <f>IF(ISNUMBER(SEARCH("Group",D636)),IF(G636="",E636,IFERROR(E636/COUNTIF($G2:$G6000,G636),E636)),E636)</f>
        <v>0</v>
      </c>
      <c r="I636" s="1" t="str">
        <f>IFERROR(VLOOKUP(C636,'Clients List'!A:F,6,FALSE),"")</f>
        <v/>
      </c>
      <c r="K636" s="23" t="str">
        <f>IFERROR(INDEX([2]Packages!E:E, MATCH(1, ([2]Packages!A:A=B636)*([2]Packages!B:B=C636), 0)) - SUMIFS(D$2:D636, B$2:B636, B636, C$2:C636, C636),"")</f>
        <v/>
      </c>
    </row>
    <row r="637" spans="4:11" x14ac:dyDescent="0.45">
      <c r="D637" t="str">
        <f>IFERROR(VLOOKUP(C637,'Clients List'!$A:$F,2,FALSE),"")</f>
        <v/>
      </c>
      <c r="F637" s="1" t="str">
        <f>IF(OR(C637="",NOT(ISNUMBER(SEARCH("Package",D637)))),"",VLOOKUP(C637,'Clients List'!$A:$F,4,FALSE)-SUMIFS($E$2:$E637,$C$2:$C637,C637,$D$2:$D637,"*Package*"))</f>
        <v/>
      </c>
      <c r="G637" t="str">
        <f t="shared" si="21"/>
        <v/>
      </c>
      <c r="H637" s="33">
        <f>IF(ISNUMBER(SEARCH("Group",D637)),IF(G637="",E637,IFERROR(E637/COUNTIF($G2:$G6000,G637),E637)),E637)</f>
        <v>0</v>
      </c>
      <c r="I637" s="1" t="str">
        <f>IFERROR(VLOOKUP(C637,'Clients List'!A:F,6,FALSE),"")</f>
        <v/>
      </c>
      <c r="K637" s="23" t="str">
        <f>IFERROR(INDEX([2]Packages!E:E, MATCH(1, ([2]Packages!A:A=B637)*([2]Packages!B:B=C637), 0)) - SUMIFS(D$2:D637, B$2:B637, B637, C$2:C637, C637),"")</f>
        <v/>
      </c>
    </row>
    <row r="638" spans="4:11" x14ac:dyDescent="0.45">
      <c r="D638" t="str">
        <f>IFERROR(VLOOKUP(C638,'Clients List'!$A:$F,2,FALSE),"")</f>
        <v/>
      </c>
      <c r="F638" s="1" t="str">
        <f>IF(OR(C638="",NOT(ISNUMBER(SEARCH("Package",D638)))),"",VLOOKUP(C638,'Clients List'!$A:$F,4,FALSE)-SUMIFS($E$2:$E638,$C$2:$C638,C638,$D$2:$D638,"*Package*"))</f>
        <v/>
      </c>
      <c r="G638" t="str">
        <f t="shared" si="21"/>
        <v/>
      </c>
      <c r="H638" s="33">
        <f>IF(ISNUMBER(SEARCH("Group",D638)),IF(G638="",E638,IFERROR(E638/COUNTIF($G2:$G6000,G638),E638)),E638)</f>
        <v>0</v>
      </c>
      <c r="I638" s="1" t="str">
        <f>IFERROR(VLOOKUP(C638,'Clients List'!A:F,6,FALSE),"")</f>
        <v/>
      </c>
      <c r="K638" s="23" t="str">
        <f>IFERROR(INDEX([2]Packages!E:E, MATCH(1, ([2]Packages!A:A=B638)*([2]Packages!B:B=C638), 0)) - SUMIFS(D$2:D638, B$2:B638, B638, C$2:C638, C638),"")</f>
        <v/>
      </c>
    </row>
    <row r="639" spans="4:11" x14ac:dyDescent="0.45">
      <c r="D639" t="str">
        <f>IFERROR(VLOOKUP(C639,'Clients List'!$A:$F,2,FALSE),"")</f>
        <v/>
      </c>
      <c r="F639" s="1" t="str">
        <f>IF(OR(C639="",NOT(ISNUMBER(SEARCH("Package",D639)))),"",VLOOKUP(C639,'Clients List'!$A:$F,4,FALSE)-SUMIFS($E$2:$E639,$C$2:$C639,C639,$D$2:$D639,"*Package*"))</f>
        <v/>
      </c>
      <c r="G639" t="str">
        <f t="shared" ref="G639:G670" si="22">IF(ISNUMBER(SEARCH("Group",D639)),IFERROR("GRP-"&amp;TEXT(IF(ISNUMBER(A639),A639,DATEVALUE(A639)),"yyyymmdd"),""),"" )</f>
        <v/>
      </c>
      <c r="H639" s="33">
        <f>IF(ISNUMBER(SEARCH("Group",D639)),IF(G639="",E639,IFERROR(E639/COUNTIF($G2:$G6000,G639),E639)),E639)</f>
        <v>0</v>
      </c>
      <c r="I639" s="1" t="str">
        <f>IFERROR(VLOOKUP(C639,'Clients List'!A:F,6,FALSE),"")</f>
        <v/>
      </c>
      <c r="K639" s="23" t="str">
        <f>IFERROR(INDEX([2]Packages!E:E, MATCH(1, ([2]Packages!A:A=B639)*([2]Packages!B:B=C639), 0)) - SUMIFS(D$2:D639, B$2:B639, B639, C$2:C639, C639),"")</f>
        <v/>
      </c>
    </row>
    <row r="640" spans="4:11" x14ac:dyDescent="0.45">
      <c r="D640" t="str">
        <f>IFERROR(VLOOKUP(C640,'Clients List'!$A:$F,2,FALSE),"")</f>
        <v/>
      </c>
      <c r="F640" s="1" t="str">
        <f>IF(OR(C640="",NOT(ISNUMBER(SEARCH("Package",D640)))),"",VLOOKUP(C640,'Clients List'!$A:$F,4,FALSE)-SUMIFS($E$2:$E640,$C$2:$C640,C640,$D$2:$D640,"*Package*"))</f>
        <v/>
      </c>
      <c r="G640" t="str">
        <f t="shared" si="22"/>
        <v/>
      </c>
      <c r="H640" s="33">
        <f>IF(ISNUMBER(SEARCH("Group",D640)),IF(G640="",E640,IFERROR(E640/COUNTIF($G2:$G6000,G640),E640)),E640)</f>
        <v>0</v>
      </c>
      <c r="I640" s="1" t="str">
        <f>IFERROR(VLOOKUP(C640,'Clients List'!A:F,6,FALSE),"")</f>
        <v/>
      </c>
      <c r="K640" s="23" t="str">
        <f>IFERROR(INDEX([2]Packages!E:E, MATCH(1, ([2]Packages!A:A=B640)*([2]Packages!B:B=C640), 0)) - SUMIFS(D$2:D640, B$2:B640, B640, C$2:C640, C640),"")</f>
        <v/>
      </c>
    </row>
    <row r="641" spans="4:11" x14ac:dyDescent="0.45">
      <c r="D641" t="str">
        <f>IFERROR(VLOOKUP(C641,'Clients List'!$A:$F,2,FALSE),"")</f>
        <v/>
      </c>
      <c r="F641" s="1" t="str">
        <f>IF(OR(C641="",NOT(ISNUMBER(SEARCH("Package",D641)))),"",VLOOKUP(C641,'Clients List'!$A:$F,4,FALSE)-SUMIFS($E$2:$E641,$C$2:$C641,C641,$D$2:$D641,"*Package*"))</f>
        <v/>
      </c>
      <c r="G641" t="str">
        <f t="shared" si="22"/>
        <v/>
      </c>
      <c r="H641" s="33">
        <f>IF(ISNUMBER(SEARCH("Group",D641)),IF(G641="",E641,IFERROR(E641/COUNTIF($G2:$G6000,G641),E641)),E641)</f>
        <v>0</v>
      </c>
      <c r="I641" s="1" t="str">
        <f>IFERROR(VLOOKUP(C641,'Clients List'!A:F,6,FALSE),"")</f>
        <v/>
      </c>
      <c r="K641" s="23" t="str">
        <f>IFERROR(INDEX([2]Packages!E:E, MATCH(1, ([2]Packages!A:A=B641)*([2]Packages!B:B=C641), 0)) - SUMIFS(D$2:D641, B$2:B641, B641, C$2:C641, C641),"")</f>
        <v/>
      </c>
    </row>
    <row r="642" spans="4:11" x14ac:dyDescent="0.45">
      <c r="D642" t="str">
        <f>IFERROR(VLOOKUP(C642,'Clients List'!$A:$F,2,FALSE),"")</f>
        <v/>
      </c>
      <c r="F642" s="1" t="str">
        <f>IF(OR(C642="",NOT(ISNUMBER(SEARCH("Package",D642)))),"",VLOOKUP(C642,'Clients List'!$A:$F,4,FALSE)-SUMIFS($E$2:$E642,$C$2:$C642,C642,$D$2:$D642,"*Package*"))</f>
        <v/>
      </c>
      <c r="G642" t="str">
        <f t="shared" si="22"/>
        <v/>
      </c>
      <c r="H642" s="33">
        <f>IF(ISNUMBER(SEARCH("Group",D642)),IF(G642="",E642,IFERROR(E642/COUNTIF($G2:$G6000,G642),E642)),E642)</f>
        <v>0</v>
      </c>
      <c r="I642" s="1" t="str">
        <f>IFERROR(VLOOKUP(C642,'Clients List'!A:F,6,FALSE),"")</f>
        <v/>
      </c>
      <c r="K642" s="23" t="str">
        <f>IFERROR(INDEX([2]Packages!E:E, MATCH(1, ([2]Packages!A:A=B642)*([2]Packages!B:B=C642), 0)) - SUMIFS(D$2:D642, B$2:B642, B642, C$2:C642, C642),"")</f>
        <v/>
      </c>
    </row>
    <row r="643" spans="4:11" x14ac:dyDescent="0.45">
      <c r="D643" t="str">
        <f>IFERROR(VLOOKUP(C643,'Clients List'!$A:$F,2,FALSE),"")</f>
        <v/>
      </c>
      <c r="F643" s="1" t="str">
        <f>IF(OR(C643="",NOT(ISNUMBER(SEARCH("Package",D643)))),"",VLOOKUP(C643,'Clients List'!$A:$F,4,FALSE)-SUMIFS($E$2:$E643,$C$2:$C643,C643,$D$2:$D643,"*Package*"))</f>
        <v/>
      </c>
      <c r="G643" t="str">
        <f t="shared" si="22"/>
        <v/>
      </c>
      <c r="H643" s="33">
        <f>IF(ISNUMBER(SEARCH("Group",D643)),IF(G643="",E643,IFERROR(E643/COUNTIF($G2:$G6000,G643),E643)),E643)</f>
        <v>0</v>
      </c>
      <c r="I643" s="1" t="str">
        <f>IFERROR(VLOOKUP(C643,'Clients List'!A:F,6,FALSE),"")</f>
        <v/>
      </c>
      <c r="K643" s="23" t="str">
        <f>IFERROR(INDEX([2]Packages!E:E, MATCH(1, ([2]Packages!A:A=B643)*([2]Packages!B:B=C643), 0)) - SUMIFS(D$2:D643, B$2:B643, B643, C$2:C643, C643),"")</f>
        <v/>
      </c>
    </row>
    <row r="644" spans="4:11" x14ac:dyDescent="0.45">
      <c r="D644" t="str">
        <f>IFERROR(VLOOKUP(C644,'Clients List'!$A:$F,2,FALSE),"")</f>
        <v/>
      </c>
      <c r="F644" s="1" t="str">
        <f>IF(OR(C644="",NOT(ISNUMBER(SEARCH("Package",D644)))),"",VLOOKUP(C644,'Clients List'!$A:$F,4,FALSE)-SUMIFS($E$2:$E644,$C$2:$C644,C644,$D$2:$D644,"*Package*"))</f>
        <v/>
      </c>
      <c r="G644" t="str">
        <f t="shared" si="22"/>
        <v/>
      </c>
      <c r="H644" s="33">
        <f>IF(ISNUMBER(SEARCH("Group",D644)),IF(G644="",E644,IFERROR(E644/COUNTIF($G2:$G6000,G644),E644)),E644)</f>
        <v>0</v>
      </c>
      <c r="I644" s="1" t="str">
        <f>IFERROR(VLOOKUP(C644,'Clients List'!A:F,6,FALSE),"")</f>
        <v/>
      </c>
      <c r="K644" s="23" t="str">
        <f>IFERROR(INDEX([2]Packages!E:E, MATCH(1, ([2]Packages!A:A=B644)*([2]Packages!B:B=C644), 0)) - SUMIFS(D$2:D644, B$2:B644, B644, C$2:C644, C644),"")</f>
        <v/>
      </c>
    </row>
    <row r="645" spans="4:11" x14ac:dyDescent="0.45">
      <c r="D645" t="str">
        <f>IFERROR(VLOOKUP(C645,'Clients List'!$A:$F,2,FALSE),"")</f>
        <v/>
      </c>
      <c r="F645" s="1" t="str">
        <f>IF(OR(C645="",NOT(ISNUMBER(SEARCH("Package",D645)))),"",VLOOKUP(C645,'Clients List'!$A:$F,4,FALSE)-SUMIFS($E$2:$E645,$C$2:$C645,C645,$D$2:$D645,"*Package*"))</f>
        <v/>
      </c>
      <c r="G645" t="str">
        <f t="shared" si="22"/>
        <v/>
      </c>
      <c r="H645" s="33">
        <f>IF(ISNUMBER(SEARCH("Group",D645)),IF(G645="",E645,IFERROR(E645/COUNTIF($G2:$G6000,G645),E645)),E645)</f>
        <v>0</v>
      </c>
      <c r="I645" s="1" t="str">
        <f>IFERROR(VLOOKUP(C645,'Clients List'!A:F,6,FALSE),"")</f>
        <v/>
      </c>
      <c r="K645" s="23" t="str">
        <f>IFERROR(INDEX([2]Packages!E:E, MATCH(1, ([2]Packages!A:A=B645)*([2]Packages!B:B=C645), 0)) - SUMIFS(D$2:D645, B$2:B645, B645, C$2:C645, C645),"")</f>
        <v/>
      </c>
    </row>
    <row r="646" spans="4:11" x14ac:dyDescent="0.45">
      <c r="D646" t="str">
        <f>IFERROR(VLOOKUP(C646,'Clients List'!$A:$F,2,FALSE),"")</f>
        <v/>
      </c>
      <c r="F646" s="1" t="str">
        <f>IF(OR(C646="",NOT(ISNUMBER(SEARCH("Package",D646)))),"",VLOOKUP(C646,'Clients List'!$A:$F,4,FALSE)-SUMIFS($E$2:$E646,$C$2:$C646,C646,$D$2:$D646,"*Package*"))</f>
        <v/>
      </c>
      <c r="G646" t="str">
        <f t="shared" si="22"/>
        <v/>
      </c>
      <c r="H646" s="33">
        <f>IF(ISNUMBER(SEARCH("Group",D646)),IF(G646="",E646,IFERROR(E646/COUNTIF($G2:$G6000,G646),E646)),E646)</f>
        <v>0</v>
      </c>
      <c r="I646" s="1" t="str">
        <f>IFERROR(VLOOKUP(C646,'Clients List'!A:F,6,FALSE),"")</f>
        <v/>
      </c>
      <c r="K646" s="23" t="str">
        <f>IFERROR(INDEX([2]Packages!E:E, MATCH(1, ([2]Packages!A:A=B646)*([2]Packages!B:B=C646), 0)) - SUMIFS(D$2:D646, B$2:B646, B646, C$2:C646, C646),"")</f>
        <v/>
      </c>
    </row>
    <row r="647" spans="4:11" x14ac:dyDescent="0.45">
      <c r="D647" t="str">
        <f>IFERROR(VLOOKUP(C647,'Clients List'!$A:$F,2,FALSE),"")</f>
        <v/>
      </c>
      <c r="F647" s="1" t="str">
        <f>IF(OR(C647="",NOT(ISNUMBER(SEARCH("Package",D647)))),"",VLOOKUP(C647,'Clients List'!$A:$F,4,FALSE)-SUMIFS($E$2:$E647,$C$2:$C647,C647,$D$2:$D647,"*Package*"))</f>
        <v/>
      </c>
      <c r="G647" t="str">
        <f t="shared" si="22"/>
        <v/>
      </c>
      <c r="H647" s="33">
        <f>IF(ISNUMBER(SEARCH("Group",D647)),IF(G647="",E647,IFERROR(E647/COUNTIF($G2:$G6000,G647),E647)),E647)</f>
        <v>0</v>
      </c>
      <c r="I647" s="1" t="str">
        <f>IFERROR(VLOOKUP(C647,'Clients List'!A:F,6,FALSE),"")</f>
        <v/>
      </c>
      <c r="K647" s="23" t="str">
        <f>IFERROR(INDEX([2]Packages!E:E, MATCH(1, ([2]Packages!A:A=B647)*([2]Packages!B:B=C647), 0)) - SUMIFS(D$2:D647, B$2:B647, B647, C$2:C647, C647),"")</f>
        <v/>
      </c>
    </row>
    <row r="648" spans="4:11" x14ac:dyDescent="0.45">
      <c r="D648" t="str">
        <f>IFERROR(VLOOKUP(C648,'Clients List'!$A:$F,2,FALSE),"")</f>
        <v/>
      </c>
      <c r="F648" s="1" t="str">
        <f>IF(OR(C648="",NOT(ISNUMBER(SEARCH("Package",D648)))),"",VLOOKUP(C648,'Clients List'!$A:$F,4,FALSE)-SUMIFS($E$2:$E648,$C$2:$C648,C648,$D$2:$D648,"*Package*"))</f>
        <v/>
      </c>
      <c r="G648" t="str">
        <f t="shared" si="22"/>
        <v/>
      </c>
      <c r="H648" s="33">
        <f>IF(ISNUMBER(SEARCH("Group",D648)),IF(G648="",E648,IFERROR(E648/COUNTIF($G2:$G6000,G648),E648)),E648)</f>
        <v>0</v>
      </c>
      <c r="I648" s="1" t="str">
        <f>IFERROR(VLOOKUP(C648,'Clients List'!A:F,6,FALSE),"")</f>
        <v/>
      </c>
      <c r="K648" s="23" t="str">
        <f>IFERROR(INDEX([2]Packages!E:E, MATCH(1, ([2]Packages!A:A=B648)*([2]Packages!B:B=C648), 0)) - SUMIFS(D$2:D648, B$2:B648, B648, C$2:C648, C648),"")</f>
        <v/>
      </c>
    </row>
    <row r="649" spans="4:11" x14ac:dyDescent="0.45">
      <c r="D649" t="str">
        <f>IFERROR(VLOOKUP(C649,'Clients List'!$A:$F,2,FALSE),"")</f>
        <v/>
      </c>
      <c r="F649" s="1" t="str">
        <f>IF(OR(C649="",NOT(ISNUMBER(SEARCH("Package",D649)))),"",VLOOKUP(C649,'Clients List'!$A:$F,4,FALSE)-SUMIFS($E$2:$E649,$C$2:$C649,C649,$D$2:$D649,"*Package*"))</f>
        <v/>
      </c>
      <c r="G649" t="str">
        <f t="shared" si="22"/>
        <v/>
      </c>
      <c r="H649" s="33">
        <f>IF(ISNUMBER(SEARCH("Group",D649)),IF(G649="",E649,IFERROR(E649/COUNTIF($G2:$G6000,G649),E649)),E649)</f>
        <v>0</v>
      </c>
      <c r="I649" s="1" t="str">
        <f>IFERROR(VLOOKUP(C649,'Clients List'!A:F,6,FALSE),"")</f>
        <v/>
      </c>
      <c r="K649" s="23" t="str">
        <f>IFERROR(INDEX([2]Packages!E:E, MATCH(1, ([2]Packages!A:A=B649)*([2]Packages!B:B=C649), 0)) - SUMIFS(D$2:D649, B$2:B649, B649, C$2:C649, C649),"")</f>
        <v/>
      </c>
    </row>
    <row r="650" spans="4:11" x14ac:dyDescent="0.45">
      <c r="D650" t="str">
        <f>IFERROR(VLOOKUP(C650,'Clients List'!$A:$F,2,FALSE),"")</f>
        <v/>
      </c>
      <c r="F650" s="1" t="str">
        <f>IF(OR(C650="",NOT(ISNUMBER(SEARCH("Package",D650)))),"",VLOOKUP(C650,'Clients List'!$A:$F,4,FALSE)-SUMIFS($E$2:$E650,$C$2:$C650,C650,$D$2:$D650,"*Package*"))</f>
        <v/>
      </c>
      <c r="G650" t="str">
        <f t="shared" si="22"/>
        <v/>
      </c>
      <c r="H650" s="33">
        <f>IF(ISNUMBER(SEARCH("Group",D650)),IF(G650="",E650,IFERROR(E650/COUNTIF($G2:$G6000,G650),E650)),E650)</f>
        <v>0</v>
      </c>
      <c r="I650" s="1" t="str">
        <f>IFERROR(VLOOKUP(C650,'Clients List'!A:F,6,FALSE),"")</f>
        <v/>
      </c>
      <c r="K650" s="23" t="str">
        <f>IFERROR(INDEX([2]Packages!E:E, MATCH(1, ([2]Packages!A:A=B650)*([2]Packages!B:B=C650), 0)) - SUMIFS(D$2:D650, B$2:B650, B650, C$2:C650, C650),"")</f>
        <v/>
      </c>
    </row>
    <row r="651" spans="4:11" x14ac:dyDescent="0.45">
      <c r="D651" t="str">
        <f>IFERROR(VLOOKUP(C651,'Clients List'!$A:$F,2,FALSE),"")</f>
        <v/>
      </c>
      <c r="F651" s="1" t="str">
        <f>IF(OR(C651="",NOT(ISNUMBER(SEARCH("Package",D651)))),"",VLOOKUP(C651,'Clients List'!$A:$F,4,FALSE)-SUMIFS($E$2:$E651,$C$2:$C651,C651,$D$2:$D651,"*Package*"))</f>
        <v/>
      </c>
      <c r="G651" t="str">
        <f t="shared" si="22"/>
        <v/>
      </c>
      <c r="H651" s="33">
        <f>IF(ISNUMBER(SEARCH("Group",D651)),IF(G651="",E651,IFERROR(E651/COUNTIF($G2:$G6000,G651),E651)),E651)</f>
        <v>0</v>
      </c>
      <c r="I651" s="1" t="str">
        <f>IFERROR(VLOOKUP(C651,'Clients List'!A:F,6,FALSE),"")</f>
        <v/>
      </c>
      <c r="K651" s="23" t="str">
        <f>IFERROR(INDEX([2]Packages!E:E, MATCH(1, ([2]Packages!A:A=B651)*([2]Packages!B:B=C651), 0)) - SUMIFS(D$2:D651, B$2:B651, B651, C$2:C651, C651),"")</f>
        <v/>
      </c>
    </row>
    <row r="652" spans="4:11" x14ac:dyDescent="0.45">
      <c r="D652" t="str">
        <f>IFERROR(VLOOKUP(C652,'Clients List'!$A:$F,2,FALSE),"")</f>
        <v/>
      </c>
      <c r="F652" s="1" t="str">
        <f>IF(OR(C652="",NOT(ISNUMBER(SEARCH("Package",D652)))),"",VLOOKUP(C652,'Clients List'!$A:$F,4,FALSE)-SUMIFS($E$2:$E652,$C$2:$C652,C652,$D$2:$D652,"*Package*"))</f>
        <v/>
      </c>
      <c r="G652" t="str">
        <f t="shared" si="22"/>
        <v/>
      </c>
      <c r="H652" s="33">
        <f>IF(ISNUMBER(SEARCH("Group",D652)),IF(G652="",E652,IFERROR(E652/COUNTIF($G2:$G6000,G652),E652)),E652)</f>
        <v>0</v>
      </c>
      <c r="I652" s="1" t="str">
        <f>IFERROR(VLOOKUP(C652,'Clients List'!A:F,6,FALSE),"")</f>
        <v/>
      </c>
      <c r="K652" s="23" t="str">
        <f>IFERROR(INDEX([2]Packages!E:E, MATCH(1, ([2]Packages!A:A=B652)*([2]Packages!B:B=C652), 0)) - SUMIFS(D$2:D652, B$2:B652, B652, C$2:C652, C652),"")</f>
        <v/>
      </c>
    </row>
    <row r="653" spans="4:11" x14ac:dyDescent="0.45">
      <c r="D653" t="str">
        <f>IFERROR(VLOOKUP(C653,'Clients List'!$A:$F,2,FALSE),"")</f>
        <v/>
      </c>
      <c r="F653" s="1" t="str">
        <f>IF(OR(C653="",NOT(ISNUMBER(SEARCH("Package",D653)))),"",VLOOKUP(C653,'Clients List'!$A:$F,4,FALSE)-SUMIFS($E$2:$E653,$C$2:$C653,C653,$D$2:$D653,"*Package*"))</f>
        <v/>
      </c>
      <c r="G653" t="str">
        <f t="shared" si="22"/>
        <v/>
      </c>
      <c r="H653" s="33">
        <f>IF(ISNUMBER(SEARCH("Group",D653)),IF(G653="",E653,IFERROR(E653/COUNTIF($G2:$G6000,G653),E653)),E653)</f>
        <v>0</v>
      </c>
      <c r="I653" s="1" t="str">
        <f>IFERROR(VLOOKUP(C653,'Clients List'!A:F,6,FALSE),"")</f>
        <v/>
      </c>
      <c r="K653" s="23" t="str">
        <f>IFERROR(INDEX([2]Packages!E:E, MATCH(1, ([2]Packages!A:A=B653)*([2]Packages!B:B=C653), 0)) - SUMIFS(D$2:D653, B$2:B653, B653, C$2:C653, C653),"")</f>
        <v/>
      </c>
    </row>
    <row r="654" spans="4:11" x14ac:dyDescent="0.45">
      <c r="D654" t="str">
        <f>IFERROR(VLOOKUP(C654,'Clients List'!$A:$F,2,FALSE),"")</f>
        <v/>
      </c>
      <c r="F654" s="1" t="str">
        <f>IF(OR(C654="",NOT(ISNUMBER(SEARCH("Package",D654)))),"",VLOOKUP(C654,'Clients List'!$A:$F,4,FALSE)-SUMIFS($E$2:$E654,$C$2:$C654,C654,$D$2:$D654,"*Package*"))</f>
        <v/>
      </c>
      <c r="G654" t="str">
        <f t="shared" si="22"/>
        <v/>
      </c>
      <c r="H654" s="33">
        <f>IF(ISNUMBER(SEARCH("Group",D654)),IF(G654="",E654,IFERROR(E654/COUNTIF($G2:$G6000,G654),E654)),E654)</f>
        <v>0</v>
      </c>
      <c r="I654" s="1" t="str">
        <f>IFERROR(VLOOKUP(C654,'Clients List'!A:F,6,FALSE),"")</f>
        <v/>
      </c>
      <c r="K654" s="23" t="str">
        <f>IFERROR(INDEX([2]Packages!E:E, MATCH(1, ([2]Packages!A:A=B654)*([2]Packages!B:B=C654), 0)) - SUMIFS(D$2:D654, B$2:B654, B654, C$2:C654, C654),"")</f>
        <v/>
      </c>
    </row>
    <row r="655" spans="4:11" x14ac:dyDescent="0.45">
      <c r="D655" t="str">
        <f>IFERROR(VLOOKUP(C655,'Clients List'!$A:$F,2,FALSE),"")</f>
        <v/>
      </c>
      <c r="F655" s="1" t="str">
        <f>IF(OR(C655="",NOT(ISNUMBER(SEARCH("Package",D655)))),"",VLOOKUP(C655,'Clients List'!$A:$F,4,FALSE)-SUMIFS($E$2:$E655,$C$2:$C655,C655,$D$2:$D655,"*Package*"))</f>
        <v/>
      </c>
      <c r="G655" t="str">
        <f t="shared" si="22"/>
        <v/>
      </c>
      <c r="H655" s="33">
        <f>IF(ISNUMBER(SEARCH("Group",D655)),IF(G655="",E655,IFERROR(E655/COUNTIF($G2:$G6000,G655),E655)),E655)</f>
        <v>0</v>
      </c>
      <c r="I655" s="1" t="str">
        <f>IFERROR(VLOOKUP(C655,'Clients List'!A:F,6,FALSE),"")</f>
        <v/>
      </c>
      <c r="K655" s="23" t="str">
        <f>IFERROR(INDEX([2]Packages!E:E, MATCH(1, ([2]Packages!A:A=B655)*([2]Packages!B:B=C655), 0)) - SUMIFS(D$2:D655, B$2:B655, B655, C$2:C655, C655),"")</f>
        <v/>
      </c>
    </row>
    <row r="656" spans="4:11" x14ac:dyDescent="0.45">
      <c r="D656" t="str">
        <f>IFERROR(VLOOKUP(C656,'Clients List'!$A:$F,2,FALSE),"")</f>
        <v/>
      </c>
      <c r="F656" s="1" t="str">
        <f>IF(OR(C656="",NOT(ISNUMBER(SEARCH("Package",D656)))),"",VLOOKUP(C656,'Clients List'!$A:$F,4,FALSE)-SUMIFS($E$2:$E656,$C$2:$C656,C656,$D$2:$D656,"*Package*"))</f>
        <v/>
      </c>
      <c r="G656" t="str">
        <f t="shared" si="22"/>
        <v/>
      </c>
      <c r="H656" s="33">
        <f>IF(ISNUMBER(SEARCH("Group",D656)),IF(G656="",E656,IFERROR(E656/COUNTIF($G2:$G6000,G656),E656)),E656)</f>
        <v>0</v>
      </c>
      <c r="I656" s="1" t="str">
        <f>IFERROR(VLOOKUP(C656,'Clients List'!A:F,6,FALSE),"")</f>
        <v/>
      </c>
      <c r="K656" s="23" t="str">
        <f>IFERROR(INDEX([2]Packages!E:E, MATCH(1, ([2]Packages!A:A=B656)*([2]Packages!B:B=C656), 0)) - SUMIFS(D$2:D656, B$2:B656, B656, C$2:C656, C656),"")</f>
        <v/>
      </c>
    </row>
    <row r="657" spans="4:11" x14ac:dyDescent="0.45">
      <c r="D657" t="str">
        <f>IFERROR(VLOOKUP(C657,'Clients List'!$A:$F,2,FALSE),"")</f>
        <v/>
      </c>
      <c r="F657" s="1" t="str">
        <f>IF(OR(C657="",NOT(ISNUMBER(SEARCH("Package",D657)))),"",VLOOKUP(C657,'Clients List'!$A:$F,4,FALSE)-SUMIFS($E$2:$E657,$C$2:$C657,C657,$D$2:$D657,"*Package*"))</f>
        <v/>
      </c>
      <c r="G657" t="str">
        <f t="shared" si="22"/>
        <v/>
      </c>
      <c r="H657" s="33">
        <f>IF(ISNUMBER(SEARCH("Group",D657)),IF(G657="",E657,IFERROR(E657/COUNTIF($G2:$G6000,G657),E657)),E657)</f>
        <v>0</v>
      </c>
      <c r="I657" s="1" t="str">
        <f>IFERROR(VLOOKUP(C657,'Clients List'!A:F,6,FALSE),"")</f>
        <v/>
      </c>
      <c r="K657" s="23" t="str">
        <f>IFERROR(INDEX([2]Packages!E:E, MATCH(1, ([2]Packages!A:A=B657)*([2]Packages!B:B=C657), 0)) - SUMIFS(D$2:D657, B$2:B657, B657, C$2:C657, C657),"")</f>
        <v/>
      </c>
    </row>
    <row r="658" spans="4:11" x14ac:dyDescent="0.45">
      <c r="D658" t="str">
        <f>IFERROR(VLOOKUP(C658,'Clients List'!$A:$F,2,FALSE),"")</f>
        <v/>
      </c>
      <c r="F658" s="1" t="str">
        <f>IF(OR(C658="",NOT(ISNUMBER(SEARCH("Package",D658)))),"",VLOOKUP(C658,'Clients List'!$A:$F,4,FALSE)-SUMIFS($E$2:$E658,$C$2:$C658,C658,$D$2:$D658,"*Package*"))</f>
        <v/>
      </c>
      <c r="G658" t="str">
        <f t="shared" si="22"/>
        <v/>
      </c>
      <c r="H658" s="33">
        <f>IF(ISNUMBER(SEARCH("Group",D658)),IF(G658="",E658,IFERROR(E658/COUNTIF($G2:$G6000,G658),E658)),E658)</f>
        <v>0</v>
      </c>
      <c r="I658" s="1" t="str">
        <f>IFERROR(VLOOKUP(C658,'Clients List'!A:F,6,FALSE),"")</f>
        <v/>
      </c>
      <c r="K658" s="23" t="str">
        <f>IFERROR(INDEX([2]Packages!E:E, MATCH(1, ([2]Packages!A:A=B658)*([2]Packages!B:B=C658), 0)) - SUMIFS(D$2:D658, B$2:B658, B658, C$2:C658, C658),"")</f>
        <v/>
      </c>
    </row>
    <row r="659" spans="4:11" x14ac:dyDescent="0.45">
      <c r="D659" t="str">
        <f>IFERROR(VLOOKUP(C659,'Clients List'!$A:$F,2,FALSE),"")</f>
        <v/>
      </c>
      <c r="F659" s="1" t="str">
        <f>IF(OR(C659="",NOT(ISNUMBER(SEARCH("Package",D659)))),"",VLOOKUP(C659,'Clients List'!$A:$F,4,FALSE)-SUMIFS($E$2:$E659,$C$2:$C659,C659,$D$2:$D659,"*Package*"))</f>
        <v/>
      </c>
      <c r="G659" t="str">
        <f t="shared" si="22"/>
        <v/>
      </c>
      <c r="H659" s="33">
        <f>IF(ISNUMBER(SEARCH("Group",D659)),IF(G659="",E659,IFERROR(E659/COUNTIF($G2:$G6000,G659),E659)),E659)</f>
        <v>0</v>
      </c>
      <c r="I659" s="1" t="str">
        <f>IFERROR(VLOOKUP(C659,'Clients List'!A:F,6,FALSE),"")</f>
        <v/>
      </c>
      <c r="K659" s="23" t="str">
        <f>IFERROR(INDEX([2]Packages!E:E, MATCH(1, ([2]Packages!A:A=B659)*([2]Packages!B:B=C659), 0)) - SUMIFS(D$2:D659, B$2:B659, B659, C$2:C659, C659),"")</f>
        <v/>
      </c>
    </row>
    <row r="660" spans="4:11" x14ac:dyDescent="0.45">
      <c r="D660" t="str">
        <f>IFERROR(VLOOKUP(C660,'Clients List'!$A:$F,2,FALSE),"")</f>
        <v/>
      </c>
      <c r="F660" s="1" t="str">
        <f>IF(OR(C660="",NOT(ISNUMBER(SEARCH("Package",D660)))),"",VLOOKUP(C660,'Clients List'!$A:$F,4,FALSE)-SUMIFS($E$2:$E660,$C$2:$C660,C660,$D$2:$D660,"*Package*"))</f>
        <v/>
      </c>
      <c r="G660" t="str">
        <f t="shared" si="22"/>
        <v/>
      </c>
      <c r="H660" s="33">
        <f>IF(ISNUMBER(SEARCH("Group",D660)),IF(G660="",E660,IFERROR(E660/COUNTIF($G2:$G6000,G660),E660)),E660)</f>
        <v>0</v>
      </c>
      <c r="I660" s="1" t="str">
        <f>IFERROR(VLOOKUP(C660,'Clients List'!A:F,6,FALSE),"")</f>
        <v/>
      </c>
      <c r="K660" s="23" t="str">
        <f>IFERROR(INDEX([2]Packages!E:E, MATCH(1, ([2]Packages!A:A=B660)*([2]Packages!B:B=C660), 0)) - SUMIFS(D$2:D660, B$2:B660, B660, C$2:C660, C660),"")</f>
        <v/>
      </c>
    </row>
    <row r="661" spans="4:11" x14ac:dyDescent="0.45">
      <c r="D661" t="str">
        <f>IFERROR(VLOOKUP(C661,'Clients List'!$A:$F,2,FALSE),"")</f>
        <v/>
      </c>
      <c r="F661" s="1" t="str">
        <f>IF(OR(C661="",NOT(ISNUMBER(SEARCH("Package",D661)))),"",VLOOKUP(C661,'Clients List'!$A:$F,4,FALSE)-SUMIFS($E$2:$E661,$C$2:$C661,C661,$D$2:$D661,"*Package*"))</f>
        <v/>
      </c>
      <c r="G661" t="str">
        <f t="shared" si="22"/>
        <v/>
      </c>
      <c r="H661" s="33">
        <f>IF(ISNUMBER(SEARCH("Group",D661)),IF(G661="",E661,IFERROR(E661/COUNTIF($G2:$G6000,G661),E661)),E661)</f>
        <v>0</v>
      </c>
      <c r="I661" s="1" t="str">
        <f>IFERROR(VLOOKUP(C661,'Clients List'!A:F,6,FALSE),"")</f>
        <v/>
      </c>
      <c r="K661" s="23" t="str">
        <f>IFERROR(INDEX([2]Packages!E:E, MATCH(1, ([2]Packages!A:A=B661)*([2]Packages!B:B=C661), 0)) - SUMIFS(D$2:D661, B$2:B661, B661, C$2:C661, C661),"")</f>
        <v/>
      </c>
    </row>
    <row r="662" spans="4:11" x14ac:dyDescent="0.45">
      <c r="D662" t="str">
        <f>IFERROR(VLOOKUP(C662,'Clients List'!$A:$F,2,FALSE),"")</f>
        <v/>
      </c>
      <c r="F662" s="1" t="str">
        <f>IF(OR(C662="",NOT(ISNUMBER(SEARCH("Package",D662)))),"",VLOOKUP(C662,'Clients List'!$A:$F,4,FALSE)-SUMIFS($E$2:$E662,$C$2:$C662,C662,$D$2:$D662,"*Package*"))</f>
        <v/>
      </c>
      <c r="G662" t="str">
        <f t="shared" si="22"/>
        <v/>
      </c>
      <c r="H662" s="33">
        <f>IF(ISNUMBER(SEARCH("Group",D662)),IF(G662="",E662,IFERROR(E662/COUNTIF($G2:$G6000,G662),E662)),E662)</f>
        <v>0</v>
      </c>
      <c r="I662" s="1" t="str">
        <f>IFERROR(VLOOKUP(C662,'Clients List'!A:F,6,FALSE),"")</f>
        <v/>
      </c>
      <c r="K662" s="23" t="str">
        <f>IFERROR(INDEX([2]Packages!E:E, MATCH(1, ([2]Packages!A:A=B662)*([2]Packages!B:B=C662), 0)) - SUMIFS(D$2:D662, B$2:B662, B662, C$2:C662, C662),"")</f>
        <v/>
      </c>
    </row>
    <row r="663" spans="4:11" x14ac:dyDescent="0.45">
      <c r="D663" t="str">
        <f>IFERROR(VLOOKUP(C663,'Clients List'!$A:$F,2,FALSE),"")</f>
        <v/>
      </c>
      <c r="F663" s="1" t="str">
        <f>IF(OR(C663="",NOT(ISNUMBER(SEARCH("Package",D663)))),"",VLOOKUP(C663,'Clients List'!$A:$F,4,FALSE)-SUMIFS($E$2:$E663,$C$2:$C663,C663,$D$2:$D663,"*Package*"))</f>
        <v/>
      </c>
      <c r="G663" t="str">
        <f t="shared" si="22"/>
        <v/>
      </c>
      <c r="H663" s="33">
        <f>IF(ISNUMBER(SEARCH("Group",D663)),IF(G663="",E663,IFERROR(E663/COUNTIF($G2:$G6000,G663),E663)),E663)</f>
        <v>0</v>
      </c>
      <c r="I663" s="1" t="str">
        <f>IFERROR(VLOOKUP(C663,'Clients List'!A:F,6,FALSE),"")</f>
        <v/>
      </c>
      <c r="K663" s="23" t="str">
        <f>IFERROR(INDEX([2]Packages!E:E, MATCH(1, ([2]Packages!A:A=B663)*([2]Packages!B:B=C663), 0)) - SUMIFS(D$2:D663, B$2:B663, B663, C$2:C663, C663),"")</f>
        <v/>
      </c>
    </row>
    <row r="664" spans="4:11" x14ac:dyDescent="0.45">
      <c r="D664" t="str">
        <f>IFERROR(VLOOKUP(C664,'Clients List'!$A:$F,2,FALSE),"")</f>
        <v/>
      </c>
      <c r="F664" s="1" t="str">
        <f>IF(OR(C664="",NOT(ISNUMBER(SEARCH("Package",D664)))),"",VLOOKUP(C664,'Clients List'!$A:$F,4,FALSE)-SUMIFS($E$2:$E664,$C$2:$C664,C664,$D$2:$D664,"*Package*"))</f>
        <v/>
      </c>
      <c r="G664" t="str">
        <f t="shared" si="22"/>
        <v/>
      </c>
      <c r="H664" s="33">
        <f>IF(ISNUMBER(SEARCH("Group",D664)),IF(G664="",E664,IFERROR(E664/COUNTIF($G2:$G6000,G664),E664)),E664)</f>
        <v>0</v>
      </c>
      <c r="I664" s="1" t="str">
        <f>IFERROR(VLOOKUP(C664,'Clients List'!A:F,6,FALSE),"")</f>
        <v/>
      </c>
      <c r="K664" s="23" t="str">
        <f>IFERROR(INDEX([2]Packages!E:E, MATCH(1, ([2]Packages!A:A=B664)*([2]Packages!B:B=C664), 0)) - SUMIFS(D$2:D664, B$2:B664, B664, C$2:C664, C664),"")</f>
        <v/>
      </c>
    </row>
    <row r="665" spans="4:11" x14ac:dyDescent="0.45">
      <c r="D665" t="str">
        <f>IFERROR(VLOOKUP(C665,'Clients List'!$A:$F,2,FALSE),"")</f>
        <v/>
      </c>
      <c r="F665" s="1" t="str">
        <f>IF(OR(C665="",NOT(ISNUMBER(SEARCH("Package",D665)))),"",VLOOKUP(C665,'Clients List'!$A:$F,4,FALSE)-SUMIFS($E$2:$E665,$C$2:$C665,C665,$D$2:$D665,"*Package*"))</f>
        <v/>
      </c>
      <c r="G665" t="str">
        <f t="shared" si="22"/>
        <v/>
      </c>
      <c r="H665" s="33">
        <f>IF(ISNUMBER(SEARCH("Group",D665)),IF(G665="",E665,IFERROR(E665/COUNTIF($G2:$G6000,G665),E665)),E665)</f>
        <v>0</v>
      </c>
      <c r="I665" s="1" t="str">
        <f>IFERROR(VLOOKUP(C665,'Clients List'!A:F,6,FALSE),"")</f>
        <v/>
      </c>
      <c r="K665" s="23" t="str">
        <f>IFERROR(INDEX([2]Packages!E:E, MATCH(1, ([2]Packages!A:A=B665)*([2]Packages!B:B=C665), 0)) - SUMIFS(D$2:D665, B$2:B665, B665, C$2:C665, C665),"")</f>
        <v/>
      </c>
    </row>
    <row r="666" spans="4:11" x14ac:dyDescent="0.45">
      <c r="D666" t="str">
        <f>IFERROR(VLOOKUP(C666,'Clients List'!$A:$F,2,FALSE),"")</f>
        <v/>
      </c>
      <c r="F666" s="1" t="str">
        <f>IF(OR(C666="",NOT(ISNUMBER(SEARCH("Package",D666)))),"",VLOOKUP(C666,'Clients List'!$A:$F,4,FALSE)-SUMIFS($E$2:$E666,$C$2:$C666,C666,$D$2:$D666,"*Package*"))</f>
        <v/>
      </c>
      <c r="G666" t="str">
        <f t="shared" si="22"/>
        <v/>
      </c>
      <c r="H666" s="33">
        <f>IF(ISNUMBER(SEARCH("Group",D666)),IF(G666="",E666,IFERROR(E666/COUNTIF($G2:$G6000,G666),E666)),E666)</f>
        <v>0</v>
      </c>
      <c r="I666" s="1" t="str">
        <f>IFERROR(VLOOKUP(C666,'Clients List'!A:F,6,FALSE),"")</f>
        <v/>
      </c>
      <c r="K666" s="23" t="str">
        <f>IFERROR(INDEX([2]Packages!E:E, MATCH(1, ([2]Packages!A:A=B666)*([2]Packages!B:B=C666), 0)) - SUMIFS(D$2:D666, B$2:B666, B666, C$2:C666, C666),"")</f>
        <v/>
      </c>
    </row>
    <row r="667" spans="4:11" x14ac:dyDescent="0.45">
      <c r="D667" t="str">
        <f>IFERROR(VLOOKUP(C667,'Clients List'!$A:$F,2,FALSE),"")</f>
        <v/>
      </c>
      <c r="F667" s="1" t="str">
        <f>IF(OR(C667="",NOT(ISNUMBER(SEARCH("Package",D667)))),"",VLOOKUP(C667,'Clients List'!$A:$F,4,FALSE)-SUMIFS($E$2:$E667,$C$2:$C667,C667,$D$2:$D667,"*Package*"))</f>
        <v/>
      </c>
      <c r="G667" t="str">
        <f t="shared" si="22"/>
        <v/>
      </c>
      <c r="H667" s="33">
        <f>IF(ISNUMBER(SEARCH("Group",D667)),IF(G667="",E667,IFERROR(E667/COUNTIF($G2:$G6000,G667),E667)),E667)</f>
        <v>0</v>
      </c>
      <c r="I667" s="1" t="str">
        <f>IFERROR(VLOOKUP(C667,'Clients List'!A:F,6,FALSE),"")</f>
        <v/>
      </c>
      <c r="K667" s="23" t="str">
        <f>IFERROR(INDEX([2]Packages!E:E, MATCH(1, ([2]Packages!A:A=B667)*([2]Packages!B:B=C667), 0)) - SUMIFS(D$2:D667, B$2:B667, B667, C$2:C667, C667),"")</f>
        <v/>
      </c>
    </row>
    <row r="668" spans="4:11" x14ac:dyDescent="0.45">
      <c r="D668" t="str">
        <f>IFERROR(VLOOKUP(C668,'Clients List'!$A:$F,2,FALSE),"")</f>
        <v/>
      </c>
      <c r="F668" s="1" t="str">
        <f>IF(OR(C668="",NOT(ISNUMBER(SEARCH("Package",D668)))),"",VLOOKUP(C668,'Clients List'!$A:$F,4,FALSE)-SUMIFS($E$2:$E668,$C$2:$C668,C668,$D$2:$D668,"*Package*"))</f>
        <v/>
      </c>
      <c r="G668" t="str">
        <f t="shared" si="22"/>
        <v/>
      </c>
      <c r="H668" s="33">
        <f>IF(ISNUMBER(SEARCH("Group",D668)),IF(G668="",E668,IFERROR(E668/COUNTIF($G2:$G6000,G668),E668)),E668)</f>
        <v>0</v>
      </c>
      <c r="I668" s="1" t="str">
        <f>IFERROR(VLOOKUP(C668,'Clients List'!A:F,6,FALSE),"")</f>
        <v/>
      </c>
      <c r="K668" s="23" t="str">
        <f>IFERROR(INDEX([2]Packages!E:E, MATCH(1, ([2]Packages!A:A=B668)*([2]Packages!B:B=C668), 0)) - SUMIFS(D$2:D668, B$2:B668, B668, C$2:C668, C668),"")</f>
        <v/>
      </c>
    </row>
    <row r="669" spans="4:11" x14ac:dyDescent="0.45">
      <c r="D669" t="str">
        <f>IFERROR(VLOOKUP(C669,'Clients List'!$A:$F,2,FALSE),"")</f>
        <v/>
      </c>
      <c r="F669" s="1" t="str">
        <f>IF(OR(C669="",NOT(ISNUMBER(SEARCH("Package",D669)))),"",VLOOKUP(C669,'Clients List'!$A:$F,4,FALSE)-SUMIFS($E$2:$E669,$C$2:$C669,C669,$D$2:$D669,"*Package*"))</f>
        <v/>
      </c>
      <c r="G669" t="str">
        <f t="shared" si="22"/>
        <v/>
      </c>
      <c r="H669" s="33">
        <f>IF(ISNUMBER(SEARCH("Group",D669)),IF(G669="",E669,IFERROR(E669/COUNTIF($G2:$G6000,G669),E669)),E669)</f>
        <v>0</v>
      </c>
      <c r="I669" s="1" t="str">
        <f>IFERROR(VLOOKUP(C669,'Clients List'!A:F,6,FALSE),"")</f>
        <v/>
      </c>
      <c r="K669" s="23" t="str">
        <f>IFERROR(INDEX([2]Packages!E:E, MATCH(1, ([2]Packages!A:A=B669)*([2]Packages!B:B=C669), 0)) - SUMIFS(D$2:D669, B$2:B669, B669, C$2:C669, C669),"")</f>
        <v/>
      </c>
    </row>
    <row r="670" spans="4:11" x14ac:dyDescent="0.45">
      <c r="D670" t="str">
        <f>IFERROR(VLOOKUP(C670,'Clients List'!$A:$F,2,FALSE),"")</f>
        <v/>
      </c>
      <c r="F670" s="1" t="str">
        <f>IF(OR(C670="",NOT(ISNUMBER(SEARCH("Package",D670)))),"",VLOOKUP(C670,'Clients List'!$A:$F,4,FALSE)-SUMIFS($E$2:$E670,$C$2:$C670,C670,$D$2:$D670,"*Package*"))</f>
        <v/>
      </c>
      <c r="G670" t="str">
        <f t="shared" si="22"/>
        <v/>
      </c>
      <c r="H670" s="33">
        <f>IF(ISNUMBER(SEARCH("Group",D670)),IF(G670="",E670,IFERROR(E670/COUNTIF($G2:$G6000,G670),E670)),E670)</f>
        <v>0</v>
      </c>
      <c r="I670" s="1" t="str">
        <f>IFERROR(VLOOKUP(C670,'Clients List'!A:F,6,FALSE),"")</f>
        <v/>
      </c>
      <c r="K670" s="23" t="str">
        <f>IFERROR(INDEX([2]Packages!E:E, MATCH(1, ([2]Packages!A:A=B670)*([2]Packages!B:B=C670), 0)) - SUMIFS(D$2:D670, B$2:B670, B670, C$2:C670, C670),"")</f>
        <v/>
      </c>
    </row>
    <row r="671" spans="4:11" x14ac:dyDescent="0.45">
      <c r="D671" t="str">
        <f>IFERROR(VLOOKUP(C671,'Clients List'!$A:$F,2,FALSE),"")</f>
        <v/>
      </c>
      <c r="F671" s="1" t="str">
        <f>IF(OR(C671="",NOT(ISNUMBER(SEARCH("Package",D671)))),"",VLOOKUP(C671,'Clients List'!$A:$F,4,FALSE)-SUMIFS($E$2:$E671,$C$2:$C671,C671,$D$2:$D671,"*Package*"))</f>
        <v/>
      </c>
      <c r="G671" t="str">
        <f t="shared" ref="G671:G702" si="23">IF(ISNUMBER(SEARCH("Group",D671)),IFERROR("GRP-"&amp;TEXT(IF(ISNUMBER(A671),A671,DATEVALUE(A671)),"yyyymmdd"),""),"" )</f>
        <v/>
      </c>
      <c r="H671" s="33">
        <f>IF(ISNUMBER(SEARCH("Group",D671)),IF(G671="",E671,IFERROR(E671/COUNTIF($G2:$G6000,G671),E671)),E671)</f>
        <v>0</v>
      </c>
      <c r="I671" s="1" t="str">
        <f>IFERROR(VLOOKUP(C671,'Clients List'!A:F,6,FALSE),"")</f>
        <v/>
      </c>
      <c r="K671" s="23" t="str">
        <f>IFERROR(INDEX([2]Packages!E:E, MATCH(1, ([2]Packages!A:A=B671)*([2]Packages!B:B=C671), 0)) - SUMIFS(D$2:D671, B$2:B671, B671, C$2:C671, C671),"")</f>
        <v/>
      </c>
    </row>
    <row r="672" spans="4:11" x14ac:dyDescent="0.45">
      <c r="D672" t="str">
        <f>IFERROR(VLOOKUP(C672,'Clients List'!$A:$F,2,FALSE),"")</f>
        <v/>
      </c>
      <c r="F672" s="1" t="str">
        <f>IF(OR(C672="",NOT(ISNUMBER(SEARCH("Package",D672)))),"",VLOOKUP(C672,'Clients List'!$A:$F,4,FALSE)-SUMIFS($E$2:$E672,$C$2:$C672,C672,$D$2:$D672,"*Package*"))</f>
        <v/>
      </c>
      <c r="G672" t="str">
        <f t="shared" si="23"/>
        <v/>
      </c>
      <c r="H672" s="33">
        <f>IF(ISNUMBER(SEARCH("Group",D672)),IF(G672="",E672,IFERROR(E672/COUNTIF($G2:$G6000,G672),E672)),E672)</f>
        <v>0</v>
      </c>
      <c r="I672" s="1" t="str">
        <f>IFERROR(VLOOKUP(C672,'Clients List'!A:F,6,FALSE),"")</f>
        <v/>
      </c>
      <c r="K672" s="23" t="str">
        <f>IFERROR(INDEX([2]Packages!E:E, MATCH(1, ([2]Packages!A:A=B672)*([2]Packages!B:B=C672), 0)) - SUMIFS(D$2:D672, B$2:B672, B672, C$2:C672, C672),"")</f>
        <v/>
      </c>
    </row>
    <row r="673" spans="4:11" x14ac:dyDescent="0.45">
      <c r="D673" t="str">
        <f>IFERROR(VLOOKUP(C673,'Clients List'!$A:$F,2,FALSE),"")</f>
        <v/>
      </c>
      <c r="F673" s="1" t="str">
        <f>IF(OR(C673="",NOT(ISNUMBER(SEARCH("Package",D673)))),"",VLOOKUP(C673,'Clients List'!$A:$F,4,FALSE)-SUMIFS($E$2:$E673,$C$2:$C673,C673,$D$2:$D673,"*Package*"))</f>
        <v/>
      </c>
      <c r="G673" t="str">
        <f t="shared" si="23"/>
        <v/>
      </c>
      <c r="H673" s="33">
        <f>IF(ISNUMBER(SEARCH("Group",D673)),IF(G673="",E673,IFERROR(E673/COUNTIF($G2:$G6000,G673),E673)),E673)</f>
        <v>0</v>
      </c>
      <c r="I673" s="1" t="str">
        <f>IFERROR(VLOOKUP(C673,'Clients List'!A:F,6,FALSE),"")</f>
        <v/>
      </c>
      <c r="K673" s="23" t="str">
        <f>IFERROR(INDEX([2]Packages!E:E, MATCH(1, ([2]Packages!A:A=B673)*([2]Packages!B:B=C673), 0)) - SUMIFS(D$2:D673, B$2:B673, B673, C$2:C673, C673),"")</f>
        <v/>
      </c>
    </row>
    <row r="674" spans="4:11" x14ac:dyDescent="0.45">
      <c r="D674" t="str">
        <f>IFERROR(VLOOKUP(C674,'Clients List'!$A:$F,2,FALSE),"")</f>
        <v/>
      </c>
      <c r="F674" s="1" t="str">
        <f>IF(OR(C674="",NOT(ISNUMBER(SEARCH("Package",D674)))),"",VLOOKUP(C674,'Clients List'!$A:$F,4,FALSE)-SUMIFS($E$2:$E674,$C$2:$C674,C674,$D$2:$D674,"*Package*"))</f>
        <v/>
      </c>
      <c r="G674" t="str">
        <f t="shared" si="23"/>
        <v/>
      </c>
      <c r="H674" s="33">
        <f>IF(ISNUMBER(SEARCH("Group",D674)),IF(G674="",E674,IFERROR(E674/COUNTIF($G2:$G6000,G674),E674)),E674)</f>
        <v>0</v>
      </c>
      <c r="I674" s="1" t="str">
        <f>IFERROR(VLOOKUP(C674,'Clients List'!A:F,6,FALSE),"")</f>
        <v/>
      </c>
      <c r="K674" s="23" t="str">
        <f>IFERROR(INDEX([2]Packages!E:E, MATCH(1, ([2]Packages!A:A=B674)*([2]Packages!B:B=C674), 0)) - SUMIFS(D$2:D674, B$2:B674, B674, C$2:C674, C674),"")</f>
        <v/>
      </c>
    </row>
    <row r="675" spans="4:11" x14ac:dyDescent="0.45">
      <c r="D675" t="str">
        <f>IFERROR(VLOOKUP(C675,'Clients List'!$A:$F,2,FALSE),"")</f>
        <v/>
      </c>
      <c r="F675" s="1" t="str">
        <f>IF(OR(C675="",NOT(ISNUMBER(SEARCH("Package",D675)))),"",VLOOKUP(C675,'Clients List'!$A:$F,4,FALSE)-SUMIFS($E$2:$E675,$C$2:$C675,C675,$D$2:$D675,"*Package*"))</f>
        <v/>
      </c>
      <c r="G675" t="str">
        <f t="shared" si="23"/>
        <v/>
      </c>
      <c r="H675" s="33">
        <f>IF(ISNUMBER(SEARCH("Group",D675)),IF(G675="",E675,IFERROR(E675/COUNTIF($G2:$G6000,G675),E675)),E675)</f>
        <v>0</v>
      </c>
      <c r="I675" s="1" t="str">
        <f>IFERROR(VLOOKUP(C675,'Clients List'!A:F,6,FALSE),"")</f>
        <v/>
      </c>
      <c r="K675" s="23" t="str">
        <f>IFERROR(INDEX([2]Packages!E:E, MATCH(1, ([2]Packages!A:A=B675)*([2]Packages!B:B=C675), 0)) - SUMIFS(D$2:D675, B$2:B675, B675, C$2:C675, C675),"")</f>
        <v/>
      </c>
    </row>
    <row r="676" spans="4:11" x14ac:dyDescent="0.45">
      <c r="D676" t="str">
        <f>IFERROR(VLOOKUP(C676,'Clients List'!$A:$F,2,FALSE),"")</f>
        <v/>
      </c>
      <c r="F676" s="1" t="str">
        <f>IF(OR(C676="",NOT(ISNUMBER(SEARCH("Package",D676)))),"",VLOOKUP(C676,'Clients List'!$A:$F,4,FALSE)-SUMIFS($E$2:$E676,$C$2:$C676,C676,$D$2:$D676,"*Package*"))</f>
        <v/>
      </c>
      <c r="G676" t="str">
        <f t="shared" si="23"/>
        <v/>
      </c>
      <c r="H676" s="33">
        <f>IF(ISNUMBER(SEARCH("Group",D676)),IF(G676="",E676,IFERROR(E676/COUNTIF($G2:$G6000,G676),E676)),E676)</f>
        <v>0</v>
      </c>
      <c r="I676" s="1" t="str">
        <f>IFERROR(VLOOKUP(C676,'Clients List'!A:F,6,FALSE),"")</f>
        <v/>
      </c>
      <c r="K676" s="23" t="str">
        <f>IFERROR(INDEX([2]Packages!E:E, MATCH(1, ([2]Packages!A:A=B676)*([2]Packages!B:B=C676), 0)) - SUMIFS(D$2:D676, B$2:B676, B676, C$2:C676, C676),"")</f>
        <v/>
      </c>
    </row>
    <row r="677" spans="4:11" x14ac:dyDescent="0.45">
      <c r="D677" t="str">
        <f>IFERROR(VLOOKUP(C677,'Clients List'!$A:$F,2,FALSE),"")</f>
        <v/>
      </c>
      <c r="F677" s="1" t="str">
        <f>IF(OR(C677="",NOT(ISNUMBER(SEARCH("Package",D677)))),"",VLOOKUP(C677,'Clients List'!$A:$F,4,FALSE)-SUMIFS($E$2:$E677,$C$2:$C677,C677,$D$2:$D677,"*Package*"))</f>
        <v/>
      </c>
      <c r="G677" t="str">
        <f t="shared" si="23"/>
        <v/>
      </c>
      <c r="H677" s="33">
        <f>IF(ISNUMBER(SEARCH("Group",D677)),IF(G677="",E677,IFERROR(E677/COUNTIF($G2:$G6000,G677),E677)),E677)</f>
        <v>0</v>
      </c>
      <c r="I677" s="1" t="str">
        <f>IFERROR(VLOOKUP(C677,'Clients List'!A:F,6,FALSE),"")</f>
        <v/>
      </c>
      <c r="K677" s="23" t="str">
        <f>IFERROR(INDEX([2]Packages!E:E, MATCH(1, ([2]Packages!A:A=B677)*([2]Packages!B:B=C677), 0)) - SUMIFS(D$2:D677, B$2:B677, B677, C$2:C677, C677),"")</f>
        <v/>
      </c>
    </row>
    <row r="678" spans="4:11" x14ac:dyDescent="0.45">
      <c r="D678" t="str">
        <f>IFERROR(VLOOKUP(C678,'Clients List'!$A:$F,2,FALSE),"")</f>
        <v/>
      </c>
      <c r="F678" s="1" t="str">
        <f>IF(OR(C678="",NOT(ISNUMBER(SEARCH("Package",D678)))),"",VLOOKUP(C678,'Clients List'!$A:$F,4,FALSE)-SUMIFS($E$2:$E678,$C$2:$C678,C678,$D$2:$D678,"*Package*"))</f>
        <v/>
      </c>
      <c r="G678" t="str">
        <f t="shared" si="23"/>
        <v/>
      </c>
      <c r="H678" s="33">
        <f>IF(ISNUMBER(SEARCH("Group",D678)),IF(G678="",E678,IFERROR(E678/COUNTIF($G2:$G6000,G678),E678)),E678)</f>
        <v>0</v>
      </c>
      <c r="I678" s="1" t="str">
        <f>IFERROR(VLOOKUP(C678,'Clients List'!A:F,6,FALSE),"")</f>
        <v/>
      </c>
      <c r="K678" s="23" t="str">
        <f>IFERROR(INDEX([2]Packages!E:E, MATCH(1, ([2]Packages!A:A=B678)*([2]Packages!B:B=C678), 0)) - SUMIFS(D$2:D678, B$2:B678, B678, C$2:C678, C678),"")</f>
        <v/>
      </c>
    </row>
    <row r="679" spans="4:11" x14ac:dyDescent="0.45">
      <c r="D679" t="str">
        <f>IFERROR(VLOOKUP(C679,'Clients List'!$A:$F,2,FALSE),"")</f>
        <v/>
      </c>
      <c r="F679" s="1" t="str">
        <f>IF(OR(C679="",NOT(ISNUMBER(SEARCH("Package",D679)))),"",VLOOKUP(C679,'Clients List'!$A:$F,4,FALSE)-SUMIFS($E$2:$E679,$C$2:$C679,C679,$D$2:$D679,"*Package*"))</f>
        <v/>
      </c>
      <c r="G679" t="str">
        <f t="shared" si="23"/>
        <v/>
      </c>
      <c r="H679" s="33">
        <f>IF(ISNUMBER(SEARCH("Group",D679)),IF(G679="",E679,IFERROR(E679/COUNTIF($G2:$G6000,G679),E679)),E679)</f>
        <v>0</v>
      </c>
      <c r="I679" s="1" t="str">
        <f>IFERROR(VLOOKUP(C679,'Clients List'!A:F,6,FALSE),"")</f>
        <v/>
      </c>
      <c r="K679" s="23" t="str">
        <f>IFERROR(INDEX([2]Packages!E:E, MATCH(1, ([2]Packages!A:A=B679)*([2]Packages!B:B=C679), 0)) - SUMIFS(D$2:D679, B$2:B679, B679, C$2:C679, C679),"")</f>
        <v/>
      </c>
    </row>
    <row r="680" spans="4:11" x14ac:dyDescent="0.45">
      <c r="D680" t="str">
        <f>IFERROR(VLOOKUP(C680,'Clients List'!$A:$F,2,FALSE),"")</f>
        <v/>
      </c>
      <c r="F680" s="1" t="str">
        <f>IF(OR(C680="",NOT(ISNUMBER(SEARCH("Package",D680)))),"",VLOOKUP(C680,'Clients List'!$A:$F,4,FALSE)-SUMIFS($E$2:$E680,$C$2:$C680,C680,$D$2:$D680,"*Package*"))</f>
        <v/>
      </c>
      <c r="G680" t="str">
        <f t="shared" si="23"/>
        <v/>
      </c>
      <c r="H680" s="33">
        <f>IF(ISNUMBER(SEARCH("Group",D680)),IF(G680="",E680,IFERROR(E680/COUNTIF($G2:$G6000,G680),E680)),E680)</f>
        <v>0</v>
      </c>
      <c r="I680" s="1" t="str">
        <f>IFERROR(VLOOKUP(C680,'Clients List'!A:F,6,FALSE),"")</f>
        <v/>
      </c>
      <c r="K680" s="23" t="str">
        <f>IFERROR(INDEX([2]Packages!E:E, MATCH(1, ([2]Packages!A:A=B680)*([2]Packages!B:B=C680), 0)) - SUMIFS(D$2:D680, B$2:B680, B680, C$2:C680, C680),"")</f>
        <v/>
      </c>
    </row>
    <row r="681" spans="4:11" x14ac:dyDescent="0.45">
      <c r="D681" t="str">
        <f>IFERROR(VLOOKUP(C681,'Clients List'!$A:$F,2,FALSE),"")</f>
        <v/>
      </c>
      <c r="F681" s="1" t="str">
        <f>IF(OR(C681="",NOT(ISNUMBER(SEARCH("Package",D681)))),"",VLOOKUP(C681,'Clients List'!$A:$F,4,FALSE)-SUMIFS($E$2:$E681,$C$2:$C681,C681,$D$2:$D681,"*Package*"))</f>
        <v/>
      </c>
      <c r="G681" t="str">
        <f t="shared" si="23"/>
        <v/>
      </c>
      <c r="H681" s="33">
        <f>IF(ISNUMBER(SEARCH("Group",D681)),IF(G681="",E681,IFERROR(E681/COUNTIF($G2:$G6000,G681),E681)),E681)</f>
        <v>0</v>
      </c>
      <c r="I681" s="1" t="str">
        <f>IFERROR(VLOOKUP(C681,'Clients List'!A:F,6,FALSE),"")</f>
        <v/>
      </c>
      <c r="K681" s="23" t="str">
        <f>IFERROR(INDEX([2]Packages!E:E, MATCH(1, ([2]Packages!A:A=B681)*([2]Packages!B:B=C681), 0)) - SUMIFS(D$2:D681, B$2:B681, B681, C$2:C681, C681),"")</f>
        <v/>
      </c>
    </row>
    <row r="682" spans="4:11" x14ac:dyDescent="0.45">
      <c r="D682" t="str">
        <f>IFERROR(VLOOKUP(C682,'Clients List'!$A:$F,2,FALSE),"")</f>
        <v/>
      </c>
      <c r="F682" s="1" t="str">
        <f>IF(OR(C682="",NOT(ISNUMBER(SEARCH("Package",D682)))),"",VLOOKUP(C682,'Clients List'!$A:$F,4,FALSE)-SUMIFS($E$2:$E682,$C$2:$C682,C682,$D$2:$D682,"*Package*"))</f>
        <v/>
      </c>
      <c r="G682" t="str">
        <f t="shared" si="23"/>
        <v/>
      </c>
      <c r="H682" s="33">
        <f>IF(ISNUMBER(SEARCH("Group",D682)),IF(G682="",E682,IFERROR(E682/COUNTIF($G2:$G6000,G682),E682)),E682)</f>
        <v>0</v>
      </c>
      <c r="I682" s="1" t="str">
        <f>IFERROR(VLOOKUP(C682,'Clients List'!A:F,6,FALSE),"")</f>
        <v/>
      </c>
      <c r="K682" s="23" t="str">
        <f>IFERROR(INDEX([2]Packages!E:E, MATCH(1, ([2]Packages!A:A=B682)*([2]Packages!B:B=C682), 0)) - SUMIFS(D$2:D682, B$2:B682, B682, C$2:C682, C682),"")</f>
        <v/>
      </c>
    </row>
    <row r="683" spans="4:11" x14ac:dyDescent="0.45">
      <c r="D683" t="str">
        <f>IFERROR(VLOOKUP(C683,'Clients List'!$A:$F,2,FALSE),"")</f>
        <v/>
      </c>
      <c r="F683" s="1" t="str">
        <f>IF(OR(C683="",NOT(ISNUMBER(SEARCH("Package",D683)))),"",VLOOKUP(C683,'Clients List'!$A:$F,4,FALSE)-SUMIFS($E$2:$E683,$C$2:$C683,C683,$D$2:$D683,"*Package*"))</f>
        <v/>
      </c>
      <c r="G683" t="str">
        <f t="shared" si="23"/>
        <v/>
      </c>
      <c r="H683" s="33">
        <f>IF(ISNUMBER(SEARCH("Group",D683)),IF(G683="",E683,IFERROR(E683/COUNTIF($G2:$G6000,G683),E683)),E683)</f>
        <v>0</v>
      </c>
      <c r="I683" s="1" t="str">
        <f>IFERROR(VLOOKUP(C683,'Clients List'!A:F,6,FALSE),"")</f>
        <v/>
      </c>
      <c r="K683" s="23" t="str">
        <f>IFERROR(INDEX([2]Packages!E:E, MATCH(1, ([2]Packages!A:A=B683)*([2]Packages!B:B=C683), 0)) - SUMIFS(D$2:D683, B$2:B683, B683, C$2:C683, C683),"")</f>
        <v/>
      </c>
    </row>
    <row r="684" spans="4:11" x14ac:dyDescent="0.45">
      <c r="D684" t="str">
        <f>IFERROR(VLOOKUP(C684,'Clients List'!$A:$F,2,FALSE),"")</f>
        <v/>
      </c>
      <c r="F684" s="1" t="str">
        <f>IF(OR(C684="",NOT(ISNUMBER(SEARCH("Package",D684)))),"",VLOOKUP(C684,'Clients List'!$A:$F,4,FALSE)-SUMIFS($E$2:$E684,$C$2:$C684,C684,$D$2:$D684,"*Package*"))</f>
        <v/>
      </c>
      <c r="G684" t="str">
        <f t="shared" si="23"/>
        <v/>
      </c>
      <c r="H684" s="33">
        <f>IF(ISNUMBER(SEARCH("Group",D684)),IF(G684="",E684,IFERROR(E684/COUNTIF($G2:$G6000,G684),E684)),E684)</f>
        <v>0</v>
      </c>
      <c r="I684" s="1" t="str">
        <f>IFERROR(VLOOKUP(C684,'Clients List'!A:F,6,FALSE),"")</f>
        <v/>
      </c>
      <c r="K684" s="23" t="str">
        <f>IFERROR(INDEX([2]Packages!E:E, MATCH(1, ([2]Packages!A:A=B684)*([2]Packages!B:B=C684), 0)) - SUMIFS(D$2:D684, B$2:B684, B684, C$2:C684, C684),"")</f>
        <v/>
      </c>
    </row>
    <row r="685" spans="4:11" x14ac:dyDescent="0.45">
      <c r="D685" t="str">
        <f>IFERROR(VLOOKUP(C685,'Clients List'!$A:$F,2,FALSE),"")</f>
        <v/>
      </c>
      <c r="F685" s="1" t="str">
        <f>IF(OR(C685="",NOT(ISNUMBER(SEARCH("Package",D685)))),"",VLOOKUP(C685,'Clients List'!$A:$F,4,FALSE)-SUMIFS($E$2:$E685,$C$2:$C685,C685,$D$2:$D685,"*Package*"))</f>
        <v/>
      </c>
      <c r="G685" t="str">
        <f t="shared" si="23"/>
        <v/>
      </c>
      <c r="H685" s="33">
        <f>IF(ISNUMBER(SEARCH("Group",D685)),IF(G685="",E685,IFERROR(E685/COUNTIF($G2:$G6000,G685),E685)),E685)</f>
        <v>0</v>
      </c>
      <c r="I685" s="1" t="str">
        <f>IFERROR(VLOOKUP(C685,'Clients List'!A:F,6,FALSE),"")</f>
        <v/>
      </c>
      <c r="K685" s="23" t="str">
        <f>IFERROR(INDEX([2]Packages!E:E, MATCH(1, ([2]Packages!A:A=B685)*([2]Packages!B:B=C685), 0)) - SUMIFS(D$2:D685, B$2:B685, B685, C$2:C685, C685),"")</f>
        <v/>
      </c>
    </row>
    <row r="686" spans="4:11" x14ac:dyDescent="0.45">
      <c r="D686" t="str">
        <f>IFERROR(VLOOKUP(C686,'Clients List'!$A:$F,2,FALSE),"")</f>
        <v/>
      </c>
      <c r="F686" s="1" t="str">
        <f>IF(OR(C686="",NOT(ISNUMBER(SEARCH("Package",D686)))),"",VLOOKUP(C686,'Clients List'!$A:$F,4,FALSE)-SUMIFS($E$2:$E686,$C$2:$C686,C686,$D$2:$D686,"*Package*"))</f>
        <v/>
      </c>
      <c r="G686" t="str">
        <f t="shared" si="23"/>
        <v/>
      </c>
      <c r="H686" s="33">
        <f>IF(ISNUMBER(SEARCH("Group",D686)),IF(G686="",E686,IFERROR(E686/COUNTIF($G2:$G6000,G686),E686)),E686)</f>
        <v>0</v>
      </c>
      <c r="I686" s="1" t="str">
        <f>IFERROR(VLOOKUP(C686,'Clients List'!A:F,6,FALSE),"")</f>
        <v/>
      </c>
      <c r="K686" s="23" t="str">
        <f>IFERROR(INDEX([2]Packages!E:E, MATCH(1, ([2]Packages!A:A=B686)*([2]Packages!B:B=C686), 0)) - SUMIFS(D$2:D686, B$2:B686, B686, C$2:C686, C686),"")</f>
        <v/>
      </c>
    </row>
    <row r="687" spans="4:11" x14ac:dyDescent="0.45">
      <c r="D687" t="str">
        <f>IFERROR(VLOOKUP(C687,'Clients List'!$A:$F,2,FALSE),"")</f>
        <v/>
      </c>
      <c r="F687" s="1" t="str">
        <f>IF(OR(C687="",NOT(ISNUMBER(SEARCH("Package",D687)))),"",VLOOKUP(C687,'Clients List'!$A:$F,4,FALSE)-SUMIFS($E$2:$E687,$C$2:$C687,C687,$D$2:$D687,"*Package*"))</f>
        <v/>
      </c>
      <c r="G687" t="str">
        <f t="shared" si="23"/>
        <v/>
      </c>
      <c r="H687" s="33">
        <f>IF(ISNUMBER(SEARCH("Group",D687)),IF(G687="",E687,IFERROR(E687/COUNTIF($G2:$G6000,G687),E687)),E687)</f>
        <v>0</v>
      </c>
      <c r="I687" s="1" t="str">
        <f>IFERROR(VLOOKUP(C687,'Clients List'!A:F,6,FALSE),"")</f>
        <v/>
      </c>
      <c r="K687" s="23" t="str">
        <f>IFERROR(INDEX([2]Packages!E:E, MATCH(1, ([2]Packages!A:A=B687)*([2]Packages!B:B=C687), 0)) - SUMIFS(D$2:D687, B$2:B687, B687, C$2:C687, C687),"")</f>
        <v/>
      </c>
    </row>
    <row r="688" spans="4:11" x14ac:dyDescent="0.45">
      <c r="D688" t="str">
        <f>IFERROR(VLOOKUP(C688,'Clients List'!$A:$F,2,FALSE),"")</f>
        <v/>
      </c>
      <c r="F688" s="1" t="str">
        <f>IF(OR(C688="",NOT(ISNUMBER(SEARCH("Package",D688)))),"",VLOOKUP(C688,'Clients List'!$A:$F,4,FALSE)-SUMIFS($E$2:$E688,$C$2:$C688,C688,$D$2:$D688,"*Package*"))</f>
        <v/>
      </c>
      <c r="G688" t="str">
        <f t="shared" si="23"/>
        <v/>
      </c>
      <c r="H688" s="33">
        <f>IF(ISNUMBER(SEARCH("Group",D688)),IF(G688="",E688,IFERROR(E688/COUNTIF($G2:$G6000,G688),E688)),E688)</f>
        <v>0</v>
      </c>
      <c r="I688" s="1" t="str">
        <f>IFERROR(VLOOKUP(C688,'Clients List'!A:F,6,FALSE),"")</f>
        <v/>
      </c>
      <c r="K688" s="23" t="str">
        <f>IFERROR(INDEX([2]Packages!E:E, MATCH(1, ([2]Packages!A:A=B688)*([2]Packages!B:B=C688), 0)) - SUMIFS(D$2:D688, B$2:B688, B688, C$2:C688, C688),"")</f>
        <v/>
      </c>
    </row>
    <row r="689" spans="4:11" x14ac:dyDescent="0.45">
      <c r="D689" t="str">
        <f>IFERROR(VLOOKUP(C689,'Clients List'!$A:$F,2,FALSE),"")</f>
        <v/>
      </c>
      <c r="F689" s="1" t="str">
        <f>IF(OR(C689="",NOT(ISNUMBER(SEARCH("Package",D689)))),"",VLOOKUP(C689,'Clients List'!$A:$F,4,FALSE)-SUMIFS($E$2:$E689,$C$2:$C689,C689,$D$2:$D689,"*Package*"))</f>
        <v/>
      </c>
      <c r="G689" t="str">
        <f t="shared" si="23"/>
        <v/>
      </c>
      <c r="H689" s="33">
        <f>IF(ISNUMBER(SEARCH("Group",D689)),IF(G689="",E689,IFERROR(E689/COUNTIF($G2:$G6000,G689),E689)),E689)</f>
        <v>0</v>
      </c>
      <c r="I689" s="1" t="str">
        <f>IFERROR(VLOOKUP(C689,'Clients List'!A:F,6,FALSE),"")</f>
        <v/>
      </c>
      <c r="K689" s="23" t="str">
        <f>IFERROR(INDEX([2]Packages!E:E, MATCH(1, ([2]Packages!A:A=B689)*([2]Packages!B:B=C689), 0)) - SUMIFS(D$2:D689, B$2:B689, B689, C$2:C689, C689),"")</f>
        <v/>
      </c>
    </row>
    <row r="690" spans="4:11" x14ac:dyDescent="0.45">
      <c r="D690" t="str">
        <f>IFERROR(VLOOKUP(C690,'Clients List'!$A:$F,2,FALSE),"")</f>
        <v/>
      </c>
      <c r="F690" s="1" t="str">
        <f>IF(OR(C690="",NOT(ISNUMBER(SEARCH("Package",D690)))),"",VLOOKUP(C690,'Clients List'!$A:$F,4,FALSE)-SUMIFS($E$2:$E690,$C$2:$C690,C690,$D$2:$D690,"*Package*"))</f>
        <v/>
      </c>
      <c r="G690" t="str">
        <f t="shared" si="23"/>
        <v/>
      </c>
      <c r="H690" s="33">
        <f>IF(ISNUMBER(SEARCH("Group",D690)),IF(G690="",E690,IFERROR(E690/COUNTIF($G2:$G6000,G690),E690)),E690)</f>
        <v>0</v>
      </c>
      <c r="I690" s="1" t="str">
        <f>IFERROR(VLOOKUP(C690,'Clients List'!A:F,6,FALSE),"")</f>
        <v/>
      </c>
      <c r="K690" s="23" t="str">
        <f>IFERROR(INDEX([2]Packages!E:E, MATCH(1, ([2]Packages!A:A=B690)*([2]Packages!B:B=C690), 0)) - SUMIFS(D$2:D690, B$2:B690, B690, C$2:C690, C690),"")</f>
        <v/>
      </c>
    </row>
    <row r="691" spans="4:11" x14ac:dyDescent="0.45">
      <c r="D691" t="str">
        <f>IFERROR(VLOOKUP(C691,'Clients List'!$A:$F,2,FALSE),"")</f>
        <v/>
      </c>
      <c r="F691" s="1" t="str">
        <f>IF(OR(C691="",NOT(ISNUMBER(SEARCH("Package",D691)))),"",VLOOKUP(C691,'Clients List'!$A:$F,4,FALSE)-SUMIFS($E$2:$E691,$C$2:$C691,C691,$D$2:$D691,"*Package*"))</f>
        <v/>
      </c>
      <c r="G691" t="str">
        <f t="shared" si="23"/>
        <v/>
      </c>
      <c r="H691" s="33">
        <f>IF(ISNUMBER(SEARCH("Group",D691)),IF(G691="",E691,IFERROR(E691/COUNTIF($G2:$G6000,G691),E691)),E691)</f>
        <v>0</v>
      </c>
      <c r="I691" s="1" t="str">
        <f>IFERROR(VLOOKUP(C691,'Clients List'!A:F,6,FALSE),"")</f>
        <v/>
      </c>
      <c r="K691" s="23" t="str">
        <f>IFERROR(INDEX([2]Packages!E:E, MATCH(1, ([2]Packages!A:A=B691)*([2]Packages!B:B=C691), 0)) - SUMIFS(D$2:D691, B$2:B691, B691, C$2:C691, C691),"")</f>
        <v/>
      </c>
    </row>
    <row r="692" spans="4:11" x14ac:dyDescent="0.45">
      <c r="D692" t="str">
        <f>IFERROR(VLOOKUP(C692,'Clients List'!$A:$F,2,FALSE),"")</f>
        <v/>
      </c>
      <c r="F692" s="1" t="str">
        <f>IF(OR(C692="",NOT(ISNUMBER(SEARCH("Package",D692)))),"",VLOOKUP(C692,'Clients List'!$A:$F,4,FALSE)-SUMIFS($E$2:$E692,$C$2:$C692,C692,$D$2:$D692,"*Package*"))</f>
        <v/>
      </c>
      <c r="G692" t="str">
        <f t="shared" si="23"/>
        <v/>
      </c>
      <c r="H692" s="33">
        <f>IF(ISNUMBER(SEARCH("Group",D692)),IF(G692="",E692,IFERROR(E692/COUNTIF($G2:$G6000,G692),E692)),E692)</f>
        <v>0</v>
      </c>
      <c r="I692" s="1" t="str">
        <f>IFERROR(VLOOKUP(C692,'Clients List'!A:F,6,FALSE),"")</f>
        <v/>
      </c>
      <c r="K692" s="23" t="str">
        <f>IFERROR(INDEX([2]Packages!E:E, MATCH(1, ([2]Packages!A:A=B692)*([2]Packages!B:B=C692), 0)) - SUMIFS(D$2:D692, B$2:B692, B692, C$2:C692, C692),"")</f>
        <v/>
      </c>
    </row>
    <row r="693" spans="4:11" x14ac:dyDescent="0.45">
      <c r="D693" t="str">
        <f>IFERROR(VLOOKUP(C693,'Clients List'!$A:$F,2,FALSE),"")</f>
        <v/>
      </c>
      <c r="F693" s="1" t="str">
        <f>IF(OR(C693="",NOT(ISNUMBER(SEARCH("Package",D693)))),"",VLOOKUP(C693,'Clients List'!$A:$F,4,FALSE)-SUMIFS($E$2:$E693,$C$2:$C693,C693,$D$2:$D693,"*Package*"))</f>
        <v/>
      </c>
      <c r="G693" t="str">
        <f t="shared" si="23"/>
        <v/>
      </c>
      <c r="H693" s="33">
        <f>IF(ISNUMBER(SEARCH("Group",D693)),IF(G693="",E693,IFERROR(E693/COUNTIF($G2:$G6000,G693),E693)),E693)</f>
        <v>0</v>
      </c>
      <c r="I693" s="1" t="str">
        <f>IFERROR(VLOOKUP(C693,'Clients List'!A:F,6,FALSE),"")</f>
        <v/>
      </c>
      <c r="K693" s="23" t="str">
        <f>IFERROR(INDEX([2]Packages!E:E, MATCH(1, ([2]Packages!A:A=B693)*([2]Packages!B:B=C693), 0)) - SUMIFS(D$2:D693, B$2:B693, B693, C$2:C693, C693),"")</f>
        <v/>
      </c>
    </row>
    <row r="694" spans="4:11" x14ac:dyDescent="0.45">
      <c r="D694" t="str">
        <f>IFERROR(VLOOKUP(C694,'Clients List'!$A:$F,2,FALSE),"")</f>
        <v/>
      </c>
      <c r="F694" s="1" t="str">
        <f>IF(OR(C694="",NOT(ISNUMBER(SEARCH("Package",D694)))),"",VLOOKUP(C694,'Clients List'!$A:$F,4,FALSE)-SUMIFS($E$2:$E694,$C$2:$C694,C694,$D$2:$D694,"*Package*"))</f>
        <v/>
      </c>
      <c r="G694" t="str">
        <f t="shared" si="23"/>
        <v/>
      </c>
      <c r="H694" s="33">
        <f>IF(ISNUMBER(SEARCH("Group",D694)),IF(G694="",E694,IFERROR(E694/COUNTIF($G2:$G6000,G694),E694)),E694)</f>
        <v>0</v>
      </c>
      <c r="I694" s="1" t="str">
        <f>IFERROR(VLOOKUP(C694,'Clients List'!A:F,6,FALSE),"")</f>
        <v/>
      </c>
      <c r="K694" s="23" t="str">
        <f>IFERROR(INDEX([2]Packages!E:E, MATCH(1, ([2]Packages!A:A=B694)*([2]Packages!B:B=C694), 0)) - SUMIFS(D$2:D694, B$2:B694, B694, C$2:C694, C694),"")</f>
        <v/>
      </c>
    </row>
    <row r="695" spans="4:11" x14ac:dyDescent="0.45">
      <c r="D695" t="str">
        <f>IFERROR(VLOOKUP(C695,'Clients List'!$A:$F,2,FALSE),"")</f>
        <v/>
      </c>
      <c r="F695" s="1" t="str">
        <f>IF(OR(C695="",NOT(ISNUMBER(SEARCH("Package",D695)))),"",VLOOKUP(C695,'Clients List'!$A:$F,4,FALSE)-SUMIFS($E$2:$E695,$C$2:$C695,C695,$D$2:$D695,"*Package*"))</f>
        <v/>
      </c>
      <c r="G695" t="str">
        <f t="shared" si="23"/>
        <v/>
      </c>
      <c r="H695" s="33">
        <f>IF(ISNUMBER(SEARCH("Group",D695)),IF(G695="",E695,IFERROR(E695/COUNTIF($G2:$G6000,G695),E695)),E695)</f>
        <v>0</v>
      </c>
      <c r="I695" s="1" t="str">
        <f>IFERROR(VLOOKUP(C695,'Clients List'!A:F,6,FALSE),"")</f>
        <v/>
      </c>
      <c r="K695" s="23" t="str">
        <f>IFERROR(INDEX([2]Packages!E:E, MATCH(1, ([2]Packages!A:A=B695)*([2]Packages!B:B=C695), 0)) - SUMIFS(D$2:D695, B$2:B695, B695, C$2:C695, C695),"")</f>
        <v/>
      </c>
    </row>
    <row r="696" spans="4:11" x14ac:dyDescent="0.45">
      <c r="D696" t="str">
        <f>IFERROR(VLOOKUP(C696,'Clients List'!$A:$F,2,FALSE),"")</f>
        <v/>
      </c>
      <c r="F696" s="1" t="str">
        <f>IF(OR(C696="",NOT(ISNUMBER(SEARCH("Package",D696)))),"",VLOOKUP(C696,'Clients List'!$A:$F,4,FALSE)-SUMIFS($E$2:$E696,$C$2:$C696,C696,$D$2:$D696,"*Package*"))</f>
        <v/>
      </c>
      <c r="G696" t="str">
        <f t="shared" si="23"/>
        <v/>
      </c>
      <c r="H696" s="33">
        <f>IF(ISNUMBER(SEARCH("Group",D696)),IF(G696="",E696,IFERROR(E696/COUNTIF($G2:$G6000,G696),E696)),E696)</f>
        <v>0</v>
      </c>
      <c r="I696" s="1" t="str">
        <f>IFERROR(VLOOKUP(C696,'Clients List'!A:F,6,FALSE),"")</f>
        <v/>
      </c>
      <c r="K696" s="23" t="str">
        <f>IFERROR(INDEX([2]Packages!E:E, MATCH(1, ([2]Packages!A:A=B696)*([2]Packages!B:B=C696), 0)) - SUMIFS(D$2:D696, B$2:B696, B696, C$2:C696, C696),"")</f>
        <v/>
      </c>
    </row>
    <row r="697" spans="4:11" x14ac:dyDescent="0.45">
      <c r="D697" t="str">
        <f>IFERROR(VLOOKUP(C697,'Clients List'!$A:$F,2,FALSE),"")</f>
        <v/>
      </c>
      <c r="F697" s="1" t="str">
        <f>IF(OR(C697="",NOT(ISNUMBER(SEARCH("Package",D697)))),"",VLOOKUP(C697,'Clients List'!$A:$F,4,FALSE)-SUMIFS($E$2:$E697,$C$2:$C697,C697,$D$2:$D697,"*Package*"))</f>
        <v/>
      </c>
      <c r="G697" t="str">
        <f t="shared" si="23"/>
        <v/>
      </c>
      <c r="H697" s="33">
        <f>IF(ISNUMBER(SEARCH("Group",D697)),IF(G697="",E697,IFERROR(E697/COUNTIF($G2:$G6000,G697),E697)),E697)</f>
        <v>0</v>
      </c>
      <c r="I697" s="1" t="str">
        <f>IFERROR(VLOOKUP(C697,'Clients List'!A:F,6,FALSE),"")</f>
        <v/>
      </c>
      <c r="K697" s="23" t="str">
        <f>IFERROR(INDEX([2]Packages!E:E, MATCH(1, ([2]Packages!A:A=B697)*([2]Packages!B:B=C697), 0)) - SUMIFS(D$2:D697, B$2:B697, B697, C$2:C697, C697),"")</f>
        <v/>
      </c>
    </row>
    <row r="698" spans="4:11" x14ac:dyDescent="0.45">
      <c r="D698" t="str">
        <f>IFERROR(VLOOKUP(C698,'Clients List'!$A:$F,2,FALSE),"")</f>
        <v/>
      </c>
      <c r="F698" s="1" t="str">
        <f>IF(OR(C698="",NOT(ISNUMBER(SEARCH("Package",D698)))),"",VLOOKUP(C698,'Clients List'!$A:$F,4,FALSE)-SUMIFS($E$2:$E698,$C$2:$C698,C698,$D$2:$D698,"*Package*"))</f>
        <v/>
      </c>
      <c r="G698" t="str">
        <f t="shared" si="23"/>
        <v/>
      </c>
      <c r="H698" s="33">
        <f>IF(ISNUMBER(SEARCH("Group",D698)),IF(G698="",E698,IFERROR(E698/COUNTIF($G2:$G6000,G698),E698)),E698)</f>
        <v>0</v>
      </c>
      <c r="I698" s="1" t="str">
        <f>IFERROR(VLOOKUP(C698,'Clients List'!A:F,6,FALSE),"")</f>
        <v/>
      </c>
      <c r="K698" s="23" t="str">
        <f>IFERROR(INDEX([2]Packages!E:E, MATCH(1, ([2]Packages!A:A=B698)*([2]Packages!B:B=C698), 0)) - SUMIFS(D$2:D698, B$2:B698, B698, C$2:C698, C698),"")</f>
        <v/>
      </c>
    </row>
    <row r="699" spans="4:11" x14ac:dyDescent="0.45">
      <c r="D699" t="str">
        <f>IFERROR(VLOOKUP(C699,'Clients List'!$A:$F,2,FALSE),"")</f>
        <v/>
      </c>
      <c r="F699" s="1" t="str">
        <f>IF(OR(C699="",NOT(ISNUMBER(SEARCH("Package",D699)))),"",VLOOKUP(C699,'Clients List'!$A:$F,4,FALSE)-SUMIFS($E$2:$E699,$C$2:$C699,C699,$D$2:$D699,"*Package*"))</f>
        <v/>
      </c>
      <c r="G699" t="str">
        <f t="shared" si="23"/>
        <v/>
      </c>
      <c r="H699" s="33">
        <f>IF(ISNUMBER(SEARCH("Group",D699)),IF(G699="",E699,IFERROR(E699/COUNTIF($G2:$G6000,G699),E699)),E699)</f>
        <v>0</v>
      </c>
      <c r="I699" s="1" t="str">
        <f>IFERROR(VLOOKUP(C699,'Clients List'!A:F,6,FALSE),"")</f>
        <v/>
      </c>
      <c r="K699" s="23" t="str">
        <f>IFERROR(INDEX([2]Packages!E:E, MATCH(1, ([2]Packages!A:A=B699)*([2]Packages!B:B=C699), 0)) - SUMIFS(D$2:D699, B$2:B699, B699, C$2:C699, C699),"")</f>
        <v/>
      </c>
    </row>
    <row r="700" spans="4:11" x14ac:dyDescent="0.45">
      <c r="D700" t="str">
        <f>IFERROR(VLOOKUP(C700,'Clients List'!$A:$F,2,FALSE),"")</f>
        <v/>
      </c>
      <c r="F700" s="1" t="str">
        <f>IF(OR(C700="",NOT(ISNUMBER(SEARCH("Package",D700)))),"",VLOOKUP(C700,'Clients List'!$A:$F,4,FALSE)-SUMIFS($E$2:$E700,$C$2:$C700,C700,$D$2:$D700,"*Package*"))</f>
        <v/>
      </c>
      <c r="G700" t="str">
        <f t="shared" si="23"/>
        <v/>
      </c>
      <c r="H700" s="33">
        <f>IF(ISNUMBER(SEARCH("Group",D700)),IF(G700="",E700,IFERROR(E700/COUNTIF($G2:$G6000,G700),E700)),E700)</f>
        <v>0</v>
      </c>
      <c r="I700" s="1" t="str">
        <f>IFERROR(VLOOKUP(C700,'Clients List'!A:F,6,FALSE),"")</f>
        <v/>
      </c>
      <c r="K700" s="23" t="str">
        <f>IFERROR(INDEX([2]Packages!E:E, MATCH(1, ([2]Packages!A:A=B700)*([2]Packages!B:B=C700), 0)) - SUMIFS(D$2:D700, B$2:B700, B700, C$2:C700, C700),"")</f>
        <v/>
      </c>
    </row>
    <row r="701" spans="4:11" x14ac:dyDescent="0.45">
      <c r="D701" t="str">
        <f>IFERROR(VLOOKUP(C701,'Clients List'!$A:$F,2,FALSE),"")</f>
        <v/>
      </c>
      <c r="F701" s="1" t="str">
        <f>IF(OR(C701="",NOT(ISNUMBER(SEARCH("Package",D701)))),"",VLOOKUP(C701,'Clients List'!$A:$F,4,FALSE)-SUMIFS($E$2:$E701,$C$2:$C701,C701,$D$2:$D701,"*Package*"))</f>
        <v/>
      </c>
      <c r="G701" t="str">
        <f t="shared" si="23"/>
        <v/>
      </c>
      <c r="H701" s="33">
        <f>IF(ISNUMBER(SEARCH("Group",D701)),IF(G701="",E701,IFERROR(E701/COUNTIF($G2:$G6000,G701),E701)),E701)</f>
        <v>0</v>
      </c>
      <c r="I701" s="1" t="str">
        <f>IFERROR(VLOOKUP(C701,'Clients List'!A:F,6,FALSE),"")</f>
        <v/>
      </c>
      <c r="K701" s="23" t="str">
        <f>IFERROR(INDEX([2]Packages!E:E, MATCH(1, ([2]Packages!A:A=B701)*([2]Packages!B:B=C701), 0)) - SUMIFS(D$2:D701, B$2:B701, B701, C$2:C701, C701),"")</f>
        <v/>
      </c>
    </row>
    <row r="702" spans="4:11" x14ac:dyDescent="0.45">
      <c r="D702" t="str">
        <f>IFERROR(VLOOKUP(C702,'Clients List'!$A:$F,2,FALSE),"")</f>
        <v/>
      </c>
      <c r="F702" s="1" t="str">
        <f>IF(OR(C702="",NOT(ISNUMBER(SEARCH("Package",D702)))),"",VLOOKUP(C702,'Clients List'!$A:$F,4,FALSE)-SUMIFS($E$2:$E702,$C$2:$C702,C702,$D$2:$D702,"*Package*"))</f>
        <v/>
      </c>
      <c r="G702" t="str">
        <f t="shared" si="23"/>
        <v/>
      </c>
      <c r="H702" s="33">
        <f>IF(ISNUMBER(SEARCH("Group",D702)),IF(G702="",E702,IFERROR(E702/COUNTIF($G2:$G6000,G702),E702)),E702)</f>
        <v>0</v>
      </c>
      <c r="I702" s="1" t="str">
        <f>IFERROR(VLOOKUP(C702,'Clients List'!A:F,6,FALSE),"")</f>
        <v/>
      </c>
      <c r="K702" s="23" t="str">
        <f>IFERROR(INDEX([2]Packages!E:E, MATCH(1, ([2]Packages!A:A=B702)*([2]Packages!B:B=C702), 0)) - SUMIFS(D$2:D702, B$2:B702, B702, C$2:C702, C702),"")</f>
        <v/>
      </c>
    </row>
    <row r="703" spans="4:11" x14ac:dyDescent="0.45">
      <c r="D703" t="str">
        <f>IFERROR(VLOOKUP(C703,'Clients List'!$A:$F,2,FALSE),"")</f>
        <v/>
      </c>
      <c r="F703" s="1" t="str">
        <f>IF(OR(C703="",NOT(ISNUMBER(SEARCH("Package",D703)))),"",VLOOKUP(C703,'Clients List'!$A:$F,4,FALSE)-SUMIFS($E$2:$E703,$C$2:$C703,C703,$D$2:$D703,"*Package*"))</f>
        <v/>
      </c>
      <c r="G703" t="str">
        <f t="shared" ref="G703:G714" si="24">IF(ISNUMBER(SEARCH("Group",D703)),IFERROR("GRP-"&amp;TEXT(IF(ISNUMBER(A703),A703,DATEVALUE(A703)),"yyyymmdd"),""),"" )</f>
        <v/>
      </c>
      <c r="H703" s="33">
        <f>IF(ISNUMBER(SEARCH("Group",D703)),IF(G703="",E703,IFERROR(E703/COUNTIF($G2:$G6000,G703),E703)),E703)</f>
        <v>0</v>
      </c>
      <c r="I703" s="1" t="str">
        <f>IFERROR(VLOOKUP(C703,'Clients List'!A:F,6,FALSE),"")</f>
        <v/>
      </c>
      <c r="K703" s="23" t="str">
        <f>IFERROR(INDEX([2]Packages!E:E, MATCH(1, ([2]Packages!A:A=B703)*([2]Packages!B:B=C703), 0)) - SUMIFS(D$2:D703, B$2:B703, B703, C$2:C703, C703),"")</f>
        <v/>
      </c>
    </row>
    <row r="704" spans="4:11" x14ac:dyDescent="0.45">
      <c r="D704" t="str">
        <f>IFERROR(VLOOKUP(C704,'Clients List'!$A:$F,2,FALSE),"")</f>
        <v/>
      </c>
      <c r="F704" s="1" t="str">
        <f>IF(OR(C704="",NOT(ISNUMBER(SEARCH("Package",D704)))),"",VLOOKUP(C704,'Clients List'!$A:$F,4,FALSE)-SUMIFS($E$2:$E704,$C$2:$C704,C704,$D$2:$D704,"*Package*"))</f>
        <v/>
      </c>
      <c r="G704" t="str">
        <f t="shared" si="24"/>
        <v/>
      </c>
      <c r="H704" s="33">
        <f>IF(ISNUMBER(SEARCH("Group",D704)),IF(G704="",E704,IFERROR(E704/COUNTIF($G2:$G6000,G704),E704)),E704)</f>
        <v>0</v>
      </c>
      <c r="I704" s="1" t="str">
        <f>IFERROR(VLOOKUP(C704,'Clients List'!A:F,6,FALSE),"")</f>
        <v/>
      </c>
      <c r="K704" s="23" t="str">
        <f>IFERROR(INDEX([2]Packages!E:E, MATCH(1, ([2]Packages!A:A=B704)*([2]Packages!B:B=C704), 0)) - SUMIFS(D$2:D704, B$2:B704, B704, C$2:C704, C704),"")</f>
        <v/>
      </c>
    </row>
    <row r="705" spans="1:11" x14ac:dyDescent="0.45">
      <c r="D705" t="str">
        <f>IFERROR(VLOOKUP(C705,'Clients List'!$A:$F,2,FALSE),"")</f>
        <v/>
      </c>
      <c r="F705" s="1" t="str">
        <f>IF(OR(C705="",NOT(ISNUMBER(SEARCH("Package",D705)))),"",VLOOKUP(C705,'Clients List'!$A:$F,4,FALSE)-SUMIFS($E$2:$E705,$C$2:$C705,C705,$D$2:$D705,"*Package*"))</f>
        <v/>
      </c>
      <c r="G705" t="str">
        <f t="shared" si="24"/>
        <v/>
      </c>
      <c r="H705" s="33">
        <f>IF(ISNUMBER(SEARCH("Group",D705)),IF(G705="",E705,IFERROR(E705/COUNTIF($G2:$G6000,G705),E705)),E705)</f>
        <v>0</v>
      </c>
      <c r="I705" s="1" t="str">
        <f>IFERROR(VLOOKUP(C705,'Clients List'!A:F,6,FALSE),"")</f>
        <v/>
      </c>
      <c r="K705" s="23" t="str">
        <f>IFERROR(INDEX([2]Packages!E:E, MATCH(1, ([2]Packages!A:A=B705)*([2]Packages!B:B=C705), 0)) - SUMIFS(D$2:D705, B$2:B705, B705, C$2:C705, C705),"")</f>
        <v/>
      </c>
    </row>
    <row r="706" spans="1:11" x14ac:dyDescent="0.45">
      <c r="D706" t="str">
        <f>IFERROR(VLOOKUP(C706,'Clients List'!$A:$F,2,FALSE),"")</f>
        <v/>
      </c>
      <c r="F706" s="1" t="str">
        <f>IF(OR(C706="",NOT(ISNUMBER(SEARCH("Package",D706)))),"",VLOOKUP(C706,'Clients List'!$A:$F,4,FALSE)-SUMIFS($E$2:$E706,$C$2:$C706,C706,$D$2:$D706,"*Package*"))</f>
        <v/>
      </c>
      <c r="G706" t="str">
        <f t="shared" si="24"/>
        <v/>
      </c>
      <c r="H706" s="33">
        <f>IF(ISNUMBER(SEARCH("Group",D706)),IF(G706="",E706,IFERROR(E706/COUNTIF($G2:$G6000,G706),E706)),E706)</f>
        <v>0</v>
      </c>
      <c r="I706" s="1" t="str">
        <f>IFERROR(VLOOKUP(C706,'Clients List'!A:F,6,FALSE),"")</f>
        <v/>
      </c>
      <c r="K706" s="23" t="str">
        <f>IFERROR(INDEX([2]Packages!E:E, MATCH(1, ([2]Packages!A:A=B706)*([2]Packages!B:B=C706), 0)) - SUMIFS(D$2:D706, B$2:B706, B706, C$2:C706, C706),"")</f>
        <v/>
      </c>
    </row>
    <row r="707" spans="1:11" x14ac:dyDescent="0.45">
      <c r="D707" t="str">
        <f>IFERROR(VLOOKUP(C707,'Clients List'!$A:$F,2,FALSE),"")</f>
        <v/>
      </c>
      <c r="F707" s="1" t="str">
        <f>IF(OR(C707="",NOT(ISNUMBER(SEARCH("Package",D707)))),"",VLOOKUP(C707,'Clients List'!$A:$F,4,FALSE)-SUMIFS($E$2:$E707,$C$2:$C707,C707,$D$2:$D707,"*Package*"))</f>
        <v/>
      </c>
      <c r="G707" t="str">
        <f t="shared" si="24"/>
        <v/>
      </c>
      <c r="H707" s="33">
        <f>IF(ISNUMBER(SEARCH("Group",D707)),IF(G707="",E707,IFERROR(E707/COUNTIF($G2:$G6000,G707),E707)),E707)</f>
        <v>0</v>
      </c>
      <c r="I707" s="1" t="str">
        <f>IFERROR(VLOOKUP(C707,'Clients List'!A:F,6,FALSE),"")</f>
        <v/>
      </c>
      <c r="K707" s="23" t="str">
        <f>IFERROR(INDEX([2]Packages!E:E, MATCH(1, ([2]Packages!A:A=B707)*([2]Packages!B:B=C707), 0)) - SUMIFS(D$2:D707, B$2:B707, B707, C$2:C707, C707),"")</f>
        <v/>
      </c>
    </row>
    <row r="708" spans="1:11" x14ac:dyDescent="0.45">
      <c r="D708" t="str">
        <f>IFERROR(VLOOKUP(C708,'Clients List'!$A:$F,2,FALSE),"")</f>
        <v/>
      </c>
      <c r="F708" s="1" t="str">
        <f>IF(OR(C708="",NOT(ISNUMBER(SEARCH("Package",D708)))),"",VLOOKUP(C708,'Clients List'!$A:$F,4,FALSE)-SUMIFS($E$2:$E708,$C$2:$C708,C708,$D$2:$D708,"*Package*"))</f>
        <v/>
      </c>
      <c r="G708" t="str">
        <f t="shared" si="24"/>
        <v/>
      </c>
      <c r="H708" s="33">
        <f>IF(ISNUMBER(SEARCH("Group",D708)),IF(G708="",E708,IFERROR(E708/COUNTIF($G2:$G6000,G708),E708)),E708)</f>
        <v>0</v>
      </c>
      <c r="I708" s="1" t="str">
        <f>IFERROR(VLOOKUP(C708,'Clients List'!A:F,6,FALSE),"")</f>
        <v/>
      </c>
      <c r="K708" s="23" t="str">
        <f>IFERROR(INDEX([2]Packages!E:E, MATCH(1, ([2]Packages!A:A=B708)*([2]Packages!B:B=C708), 0)) - SUMIFS(D$2:D708, B$2:B708, B708, C$2:C708, C708),"")</f>
        <v/>
      </c>
    </row>
    <row r="709" spans="1:11" x14ac:dyDescent="0.45">
      <c r="D709" t="str">
        <f>IFERROR(VLOOKUP(C709,'Clients List'!$A:$F,2,FALSE),"")</f>
        <v/>
      </c>
      <c r="F709" s="1" t="str">
        <f>IF(OR(C709="",NOT(ISNUMBER(SEARCH("Package",D709)))),"",VLOOKUP(C709,'Clients List'!$A:$F,4,FALSE)-SUMIFS($E$2:$E709,$C$2:$C709,C709,$D$2:$D709,"*Package*"))</f>
        <v/>
      </c>
      <c r="G709" t="str">
        <f t="shared" si="24"/>
        <v/>
      </c>
      <c r="H709" s="33">
        <f>IF(ISNUMBER(SEARCH("Group",D709)),IF(G709="",E709,IFERROR(E709/COUNTIF($G2:$G6000,G709),E709)),E709)</f>
        <v>0</v>
      </c>
      <c r="I709" s="1" t="str">
        <f>IFERROR(VLOOKUP(C709,'Clients List'!A:F,6,FALSE),"")</f>
        <v/>
      </c>
      <c r="K709" s="23" t="str">
        <f>IFERROR(INDEX([2]Packages!E:E, MATCH(1, ([2]Packages!A:A=B709)*([2]Packages!B:B=C709), 0)) - SUMIFS(D$2:D709, B$2:B709, B709, C$2:C709, C709),"")</f>
        <v/>
      </c>
    </row>
    <row r="710" spans="1:11" x14ac:dyDescent="0.45">
      <c r="D710" t="str">
        <f>IFERROR(VLOOKUP(C710,'Clients List'!$A:$F,2,FALSE),"")</f>
        <v/>
      </c>
      <c r="F710" s="1" t="str">
        <f>IF(OR(C710="",NOT(ISNUMBER(SEARCH("Package",D710)))),"",VLOOKUP(C710,'Clients List'!$A:$F,4,FALSE)-SUMIFS($E$2:$E710,$C$2:$C710,C710,$D$2:$D710,"*Package*"))</f>
        <v/>
      </c>
      <c r="G710" t="str">
        <f t="shared" si="24"/>
        <v/>
      </c>
      <c r="H710" s="33">
        <f>IF(ISNUMBER(SEARCH("Group",D710)),IF(G710="",E710,IFERROR(E710/COUNTIF($G2:$G6000,G710),E710)),E710)</f>
        <v>0</v>
      </c>
      <c r="I710" s="1" t="str">
        <f>IFERROR(VLOOKUP(C710,'Clients List'!A:F,6,FALSE),"")</f>
        <v/>
      </c>
      <c r="K710" s="23" t="str">
        <f>IFERROR(INDEX([2]Packages!E:E, MATCH(1, ([2]Packages!A:A=B710)*([2]Packages!B:B=C710), 0)) - SUMIFS(D$2:D710, B$2:B710, B710, C$2:C710, C710),"")</f>
        <v/>
      </c>
    </row>
    <row r="711" spans="1:11" x14ac:dyDescent="0.45">
      <c r="D711" t="str">
        <f>IFERROR(VLOOKUP(C711,'Clients List'!$A:$F,2,FALSE),"")</f>
        <v/>
      </c>
      <c r="F711" s="1" t="str">
        <f>IF(OR(C711="",NOT(ISNUMBER(SEARCH("Package",D711)))),"",VLOOKUP(C711,'Clients List'!$A:$F,4,FALSE)-SUMIFS($E$2:$E711,$C$2:$C711,C711,$D$2:$D711,"*Package*"))</f>
        <v/>
      </c>
      <c r="G711" t="str">
        <f t="shared" si="24"/>
        <v/>
      </c>
      <c r="H711" s="33">
        <f>IF(ISNUMBER(SEARCH("Group",D711)),IF(G711="",E711,IFERROR(E711/COUNTIF($G2:$G6000,G711),E711)),E711)</f>
        <v>0</v>
      </c>
      <c r="I711" s="1" t="str">
        <f>IFERROR(VLOOKUP(C711,'Clients List'!A:F,6,FALSE),"")</f>
        <v/>
      </c>
      <c r="K711" s="23" t="str">
        <f>IFERROR(INDEX([2]Packages!E:E, MATCH(1, ([2]Packages!A:A=B711)*([2]Packages!B:B=C711), 0)) - SUMIFS(D$2:D711, B$2:B711, B711, C$2:C711, C711),"")</f>
        <v/>
      </c>
    </row>
    <row r="712" spans="1:11" x14ac:dyDescent="0.45">
      <c r="D712" t="str">
        <f>IFERROR(VLOOKUP(C712,'Clients List'!$A:$F,2,FALSE),"")</f>
        <v/>
      </c>
      <c r="F712" s="1" t="str">
        <f>IF(OR(C712="",NOT(ISNUMBER(SEARCH("Package",D712)))),"",VLOOKUP(C712,'Clients List'!$A:$F,4,FALSE)-SUMIFS($E$2:$E712,$C$2:$C712,C712,$D$2:$D712,"*Package*"))</f>
        <v/>
      </c>
      <c r="G712" t="str">
        <f t="shared" si="24"/>
        <v/>
      </c>
      <c r="H712" s="33">
        <f>IF(ISNUMBER(SEARCH("Group",D712)),IF(G712="",E712,IFERROR(E712/COUNTIF($G2:$G6000,G712),E712)),E712)</f>
        <v>0</v>
      </c>
      <c r="I712" s="1" t="str">
        <f>IFERROR(VLOOKUP(C712,'Clients List'!A:F,6,FALSE),"")</f>
        <v/>
      </c>
      <c r="K712" s="23" t="str">
        <f>IFERROR(INDEX([2]Packages!E:E, MATCH(1, ([2]Packages!A:A=B712)*([2]Packages!B:B=C712), 0)) - SUMIFS(D$2:D712, B$2:B712, B712, C$2:C712, C712),"")</f>
        <v/>
      </c>
    </row>
    <row r="713" spans="1:11" x14ac:dyDescent="0.45">
      <c r="D713" t="str">
        <f>IFERROR(VLOOKUP(C713,'Clients List'!$A:$F,2,FALSE),"")</f>
        <v/>
      </c>
      <c r="F713" s="1" t="str">
        <f>IF(OR(C713="",NOT(ISNUMBER(SEARCH("Package",D713)))),"",VLOOKUP(C713,'Clients List'!$A:$F,4,FALSE)-SUMIFS($E$2:$E713,$C$2:$C713,C713,$D$2:$D713,"*Package*"))</f>
        <v/>
      </c>
      <c r="G713" t="str">
        <f t="shared" si="24"/>
        <v/>
      </c>
      <c r="H713" s="33">
        <f>IF(ISNUMBER(SEARCH("Group",D713)),IF(G713="",E713,IFERROR(E713/COUNTIF($G2:$G6000,G713),E713)),E713)</f>
        <v>0</v>
      </c>
      <c r="I713" s="1" t="str">
        <f>IFERROR(VLOOKUP(C713,'Clients List'!A:F,6,FALSE),"")</f>
        <v/>
      </c>
      <c r="K713" s="23" t="str">
        <f>IFERROR(INDEX([2]Packages!E:E, MATCH(1, ([2]Packages!A:A=B713)*([2]Packages!B:B=C713), 0)) - SUMIFS(D$2:D713, B$2:B713, B713, C$2:C713, C713),"")</f>
        <v/>
      </c>
    </row>
    <row r="714" spans="1:11" x14ac:dyDescent="0.45">
      <c r="D714" t="str">
        <f>IFERROR(VLOOKUP(C714,'Clients List'!$A:$F,2,FALSE),"")</f>
        <v/>
      </c>
      <c r="F714" s="1" t="str">
        <f>IF(OR(C714="",NOT(ISNUMBER(SEARCH("Package",D714)))),"",VLOOKUP(C714,'Clients List'!$A:$F,4,FALSE)-SUMIFS($E$2:$E714,$C$2:$C714,C714,$D$2:$D714,"*Package*"))</f>
        <v/>
      </c>
      <c r="G714" t="str">
        <f t="shared" si="24"/>
        <v/>
      </c>
      <c r="H714" s="33">
        <f>IF(ISNUMBER(SEARCH("Group",D714)),IF(G714="",E714,IFERROR(E714/COUNTIF($G2:$G6000,G714),E714)),E714)</f>
        <v>0</v>
      </c>
      <c r="I714" s="1" t="str">
        <f>IFERROR(VLOOKUP(C714,'Clients List'!A:F,6,FALSE),"")</f>
        <v/>
      </c>
      <c r="K714" s="23" t="str">
        <f>IFERROR(INDEX([2]Packages!E:E, MATCH(1, ([2]Packages!A:A=B714)*([2]Packages!B:B=C714), 0)) - SUMIFS(D$2:D714, B$2:B714, B714, C$2:C714, C714),"")</f>
        <v/>
      </c>
    </row>
    <row r="715" spans="1:11" x14ac:dyDescent="0.45">
      <c r="A715" s="8"/>
      <c r="C715" s="9"/>
      <c r="D715" s="10" t="str">
        <f>IFERROR(VLOOKUP(C715,'Clients List'!$A:$F,2,FALSE),"")</f>
        <v/>
      </c>
      <c r="E715" s="21">
        <f>SUM(E575:E714)</f>
        <v>0</v>
      </c>
      <c r="F715" s="1" t="str">
        <f>IF(OR(C715="",NOT(ISNUMBER(SEARCH("Package",D715)))),"",VLOOKUP(C715,'Clients List'!$A:$F,4,FALSE)-SUMIFS($E$2:$E715,$C$2:$C715,C715,$D$2:$D715,"*Package*"))</f>
        <v/>
      </c>
      <c r="H715" s="33">
        <f>SUM(H575:H714)</f>
        <v>0</v>
      </c>
      <c r="I715" s="11" t="str">
        <f>IFERROR(VLOOKUP(C715,'Clients List'!A:F,6,FALSE),"")</f>
        <v/>
      </c>
      <c r="K715" s="23" t="str">
        <f>IFERROR(INDEX([2]Packages!E:E, MATCH(1, ([2]Packages!A:A=B715)*([2]Packages!B:B=C715), 0)) - SUMIFS(D$2:D715, B$2:B715, B715, C$2:C715, C715),"")</f>
        <v/>
      </c>
    </row>
    <row r="716" spans="1:11" x14ac:dyDescent="0.45">
      <c r="D716" t="str">
        <f>IFERROR(VLOOKUP(C716,'Clients List'!$A:$F,2,FALSE),"")</f>
        <v/>
      </c>
      <c r="F716" s="1" t="str">
        <f>IF(OR(C716="",NOT(ISNUMBER(SEARCH("Package",D716)))),"",VLOOKUP(C716,'Clients List'!$A:$F,4,FALSE)-SUMIFS($E$2:$E716,$C$2:$C716,C716,$D$2:$D716,"*Package*"))</f>
        <v/>
      </c>
      <c r="G716" t="str">
        <f>IF(ISNUMBER(SEARCH("Group",D716)),IFERROR("GRP-"&amp;TEXT(IF(ISNUMBER(A716),A716,DATEVALUE(A716)),"yyyymmdd"),""),"" )</f>
        <v/>
      </c>
      <c r="H716" s="33">
        <f>IF(ISNUMBER(SEARCH("Group",D716)),IF(G716="",E716,IFERROR(E716/COUNTIF($G2:$G6000,G716),E716)),E716)</f>
        <v>0</v>
      </c>
      <c r="I716" s="1" t="str">
        <f>IFERROR(VLOOKUP(C716,'Clients List'!A:F,6,FALSE),"")</f>
        <v/>
      </c>
      <c r="K716" s="23" t="str">
        <f>IFERROR(INDEX([2]Packages!E:E, MATCH(1, ([2]Packages!A:A=B716)*([2]Packages!B:B=C716), 0)) - SUMIFS(D$2:D716, B$2:B716, B716, C$2:C716, C716),"")</f>
        <v/>
      </c>
    </row>
    <row r="717" spans="1:11" x14ac:dyDescent="0.45">
      <c r="A717" s="14" t="s">
        <v>20</v>
      </c>
      <c r="D717" t="str">
        <f>IFERROR(VLOOKUP(C717,'Clients List'!$A:$F,2,FALSE),"")</f>
        <v/>
      </c>
      <c r="F717" s="1" t="str">
        <f>IF(OR(C717="",NOT(ISNUMBER(SEARCH("Package",D717)))),"",VLOOKUP(C717,'Clients List'!$A:$F,4,FALSE)-SUMIFS($E$2:$E717,$C$2:$C717,C717,$D$2:$D717,"*Package*"))</f>
        <v/>
      </c>
      <c r="H717" s="33"/>
      <c r="I717" s="1" t="str">
        <f>IFERROR(VLOOKUP(C717,'Clients List'!A:F,6,FALSE),"")</f>
        <v/>
      </c>
      <c r="K717" s="23" t="str">
        <f>IFERROR(INDEX([2]Packages!E:E, MATCH(1, ([2]Packages!A:A=B717)*([2]Packages!B:B=C717), 0)) - SUMIFS(D$2:D717, B$2:B717, B717, C$2:C717, C717),"")</f>
        <v/>
      </c>
    </row>
    <row r="718" spans="1:11" x14ac:dyDescent="0.45">
      <c r="D718" t="str">
        <f>IFERROR(VLOOKUP(C718,'Clients List'!$A:$F,2,FALSE),"")</f>
        <v/>
      </c>
      <c r="F718" s="1" t="str">
        <f>IF(OR(C718="",NOT(ISNUMBER(SEARCH("Package",D718)))),"",VLOOKUP(C718,'Clients List'!$A:$F,4,FALSE)-SUMIFS($E$2:$E718,$C$2:$C718,C718,$D$2:$D718,"*Package*"))</f>
        <v/>
      </c>
      <c r="G718" t="str">
        <f t="shared" ref="G718:G749" si="25">IF(ISNUMBER(SEARCH("Group",D718)),IFERROR("GRP-"&amp;TEXT(IF(ISNUMBER(A718),A718,DATEVALUE(A718)),"yyyymmdd"),""),"" )</f>
        <v/>
      </c>
      <c r="H718" s="33">
        <f>IF(ISNUMBER(SEARCH("Group",D718)),IF(G718="",E718,IFERROR(E718/COUNTIF($G2:$G6000,G718),E718)),E718)</f>
        <v>0</v>
      </c>
      <c r="I718" s="1" t="str">
        <f>IFERROR(VLOOKUP(C718,'Clients List'!A:F,6,FALSE),"")</f>
        <v/>
      </c>
      <c r="K718" s="23" t="str">
        <f>IFERROR(INDEX([2]Packages!E:E, MATCH(1, ([2]Packages!A:A=B718)*([2]Packages!B:B=C718), 0)) - SUMIFS(D$2:D718, B$2:B718, B718, C$2:C718, C718),"")</f>
        <v/>
      </c>
    </row>
    <row r="719" spans="1:11" x14ac:dyDescent="0.45">
      <c r="A719" s="7"/>
      <c r="D719" t="str">
        <f>IFERROR(VLOOKUP(C719,'Clients List'!$A:$F,2,FALSE),"")</f>
        <v/>
      </c>
      <c r="F719" s="1" t="str">
        <f>IF(OR(C719="",NOT(ISNUMBER(SEARCH("Package",D719)))),"",VLOOKUP(C719,'Clients List'!$A:$F,4,FALSE)-SUMIFS($E$2:$E719,$C$2:$C719,C719,$D$2:$D719,"*Package*"))</f>
        <v/>
      </c>
      <c r="G719" t="str">
        <f t="shared" si="25"/>
        <v/>
      </c>
      <c r="H719" s="33">
        <f>IF(ISNUMBER(SEARCH("Group",D719)),IF(G719="",E719,IFERROR(E719/COUNTIF($G2:$G6000,G719),E719)),E719)</f>
        <v>0</v>
      </c>
      <c r="I719" s="1" t="str">
        <f>IFERROR(VLOOKUP(C719,'Clients List'!A:F,6,FALSE),"")</f>
        <v/>
      </c>
      <c r="K719" s="23" t="str">
        <f>IFERROR(INDEX([2]Packages!E:E, MATCH(1, ([2]Packages!A:A=B719)*([2]Packages!B:B=C719), 0)) - SUMIFS(D$2:D719, B$2:B719, B719, C$2:C719, C719),"")</f>
        <v/>
      </c>
    </row>
    <row r="720" spans="1:11" x14ac:dyDescent="0.45">
      <c r="D720" t="str">
        <f>IFERROR(VLOOKUP(C720,'Clients List'!$A:$F,2,FALSE),"")</f>
        <v/>
      </c>
      <c r="F720" s="1" t="str">
        <f>IF(OR(C720="",NOT(ISNUMBER(SEARCH("Package",D720)))),"",VLOOKUP(C720,'Clients List'!$A:$F,4,FALSE)-SUMIFS($E$2:$E720,$C$2:$C720,C720,$D$2:$D720,"*Package*"))</f>
        <v/>
      </c>
      <c r="G720" t="str">
        <f t="shared" si="25"/>
        <v/>
      </c>
      <c r="H720" s="33">
        <f>IF(ISNUMBER(SEARCH("Group",D720)),IF(G720="",E720,IFERROR(E720/COUNTIF($G2:$G6000,G720),E720)),E720)</f>
        <v>0</v>
      </c>
      <c r="I720" s="1" t="str">
        <f>IFERROR(VLOOKUP(C720,'Clients List'!A:F,6,FALSE),"")</f>
        <v/>
      </c>
      <c r="K720" s="23" t="str">
        <f>IFERROR(INDEX([2]Packages!E:E, MATCH(1, ([2]Packages!A:A=B720)*([2]Packages!B:B=C720), 0)) - SUMIFS(D$2:D720, B$2:B720, B720, C$2:C720, C720),"")</f>
        <v/>
      </c>
    </row>
    <row r="721" spans="4:11" x14ac:dyDescent="0.45">
      <c r="D721" t="str">
        <f>IFERROR(VLOOKUP(C721,'Clients List'!$A:$F,2,FALSE),"")</f>
        <v/>
      </c>
      <c r="F721" s="1" t="str">
        <f>IF(OR(C721="",NOT(ISNUMBER(SEARCH("Package",D721)))),"",VLOOKUP(C721,'Clients List'!$A:$F,4,FALSE)-SUMIFS($E$2:$E721,$C$2:$C721,C721,$D$2:$D721,"*Package*"))</f>
        <v/>
      </c>
      <c r="G721" t="str">
        <f t="shared" si="25"/>
        <v/>
      </c>
      <c r="H721" s="33">
        <f>IF(ISNUMBER(SEARCH("Group",D721)),IF(G721="",E721,IFERROR(E721/COUNTIF($G2:$G6000,G721),E721)),E721)</f>
        <v>0</v>
      </c>
      <c r="I721" s="1" t="str">
        <f>IFERROR(VLOOKUP(C721,'Clients List'!A:F,6,FALSE),"")</f>
        <v/>
      </c>
      <c r="K721" s="23" t="str">
        <f>IFERROR(INDEX([2]Packages!E:E, MATCH(1, ([2]Packages!A:A=B721)*([2]Packages!B:B=C721), 0)) - SUMIFS(D$2:D721, B$2:B721, B721, C$2:C721, C721),"")</f>
        <v/>
      </c>
    </row>
    <row r="722" spans="4:11" x14ac:dyDescent="0.45">
      <c r="D722" t="str">
        <f>IFERROR(VLOOKUP(C722,'Clients List'!$A:$F,2,FALSE),"")</f>
        <v/>
      </c>
      <c r="F722" s="1" t="str">
        <f>IF(OR(C722="",NOT(ISNUMBER(SEARCH("Package",D722)))),"",VLOOKUP(C722,'Clients List'!$A:$F,4,FALSE)-SUMIFS($E$2:$E722,$C$2:$C722,C722,$D$2:$D722,"*Package*"))</f>
        <v/>
      </c>
      <c r="G722" t="str">
        <f t="shared" si="25"/>
        <v/>
      </c>
      <c r="H722" s="33">
        <f>IF(ISNUMBER(SEARCH("Group",D722)),IF(G722="",E722,IFERROR(E722/COUNTIF($G2:$G6000,G722),E722)),E722)</f>
        <v>0</v>
      </c>
      <c r="I722" s="1" t="str">
        <f>IFERROR(VLOOKUP(C722,'Clients List'!A:F,6,FALSE),"")</f>
        <v/>
      </c>
      <c r="K722" s="23" t="str">
        <f>IFERROR(INDEX([2]Packages!E:E, MATCH(1, ([2]Packages!A:A=B722)*([2]Packages!B:B=C722), 0)) - SUMIFS(D$2:D722, B$2:B722, B722, C$2:C722, C722),"")</f>
        <v/>
      </c>
    </row>
    <row r="723" spans="4:11" x14ac:dyDescent="0.45">
      <c r="D723" t="str">
        <f>IFERROR(VLOOKUP(C723,'Clients List'!$A:$F,2,FALSE),"")</f>
        <v/>
      </c>
      <c r="F723" s="1" t="str">
        <f>IF(OR(C723="",NOT(ISNUMBER(SEARCH("Package",D723)))),"",VLOOKUP(C723,'Clients List'!$A:$F,4,FALSE)-SUMIFS($E$2:$E723,$C$2:$C723,C723,$D$2:$D723,"*Package*"))</f>
        <v/>
      </c>
      <c r="G723" t="str">
        <f t="shared" si="25"/>
        <v/>
      </c>
      <c r="H723" s="33">
        <f>IF(ISNUMBER(SEARCH("Group",D723)),IF(G723="",E723,IFERROR(E723/COUNTIF($G2:$G6000,G723),E723)),E723)</f>
        <v>0</v>
      </c>
      <c r="I723" s="1" t="str">
        <f>IFERROR(VLOOKUP(C723,'Clients List'!A:F,6,FALSE),"")</f>
        <v/>
      </c>
      <c r="K723" s="23" t="str">
        <f>IFERROR(INDEX([2]Packages!E:E, MATCH(1, ([2]Packages!A:A=B723)*([2]Packages!B:B=C723), 0)) - SUMIFS(D$2:D723, B$2:B723, B723, C$2:C723, C723),"")</f>
        <v/>
      </c>
    </row>
    <row r="724" spans="4:11" x14ac:dyDescent="0.45">
      <c r="D724" t="str">
        <f>IFERROR(VLOOKUP(C724,'Clients List'!$A:$F,2,FALSE),"")</f>
        <v/>
      </c>
      <c r="F724" s="1" t="str">
        <f>IF(OR(C724="",NOT(ISNUMBER(SEARCH("Package",D724)))),"",VLOOKUP(C724,'Clients List'!$A:$F,4,FALSE)-SUMIFS($E$2:$E724,$C$2:$C724,C724,$D$2:$D724,"*Package*"))</f>
        <v/>
      </c>
      <c r="G724" t="str">
        <f t="shared" si="25"/>
        <v/>
      </c>
      <c r="H724" s="33">
        <f>IF(ISNUMBER(SEARCH("Group",D724)),IF(G724="",E724,IFERROR(E724/COUNTIF($G2:$G6000,G724),E724)),E724)</f>
        <v>0</v>
      </c>
      <c r="I724" s="1" t="str">
        <f>IFERROR(VLOOKUP(C724,'Clients List'!A:F,6,FALSE),"")</f>
        <v/>
      </c>
      <c r="K724" s="23" t="str">
        <f>IFERROR(INDEX([2]Packages!E:E, MATCH(1, ([2]Packages!A:A=B724)*([2]Packages!B:B=C724), 0)) - SUMIFS(D$2:D724, B$2:B724, B724, C$2:C724, C724),"")</f>
        <v/>
      </c>
    </row>
    <row r="725" spans="4:11" x14ac:dyDescent="0.45">
      <c r="D725" t="str">
        <f>IFERROR(VLOOKUP(C725,'Clients List'!$A:$F,2,FALSE),"")</f>
        <v/>
      </c>
      <c r="F725" s="1" t="str">
        <f>IF(OR(C725="",NOT(ISNUMBER(SEARCH("Package",D725)))),"",VLOOKUP(C725,'Clients List'!$A:$F,4,FALSE)-SUMIFS($E$2:$E725,$C$2:$C725,C725,$D$2:$D725,"*Package*"))</f>
        <v/>
      </c>
      <c r="G725" t="str">
        <f t="shared" si="25"/>
        <v/>
      </c>
      <c r="H725" s="33">
        <f>IF(ISNUMBER(SEARCH("Group",D725)),IF(G725="",E725,IFERROR(E725/COUNTIF($G2:$G6000,G725),E725)),E725)</f>
        <v>0</v>
      </c>
      <c r="I725" s="1" t="str">
        <f>IFERROR(VLOOKUP(C725,'Clients List'!A:F,6,FALSE),"")</f>
        <v/>
      </c>
      <c r="K725" s="23" t="str">
        <f>IFERROR(INDEX([2]Packages!E:E, MATCH(1, ([2]Packages!A:A=B725)*([2]Packages!B:B=C725), 0)) - SUMIFS(D$2:D725, B$2:B725, B725, C$2:C725, C725),"")</f>
        <v/>
      </c>
    </row>
    <row r="726" spans="4:11" x14ac:dyDescent="0.45">
      <c r="D726" t="str">
        <f>IFERROR(VLOOKUP(C726,'Clients List'!$A:$F,2,FALSE),"")</f>
        <v/>
      </c>
      <c r="F726" s="1" t="str">
        <f>IF(OR(C726="",NOT(ISNUMBER(SEARCH("Package",D726)))),"",VLOOKUP(C726,'Clients List'!$A:$F,4,FALSE)-SUMIFS($E$2:$E726,$C$2:$C726,C726,$D$2:$D726,"*Package*"))</f>
        <v/>
      </c>
      <c r="G726" t="str">
        <f t="shared" si="25"/>
        <v/>
      </c>
      <c r="H726" s="33">
        <f>IF(ISNUMBER(SEARCH("Group",D726)),IF(G726="",E726,IFERROR(E726/COUNTIF($G2:$G6000,G726),E726)),E726)</f>
        <v>0</v>
      </c>
      <c r="I726" s="1" t="str">
        <f>IFERROR(VLOOKUP(C726,'Clients List'!A:F,6,FALSE),"")</f>
        <v/>
      </c>
      <c r="K726" s="23" t="str">
        <f>IFERROR(INDEX([2]Packages!E:E, MATCH(1, ([2]Packages!A:A=B726)*([2]Packages!B:B=C726), 0)) - SUMIFS(D$2:D726, B$2:B726, B726, C$2:C726, C726),"")</f>
        <v/>
      </c>
    </row>
    <row r="727" spans="4:11" x14ac:dyDescent="0.45">
      <c r="D727" t="str">
        <f>IFERROR(VLOOKUP(C727,'Clients List'!$A:$F,2,FALSE),"")</f>
        <v/>
      </c>
      <c r="F727" s="1" t="str">
        <f>IF(OR(C727="",NOT(ISNUMBER(SEARCH("Package",D727)))),"",VLOOKUP(C727,'Clients List'!$A:$F,4,FALSE)-SUMIFS($E$2:$E727,$C$2:$C727,C727,$D$2:$D727,"*Package*"))</f>
        <v/>
      </c>
      <c r="G727" t="str">
        <f t="shared" si="25"/>
        <v/>
      </c>
      <c r="H727" s="33">
        <f>IF(ISNUMBER(SEARCH("Group",D727)),IF(G727="",E727,IFERROR(E727/COUNTIF($G2:$G6000,G727),E727)),E727)</f>
        <v>0</v>
      </c>
      <c r="I727" s="1" t="str">
        <f>IFERROR(VLOOKUP(C727,'Clients List'!A:F,6,FALSE),"")</f>
        <v/>
      </c>
      <c r="K727" s="23" t="str">
        <f>IFERROR(INDEX([2]Packages!E:E, MATCH(1, ([2]Packages!A:A=B727)*([2]Packages!B:B=C727), 0)) - SUMIFS(D$2:D727, B$2:B727, B727, C$2:C727, C727),"")</f>
        <v/>
      </c>
    </row>
    <row r="728" spans="4:11" x14ac:dyDescent="0.45">
      <c r="D728" t="str">
        <f>IFERROR(VLOOKUP(C728,'Clients List'!$A:$F,2,FALSE),"")</f>
        <v/>
      </c>
      <c r="F728" s="1" t="str">
        <f>IF(OR(C728="",NOT(ISNUMBER(SEARCH("Package",D728)))),"",VLOOKUP(C728,'Clients List'!$A:$F,4,FALSE)-SUMIFS($E$2:$E728,$C$2:$C728,C728,$D$2:$D728,"*Package*"))</f>
        <v/>
      </c>
      <c r="G728" t="str">
        <f t="shared" si="25"/>
        <v/>
      </c>
      <c r="H728" s="33">
        <f>IF(ISNUMBER(SEARCH("Group",D728)),IF(G728="",E728,IFERROR(E728/COUNTIF($G2:$G6000,G728),E728)),E728)</f>
        <v>0</v>
      </c>
      <c r="I728" s="1" t="str">
        <f>IFERROR(VLOOKUP(C728,'Clients List'!A:F,6,FALSE),"")</f>
        <v/>
      </c>
      <c r="K728" s="23" t="str">
        <f>IFERROR(INDEX([2]Packages!E:E, MATCH(1, ([2]Packages!A:A=B728)*([2]Packages!B:B=C728), 0)) - SUMIFS(D$2:D728, B$2:B728, B728, C$2:C728, C728),"")</f>
        <v/>
      </c>
    </row>
    <row r="729" spans="4:11" x14ac:dyDescent="0.45">
      <c r="D729" t="str">
        <f>IFERROR(VLOOKUP(C729,'Clients List'!$A:$F,2,FALSE),"")</f>
        <v/>
      </c>
      <c r="F729" s="1" t="str">
        <f>IF(OR(C729="",NOT(ISNUMBER(SEARCH("Package",D729)))),"",VLOOKUP(C729,'Clients List'!$A:$F,4,FALSE)-SUMIFS($E$2:$E729,$C$2:$C729,C729,$D$2:$D729,"*Package*"))</f>
        <v/>
      </c>
      <c r="G729" t="str">
        <f t="shared" si="25"/>
        <v/>
      </c>
      <c r="H729" s="33">
        <f>IF(ISNUMBER(SEARCH("Group",D729)),IF(G729="",E729,IFERROR(E729/COUNTIF($G2:$G6000,G729),E729)),E729)</f>
        <v>0</v>
      </c>
      <c r="I729" s="1" t="str">
        <f>IFERROR(VLOOKUP(C729,'Clients List'!A:F,6,FALSE),"")</f>
        <v/>
      </c>
      <c r="K729" s="23" t="str">
        <f>IFERROR(INDEX([2]Packages!E:E, MATCH(1, ([2]Packages!A:A=B729)*([2]Packages!B:B=C729), 0)) - SUMIFS(D$2:D729, B$2:B729, B729, C$2:C729, C729),"")</f>
        <v/>
      </c>
    </row>
    <row r="730" spans="4:11" x14ac:dyDescent="0.45">
      <c r="D730" t="str">
        <f>IFERROR(VLOOKUP(C730,'Clients List'!$A:$F,2,FALSE),"")</f>
        <v/>
      </c>
      <c r="F730" s="1" t="str">
        <f>IF(OR(C730="",NOT(ISNUMBER(SEARCH("Package",D730)))),"",VLOOKUP(C730,'Clients List'!$A:$F,4,FALSE)-SUMIFS($E$2:$E730,$C$2:$C730,C730,$D$2:$D730,"*Package*"))</f>
        <v/>
      </c>
      <c r="G730" t="str">
        <f t="shared" si="25"/>
        <v/>
      </c>
      <c r="H730" s="33">
        <f>IF(ISNUMBER(SEARCH("Group",D730)),IF(G730="",E730,IFERROR(E730/COUNTIF($G2:$G6000,G730),E730)),E730)</f>
        <v>0</v>
      </c>
      <c r="I730" s="1" t="str">
        <f>IFERROR(VLOOKUP(C730,'Clients List'!A:F,6,FALSE),"")</f>
        <v/>
      </c>
      <c r="K730" s="23" t="str">
        <f>IFERROR(INDEX([2]Packages!E:E, MATCH(1, ([2]Packages!A:A=B730)*([2]Packages!B:B=C730), 0)) - SUMIFS(D$2:D730, B$2:B730, B730, C$2:C730, C730),"")</f>
        <v/>
      </c>
    </row>
    <row r="731" spans="4:11" x14ac:dyDescent="0.45">
      <c r="D731" t="str">
        <f>IFERROR(VLOOKUP(C731,'Clients List'!$A:$F,2,FALSE),"")</f>
        <v/>
      </c>
      <c r="F731" s="1" t="str">
        <f>IF(OR(C731="",NOT(ISNUMBER(SEARCH("Package",D731)))),"",VLOOKUP(C731,'Clients List'!$A:$F,4,FALSE)-SUMIFS($E$2:$E731,$C$2:$C731,C731,$D$2:$D731,"*Package*"))</f>
        <v/>
      </c>
      <c r="G731" t="str">
        <f t="shared" si="25"/>
        <v/>
      </c>
      <c r="H731" s="33">
        <f>IF(ISNUMBER(SEARCH("Group",D731)),IF(G731="",E731,IFERROR(E731/COUNTIF($G2:$G6000,G731),E731)),E731)</f>
        <v>0</v>
      </c>
      <c r="I731" s="1" t="str">
        <f>IFERROR(VLOOKUP(C731,'Clients List'!A:F,6,FALSE),"")</f>
        <v/>
      </c>
      <c r="K731" s="23" t="str">
        <f>IFERROR(INDEX([2]Packages!E:E, MATCH(1, ([2]Packages!A:A=B731)*([2]Packages!B:B=C731), 0)) - SUMIFS(D$2:D731, B$2:B731, B731, C$2:C731, C731),"")</f>
        <v/>
      </c>
    </row>
    <row r="732" spans="4:11" x14ac:dyDescent="0.45">
      <c r="D732" t="str">
        <f>IFERROR(VLOOKUP(C732,'Clients List'!$A:$F,2,FALSE),"")</f>
        <v/>
      </c>
      <c r="F732" s="1" t="str">
        <f>IF(OR(C732="",NOT(ISNUMBER(SEARCH("Package",D732)))),"",VLOOKUP(C732,'Clients List'!$A:$F,4,FALSE)-SUMIFS($E$2:$E732,$C$2:$C732,C732,$D$2:$D732,"*Package*"))</f>
        <v/>
      </c>
      <c r="G732" t="str">
        <f t="shared" si="25"/>
        <v/>
      </c>
      <c r="H732" s="33">
        <f>IF(ISNUMBER(SEARCH("Group",D732)),IF(G732="",E732,IFERROR(E732/COUNTIF($G2:$G6000,G732),E732)),E732)</f>
        <v>0</v>
      </c>
      <c r="I732" s="1" t="str">
        <f>IFERROR(VLOOKUP(C732,'Clients List'!A:F,6,FALSE),"")</f>
        <v/>
      </c>
      <c r="K732" s="23" t="str">
        <f>IFERROR(INDEX([2]Packages!E:E, MATCH(1, ([2]Packages!A:A=B732)*([2]Packages!B:B=C732), 0)) - SUMIFS(D$2:D732, B$2:B732, B732, C$2:C732, C732),"")</f>
        <v/>
      </c>
    </row>
    <row r="733" spans="4:11" x14ac:dyDescent="0.45">
      <c r="D733" t="str">
        <f>IFERROR(VLOOKUP(C733,'Clients List'!$A:$F,2,FALSE),"")</f>
        <v/>
      </c>
      <c r="F733" s="1" t="str">
        <f>IF(OR(C733="",NOT(ISNUMBER(SEARCH("Package",D733)))),"",VLOOKUP(C733,'Clients List'!$A:$F,4,FALSE)-SUMIFS($E$2:$E733,$C$2:$C733,C733,$D$2:$D733,"*Package*"))</f>
        <v/>
      </c>
      <c r="G733" t="str">
        <f t="shared" si="25"/>
        <v/>
      </c>
      <c r="H733" s="33">
        <f>IF(ISNUMBER(SEARCH("Group",D733)),IF(G733="",E733,IFERROR(E733/COUNTIF($G2:$G6000,G733),E733)),E733)</f>
        <v>0</v>
      </c>
      <c r="I733" s="1" t="str">
        <f>IFERROR(VLOOKUP(C733,'Clients List'!A:F,6,FALSE),"")</f>
        <v/>
      </c>
      <c r="K733" s="23" t="str">
        <f>IFERROR(INDEX([2]Packages!E:E, MATCH(1, ([2]Packages!A:A=B733)*([2]Packages!B:B=C733), 0)) - SUMIFS(D$2:D733, B$2:B733, B733, C$2:C733, C733),"")</f>
        <v/>
      </c>
    </row>
    <row r="734" spans="4:11" x14ac:dyDescent="0.45">
      <c r="D734" t="str">
        <f>IFERROR(VLOOKUP(C734,'Clients List'!$A:$F,2,FALSE),"")</f>
        <v/>
      </c>
      <c r="F734" s="1" t="str">
        <f>IF(OR(C734="",NOT(ISNUMBER(SEARCH("Package",D734)))),"",VLOOKUP(C734,'Clients List'!$A:$F,4,FALSE)-SUMIFS($E$2:$E734,$C$2:$C734,C734,$D$2:$D734,"*Package*"))</f>
        <v/>
      </c>
      <c r="G734" t="str">
        <f t="shared" si="25"/>
        <v/>
      </c>
      <c r="H734" s="33">
        <f>IF(ISNUMBER(SEARCH("Group",D734)),IF(G734="",E734,IFERROR(E734/COUNTIF($G2:$G6000,G734),E734)),E734)</f>
        <v>0</v>
      </c>
      <c r="I734" s="1" t="str">
        <f>IFERROR(VLOOKUP(C734,'Clients List'!A:F,6,FALSE),"")</f>
        <v/>
      </c>
      <c r="K734" s="23" t="str">
        <f>IFERROR(INDEX([2]Packages!E:E, MATCH(1, ([2]Packages!A:A=B734)*([2]Packages!B:B=C734), 0)) - SUMIFS(D$2:D734, B$2:B734, B734, C$2:C734, C734),"")</f>
        <v/>
      </c>
    </row>
    <row r="735" spans="4:11" x14ac:dyDescent="0.45">
      <c r="D735" t="str">
        <f>IFERROR(VLOOKUP(C735,'Clients List'!$A:$F,2,FALSE),"")</f>
        <v/>
      </c>
      <c r="F735" s="1" t="str">
        <f>IF(OR(C735="",NOT(ISNUMBER(SEARCH("Package",D735)))),"",VLOOKUP(C735,'Clients List'!$A:$F,4,FALSE)-SUMIFS($E$2:$E735,$C$2:$C735,C735,$D$2:$D735,"*Package*"))</f>
        <v/>
      </c>
      <c r="G735" t="str">
        <f t="shared" si="25"/>
        <v/>
      </c>
      <c r="H735" s="33">
        <f>IF(ISNUMBER(SEARCH("Group",D735)),IF(G735="",E735,IFERROR(E735/COUNTIF($G2:$G6000,G735),E735)),E735)</f>
        <v>0</v>
      </c>
      <c r="I735" s="1" t="str">
        <f>IFERROR(VLOOKUP(C735,'Clients List'!A:F,6,FALSE),"")</f>
        <v/>
      </c>
      <c r="K735" s="23" t="str">
        <f>IFERROR(INDEX([2]Packages!E:E, MATCH(1, ([2]Packages!A:A=B735)*([2]Packages!B:B=C735), 0)) - SUMIFS(D$2:D735, B$2:B735, B735, C$2:C735, C735),"")</f>
        <v/>
      </c>
    </row>
    <row r="736" spans="4:11" x14ac:dyDescent="0.45">
      <c r="D736" t="str">
        <f>IFERROR(VLOOKUP(C736,'Clients List'!$A:$F,2,FALSE),"")</f>
        <v/>
      </c>
      <c r="F736" s="1" t="str">
        <f>IF(OR(C736="",NOT(ISNUMBER(SEARCH("Package",D736)))),"",VLOOKUP(C736,'Clients List'!$A:$F,4,FALSE)-SUMIFS($E$2:$E736,$C$2:$C736,C736,$D$2:$D736,"*Package*"))</f>
        <v/>
      </c>
      <c r="G736" t="str">
        <f t="shared" si="25"/>
        <v/>
      </c>
      <c r="H736" s="33">
        <f>IF(ISNUMBER(SEARCH("Group",D736)),IF(G736="",E736,IFERROR(E736/COUNTIF($G2:$G6000,G736),E736)),E736)</f>
        <v>0</v>
      </c>
      <c r="I736" s="1" t="str">
        <f>IFERROR(VLOOKUP(C736,'Clients List'!A:F,6,FALSE),"")</f>
        <v/>
      </c>
      <c r="K736" s="23" t="str">
        <f>IFERROR(INDEX([2]Packages!E:E, MATCH(1, ([2]Packages!A:A=B736)*([2]Packages!B:B=C736), 0)) - SUMIFS(D$2:D736, B$2:B736, B736, C$2:C736, C736),"")</f>
        <v/>
      </c>
    </row>
    <row r="737" spans="4:11" x14ac:dyDescent="0.45">
      <c r="D737" t="str">
        <f>IFERROR(VLOOKUP(C737,'Clients List'!$A:$F,2,FALSE),"")</f>
        <v/>
      </c>
      <c r="F737" s="1" t="str">
        <f>IF(OR(C737="",NOT(ISNUMBER(SEARCH("Package",D737)))),"",VLOOKUP(C737,'Clients List'!$A:$F,4,FALSE)-SUMIFS($E$2:$E737,$C$2:$C737,C737,$D$2:$D737,"*Package*"))</f>
        <v/>
      </c>
      <c r="G737" t="str">
        <f t="shared" si="25"/>
        <v/>
      </c>
      <c r="H737" s="33">
        <f>IF(ISNUMBER(SEARCH("Group",D737)),IF(G737="",E737,IFERROR(E737/COUNTIF($G2:$G6000,G737),E737)),E737)</f>
        <v>0</v>
      </c>
      <c r="I737" s="1" t="str">
        <f>IFERROR(VLOOKUP(C737,'Clients List'!A:F,6,FALSE),"")</f>
        <v/>
      </c>
      <c r="K737" s="23" t="str">
        <f>IFERROR(INDEX([2]Packages!E:E, MATCH(1, ([2]Packages!A:A=B737)*([2]Packages!B:B=C737), 0)) - SUMIFS(D$2:D737, B$2:B737, B737, C$2:C737, C737),"")</f>
        <v/>
      </c>
    </row>
    <row r="738" spans="4:11" x14ac:dyDescent="0.45">
      <c r="D738" t="str">
        <f>IFERROR(VLOOKUP(C738,'Clients List'!$A:$F,2,FALSE),"")</f>
        <v/>
      </c>
      <c r="F738" s="1" t="str">
        <f>IF(OR(C738="",NOT(ISNUMBER(SEARCH("Package",D738)))),"",VLOOKUP(C738,'Clients List'!$A:$F,4,FALSE)-SUMIFS($E$2:$E738,$C$2:$C738,C738,$D$2:$D738,"*Package*"))</f>
        <v/>
      </c>
      <c r="G738" t="str">
        <f t="shared" si="25"/>
        <v/>
      </c>
      <c r="H738" s="33">
        <f>IF(ISNUMBER(SEARCH("Group",D738)),IF(G738="",E738,IFERROR(E738/COUNTIF($G2:$G6000,G738),E738)),E738)</f>
        <v>0</v>
      </c>
      <c r="I738" s="1" t="str">
        <f>IFERROR(VLOOKUP(C738,'Clients List'!A:F,6,FALSE),"")</f>
        <v/>
      </c>
      <c r="K738" s="23" t="str">
        <f>IFERROR(INDEX([2]Packages!E:E, MATCH(1, ([2]Packages!A:A=B738)*([2]Packages!B:B=C738), 0)) - SUMIFS(D$2:D738, B$2:B738, B738, C$2:C738, C738),"")</f>
        <v/>
      </c>
    </row>
    <row r="739" spans="4:11" x14ac:dyDescent="0.45">
      <c r="D739" t="str">
        <f>IFERROR(VLOOKUP(C739,'Clients List'!$A:$F,2,FALSE),"")</f>
        <v/>
      </c>
      <c r="F739" s="1" t="str">
        <f>IF(OR(C739="",NOT(ISNUMBER(SEARCH("Package",D739)))),"",VLOOKUP(C739,'Clients List'!$A:$F,4,FALSE)-SUMIFS($E$2:$E739,$C$2:$C739,C739,$D$2:$D739,"*Package*"))</f>
        <v/>
      </c>
      <c r="G739" t="str">
        <f t="shared" si="25"/>
        <v/>
      </c>
      <c r="H739" s="33">
        <f>IF(ISNUMBER(SEARCH("Group",D739)),IF(G739="",E739,IFERROR(E739/COUNTIF($G2:$G6000,G739),E739)),E739)</f>
        <v>0</v>
      </c>
      <c r="I739" s="1" t="str">
        <f>IFERROR(VLOOKUP(C739,'Clients List'!A:F,6,FALSE),"")</f>
        <v/>
      </c>
      <c r="K739" s="23" t="str">
        <f>IFERROR(INDEX([2]Packages!E:E, MATCH(1, ([2]Packages!A:A=B739)*([2]Packages!B:B=C739), 0)) - SUMIFS(D$2:D739, B$2:B739, B739, C$2:C739, C739),"")</f>
        <v/>
      </c>
    </row>
    <row r="740" spans="4:11" x14ac:dyDescent="0.45">
      <c r="D740" t="str">
        <f>IFERROR(VLOOKUP(C740,'Clients List'!$A:$F,2,FALSE),"")</f>
        <v/>
      </c>
      <c r="F740" s="1" t="str">
        <f>IF(OR(C740="",NOT(ISNUMBER(SEARCH("Package",D740)))),"",VLOOKUP(C740,'Clients List'!$A:$F,4,FALSE)-SUMIFS($E$2:$E740,$C$2:$C740,C740,$D$2:$D740,"*Package*"))</f>
        <v/>
      </c>
      <c r="G740" t="str">
        <f t="shared" si="25"/>
        <v/>
      </c>
      <c r="H740" s="33">
        <f>IF(ISNUMBER(SEARCH("Group",D740)),IF(G740="",E740,IFERROR(E740/COUNTIF($G2:$G6000,G740),E740)),E740)</f>
        <v>0</v>
      </c>
      <c r="I740" s="1" t="str">
        <f>IFERROR(VLOOKUP(C740,'Clients List'!A:F,6,FALSE),"")</f>
        <v/>
      </c>
      <c r="K740" s="23" t="str">
        <f>IFERROR(INDEX([2]Packages!E:E, MATCH(1, ([2]Packages!A:A=B740)*([2]Packages!B:B=C740), 0)) - SUMIFS(D$2:D740, B$2:B740, B740, C$2:C740, C740),"")</f>
        <v/>
      </c>
    </row>
    <row r="741" spans="4:11" x14ac:dyDescent="0.45">
      <c r="D741" t="str">
        <f>IFERROR(VLOOKUP(C741,'Clients List'!$A:$F,2,FALSE),"")</f>
        <v/>
      </c>
      <c r="F741" s="1" t="str">
        <f>IF(OR(C741="",NOT(ISNUMBER(SEARCH("Package",D741)))),"",VLOOKUP(C741,'Clients List'!$A:$F,4,FALSE)-SUMIFS($E$2:$E741,$C$2:$C741,C741,$D$2:$D741,"*Package*"))</f>
        <v/>
      </c>
      <c r="G741" t="str">
        <f t="shared" si="25"/>
        <v/>
      </c>
      <c r="H741" s="33">
        <f>IF(ISNUMBER(SEARCH("Group",D741)),IF(G741="",E741,IFERROR(E741/COUNTIF($G2:$G6000,G741),E741)),E741)</f>
        <v>0</v>
      </c>
      <c r="I741" s="1" t="str">
        <f>IFERROR(VLOOKUP(C741,'Clients List'!A:F,6,FALSE),"")</f>
        <v/>
      </c>
      <c r="K741" s="23" t="str">
        <f>IFERROR(INDEX([2]Packages!E:E, MATCH(1, ([2]Packages!A:A=B741)*([2]Packages!B:B=C741), 0)) - SUMIFS(D$2:D741, B$2:B741, B741, C$2:C741, C741),"")</f>
        <v/>
      </c>
    </row>
    <row r="742" spans="4:11" x14ac:dyDescent="0.45">
      <c r="D742" t="str">
        <f>IFERROR(VLOOKUP(C742,'Clients List'!$A:$F,2,FALSE),"")</f>
        <v/>
      </c>
      <c r="F742" s="1" t="str">
        <f>IF(OR(C742="",NOT(ISNUMBER(SEARCH("Package",D742)))),"",VLOOKUP(C742,'Clients List'!$A:$F,4,FALSE)-SUMIFS($E$2:$E742,$C$2:$C742,C742,$D$2:$D742,"*Package*"))</f>
        <v/>
      </c>
      <c r="G742" t="str">
        <f t="shared" si="25"/>
        <v/>
      </c>
      <c r="H742" s="33">
        <f>IF(ISNUMBER(SEARCH("Group",D742)),IF(G742="",E742,IFERROR(E742/COUNTIF($G2:$G6000,G742),E742)),E742)</f>
        <v>0</v>
      </c>
      <c r="I742" s="1" t="str">
        <f>IFERROR(VLOOKUP(C742,'Clients List'!A:F,6,FALSE),"")</f>
        <v/>
      </c>
      <c r="K742" s="23" t="str">
        <f>IFERROR(INDEX([2]Packages!E:E, MATCH(1, ([2]Packages!A:A=B742)*([2]Packages!B:B=C742), 0)) - SUMIFS(D$2:D742, B$2:B742, B742, C$2:C742, C742),"")</f>
        <v/>
      </c>
    </row>
    <row r="743" spans="4:11" x14ac:dyDescent="0.45">
      <c r="D743" t="str">
        <f>IFERROR(VLOOKUP(C743,'Clients List'!$A:$F,2,FALSE),"")</f>
        <v/>
      </c>
      <c r="F743" s="1" t="str">
        <f>IF(OR(C743="",NOT(ISNUMBER(SEARCH("Package",D743)))),"",VLOOKUP(C743,'Clients List'!$A:$F,4,FALSE)-SUMIFS($E$2:$E743,$C$2:$C743,C743,$D$2:$D743,"*Package*"))</f>
        <v/>
      </c>
      <c r="G743" t="str">
        <f t="shared" si="25"/>
        <v/>
      </c>
      <c r="H743" s="33">
        <f>IF(ISNUMBER(SEARCH("Group",D743)),IF(G743="",E743,IFERROR(E743/COUNTIF($G2:$G6000,G743),E743)),E743)</f>
        <v>0</v>
      </c>
      <c r="I743" s="1" t="str">
        <f>IFERROR(VLOOKUP(C743,'Clients List'!A:F,6,FALSE),"")</f>
        <v/>
      </c>
      <c r="K743" s="23" t="str">
        <f>IFERROR(INDEX([2]Packages!E:E, MATCH(1, ([2]Packages!A:A=B743)*([2]Packages!B:B=C743), 0)) - SUMIFS(D$2:D743, B$2:B743, B743, C$2:C743, C743),"")</f>
        <v/>
      </c>
    </row>
    <row r="744" spans="4:11" x14ac:dyDescent="0.45">
      <c r="D744" t="str">
        <f>IFERROR(VLOOKUP(C744,'Clients List'!$A:$F,2,FALSE),"")</f>
        <v/>
      </c>
      <c r="F744" s="1" t="str">
        <f>IF(OR(C744="",NOT(ISNUMBER(SEARCH("Package",D744)))),"",VLOOKUP(C744,'Clients List'!$A:$F,4,FALSE)-SUMIFS($E$2:$E744,$C$2:$C744,C744,$D$2:$D744,"*Package*"))</f>
        <v/>
      </c>
      <c r="G744" t="str">
        <f t="shared" si="25"/>
        <v/>
      </c>
      <c r="H744" s="33">
        <f>IF(ISNUMBER(SEARCH("Group",D744)),IF(G744="",E744,IFERROR(E744/COUNTIF($G2:$G6000,G744),E744)),E744)</f>
        <v>0</v>
      </c>
      <c r="I744" s="1" t="str">
        <f>IFERROR(VLOOKUP(C744,'Clients List'!A:F,6,FALSE),"")</f>
        <v/>
      </c>
      <c r="K744" s="23" t="str">
        <f>IFERROR(INDEX([2]Packages!E:E, MATCH(1, ([2]Packages!A:A=B744)*([2]Packages!B:B=C744), 0)) - SUMIFS(D$2:D744, B$2:B744, B744, C$2:C744, C744),"")</f>
        <v/>
      </c>
    </row>
    <row r="745" spans="4:11" x14ac:dyDescent="0.45">
      <c r="D745" t="str">
        <f>IFERROR(VLOOKUP(C745,'Clients List'!$A:$F,2,FALSE),"")</f>
        <v/>
      </c>
      <c r="F745" s="1" t="str">
        <f>IF(OR(C745="",NOT(ISNUMBER(SEARCH("Package",D745)))),"",VLOOKUP(C745,'Clients List'!$A:$F,4,FALSE)-SUMIFS($E$2:$E745,$C$2:$C745,C745,$D$2:$D745,"*Package*"))</f>
        <v/>
      </c>
      <c r="G745" t="str">
        <f t="shared" si="25"/>
        <v/>
      </c>
      <c r="H745" s="33">
        <f>IF(ISNUMBER(SEARCH("Group",D745)),IF(G745="",E745,IFERROR(E745/COUNTIF($G2:$G6000,G745),E745)),E745)</f>
        <v>0</v>
      </c>
      <c r="I745" s="1" t="str">
        <f>IFERROR(VLOOKUP(C745,'Clients List'!A:F,6,FALSE),"")</f>
        <v/>
      </c>
      <c r="K745" s="23" t="str">
        <f>IFERROR(INDEX([2]Packages!E:E, MATCH(1, ([2]Packages!A:A=B745)*([2]Packages!B:B=C745), 0)) - SUMIFS(D$2:D745, B$2:B745, B745, C$2:C745, C745),"")</f>
        <v/>
      </c>
    </row>
    <row r="746" spans="4:11" x14ac:dyDescent="0.45">
      <c r="D746" t="str">
        <f>IFERROR(VLOOKUP(C746,'Clients List'!$A:$F,2,FALSE),"")</f>
        <v/>
      </c>
      <c r="F746" s="1" t="str">
        <f>IF(OR(C746="",NOT(ISNUMBER(SEARCH("Package",D746)))),"",VLOOKUP(C746,'Clients List'!$A:$F,4,FALSE)-SUMIFS($E$2:$E746,$C$2:$C746,C746,$D$2:$D746,"*Package*"))</f>
        <v/>
      </c>
      <c r="G746" t="str">
        <f t="shared" si="25"/>
        <v/>
      </c>
      <c r="H746" s="33">
        <f>IF(ISNUMBER(SEARCH("Group",D746)),IF(G746="",E746,IFERROR(E746/COUNTIF($G2:$G6000,G746),E746)),E746)</f>
        <v>0</v>
      </c>
      <c r="I746" s="1" t="str">
        <f>IFERROR(VLOOKUP(C746,'Clients List'!A:F,6,FALSE),"")</f>
        <v/>
      </c>
      <c r="K746" s="23" t="str">
        <f>IFERROR(INDEX([2]Packages!E:E, MATCH(1, ([2]Packages!A:A=B746)*([2]Packages!B:B=C746), 0)) - SUMIFS(D$2:D746, B$2:B746, B746, C$2:C746, C746),"")</f>
        <v/>
      </c>
    </row>
    <row r="747" spans="4:11" x14ac:dyDescent="0.45">
      <c r="D747" t="str">
        <f>IFERROR(VLOOKUP(C747,'Clients List'!$A:$F,2,FALSE),"")</f>
        <v/>
      </c>
      <c r="F747" s="1" t="str">
        <f>IF(OR(C747="",NOT(ISNUMBER(SEARCH("Package",D747)))),"",VLOOKUP(C747,'Clients List'!$A:$F,4,FALSE)-SUMIFS($E$2:$E747,$C$2:$C747,C747,$D$2:$D747,"*Package*"))</f>
        <v/>
      </c>
      <c r="G747" t="str">
        <f t="shared" si="25"/>
        <v/>
      </c>
      <c r="H747" s="33">
        <f>IF(ISNUMBER(SEARCH("Group",D747)),IF(G747="",E747,IFERROR(E747/COUNTIF($G2:$G6000,G747),E747)),E747)</f>
        <v>0</v>
      </c>
      <c r="I747" s="1" t="str">
        <f>IFERROR(VLOOKUP(C747,'Clients List'!A:F,6,FALSE),"")</f>
        <v/>
      </c>
      <c r="K747" s="23" t="str">
        <f>IFERROR(INDEX([2]Packages!E:E, MATCH(1, ([2]Packages!A:A=B747)*([2]Packages!B:B=C747), 0)) - SUMIFS(D$2:D747, B$2:B747, B747, C$2:C747, C747),"")</f>
        <v/>
      </c>
    </row>
    <row r="748" spans="4:11" x14ac:dyDescent="0.45">
      <c r="D748" t="str">
        <f>IFERROR(VLOOKUP(C748,'Clients List'!$A:$F,2,FALSE),"")</f>
        <v/>
      </c>
      <c r="F748" s="1" t="str">
        <f>IF(OR(C748="",NOT(ISNUMBER(SEARCH("Package",D748)))),"",VLOOKUP(C748,'Clients List'!$A:$F,4,FALSE)-SUMIFS($E$2:$E748,$C$2:$C748,C748,$D$2:$D748,"*Package*"))</f>
        <v/>
      </c>
      <c r="G748" t="str">
        <f t="shared" si="25"/>
        <v/>
      </c>
      <c r="H748" s="33">
        <f>IF(ISNUMBER(SEARCH("Group",D748)),IF(G748="",E748,IFERROR(E748/COUNTIF($G2:$G6000,G748),E748)),E748)</f>
        <v>0</v>
      </c>
      <c r="I748" s="1" t="str">
        <f>IFERROR(VLOOKUP(C748,'Clients List'!A:F,6,FALSE),"")</f>
        <v/>
      </c>
      <c r="K748" s="23" t="str">
        <f>IFERROR(INDEX([2]Packages!E:E, MATCH(1, ([2]Packages!A:A=B748)*([2]Packages!B:B=C748), 0)) - SUMIFS(D$2:D748, B$2:B748, B748, C$2:C748, C748),"")</f>
        <v/>
      </c>
    </row>
    <row r="749" spans="4:11" x14ac:dyDescent="0.45">
      <c r="D749" t="str">
        <f>IFERROR(VLOOKUP(C749,'Clients List'!$A:$F,2,FALSE),"")</f>
        <v/>
      </c>
      <c r="F749" s="1" t="str">
        <f>IF(OR(C749="",NOT(ISNUMBER(SEARCH("Package",D749)))),"",VLOOKUP(C749,'Clients List'!$A:$F,4,FALSE)-SUMIFS($E$2:$E749,$C$2:$C749,C749,$D$2:$D749,"*Package*"))</f>
        <v/>
      </c>
      <c r="G749" t="str">
        <f t="shared" si="25"/>
        <v/>
      </c>
      <c r="H749" s="33">
        <f>IF(ISNUMBER(SEARCH("Group",D749)),IF(G749="",E749,IFERROR(E749/COUNTIF($G2:$G6000,G749),E749)),E749)</f>
        <v>0</v>
      </c>
      <c r="I749" s="1" t="str">
        <f>IFERROR(VLOOKUP(C749,'Clients List'!A:F,6,FALSE),"")</f>
        <v/>
      </c>
      <c r="K749" s="23" t="str">
        <f>IFERROR(INDEX([2]Packages!E:E, MATCH(1, ([2]Packages!A:A=B749)*([2]Packages!B:B=C749), 0)) - SUMIFS(D$2:D749, B$2:B749, B749, C$2:C749, C749),"")</f>
        <v/>
      </c>
    </row>
    <row r="750" spans="4:11" x14ac:dyDescent="0.45">
      <c r="D750" t="str">
        <f>IFERROR(VLOOKUP(C750,'Clients List'!$A:$F,2,FALSE),"")</f>
        <v/>
      </c>
      <c r="F750" s="1" t="str">
        <f>IF(OR(C750="",NOT(ISNUMBER(SEARCH("Package",D750)))),"",VLOOKUP(C750,'Clients List'!$A:$F,4,FALSE)-SUMIFS($E$2:$E750,$C$2:$C750,C750,$D$2:$D750,"*Package*"))</f>
        <v/>
      </c>
      <c r="G750" t="str">
        <f t="shared" ref="G750:G781" si="26">IF(ISNUMBER(SEARCH("Group",D750)),IFERROR("GRP-"&amp;TEXT(IF(ISNUMBER(A750),A750,DATEVALUE(A750)),"yyyymmdd"),""),"" )</f>
        <v/>
      </c>
      <c r="H750" s="33">
        <f>IF(ISNUMBER(SEARCH("Group",D750)),IF(G750="",E750,IFERROR(E750/COUNTIF($G2:$G6000,G750),E750)),E750)</f>
        <v>0</v>
      </c>
      <c r="I750" s="1" t="str">
        <f>IFERROR(VLOOKUP(C750,'Clients List'!A:F,6,FALSE),"")</f>
        <v/>
      </c>
      <c r="K750" s="23" t="str">
        <f>IFERROR(INDEX([2]Packages!E:E, MATCH(1, ([2]Packages!A:A=B750)*([2]Packages!B:B=C750), 0)) - SUMIFS(D$2:D750, B$2:B750, B750, C$2:C750, C750),"")</f>
        <v/>
      </c>
    </row>
    <row r="751" spans="4:11" x14ac:dyDescent="0.45">
      <c r="D751" t="str">
        <f>IFERROR(VLOOKUP(C751,'Clients List'!$A:$F,2,FALSE),"")</f>
        <v/>
      </c>
      <c r="F751" s="1" t="str">
        <f>IF(OR(C751="",NOT(ISNUMBER(SEARCH("Package",D751)))),"",VLOOKUP(C751,'Clients List'!$A:$F,4,FALSE)-SUMIFS($E$2:$E751,$C$2:$C751,C751,$D$2:$D751,"*Package*"))</f>
        <v/>
      </c>
      <c r="G751" t="str">
        <f t="shared" si="26"/>
        <v/>
      </c>
      <c r="H751" s="33">
        <f>IF(ISNUMBER(SEARCH("Group",D751)),IF(G751="",E751,IFERROR(E751/COUNTIF($G2:$G6000,G751),E751)),E751)</f>
        <v>0</v>
      </c>
      <c r="I751" s="1" t="str">
        <f>IFERROR(VLOOKUP(C751,'Clients List'!A:F,6,FALSE),"")</f>
        <v/>
      </c>
      <c r="K751" s="23" t="str">
        <f>IFERROR(INDEX([2]Packages!E:E, MATCH(1, ([2]Packages!A:A=B751)*([2]Packages!B:B=C751), 0)) - SUMIFS(D$2:D751, B$2:B751, B751, C$2:C751, C751),"")</f>
        <v/>
      </c>
    </row>
    <row r="752" spans="4:11" x14ac:dyDescent="0.45">
      <c r="D752" t="str">
        <f>IFERROR(VLOOKUP(C752,'Clients List'!$A:$F,2,FALSE),"")</f>
        <v/>
      </c>
      <c r="F752" s="1" t="str">
        <f>IF(OR(C752="",NOT(ISNUMBER(SEARCH("Package",D752)))),"",VLOOKUP(C752,'Clients List'!$A:$F,4,FALSE)-SUMIFS($E$2:$E752,$C$2:$C752,C752,$D$2:$D752,"*Package*"))</f>
        <v/>
      </c>
      <c r="G752" t="str">
        <f t="shared" si="26"/>
        <v/>
      </c>
      <c r="H752" s="33">
        <f>IF(ISNUMBER(SEARCH("Group",D752)),IF(G752="",E752,IFERROR(E752/COUNTIF($G2:$G6000,G752),E752)),E752)</f>
        <v>0</v>
      </c>
      <c r="I752" s="1" t="str">
        <f>IFERROR(VLOOKUP(C752,'Clients List'!A:F,6,FALSE),"")</f>
        <v/>
      </c>
      <c r="K752" s="23" t="str">
        <f>IFERROR(INDEX([2]Packages!E:E, MATCH(1, ([2]Packages!A:A=B752)*([2]Packages!B:B=C752), 0)) - SUMIFS(D$2:D752, B$2:B752, B752, C$2:C752, C752),"")</f>
        <v/>
      </c>
    </row>
    <row r="753" spans="4:11" x14ac:dyDescent="0.45">
      <c r="D753" t="str">
        <f>IFERROR(VLOOKUP(C753,'Clients List'!$A:$F,2,FALSE),"")</f>
        <v/>
      </c>
      <c r="F753" s="1" t="str">
        <f>IF(OR(C753="",NOT(ISNUMBER(SEARCH("Package",D753)))),"",VLOOKUP(C753,'Clients List'!$A:$F,4,FALSE)-SUMIFS($E$2:$E753,$C$2:$C753,C753,$D$2:$D753,"*Package*"))</f>
        <v/>
      </c>
      <c r="G753" t="str">
        <f t="shared" si="26"/>
        <v/>
      </c>
      <c r="H753" s="33">
        <f>IF(ISNUMBER(SEARCH("Group",D753)),IF(G753="",E753,IFERROR(E753/COUNTIF($G2:$G6000,G753),E753)),E753)</f>
        <v>0</v>
      </c>
      <c r="I753" s="1" t="str">
        <f>IFERROR(VLOOKUP(C753,'Clients List'!A:F,6,FALSE),"")</f>
        <v/>
      </c>
      <c r="K753" s="23" t="str">
        <f>IFERROR(INDEX([2]Packages!E:E, MATCH(1, ([2]Packages!A:A=B753)*([2]Packages!B:B=C753), 0)) - SUMIFS(D$2:D753, B$2:B753, B753, C$2:C753, C753),"")</f>
        <v/>
      </c>
    </row>
    <row r="754" spans="4:11" x14ac:dyDescent="0.45">
      <c r="D754" t="str">
        <f>IFERROR(VLOOKUP(C754,'Clients List'!$A:$F,2,FALSE),"")</f>
        <v/>
      </c>
      <c r="F754" s="1" t="str">
        <f>IF(OR(C754="",NOT(ISNUMBER(SEARCH("Package",D754)))),"",VLOOKUP(C754,'Clients List'!$A:$F,4,FALSE)-SUMIFS($E$2:$E754,$C$2:$C754,C754,$D$2:$D754,"*Package*"))</f>
        <v/>
      </c>
      <c r="G754" t="str">
        <f t="shared" si="26"/>
        <v/>
      </c>
      <c r="H754" s="33">
        <f>IF(ISNUMBER(SEARCH("Group",D754)),IF(G754="",E754,IFERROR(E754/COUNTIF($G2:$G6000,G754),E754)),E754)</f>
        <v>0</v>
      </c>
      <c r="I754" s="1" t="str">
        <f>IFERROR(VLOOKUP(C754,'Clients List'!A:F,6,FALSE),"")</f>
        <v/>
      </c>
      <c r="K754" s="23" t="str">
        <f>IFERROR(INDEX([2]Packages!E:E, MATCH(1, ([2]Packages!A:A=B754)*([2]Packages!B:B=C754), 0)) - SUMIFS(D$2:D754, B$2:B754, B754, C$2:C754, C754),"")</f>
        <v/>
      </c>
    </row>
    <row r="755" spans="4:11" x14ac:dyDescent="0.45">
      <c r="D755" t="str">
        <f>IFERROR(VLOOKUP(C755,'Clients List'!$A:$F,2,FALSE),"")</f>
        <v/>
      </c>
      <c r="F755" s="1" t="str">
        <f>IF(OR(C755="",NOT(ISNUMBER(SEARCH("Package",D755)))),"",VLOOKUP(C755,'Clients List'!$A:$F,4,FALSE)-SUMIFS($E$2:$E755,$C$2:$C755,C755,$D$2:$D755,"*Package*"))</f>
        <v/>
      </c>
      <c r="G755" t="str">
        <f t="shared" si="26"/>
        <v/>
      </c>
      <c r="H755" s="33">
        <f>IF(ISNUMBER(SEARCH("Group",D755)),IF(G755="",E755,IFERROR(E755/COUNTIF($G2:$G6000,G755),E755)),E755)</f>
        <v>0</v>
      </c>
      <c r="I755" s="1" t="str">
        <f>IFERROR(VLOOKUP(C755,'Clients List'!A:F,6,FALSE),"")</f>
        <v/>
      </c>
      <c r="K755" s="23" t="str">
        <f>IFERROR(INDEX([2]Packages!E:E, MATCH(1, ([2]Packages!A:A=B755)*([2]Packages!B:B=C755), 0)) - SUMIFS(D$2:D755, B$2:B755, B755, C$2:C755, C755),"")</f>
        <v/>
      </c>
    </row>
    <row r="756" spans="4:11" x14ac:dyDescent="0.45">
      <c r="D756" t="str">
        <f>IFERROR(VLOOKUP(C756,'Clients List'!$A:$F,2,FALSE),"")</f>
        <v/>
      </c>
      <c r="F756" s="1" t="str">
        <f>IF(OR(C756="",NOT(ISNUMBER(SEARCH("Package",D756)))),"",VLOOKUP(C756,'Clients List'!$A:$F,4,FALSE)-SUMIFS($E$2:$E756,$C$2:$C756,C756,$D$2:$D756,"*Package*"))</f>
        <v/>
      </c>
      <c r="G756" t="str">
        <f t="shared" si="26"/>
        <v/>
      </c>
      <c r="H756" s="33">
        <f>IF(ISNUMBER(SEARCH("Group",D756)),IF(G756="",E756,IFERROR(E756/COUNTIF($G2:$G6000,G756),E756)),E756)</f>
        <v>0</v>
      </c>
      <c r="I756" s="1" t="str">
        <f>IFERROR(VLOOKUP(C756,'Clients List'!A:F,6,FALSE),"")</f>
        <v/>
      </c>
      <c r="K756" s="23" t="str">
        <f>IFERROR(INDEX([2]Packages!E:E, MATCH(1, ([2]Packages!A:A=B756)*([2]Packages!B:B=C756), 0)) - SUMIFS(D$2:D756, B$2:B756, B756, C$2:C756, C756),"")</f>
        <v/>
      </c>
    </row>
    <row r="757" spans="4:11" x14ac:dyDescent="0.45">
      <c r="D757" t="str">
        <f>IFERROR(VLOOKUP(C757,'Clients List'!$A:$F,2,FALSE),"")</f>
        <v/>
      </c>
      <c r="F757" s="1" t="str">
        <f>IF(OR(C757="",NOT(ISNUMBER(SEARCH("Package",D757)))),"",VLOOKUP(C757,'Clients List'!$A:$F,4,FALSE)-SUMIFS($E$2:$E757,$C$2:$C757,C757,$D$2:$D757,"*Package*"))</f>
        <v/>
      </c>
      <c r="G757" t="str">
        <f t="shared" si="26"/>
        <v/>
      </c>
      <c r="H757" s="33">
        <f>IF(ISNUMBER(SEARCH("Group",D757)),IF(G757="",E757,IFERROR(E757/COUNTIF($G2:$G6000,G757),E757)),E757)</f>
        <v>0</v>
      </c>
      <c r="I757" s="1" t="str">
        <f>IFERROR(VLOOKUP(C757,'Clients List'!A:F,6,FALSE),"")</f>
        <v/>
      </c>
      <c r="K757" s="23" t="str">
        <f>IFERROR(INDEX([2]Packages!E:E, MATCH(1, ([2]Packages!A:A=B757)*([2]Packages!B:B=C757), 0)) - SUMIFS(D$2:D757, B$2:B757, B757, C$2:C757, C757),"")</f>
        <v/>
      </c>
    </row>
    <row r="758" spans="4:11" x14ac:dyDescent="0.45">
      <c r="D758" t="str">
        <f>IFERROR(VLOOKUP(C758,'Clients List'!$A:$F,2,FALSE),"")</f>
        <v/>
      </c>
      <c r="F758" s="1" t="str">
        <f>IF(OR(C758="",NOT(ISNUMBER(SEARCH("Package",D758)))),"",VLOOKUP(C758,'Clients List'!$A:$F,4,FALSE)-SUMIFS($E$2:$E758,$C$2:$C758,C758,$D$2:$D758,"*Package*"))</f>
        <v/>
      </c>
      <c r="G758" t="str">
        <f t="shared" si="26"/>
        <v/>
      </c>
      <c r="H758" s="33">
        <f>IF(ISNUMBER(SEARCH("Group",D758)),IF(G758="",E758,IFERROR(E758/COUNTIF($G2:$G6000,G758),E758)),E758)</f>
        <v>0</v>
      </c>
      <c r="I758" s="1" t="str">
        <f>IFERROR(VLOOKUP(C758,'Clients List'!A:F,6,FALSE),"")</f>
        <v/>
      </c>
      <c r="K758" s="23" t="str">
        <f>IFERROR(INDEX([2]Packages!E:E, MATCH(1, ([2]Packages!A:A=B758)*([2]Packages!B:B=C758), 0)) - SUMIFS(D$2:D758, B$2:B758, B758, C$2:C758, C758),"")</f>
        <v/>
      </c>
    </row>
    <row r="759" spans="4:11" x14ac:dyDescent="0.45">
      <c r="D759" t="str">
        <f>IFERROR(VLOOKUP(C759,'Clients List'!$A:$F,2,FALSE),"")</f>
        <v/>
      </c>
      <c r="F759" s="1" t="str">
        <f>IF(OR(C759="",NOT(ISNUMBER(SEARCH("Package",D759)))),"",VLOOKUP(C759,'Clients List'!$A:$F,4,FALSE)-SUMIFS($E$2:$E759,$C$2:$C759,C759,$D$2:$D759,"*Package*"))</f>
        <v/>
      </c>
      <c r="G759" t="str">
        <f t="shared" si="26"/>
        <v/>
      </c>
      <c r="H759" s="33">
        <f>IF(ISNUMBER(SEARCH("Group",D759)),IF(G759="",E759,IFERROR(E759/COUNTIF($G2:$G6000,G759),E759)),E759)</f>
        <v>0</v>
      </c>
      <c r="I759" s="1" t="str">
        <f>IFERROR(VLOOKUP(C759,'Clients List'!A:F,6,FALSE),"")</f>
        <v/>
      </c>
      <c r="K759" s="23" t="str">
        <f>IFERROR(INDEX([2]Packages!E:E, MATCH(1, ([2]Packages!A:A=B759)*([2]Packages!B:B=C759), 0)) - SUMIFS(D$2:D759, B$2:B759, B759, C$2:C759, C759),"")</f>
        <v/>
      </c>
    </row>
    <row r="760" spans="4:11" x14ac:dyDescent="0.45">
      <c r="D760" t="str">
        <f>IFERROR(VLOOKUP(C760,'Clients List'!$A:$F,2,FALSE),"")</f>
        <v/>
      </c>
      <c r="F760" s="1" t="str">
        <f>IF(OR(C760="",NOT(ISNUMBER(SEARCH("Package",D760)))),"",VLOOKUP(C760,'Clients List'!$A:$F,4,FALSE)-SUMIFS($E$2:$E760,$C$2:$C760,C760,$D$2:$D760,"*Package*"))</f>
        <v/>
      </c>
      <c r="G760" t="str">
        <f t="shared" si="26"/>
        <v/>
      </c>
      <c r="H760" s="33">
        <f>IF(ISNUMBER(SEARCH("Group",D760)),IF(G760="",E760,IFERROR(E760/COUNTIF($G2:$G6000,G760),E760)),E760)</f>
        <v>0</v>
      </c>
      <c r="I760" s="1" t="str">
        <f>IFERROR(VLOOKUP(C760,'Clients List'!A:F,6,FALSE),"")</f>
        <v/>
      </c>
      <c r="K760" s="23" t="str">
        <f>IFERROR(INDEX([2]Packages!E:E, MATCH(1, ([2]Packages!A:A=B760)*([2]Packages!B:B=C760), 0)) - SUMIFS(D$2:D760, B$2:B760, B760, C$2:C760, C760),"")</f>
        <v/>
      </c>
    </row>
    <row r="761" spans="4:11" x14ac:dyDescent="0.45">
      <c r="D761" t="str">
        <f>IFERROR(VLOOKUP(C761,'Clients List'!$A:$F,2,FALSE),"")</f>
        <v/>
      </c>
      <c r="F761" s="1" t="str">
        <f>IF(OR(C761="",NOT(ISNUMBER(SEARCH("Package",D761)))),"",VLOOKUP(C761,'Clients List'!$A:$F,4,FALSE)-SUMIFS($E$2:$E761,$C$2:$C761,C761,$D$2:$D761,"*Package*"))</f>
        <v/>
      </c>
      <c r="G761" t="str">
        <f t="shared" si="26"/>
        <v/>
      </c>
      <c r="H761" s="33">
        <f>IF(ISNUMBER(SEARCH("Group",D761)),IF(G761="",E761,IFERROR(E761/COUNTIF($G2:$G6000,G761),E761)),E761)</f>
        <v>0</v>
      </c>
      <c r="I761" s="1" t="str">
        <f>IFERROR(VLOOKUP(C761,'Clients List'!A:F,6,FALSE),"")</f>
        <v/>
      </c>
      <c r="K761" s="23" t="str">
        <f>IFERROR(INDEX([2]Packages!E:E, MATCH(1, ([2]Packages!A:A=B761)*([2]Packages!B:B=C761), 0)) - SUMIFS(D$2:D761, B$2:B761, B761, C$2:C761, C761),"")</f>
        <v/>
      </c>
    </row>
    <row r="762" spans="4:11" x14ac:dyDescent="0.45">
      <c r="D762" t="str">
        <f>IFERROR(VLOOKUP(C762,'Clients List'!$A:$F,2,FALSE),"")</f>
        <v/>
      </c>
      <c r="F762" s="1" t="str">
        <f>IF(OR(C762="",NOT(ISNUMBER(SEARCH("Package",D762)))),"",VLOOKUP(C762,'Clients List'!$A:$F,4,FALSE)-SUMIFS($E$2:$E762,$C$2:$C762,C762,$D$2:$D762,"*Package*"))</f>
        <v/>
      </c>
      <c r="G762" t="str">
        <f t="shared" si="26"/>
        <v/>
      </c>
      <c r="H762" s="33">
        <f>IF(ISNUMBER(SEARCH("Group",D762)),IF(G762="",E762,IFERROR(E762/COUNTIF($G2:$G6000,G762),E762)),E762)</f>
        <v>0</v>
      </c>
      <c r="I762" s="1" t="str">
        <f>IFERROR(VLOOKUP(C762,'Clients List'!A:F,6,FALSE),"")</f>
        <v/>
      </c>
      <c r="K762" s="23" t="str">
        <f>IFERROR(INDEX([2]Packages!E:E, MATCH(1, ([2]Packages!A:A=B762)*([2]Packages!B:B=C762), 0)) - SUMIFS(D$2:D762, B$2:B762, B762, C$2:C762, C762),"")</f>
        <v/>
      </c>
    </row>
    <row r="763" spans="4:11" x14ac:dyDescent="0.45">
      <c r="D763" t="str">
        <f>IFERROR(VLOOKUP(C763,'Clients List'!$A:$F,2,FALSE),"")</f>
        <v/>
      </c>
      <c r="F763" s="1" t="str">
        <f>IF(OR(C763="",NOT(ISNUMBER(SEARCH("Package",D763)))),"",VLOOKUP(C763,'Clients List'!$A:$F,4,FALSE)-SUMIFS($E$2:$E763,$C$2:$C763,C763,$D$2:$D763,"*Package*"))</f>
        <v/>
      </c>
      <c r="G763" t="str">
        <f t="shared" si="26"/>
        <v/>
      </c>
      <c r="H763" s="33">
        <f>IF(ISNUMBER(SEARCH("Group",D763)),IF(G763="",E763,IFERROR(E763/COUNTIF($G2:$G6000,G763),E763)),E763)</f>
        <v>0</v>
      </c>
      <c r="I763" s="1" t="str">
        <f>IFERROR(VLOOKUP(C763,'Clients List'!A:F,6,FALSE),"")</f>
        <v/>
      </c>
      <c r="K763" s="23" t="str">
        <f>IFERROR(INDEX([2]Packages!E:E, MATCH(1, ([2]Packages!A:A=B763)*([2]Packages!B:B=C763), 0)) - SUMIFS(D$2:D763, B$2:B763, B763, C$2:C763, C763),"")</f>
        <v/>
      </c>
    </row>
    <row r="764" spans="4:11" x14ac:dyDescent="0.45">
      <c r="D764" t="str">
        <f>IFERROR(VLOOKUP(C764,'Clients List'!$A:$F,2,FALSE),"")</f>
        <v/>
      </c>
      <c r="F764" s="1" t="str">
        <f>IF(OR(C764="",NOT(ISNUMBER(SEARCH("Package",D764)))),"",VLOOKUP(C764,'Clients List'!$A:$F,4,FALSE)-SUMIFS($E$2:$E764,$C$2:$C764,C764,$D$2:$D764,"*Package*"))</f>
        <v/>
      </c>
      <c r="G764" t="str">
        <f t="shared" si="26"/>
        <v/>
      </c>
      <c r="H764" s="33">
        <f>IF(ISNUMBER(SEARCH("Group",D764)),IF(G764="",E764,IFERROR(E764/COUNTIF($G2:$G6000,G764),E764)),E764)</f>
        <v>0</v>
      </c>
      <c r="I764" s="1" t="str">
        <f>IFERROR(VLOOKUP(C764,'Clients List'!A:F,6,FALSE),"")</f>
        <v/>
      </c>
      <c r="K764" s="23" t="str">
        <f>IFERROR(INDEX([2]Packages!E:E, MATCH(1, ([2]Packages!A:A=B764)*([2]Packages!B:B=C764), 0)) - SUMIFS(D$2:D764, B$2:B764, B764, C$2:C764, C764),"")</f>
        <v/>
      </c>
    </row>
    <row r="765" spans="4:11" x14ac:dyDescent="0.45">
      <c r="D765" t="str">
        <f>IFERROR(VLOOKUP(C765,'Clients List'!$A:$F,2,FALSE),"")</f>
        <v/>
      </c>
      <c r="F765" s="1" t="str">
        <f>IF(OR(C765="",NOT(ISNUMBER(SEARCH("Package",D765)))),"",VLOOKUP(C765,'Clients List'!$A:$F,4,FALSE)-SUMIFS($E$2:$E765,$C$2:$C765,C765,$D$2:$D765,"*Package*"))</f>
        <v/>
      </c>
      <c r="G765" t="str">
        <f t="shared" si="26"/>
        <v/>
      </c>
      <c r="H765" s="33">
        <f>IF(ISNUMBER(SEARCH("Group",D765)),IF(G765="",E765,IFERROR(E765/COUNTIF($G2:$G6000,G765),E765)),E765)</f>
        <v>0</v>
      </c>
      <c r="I765" s="1" t="str">
        <f>IFERROR(VLOOKUP(C765,'Clients List'!A:F,6,FALSE),"")</f>
        <v/>
      </c>
      <c r="K765" s="23" t="str">
        <f>IFERROR(INDEX([2]Packages!E:E, MATCH(1, ([2]Packages!A:A=B765)*([2]Packages!B:B=C765), 0)) - SUMIFS(D$2:D765, B$2:B765, B765, C$2:C765, C765),"")</f>
        <v/>
      </c>
    </row>
    <row r="766" spans="4:11" x14ac:dyDescent="0.45">
      <c r="D766" t="str">
        <f>IFERROR(VLOOKUP(C766,'Clients List'!$A:$F,2,FALSE),"")</f>
        <v/>
      </c>
      <c r="F766" s="1" t="str">
        <f>IF(OR(C766="",NOT(ISNUMBER(SEARCH("Package",D766)))),"",VLOOKUP(C766,'Clients List'!$A:$F,4,FALSE)-SUMIFS($E$2:$E766,$C$2:$C766,C766,$D$2:$D766,"*Package*"))</f>
        <v/>
      </c>
      <c r="G766" t="str">
        <f t="shared" si="26"/>
        <v/>
      </c>
      <c r="H766" s="33">
        <f>IF(ISNUMBER(SEARCH("Group",D766)),IF(G766="",E766,IFERROR(E766/COUNTIF($G2:$G6000,G766),E766)),E766)</f>
        <v>0</v>
      </c>
      <c r="I766" s="1" t="str">
        <f>IFERROR(VLOOKUP(C766,'Clients List'!A:F,6,FALSE),"")</f>
        <v/>
      </c>
      <c r="K766" s="23" t="str">
        <f>IFERROR(INDEX([2]Packages!E:E, MATCH(1, ([2]Packages!A:A=B766)*([2]Packages!B:B=C766), 0)) - SUMIFS(D$2:D766, B$2:B766, B766, C$2:C766, C766),"")</f>
        <v/>
      </c>
    </row>
    <row r="767" spans="4:11" x14ac:dyDescent="0.45">
      <c r="D767" t="str">
        <f>IFERROR(VLOOKUP(C767,'Clients List'!$A:$F,2,FALSE),"")</f>
        <v/>
      </c>
      <c r="F767" s="1" t="str">
        <f>IF(OR(C767="",NOT(ISNUMBER(SEARCH("Package",D767)))),"",VLOOKUP(C767,'Clients List'!$A:$F,4,FALSE)-SUMIFS($E$2:$E767,$C$2:$C767,C767,$D$2:$D767,"*Package*"))</f>
        <v/>
      </c>
      <c r="G767" t="str">
        <f t="shared" si="26"/>
        <v/>
      </c>
      <c r="H767" s="33">
        <f>IF(ISNUMBER(SEARCH("Group",D767)),IF(G767="",E767,IFERROR(E767/COUNTIF($G2:$G6000,G767),E767)),E767)</f>
        <v>0</v>
      </c>
      <c r="I767" s="1" t="str">
        <f>IFERROR(VLOOKUP(C767,'Clients List'!A:F,6,FALSE),"")</f>
        <v/>
      </c>
      <c r="K767" s="23" t="str">
        <f>IFERROR(INDEX([2]Packages!E:E, MATCH(1, ([2]Packages!A:A=B767)*([2]Packages!B:B=C767), 0)) - SUMIFS(D$2:D767, B$2:B767, B767, C$2:C767, C767),"")</f>
        <v/>
      </c>
    </row>
    <row r="768" spans="4:11" x14ac:dyDescent="0.45">
      <c r="D768" t="str">
        <f>IFERROR(VLOOKUP(C768,'Clients List'!$A:$F,2,FALSE),"")</f>
        <v/>
      </c>
      <c r="F768" s="1" t="str">
        <f>IF(OR(C768="",NOT(ISNUMBER(SEARCH("Package",D768)))),"",VLOOKUP(C768,'Clients List'!$A:$F,4,FALSE)-SUMIFS($E$2:$E768,$C$2:$C768,C768,$D$2:$D768,"*Package*"))</f>
        <v/>
      </c>
      <c r="G768" t="str">
        <f t="shared" si="26"/>
        <v/>
      </c>
      <c r="H768" s="33">
        <f>IF(ISNUMBER(SEARCH("Group",D768)),IF(G768="",E768,IFERROR(E768/COUNTIF($G2:$G6000,G768),E768)),E768)</f>
        <v>0</v>
      </c>
      <c r="I768" s="1" t="str">
        <f>IFERROR(VLOOKUP(C768,'Clients List'!A:F,6,FALSE),"")</f>
        <v/>
      </c>
      <c r="K768" s="23" t="str">
        <f>IFERROR(INDEX([2]Packages!E:E, MATCH(1, ([2]Packages!A:A=B768)*([2]Packages!B:B=C768), 0)) - SUMIFS(D$2:D768, B$2:B768, B768, C$2:C768, C768),"")</f>
        <v/>
      </c>
    </row>
    <row r="769" spans="4:11" x14ac:dyDescent="0.45">
      <c r="D769" t="str">
        <f>IFERROR(VLOOKUP(C769,'Clients List'!$A:$F,2,FALSE),"")</f>
        <v/>
      </c>
      <c r="F769" s="1" t="str">
        <f>IF(OR(C769="",NOT(ISNUMBER(SEARCH("Package",D769)))),"",VLOOKUP(C769,'Clients List'!$A:$F,4,FALSE)-SUMIFS($E$2:$E769,$C$2:$C769,C769,$D$2:$D769,"*Package*"))</f>
        <v/>
      </c>
      <c r="G769" t="str">
        <f t="shared" si="26"/>
        <v/>
      </c>
      <c r="H769" s="33">
        <f>IF(ISNUMBER(SEARCH("Group",D769)),IF(G769="",E769,IFERROR(E769/COUNTIF($G2:$G6000,G769),E769)),E769)</f>
        <v>0</v>
      </c>
      <c r="I769" s="1" t="str">
        <f>IFERROR(VLOOKUP(C769,'Clients List'!A:F,6,FALSE),"")</f>
        <v/>
      </c>
      <c r="K769" s="23" t="str">
        <f>IFERROR(INDEX([2]Packages!E:E, MATCH(1, ([2]Packages!A:A=B769)*([2]Packages!B:B=C769), 0)) - SUMIFS(D$2:D769, B$2:B769, B769, C$2:C769, C769),"")</f>
        <v/>
      </c>
    </row>
    <row r="770" spans="4:11" x14ac:dyDescent="0.45">
      <c r="D770" t="str">
        <f>IFERROR(VLOOKUP(C770,'Clients List'!$A:$F,2,FALSE),"")</f>
        <v/>
      </c>
      <c r="F770" s="1" t="str">
        <f>IF(OR(C770="",NOT(ISNUMBER(SEARCH("Package",D770)))),"",VLOOKUP(C770,'Clients List'!$A:$F,4,FALSE)-SUMIFS($E$2:$E770,$C$2:$C770,C770,$D$2:$D770,"*Package*"))</f>
        <v/>
      </c>
      <c r="G770" t="str">
        <f t="shared" si="26"/>
        <v/>
      </c>
      <c r="H770" s="33">
        <f>IF(ISNUMBER(SEARCH("Group",D770)),IF(G770="",E770,IFERROR(E770/COUNTIF($G2:$G6000,G770),E770)),E770)</f>
        <v>0</v>
      </c>
      <c r="I770" s="1" t="str">
        <f>IFERROR(VLOOKUP(C770,'Clients List'!A:F,6,FALSE),"")</f>
        <v/>
      </c>
      <c r="K770" s="23" t="str">
        <f>IFERROR(INDEX([2]Packages!E:E, MATCH(1, ([2]Packages!A:A=B770)*([2]Packages!B:B=C770), 0)) - SUMIFS(D$2:D770, B$2:B770, B770, C$2:C770, C770),"")</f>
        <v/>
      </c>
    </row>
    <row r="771" spans="4:11" x14ac:dyDescent="0.45">
      <c r="D771" t="str">
        <f>IFERROR(VLOOKUP(C771,'Clients List'!$A:$F,2,FALSE),"")</f>
        <v/>
      </c>
      <c r="F771" s="1" t="str">
        <f>IF(OR(C771="",NOT(ISNUMBER(SEARCH("Package",D771)))),"",VLOOKUP(C771,'Clients List'!$A:$F,4,FALSE)-SUMIFS($E$2:$E771,$C$2:$C771,C771,$D$2:$D771,"*Package*"))</f>
        <v/>
      </c>
      <c r="G771" t="str">
        <f t="shared" si="26"/>
        <v/>
      </c>
      <c r="H771" s="33">
        <f>IF(ISNUMBER(SEARCH("Group",D771)),IF(G771="",E771,IFERROR(E771/COUNTIF($G2:$G6000,G771),E771)),E771)</f>
        <v>0</v>
      </c>
      <c r="I771" s="1" t="str">
        <f>IFERROR(VLOOKUP(C771,'Clients List'!A:F,6,FALSE),"")</f>
        <v/>
      </c>
      <c r="K771" s="23" t="str">
        <f>IFERROR(INDEX([2]Packages!E:E, MATCH(1, ([2]Packages!A:A=B771)*([2]Packages!B:B=C771), 0)) - SUMIFS(D$2:D771, B$2:B771, B771, C$2:C771, C771),"")</f>
        <v/>
      </c>
    </row>
    <row r="772" spans="4:11" x14ac:dyDescent="0.45">
      <c r="D772" t="str">
        <f>IFERROR(VLOOKUP(C772,'Clients List'!$A:$F,2,FALSE),"")</f>
        <v/>
      </c>
      <c r="F772" s="1" t="str">
        <f>IF(OR(C772="",NOT(ISNUMBER(SEARCH("Package",D772)))),"",VLOOKUP(C772,'Clients List'!$A:$F,4,FALSE)-SUMIFS($E$2:$E772,$C$2:$C772,C772,$D$2:$D772,"*Package*"))</f>
        <v/>
      </c>
      <c r="G772" t="str">
        <f t="shared" si="26"/>
        <v/>
      </c>
      <c r="H772" s="33">
        <f>IF(ISNUMBER(SEARCH("Group",D772)),IF(G772="",E772,IFERROR(E772/COUNTIF($G2:$G6000,G772),E772)),E772)</f>
        <v>0</v>
      </c>
      <c r="I772" s="1" t="str">
        <f>IFERROR(VLOOKUP(C772,'Clients List'!A:F,6,FALSE),"")</f>
        <v/>
      </c>
      <c r="K772" s="23" t="str">
        <f>IFERROR(INDEX([2]Packages!E:E, MATCH(1, ([2]Packages!A:A=B772)*([2]Packages!B:B=C772), 0)) - SUMIFS(D$2:D772, B$2:B772, B772, C$2:C772, C772),"")</f>
        <v/>
      </c>
    </row>
    <row r="773" spans="4:11" x14ac:dyDescent="0.45">
      <c r="D773" t="str">
        <f>IFERROR(VLOOKUP(C773,'Clients List'!$A:$F,2,FALSE),"")</f>
        <v/>
      </c>
      <c r="F773" s="1" t="str">
        <f>IF(OR(C773="",NOT(ISNUMBER(SEARCH("Package",D773)))),"",VLOOKUP(C773,'Clients List'!$A:$F,4,FALSE)-SUMIFS($E$2:$E773,$C$2:$C773,C773,$D$2:$D773,"*Package*"))</f>
        <v/>
      </c>
      <c r="G773" t="str">
        <f t="shared" si="26"/>
        <v/>
      </c>
      <c r="H773" s="33">
        <f>IF(ISNUMBER(SEARCH("Group",D773)),IF(G773="",E773,IFERROR(E773/COUNTIF($G2:$G6000,G773),E773)),E773)</f>
        <v>0</v>
      </c>
      <c r="I773" s="1" t="str">
        <f>IFERROR(VLOOKUP(C773,'Clients List'!A:F,6,FALSE),"")</f>
        <v/>
      </c>
      <c r="K773" s="23" t="str">
        <f>IFERROR(INDEX([2]Packages!E:E, MATCH(1, ([2]Packages!A:A=B773)*([2]Packages!B:B=C773), 0)) - SUMIFS(D$2:D773, B$2:B773, B773, C$2:C773, C773),"")</f>
        <v/>
      </c>
    </row>
    <row r="774" spans="4:11" x14ac:dyDescent="0.45">
      <c r="D774" t="str">
        <f>IFERROR(VLOOKUP(C774,'Clients List'!$A:$F,2,FALSE),"")</f>
        <v/>
      </c>
      <c r="F774" s="1" t="str">
        <f>IF(OR(C774="",NOT(ISNUMBER(SEARCH("Package",D774)))),"",VLOOKUP(C774,'Clients List'!$A:$F,4,FALSE)-SUMIFS($E$2:$E774,$C$2:$C774,C774,$D$2:$D774,"*Package*"))</f>
        <v/>
      </c>
      <c r="G774" t="str">
        <f t="shared" si="26"/>
        <v/>
      </c>
      <c r="H774" s="33">
        <f>IF(ISNUMBER(SEARCH("Group",D774)),IF(G774="",E774,IFERROR(E774/COUNTIF($G2:$G6000,G774),E774)),E774)</f>
        <v>0</v>
      </c>
      <c r="I774" s="1" t="str">
        <f>IFERROR(VLOOKUP(C774,'Clients List'!A:F,6,FALSE),"")</f>
        <v/>
      </c>
      <c r="K774" s="23" t="str">
        <f>IFERROR(INDEX([2]Packages!E:E, MATCH(1, ([2]Packages!A:A=B774)*([2]Packages!B:B=C774), 0)) - SUMIFS(D$2:D774, B$2:B774, B774, C$2:C774, C774),"")</f>
        <v/>
      </c>
    </row>
    <row r="775" spans="4:11" x14ac:dyDescent="0.45">
      <c r="D775" t="str">
        <f>IFERROR(VLOOKUP(C775,'Clients List'!$A:$F,2,FALSE),"")</f>
        <v/>
      </c>
      <c r="F775" s="1" t="str">
        <f>IF(OR(C775="",NOT(ISNUMBER(SEARCH("Package",D775)))),"",VLOOKUP(C775,'Clients List'!$A:$F,4,FALSE)-SUMIFS($E$2:$E775,$C$2:$C775,C775,$D$2:$D775,"*Package*"))</f>
        <v/>
      </c>
      <c r="G775" t="str">
        <f t="shared" si="26"/>
        <v/>
      </c>
      <c r="H775" s="33">
        <f>IF(ISNUMBER(SEARCH("Group",D775)),IF(G775="",E775,IFERROR(E775/COUNTIF($G2:$G6000,G775),E775)),E775)</f>
        <v>0</v>
      </c>
      <c r="I775" s="1" t="str">
        <f>IFERROR(VLOOKUP(C775,'Clients List'!A:F,6,FALSE),"")</f>
        <v/>
      </c>
      <c r="K775" s="23" t="str">
        <f>IFERROR(INDEX([2]Packages!E:E, MATCH(1, ([2]Packages!A:A=B775)*([2]Packages!B:B=C775), 0)) - SUMIFS(D$2:D775, B$2:B775, B775, C$2:C775, C775),"")</f>
        <v/>
      </c>
    </row>
    <row r="776" spans="4:11" x14ac:dyDescent="0.45">
      <c r="D776" t="str">
        <f>IFERROR(VLOOKUP(C776,'Clients List'!$A:$F,2,FALSE),"")</f>
        <v/>
      </c>
      <c r="F776" s="1" t="str">
        <f>IF(OR(C776="",NOT(ISNUMBER(SEARCH("Package",D776)))),"",VLOOKUP(C776,'Clients List'!$A:$F,4,FALSE)-SUMIFS($E$2:$E776,$C$2:$C776,C776,$D$2:$D776,"*Package*"))</f>
        <v/>
      </c>
      <c r="G776" t="str">
        <f t="shared" si="26"/>
        <v/>
      </c>
      <c r="H776" s="33">
        <f>IF(ISNUMBER(SEARCH("Group",D776)),IF(G776="",E776,IFERROR(E776/COUNTIF($G2:$G6000,G776),E776)),E776)</f>
        <v>0</v>
      </c>
      <c r="I776" s="1" t="str">
        <f>IFERROR(VLOOKUP(C776,'Clients List'!A:F,6,FALSE),"")</f>
        <v/>
      </c>
      <c r="K776" s="23" t="str">
        <f>IFERROR(INDEX([2]Packages!E:E, MATCH(1, ([2]Packages!A:A=B776)*([2]Packages!B:B=C776), 0)) - SUMIFS(D$2:D776, B$2:B776, B776, C$2:C776, C776),"")</f>
        <v/>
      </c>
    </row>
    <row r="777" spans="4:11" x14ac:dyDescent="0.45">
      <c r="D777" t="str">
        <f>IFERROR(VLOOKUP(C777,'Clients List'!$A:$F,2,FALSE),"")</f>
        <v/>
      </c>
      <c r="F777" s="1" t="str">
        <f>IF(OR(C777="",NOT(ISNUMBER(SEARCH("Package",D777)))),"",VLOOKUP(C777,'Clients List'!$A:$F,4,FALSE)-SUMIFS($E$2:$E777,$C$2:$C777,C777,$D$2:$D777,"*Package*"))</f>
        <v/>
      </c>
      <c r="G777" t="str">
        <f t="shared" si="26"/>
        <v/>
      </c>
      <c r="H777" s="33">
        <f>IF(ISNUMBER(SEARCH("Group",D777)),IF(G777="",E777,IFERROR(E777/COUNTIF($G2:$G6000,G777),E777)),E777)</f>
        <v>0</v>
      </c>
      <c r="I777" s="1" t="str">
        <f>IFERROR(VLOOKUP(C777,'Clients List'!A:F,6,FALSE),"")</f>
        <v/>
      </c>
      <c r="K777" s="23" t="str">
        <f>IFERROR(INDEX([2]Packages!E:E, MATCH(1, ([2]Packages!A:A=B777)*([2]Packages!B:B=C777), 0)) - SUMIFS(D$2:D777, B$2:B777, B777, C$2:C777, C777),"")</f>
        <v/>
      </c>
    </row>
    <row r="778" spans="4:11" x14ac:dyDescent="0.45">
      <c r="D778" t="str">
        <f>IFERROR(VLOOKUP(C778,'Clients List'!$A:$F,2,FALSE),"")</f>
        <v/>
      </c>
      <c r="F778" s="1" t="str">
        <f>IF(OR(C778="",NOT(ISNUMBER(SEARCH("Package",D778)))),"",VLOOKUP(C778,'Clients List'!$A:$F,4,FALSE)-SUMIFS($E$2:$E778,$C$2:$C778,C778,$D$2:$D778,"*Package*"))</f>
        <v/>
      </c>
      <c r="G778" t="str">
        <f t="shared" si="26"/>
        <v/>
      </c>
      <c r="H778" s="33">
        <f>IF(ISNUMBER(SEARCH("Group",D778)),IF(G778="",E778,IFERROR(E778/COUNTIF($G2:$G6000,G778),E778)),E778)</f>
        <v>0</v>
      </c>
      <c r="I778" s="1" t="str">
        <f>IFERROR(VLOOKUP(C778,'Clients List'!A:F,6,FALSE),"")</f>
        <v/>
      </c>
      <c r="K778" s="23" t="str">
        <f>IFERROR(INDEX([2]Packages!E:E, MATCH(1, ([2]Packages!A:A=B778)*([2]Packages!B:B=C778), 0)) - SUMIFS(D$2:D778, B$2:B778, B778, C$2:C778, C778),"")</f>
        <v/>
      </c>
    </row>
    <row r="779" spans="4:11" x14ac:dyDescent="0.45">
      <c r="D779" t="str">
        <f>IFERROR(VLOOKUP(C779,'Clients List'!$A:$F,2,FALSE),"")</f>
        <v/>
      </c>
      <c r="F779" s="1" t="str">
        <f>IF(OR(C779="",NOT(ISNUMBER(SEARCH("Package",D779)))),"",VLOOKUP(C779,'Clients List'!$A:$F,4,FALSE)-SUMIFS($E$2:$E779,$C$2:$C779,C779,$D$2:$D779,"*Package*"))</f>
        <v/>
      </c>
      <c r="G779" t="str">
        <f t="shared" si="26"/>
        <v/>
      </c>
      <c r="H779" s="33">
        <f>IF(ISNUMBER(SEARCH("Group",D779)),IF(G779="",E779,IFERROR(E779/COUNTIF($G2:$G6000,G779),E779)),E779)</f>
        <v>0</v>
      </c>
      <c r="I779" s="1" t="str">
        <f>IFERROR(VLOOKUP(C779,'Clients List'!A:F,6,FALSE),"")</f>
        <v/>
      </c>
      <c r="K779" s="23" t="str">
        <f>IFERROR(INDEX([2]Packages!E:E, MATCH(1, ([2]Packages!A:A=B779)*([2]Packages!B:B=C779), 0)) - SUMIFS(D$2:D779, B$2:B779, B779, C$2:C779, C779),"")</f>
        <v/>
      </c>
    </row>
    <row r="780" spans="4:11" x14ac:dyDescent="0.45">
      <c r="D780" t="str">
        <f>IFERROR(VLOOKUP(C780,'Clients List'!$A:$F,2,FALSE),"")</f>
        <v/>
      </c>
      <c r="F780" s="1" t="str">
        <f>IF(OR(C780="",NOT(ISNUMBER(SEARCH("Package",D780)))),"",VLOOKUP(C780,'Clients List'!$A:$F,4,FALSE)-SUMIFS($E$2:$E780,$C$2:$C780,C780,$D$2:$D780,"*Package*"))</f>
        <v/>
      </c>
      <c r="G780" t="str">
        <f t="shared" si="26"/>
        <v/>
      </c>
      <c r="H780" s="33">
        <f>IF(ISNUMBER(SEARCH("Group",D780)),IF(G780="",E780,IFERROR(E780/COUNTIF($G2:$G6000,G780),E780)),E780)</f>
        <v>0</v>
      </c>
      <c r="I780" s="1" t="str">
        <f>IFERROR(VLOOKUP(C780,'Clients List'!A:F,6,FALSE),"")</f>
        <v/>
      </c>
      <c r="K780" s="23" t="str">
        <f>IFERROR(INDEX([2]Packages!E:E, MATCH(1, ([2]Packages!A:A=B780)*([2]Packages!B:B=C780), 0)) - SUMIFS(D$2:D780, B$2:B780, B780, C$2:C780, C780),"")</f>
        <v/>
      </c>
    </row>
    <row r="781" spans="4:11" x14ac:dyDescent="0.45">
      <c r="D781" t="str">
        <f>IFERROR(VLOOKUP(C781,'Clients List'!$A:$F,2,FALSE),"")</f>
        <v/>
      </c>
      <c r="F781" s="1" t="str">
        <f>IF(OR(C781="",NOT(ISNUMBER(SEARCH("Package",D781)))),"",VLOOKUP(C781,'Clients List'!$A:$F,4,FALSE)-SUMIFS($E$2:$E781,$C$2:$C781,C781,$D$2:$D781,"*Package*"))</f>
        <v/>
      </c>
      <c r="G781" t="str">
        <f t="shared" si="26"/>
        <v/>
      </c>
      <c r="H781" s="33">
        <f>IF(ISNUMBER(SEARCH("Group",D781)),IF(G781="",E781,IFERROR(E781/COUNTIF($G2:$G6000,G781),E781)),E781)</f>
        <v>0</v>
      </c>
      <c r="I781" s="1" t="str">
        <f>IFERROR(VLOOKUP(C781,'Clients List'!A:F,6,FALSE),"")</f>
        <v/>
      </c>
      <c r="K781" s="23" t="str">
        <f>IFERROR(INDEX([2]Packages!E:E, MATCH(1, ([2]Packages!A:A=B781)*([2]Packages!B:B=C781), 0)) - SUMIFS(D$2:D781, B$2:B781, B781, C$2:C781, C781),"")</f>
        <v/>
      </c>
    </row>
    <row r="782" spans="4:11" x14ac:dyDescent="0.45">
      <c r="D782" t="str">
        <f>IFERROR(VLOOKUP(C782,'Clients List'!$A:$F,2,FALSE),"")</f>
        <v/>
      </c>
      <c r="F782" s="1" t="str">
        <f>IF(OR(C782="",NOT(ISNUMBER(SEARCH("Package",D782)))),"",VLOOKUP(C782,'Clients List'!$A:$F,4,FALSE)-SUMIFS($E$2:$E782,$C$2:$C782,C782,$D$2:$D782,"*Package*"))</f>
        <v/>
      </c>
      <c r="G782" t="str">
        <f t="shared" ref="G782:G813" si="27">IF(ISNUMBER(SEARCH("Group",D782)),IFERROR("GRP-"&amp;TEXT(IF(ISNUMBER(A782),A782,DATEVALUE(A782)),"yyyymmdd"),""),"" )</f>
        <v/>
      </c>
      <c r="H782" s="33">
        <f>IF(ISNUMBER(SEARCH("Group",D782)),IF(G782="",E782,IFERROR(E782/COUNTIF($G2:$G6000,G782),E782)),E782)</f>
        <v>0</v>
      </c>
      <c r="I782" s="1" t="str">
        <f>IFERROR(VLOOKUP(C782,'Clients List'!A:F,6,FALSE),"")</f>
        <v/>
      </c>
      <c r="K782" s="23" t="str">
        <f>IFERROR(INDEX([2]Packages!E:E, MATCH(1, ([2]Packages!A:A=B782)*([2]Packages!B:B=C782), 0)) - SUMIFS(D$2:D782, B$2:B782, B782, C$2:C782, C782),"")</f>
        <v/>
      </c>
    </row>
    <row r="783" spans="4:11" x14ac:dyDescent="0.45">
      <c r="D783" t="str">
        <f>IFERROR(VLOOKUP(C783,'Clients List'!$A:$F,2,FALSE),"")</f>
        <v/>
      </c>
      <c r="F783" s="1" t="str">
        <f>IF(OR(C783="",NOT(ISNUMBER(SEARCH("Package",D783)))),"",VLOOKUP(C783,'Clients List'!$A:$F,4,FALSE)-SUMIFS($E$2:$E783,$C$2:$C783,C783,$D$2:$D783,"*Package*"))</f>
        <v/>
      </c>
      <c r="G783" t="str">
        <f t="shared" si="27"/>
        <v/>
      </c>
      <c r="H783" s="33">
        <f>IF(ISNUMBER(SEARCH("Group",D783)),IF(G783="",E783,IFERROR(E783/COUNTIF($G2:$G6000,G783),E783)),E783)</f>
        <v>0</v>
      </c>
      <c r="I783" s="1" t="str">
        <f>IFERROR(VLOOKUP(C783,'Clients List'!A:F,6,FALSE),"")</f>
        <v/>
      </c>
      <c r="K783" s="23" t="str">
        <f>IFERROR(INDEX([2]Packages!E:E, MATCH(1, ([2]Packages!A:A=B783)*([2]Packages!B:B=C783), 0)) - SUMIFS(D$2:D783, B$2:B783, B783, C$2:C783, C783),"")</f>
        <v/>
      </c>
    </row>
    <row r="784" spans="4:11" x14ac:dyDescent="0.45">
      <c r="D784" t="str">
        <f>IFERROR(VLOOKUP(C784,'Clients List'!$A:$F,2,FALSE),"")</f>
        <v/>
      </c>
      <c r="F784" s="1" t="str">
        <f>IF(OR(C784="",NOT(ISNUMBER(SEARCH("Package",D784)))),"",VLOOKUP(C784,'Clients List'!$A:$F,4,FALSE)-SUMIFS($E$2:$E784,$C$2:$C784,C784,$D$2:$D784,"*Package*"))</f>
        <v/>
      </c>
      <c r="G784" t="str">
        <f t="shared" si="27"/>
        <v/>
      </c>
      <c r="H784" s="33">
        <f>IF(ISNUMBER(SEARCH("Group",D784)),IF(G784="",E784,IFERROR(E784/COUNTIF($G2:$G6000,G784),E784)),E784)</f>
        <v>0</v>
      </c>
      <c r="I784" s="1" t="str">
        <f>IFERROR(VLOOKUP(C784,'Clients List'!A:F,6,FALSE),"")</f>
        <v/>
      </c>
      <c r="K784" s="23" t="str">
        <f>IFERROR(INDEX([2]Packages!E:E, MATCH(1, ([2]Packages!A:A=B784)*([2]Packages!B:B=C784), 0)) - SUMIFS(D$2:D784, B$2:B784, B784, C$2:C784, C784),"")</f>
        <v/>
      </c>
    </row>
    <row r="785" spans="4:11" x14ac:dyDescent="0.45">
      <c r="D785" t="str">
        <f>IFERROR(VLOOKUP(C785,'Clients List'!$A:$F,2,FALSE),"")</f>
        <v/>
      </c>
      <c r="F785" s="1" t="str">
        <f>IF(OR(C785="",NOT(ISNUMBER(SEARCH("Package",D785)))),"",VLOOKUP(C785,'Clients List'!$A:$F,4,FALSE)-SUMIFS($E$2:$E785,$C$2:$C785,C785,$D$2:$D785,"*Package*"))</f>
        <v/>
      </c>
      <c r="G785" t="str">
        <f t="shared" si="27"/>
        <v/>
      </c>
      <c r="H785" s="33">
        <f>IF(ISNUMBER(SEARCH("Group",D785)),IF(G785="",E785,IFERROR(E785/COUNTIF($G2:$G6000,G785),E785)),E785)</f>
        <v>0</v>
      </c>
      <c r="I785" s="1" t="str">
        <f>IFERROR(VLOOKUP(C785,'Clients List'!A:F,6,FALSE),"")</f>
        <v/>
      </c>
      <c r="K785" s="23" t="str">
        <f>IFERROR(INDEX([2]Packages!E:E, MATCH(1, ([2]Packages!A:A=B785)*([2]Packages!B:B=C785), 0)) - SUMIFS(D$2:D785, B$2:B785, B785, C$2:C785, C785),"")</f>
        <v/>
      </c>
    </row>
    <row r="786" spans="4:11" x14ac:dyDescent="0.45">
      <c r="D786" t="str">
        <f>IFERROR(VLOOKUP(C786,'Clients List'!$A:$F,2,FALSE),"")</f>
        <v/>
      </c>
      <c r="F786" s="1" t="str">
        <f>IF(OR(C786="",NOT(ISNUMBER(SEARCH("Package",D786)))),"",VLOOKUP(C786,'Clients List'!$A:$F,4,FALSE)-SUMIFS($E$2:$E786,$C$2:$C786,C786,$D$2:$D786,"*Package*"))</f>
        <v/>
      </c>
      <c r="G786" t="str">
        <f t="shared" si="27"/>
        <v/>
      </c>
      <c r="H786" s="33">
        <f>IF(ISNUMBER(SEARCH("Group",D786)),IF(G786="",E786,IFERROR(E786/COUNTIF($G2:$G6000,G786),E786)),E786)</f>
        <v>0</v>
      </c>
      <c r="I786" s="1" t="str">
        <f>IFERROR(VLOOKUP(C786,'Clients List'!A:F,6,FALSE),"")</f>
        <v/>
      </c>
      <c r="K786" s="23" t="str">
        <f>IFERROR(INDEX([2]Packages!E:E, MATCH(1, ([2]Packages!A:A=B786)*([2]Packages!B:B=C786), 0)) - SUMIFS(D$2:D786, B$2:B786, B786, C$2:C786, C786),"")</f>
        <v/>
      </c>
    </row>
    <row r="787" spans="4:11" x14ac:dyDescent="0.45">
      <c r="D787" t="str">
        <f>IFERROR(VLOOKUP(C787,'Clients List'!$A:$F,2,FALSE),"")</f>
        <v/>
      </c>
      <c r="F787" s="1" t="str">
        <f>IF(OR(C787="",NOT(ISNUMBER(SEARCH("Package",D787)))),"",VLOOKUP(C787,'Clients List'!$A:$F,4,FALSE)-SUMIFS($E$2:$E787,$C$2:$C787,C787,$D$2:$D787,"*Package*"))</f>
        <v/>
      </c>
      <c r="G787" t="str">
        <f t="shared" si="27"/>
        <v/>
      </c>
      <c r="H787" s="33">
        <f>IF(ISNUMBER(SEARCH("Group",D787)),IF(G787="",E787,IFERROR(E787/COUNTIF($G2:$G6000,G787),E787)),E787)</f>
        <v>0</v>
      </c>
      <c r="I787" s="1" t="str">
        <f>IFERROR(VLOOKUP(C787,'Clients List'!A:F,6,FALSE),"")</f>
        <v/>
      </c>
      <c r="K787" s="23" t="str">
        <f>IFERROR(INDEX([2]Packages!E:E, MATCH(1, ([2]Packages!A:A=B787)*([2]Packages!B:B=C787), 0)) - SUMIFS(D$2:D787, B$2:B787, B787, C$2:C787, C787),"")</f>
        <v/>
      </c>
    </row>
    <row r="788" spans="4:11" x14ac:dyDescent="0.45">
      <c r="D788" t="str">
        <f>IFERROR(VLOOKUP(C788,'Clients List'!$A:$F,2,FALSE),"")</f>
        <v/>
      </c>
      <c r="F788" s="1" t="str">
        <f>IF(OR(C788="",NOT(ISNUMBER(SEARCH("Package",D788)))),"",VLOOKUP(C788,'Clients List'!$A:$F,4,FALSE)-SUMIFS($E$2:$E788,$C$2:$C788,C788,$D$2:$D788,"*Package*"))</f>
        <v/>
      </c>
      <c r="G788" t="str">
        <f t="shared" si="27"/>
        <v/>
      </c>
      <c r="H788" s="33">
        <f>IF(ISNUMBER(SEARCH("Group",D788)),IF(G788="",E788,IFERROR(E788/COUNTIF($G2:$G6000,G788),E788)),E788)</f>
        <v>0</v>
      </c>
      <c r="I788" s="1" t="str">
        <f>IFERROR(VLOOKUP(C788,'Clients List'!A:F,6,FALSE),"")</f>
        <v/>
      </c>
      <c r="K788" s="23" t="str">
        <f>IFERROR(INDEX([2]Packages!E:E, MATCH(1, ([2]Packages!A:A=B788)*([2]Packages!B:B=C788), 0)) - SUMIFS(D$2:D788, B$2:B788, B788, C$2:C788, C788),"")</f>
        <v/>
      </c>
    </row>
    <row r="789" spans="4:11" x14ac:dyDescent="0.45">
      <c r="D789" t="str">
        <f>IFERROR(VLOOKUP(C789,'Clients List'!$A:$F,2,FALSE),"")</f>
        <v/>
      </c>
      <c r="F789" s="1" t="str">
        <f>IF(OR(C789="",NOT(ISNUMBER(SEARCH("Package",D789)))),"",VLOOKUP(C789,'Clients List'!$A:$F,4,FALSE)-SUMIFS($E$2:$E789,$C$2:$C789,C789,$D$2:$D789,"*Package*"))</f>
        <v/>
      </c>
      <c r="G789" t="str">
        <f t="shared" si="27"/>
        <v/>
      </c>
      <c r="H789" s="33">
        <f>IF(ISNUMBER(SEARCH("Group",D789)),IF(G789="",E789,IFERROR(E789/COUNTIF($G2:$G6000,G789),E789)),E789)</f>
        <v>0</v>
      </c>
      <c r="I789" s="1" t="str">
        <f>IFERROR(VLOOKUP(C789,'Clients List'!A:F,6,FALSE),"")</f>
        <v/>
      </c>
      <c r="K789" s="23" t="str">
        <f>IFERROR(INDEX([2]Packages!E:E, MATCH(1, ([2]Packages!A:A=B789)*([2]Packages!B:B=C789), 0)) - SUMIFS(D$2:D789, B$2:B789, B789, C$2:C789, C789),"")</f>
        <v/>
      </c>
    </row>
    <row r="790" spans="4:11" x14ac:dyDescent="0.45">
      <c r="D790" t="str">
        <f>IFERROR(VLOOKUP(C790,'Clients List'!$A:$F,2,FALSE),"")</f>
        <v/>
      </c>
      <c r="F790" s="1" t="str">
        <f>IF(OR(C790="",NOT(ISNUMBER(SEARCH("Package",D790)))),"",VLOOKUP(C790,'Clients List'!$A:$F,4,FALSE)-SUMIFS($E$2:$E790,$C$2:$C790,C790,$D$2:$D790,"*Package*"))</f>
        <v/>
      </c>
      <c r="G790" t="str">
        <f t="shared" si="27"/>
        <v/>
      </c>
      <c r="H790" s="33">
        <f>IF(ISNUMBER(SEARCH("Group",D790)),IF(G790="",E790,IFERROR(E790/COUNTIF($G2:$G6000,G790),E790)),E790)</f>
        <v>0</v>
      </c>
      <c r="I790" s="1" t="str">
        <f>IFERROR(VLOOKUP(C790,'Clients List'!A:F,6,FALSE),"")</f>
        <v/>
      </c>
      <c r="K790" s="23" t="str">
        <f>IFERROR(INDEX([2]Packages!E:E, MATCH(1, ([2]Packages!A:A=B790)*([2]Packages!B:B=C790), 0)) - SUMIFS(D$2:D790, B$2:B790, B790, C$2:C790, C790),"")</f>
        <v/>
      </c>
    </row>
    <row r="791" spans="4:11" x14ac:dyDescent="0.45">
      <c r="D791" t="str">
        <f>IFERROR(VLOOKUP(C791,'Clients List'!$A:$F,2,FALSE),"")</f>
        <v/>
      </c>
      <c r="F791" s="1" t="str">
        <f>IF(OR(C791="",NOT(ISNUMBER(SEARCH("Package",D791)))),"",VLOOKUP(C791,'Clients List'!$A:$F,4,FALSE)-SUMIFS($E$2:$E791,$C$2:$C791,C791,$D$2:$D791,"*Package*"))</f>
        <v/>
      </c>
      <c r="G791" t="str">
        <f t="shared" si="27"/>
        <v/>
      </c>
      <c r="H791" s="33">
        <f>IF(ISNUMBER(SEARCH("Group",D791)),IF(G791="",E791,IFERROR(E791/COUNTIF($G2:$G6000,G791),E791)),E791)</f>
        <v>0</v>
      </c>
      <c r="I791" s="1" t="str">
        <f>IFERROR(VLOOKUP(C791,'Clients List'!A:F,6,FALSE),"")</f>
        <v/>
      </c>
      <c r="K791" s="23" t="str">
        <f>IFERROR(INDEX([2]Packages!E:E, MATCH(1, ([2]Packages!A:A=B791)*([2]Packages!B:B=C791), 0)) - SUMIFS(D$2:D791, B$2:B791, B791, C$2:C791, C791),"")</f>
        <v/>
      </c>
    </row>
    <row r="792" spans="4:11" x14ac:dyDescent="0.45">
      <c r="D792" t="str">
        <f>IFERROR(VLOOKUP(C792,'Clients List'!$A:$F,2,FALSE),"")</f>
        <v/>
      </c>
      <c r="F792" s="1" t="str">
        <f>IF(OR(C792="",NOT(ISNUMBER(SEARCH("Package",D792)))),"",VLOOKUP(C792,'Clients List'!$A:$F,4,FALSE)-SUMIFS($E$2:$E792,$C$2:$C792,C792,$D$2:$D792,"*Package*"))</f>
        <v/>
      </c>
      <c r="G792" t="str">
        <f t="shared" si="27"/>
        <v/>
      </c>
      <c r="H792" s="33">
        <f>IF(ISNUMBER(SEARCH("Group",D792)),IF(G792="",E792,IFERROR(E792/COUNTIF($G2:$G6000,G792),E792)),E792)</f>
        <v>0</v>
      </c>
      <c r="I792" s="1" t="str">
        <f>IFERROR(VLOOKUP(C792,'Clients List'!A:F,6,FALSE),"")</f>
        <v/>
      </c>
      <c r="K792" s="23" t="str">
        <f>IFERROR(INDEX([2]Packages!E:E, MATCH(1, ([2]Packages!A:A=B792)*([2]Packages!B:B=C792), 0)) - SUMIFS(D$2:D792, B$2:B792, B792, C$2:C792, C792),"")</f>
        <v/>
      </c>
    </row>
    <row r="793" spans="4:11" x14ac:dyDescent="0.45">
      <c r="D793" t="str">
        <f>IFERROR(VLOOKUP(C793,'Clients List'!$A:$F,2,FALSE),"")</f>
        <v/>
      </c>
      <c r="F793" s="1" t="str">
        <f>IF(OR(C793="",NOT(ISNUMBER(SEARCH("Package",D793)))),"",VLOOKUP(C793,'Clients List'!$A:$F,4,FALSE)-SUMIFS($E$2:$E793,$C$2:$C793,C793,$D$2:$D793,"*Package*"))</f>
        <v/>
      </c>
      <c r="G793" t="str">
        <f t="shared" si="27"/>
        <v/>
      </c>
      <c r="H793" s="33">
        <f>IF(ISNUMBER(SEARCH("Group",D793)),IF(G793="",E793,IFERROR(E793/COUNTIF($G2:$G6000,G793),E793)),E793)</f>
        <v>0</v>
      </c>
      <c r="I793" s="1" t="str">
        <f>IFERROR(VLOOKUP(C793,'Clients List'!A:F,6,FALSE),"")</f>
        <v/>
      </c>
      <c r="K793" s="23" t="str">
        <f>IFERROR(INDEX([2]Packages!E:E, MATCH(1, ([2]Packages!A:A=B793)*([2]Packages!B:B=C793), 0)) - SUMIFS(D$2:D793, B$2:B793, B793, C$2:C793, C793),"")</f>
        <v/>
      </c>
    </row>
    <row r="794" spans="4:11" x14ac:dyDescent="0.45">
      <c r="D794" t="str">
        <f>IFERROR(VLOOKUP(C794,'Clients List'!$A:$F,2,FALSE),"")</f>
        <v/>
      </c>
      <c r="F794" s="1" t="str">
        <f>IF(OR(C794="",NOT(ISNUMBER(SEARCH("Package",D794)))),"",VLOOKUP(C794,'Clients List'!$A:$F,4,FALSE)-SUMIFS($E$2:$E794,$C$2:$C794,C794,$D$2:$D794,"*Package*"))</f>
        <v/>
      </c>
      <c r="G794" t="str">
        <f t="shared" si="27"/>
        <v/>
      </c>
      <c r="H794" s="33">
        <f>IF(ISNUMBER(SEARCH("Group",D794)),IF(G794="",E794,IFERROR(E794/COUNTIF($G2:$G6000,G794),E794)),E794)</f>
        <v>0</v>
      </c>
      <c r="I794" s="1" t="str">
        <f>IFERROR(VLOOKUP(C794,'Clients List'!A:F,6,FALSE),"")</f>
        <v/>
      </c>
      <c r="K794" s="23" t="str">
        <f>IFERROR(INDEX([2]Packages!E:E, MATCH(1, ([2]Packages!A:A=B794)*([2]Packages!B:B=C794), 0)) - SUMIFS(D$2:D794, B$2:B794, B794, C$2:C794, C794),"")</f>
        <v/>
      </c>
    </row>
    <row r="795" spans="4:11" x14ac:dyDescent="0.45">
      <c r="D795" t="str">
        <f>IFERROR(VLOOKUP(C795,'Clients List'!$A:$F,2,FALSE),"")</f>
        <v/>
      </c>
      <c r="F795" s="1" t="str">
        <f>IF(OR(C795="",NOT(ISNUMBER(SEARCH("Package",D795)))),"",VLOOKUP(C795,'Clients List'!$A:$F,4,FALSE)-SUMIFS($E$2:$E795,$C$2:$C795,C795,$D$2:$D795,"*Package*"))</f>
        <v/>
      </c>
      <c r="G795" t="str">
        <f t="shared" si="27"/>
        <v/>
      </c>
      <c r="H795" s="33">
        <f>IF(ISNUMBER(SEARCH("Group",D795)),IF(G795="",E795,IFERROR(E795/COUNTIF($G2:$G6000,G795),E795)),E795)</f>
        <v>0</v>
      </c>
      <c r="I795" s="1" t="str">
        <f>IFERROR(VLOOKUP(C795,'Clients List'!A:F,6,FALSE),"")</f>
        <v/>
      </c>
      <c r="K795" s="23" t="str">
        <f>IFERROR(INDEX([2]Packages!E:E, MATCH(1, ([2]Packages!A:A=B795)*([2]Packages!B:B=C795), 0)) - SUMIFS(D$2:D795, B$2:B795, B795, C$2:C795, C795),"")</f>
        <v/>
      </c>
    </row>
    <row r="796" spans="4:11" x14ac:dyDescent="0.45">
      <c r="D796" t="str">
        <f>IFERROR(VLOOKUP(C796,'Clients List'!$A:$F,2,FALSE),"")</f>
        <v/>
      </c>
      <c r="F796" s="1" t="str">
        <f>IF(OR(C796="",NOT(ISNUMBER(SEARCH("Package",D796)))),"",VLOOKUP(C796,'Clients List'!$A:$F,4,FALSE)-SUMIFS($E$2:$E796,$C$2:$C796,C796,$D$2:$D796,"*Package*"))</f>
        <v/>
      </c>
      <c r="G796" t="str">
        <f t="shared" si="27"/>
        <v/>
      </c>
      <c r="H796" s="33">
        <f>IF(ISNUMBER(SEARCH("Group",D796)),IF(G796="",E796,IFERROR(E796/COUNTIF($G2:$G6000,G796),E796)),E796)</f>
        <v>0</v>
      </c>
      <c r="I796" s="1" t="str">
        <f>IFERROR(VLOOKUP(C796,'Clients List'!A:F,6,FALSE),"")</f>
        <v/>
      </c>
      <c r="K796" s="23" t="str">
        <f>IFERROR(INDEX([2]Packages!E:E, MATCH(1, ([2]Packages!A:A=B796)*([2]Packages!B:B=C796), 0)) - SUMIFS(D$2:D796, B$2:B796, B796, C$2:C796, C796),"")</f>
        <v/>
      </c>
    </row>
    <row r="797" spans="4:11" x14ac:dyDescent="0.45">
      <c r="D797" t="str">
        <f>IFERROR(VLOOKUP(C797,'Clients List'!$A:$F,2,FALSE),"")</f>
        <v/>
      </c>
      <c r="F797" s="1" t="str">
        <f>IF(OR(C797="",NOT(ISNUMBER(SEARCH("Package",D797)))),"",VLOOKUP(C797,'Clients List'!$A:$F,4,FALSE)-SUMIFS($E$2:$E797,$C$2:$C797,C797,$D$2:$D797,"*Package*"))</f>
        <v/>
      </c>
      <c r="G797" t="str">
        <f t="shared" si="27"/>
        <v/>
      </c>
      <c r="H797" s="33">
        <f>IF(ISNUMBER(SEARCH("Group",D797)),IF(G797="",E797,IFERROR(E797/COUNTIF($G2:$G6000,G797),E797)),E797)</f>
        <v>0</v>
      </c>
      <c r="I797" s="1" t="str">
        <f>IFERROR(VLOOKUP(C797,'Clients List'!A:F,6,FALSE),"")</f>
        <v/>
      </c>
      <c r="K797" s="23" t="str">
        <f>IFERROR(INDEX([2]Packages!E:E, MATCH(1, ([2]Packages!A:A=B797)*([2]Packages!B:B=C797), 0)) - SUMIFS(D$2:D797, B$2:B797, B797, C$2:C797, C797),"")</f>
        <v/>
      </c>
    </row>
    <row r="798" spans="4:11" x14ac:dyDescent="0.45">
      <c r="D798" t="str">
        <f>IFERROR(VLOOKUP(C798,'Clients List'!$A:$F,2,FALSE),"")</f>
        <v/>
      </c>
      <c r="F798" s="1" t="str">
        <f>IF(OR(C798="",NOT(ISNUMBER(SEARCH("Package",D798)))),"",VLOOKUP(C798,'Clients List'!$A:$F,4,FALSE)-SUMIFS($E$2:$E798,$C$2:$C798,C798,$D$2:$D798,"*Package*"))</f>
        <v/>
      </c>
      <c r="G798" t="str">
        <f t="shared" si="27"/>
        <v/>
      </c>
      <c r="H798" s="33">
        <f>IF(ISNUMBER(SEARCH("Group",D798)),IF(G798="",E798,IFERROR(E798/COUNTIF($G2:$G6000,G798),E798)),E798)</f>
        <v>0</v>
      </c>
      <c r="I798" s="1" t="str">
        <f>IFERROR(VLOOKUP(C798,'Clients List'!A:F,6,FALSE),"")</f>
        <v/>
      </c>
      <c r="K798" s="23" t="str">
        <f>IFERROR(INDEX([2]Packages!E:E, MATCH(1, ([2]Packages!A:A=B798)*([2]Packages!B:B=C798), 0)) - SUMIFS(D$2:D798, B$2:B798, B798, C$2:C798, C798),"")</f>
        <v/>
      </c>
    </row>
    <row r="799" spans="4:11" x14ac:dyDescent="0.45">
      <c r="D799" t="str">
        <f>IFERROR(VLOOKUP(C799,'Clients List'!$A:$F,2,FALSE),"")</f>
        <v/>
      </c>
      <c r="F799" s="1" t="str">
        <f>IF(OR(C799="",NOT(ISNUMBER(SEARCH("Package",D799)))),"",VLOOKUP(C799,'Clients List'!$A:$F,4,FALSE)-SUMIFS($E$2:$E799,$C$2:$C799,C799,$D$2:$D799,"*Package*"))</f>
        <v/>
      </c>
      <c r="G799" t="str">
        <f t="shared" si="27"/>
        <v/>
      </c>
      <c r="H799" s="33">
        <f>IF(ISNUMBER(SEARCH("Group",D799)),IF(G799="",E799,IFERROR(E799/COUNTIF($G2:$G6000,G799),E799)),E799)</f>
        <v>0</v>
      </c>
      <c r="I799" s="1" t="str">
        <f>IFERROR(VLOOKUP(C799,'Clients List'!A:F,6,FALSE),"")</f>
        <v/>
      </c>
      <c r="K799" s="23" t="str">
        <f>IFERROR(INDEX([2]Packages!E:E, MATCH(1, ([2]Packages!A:A=B799)*([2]Packages!B:B=C799), 0)) - SUMIFS(D$2:D799, B$2:B799, B799, C$2:C799, C799),"")</f>
        <v/>
      </c>
    </row>
    <row r="800" spans="4:11" x14ac:dyDescent="0.45">
      <c r="D800" t="str">
        <f>IFERROR(VLOOKUP(C800,'Clients List'!$A:$F,2,FALSE),"")</f>
        <v/>
      </c>
      <c r="F800" s="1" t="str">
        <f>IF(OR(C800="",NOT(ISNUMBER(SEARCH("Package",D800)))),"",VLOOKUP(C800,'Clients List'!$A:$F,4,FALSE)-SUMIFS($E$2:$E800,$C$2:$C800,C800,$D$2:$D800,"*Package*"))</f>
        <v/>
      </c>
      <c r="G800" t="str">
        <f t="shared" si="27"/>
        <v/>
      </c>
      <c r="H800" s="33">
        <f>IF(ISNUMBER(SEARCH("Group",D800)),IF(G800="",E800,IFERROR(E800/COUNTIF($G2:$G6000,G800),E800)),E800)</f>
        <v>0</v>
      </c>
      <c r="I800" s="1" t="str">
        <f>IFERROR(VLOOKUP(C800,'Clients List'!A:F,6,FALSE),"")</f>
        <v/>
      </c>
      <c r="K800" s="23" t="str">
        <f>IFERROR(INDEX([2]Packages!E:E, MATCH(1, ([2]Packages!A:A=B800)*([2]Packages!B:B=C800), 0)) - SUMIFS(D$2:D800, B$2:B800, B800, C$2:C800, C800),"")</f>
        <v/>
      </c>
    </row>
    <row r="801" spans="4:11" x14ac:dyDescent="0.45">
      <c r="D801" t="str">
        <f>IFERROR(VLOOKUP(C801,'Clients List'!$A:$F,2,FALSE),"")</f>
        <v/>
      </c>
      <c r="F801" s="1" t="str">
        <f>IF(OR(C801="",NOT(ISNUMBER(SEARCH("Package",D801)))),"",VLOOKUP(C801,'Clients List'!$A:$F,4,FALSE)-SUMIFS($E$2:$E801,$C$2:$C801,C801,$D$2:$D801,"*Package*"))</f>
        <v/>
      </c>
      <c r="G801" t="str">
        <f t="shared" si="27"/>
        <v/>
      </c>
      <c r="H801" s="33">
        <f>IF(ISNUMBER(SEARCH("Group",D801)),IF(G801="",E801,IFERROR(E801/COUNTIF($G2:$G6000,G801),E801)),E801)</f>
        <v>0</v>
      </c>
      <c r="I801" s="1" t="str">
        <f>IFERROR(VLOOKUP(C801,'Clients List'!A:F,6,FALSE),"")</f>
        <v/>
      </c>
      <c r="K801" s="23" t="str">
        <f>IFERROR(INDEX([2]Packages!E:E, MATCH(1, ([2]Packages!A:A=B801)*([2]Packages!B:B=C801), 0)) - SUMIFS(D$2:D801, B$2:B801, B801, C$2:C801, C801),"")</f>
        <v/>
      </c>
    </row>
    <row r="802" spans="4:11" x14ac:dyDescent="0.45">
      <c r="D802" t="str">
        <f>IFERROR(VLOOKUP(C802,'Clients List'!$A:$F,2,FALSE),"")</f>
        <v/>
      </c>
      <c r="F802" s="1" t="str">
        <f>IF(OR(C802="",NOT(ISNUMBER(SEARCH("Package",D802)))),"",VLOOKUP(C802,'Clients List'!$A:$F,4,FALSE)-SUMIFS($E$2:$E802,$C$2:$C802,C802,$D$2:$D802,"*Package*"))</f>
        <v/>
      </c>
      <c r="G802" t="str">
        <f t="shared" si="27"/>
        <v/>
      </c>
      <c r="H802" s="33">
        <f>IF(ISNUMBER(SEARCH("Group",D802)),IF(G802="",E802,IFERROR(E802/COUNTIF($G2:$G6000,G802),E802)),E802)</f>
        <v>0</v>
      </c>
      <c r="I802" s="1" t="str">
        <f>IFERROR(VLOOKUP(C802,'Clients List'!A:F,6,FALSE),"")</f>
        <v/>
      </c>
      <c r="K802" s="23" t="str">
        <f>IFERROR(INDEX([2]Packages!E:E, MATCH(1, ([2]Packages!A:A=B802)*([2]Packages!B:B=C802), 0)) - SUMIFS(D$2:D802, B$2:B802, B802, C$2:C802, C802),"")</f>
        <v/>
      </c>
    </row>
    <row r="803" spans="4:11" x14ac:dyDescent="0.45">
      <c r="D803" t="str">
        <f>IFERROR(VLOOKUP(C803,'Clients List'!$A:$F,2,FALSE),"")</f>
        <v/>
      </c>
      <c r="F803" s="1" t="str">
        <f>IF(OR(C803="",NOT(ISNUMBER(SEARCH("Package",D803)))),"",VLOOKUP(C803,'Clients List'!$A:$F,4,FALSE)-SUMIFS($E$2:$E803,$C$2:$C803,C803,$D$2:$D803,"*Package*"))</f>
        <v/>
      </c>
      <c r="G803" t="str">
        <f t="shared" si="27"/>
        <v/>
      </c>
      <c r="H803" s="33">
        <f>IF(ISNUMBER(SEARCH("Group",D803)),IF(G803="",E803,IFERROR(E803/COUNTIF($G2:$G6000,G803),E803)),E803)</f>
        <v>0</v>
      </c>
      <c r="I803" s="1" t="str">
        <f>IFERROR(VLOOKUP(C803,'Clients List'!A:F,6,FALSE),"")</f>
        <v/>
      </c>
      <c r="K803" s="23" t="str">
        <f>IFERROR(INDEX([2]Packages!E:E, MATCH(1, ([2]Packages!A:A=B803)*([2]Packages!B:B=C803), 0)) - SUMIFS(D$2:D803, B$2:B803, B803, C$2:C803, C803),"")</f>
        <v/>
      </c>
    </row>
    <row r="804" spans="4:11" x14ac:dyDescent="0.45">
      <c r="D804" t="str">
        <f>IFERROR(VLOOKUP(C804,'Clients List'!$A:$F,2,FALSE),"")</f>
        <v/>
      </c>
      <c r="F804" s="1" t="str">
        <f>IF(OR(C804="",NOT(ISNUMBER(SEARCH("Package",D804)))),"",VLOOKUP(C804,'Clients List'!$A:$F,4,FALSE)-SUMIFS($E$2:$E804,$C$2:$C804,C804,$D$2:$D804,"*Package*"))</f>
        <v/>
      </c>
      <c r="G804" t="str">
        <f t="shared" si="27"/>
        <v/>
      </c>
      <c r="H804" s="33">
        <f>IF(ISNUMBER(SEARCH("Group",D804)),IF(G804="",E804,IFERROR(E804/COUNTIF($G2:$G6000,G804),E804)),E804)</f>
        <v>0</v>
      </c>
      <c r="I804" s="1" t="str">
        <f>IFERROR(VLOOKUP(C804,'Clients List'!A:F,6,FALSE),"")</f>
        <v/>
      </c>
      <c r="K804" s="23" t="str">
        <f>IFERROR(INDEX([2]Packages!E:E, MATCH(1, ([2]Packages!A:A=B804)*([2]Packages!B:B=C804), 0)) - SUMIFS(D$2:D804, B$2:B804, B804, C$2:C804, C804),"")</f>
        <v/>
      </c>
    </row>
    <row r="805" spans="4:11" x14ac:dyDescent="0.45">
      <c r="D805" t="str">
        <f>IFERROR(VLOOKUP(C805,'Clients List'!$A:$F,2,FALSE),"")</f>
        <v/>
      </c>
      <c r="F805" s="1" t="str">
        <f>IF(OR(C805="",NOT(ISNUMBER(SEARCH("Package",D805)))),"",VLOOKUP(C805,'Clients List'!$A:$F,4,FALSE)-SUMIFS($E$2:$E805,$C$2:$C805,C805,$D$2:$D805,"*Package*"))</f>
        <v/>
      </c>
      <c r="G805" t="str">
        <f t="shared" si="27"/>
        <v/>
      </c>
      <c r="H805" s="33">
        <f>IF(ISNUMBER(SEARCH("Group",D805)),IF(G805="",E805,IFERROR(E805/COUNTIF($G2:$G6000,G805),E805)),E805)</f>
        <v>0</v>
      </c>
      <c r="I805" s="1" t="str">
        <f>IFERROR(VLOOKUP(C805,'Clients List'!A:F,6,FALSE),"")</f>
        <v/>
      </c>
      <c r="K805" s="23" t="str">
        <f>IFERROR(INDEX([2]Packages!E:E, MATCH(1, ([2]Packages!A:A=B805)*([2]Packages!B:B=C805), 0)) - SUMIFS(D$2:D805, B$2:B805, B805, C$2:C805, C805),"")</f>
        <v/>
      </c>
    </row>
    <row r="806" spans="4:11" x14ac:dyDescent="0.45">
      <c r="D806" t="str">
        <f>IFERROR(VLOOKUP(C806,'Clients List'!$A:$F,2,FALSE),"")</f>
        <v/>
      </c>
      <c r="F806" s="1" t="str">
        <f>IF(OR(C806="",NOT(ISNUMBER(SEARCH("Package",D806)))),"",VLOOKUP(C806,'Clients List'!$A:$F,4,FALSE)-SUMIFS($E$2:$E806,$C$2:$C806,C806,$D$2:$D806,"*Package*"))</f>
        <v/>
      </c>
      <c r="G806" t="str">
        <f t="shared" si="27"/>
        <v/>
      </c>
      <c r="H806" s="33">
        <f>IF(ISNUMBER(SEARCH("Group",D806)),IF(G806="",E806,IFERROR(E806/COUNTIF($G2:$G6000,G806),E806)),E806)</f>
        <v>0</v>
      </c>
      <c r="I806" s="1" t="str">
        <f>IFERROR(VLOOKUP(C806,'Clients List'!A:F,6,FALSE),"")</f>
        <v/>
      </c>
      <c r="K806" s="23" t="str">
        <f>IFERROR(INDEX([2]Packages!E:E, MATCH(1, ([2]Packages!A:A=B806)*([2]Packages!B:B=C806), 0)) - SUMIFS(D$2:D806, B$2:B806, B806, C$2:C806, C806),"")</f>
        <v/>
      </c>
    </row>
    <row r="807" spans="4:11" x14ac:dyDescent="0.45">
      <c r="D807" t="str">
        <f>IFERROR(VLOOKUP(C807,'Clients List'!$A:$F,2,FALSE),"")</f>
        <v/>
      </c>
      <c r="F807" s="1" t="str">
        <f>IF(OR(C807="",NOT(ISNUMBER(SEARCH("Package",D807)))),"",VLOOKUP(C807,'Clients List'!$A:$F,4,FALSE)-SUMIFS($E$2:$E807,$C$2:$C807,C807,$D$2:$D807,"*Package*"))</f>
        <v/>
      </c>
      <c r="G807" t="str">
        <f t="shared" si="27"/>
        <v/>
      </c>
      <c r="H807" s="33">
        <f>IF(ISNUMBER(SEARCH("Group",D807)),IF(G807="",E807,IFERROR(E807/COUNTIF($G2:$G6000,G807),E807)),E807)</f>
        <v>0</v>
      </c>
      <c r="I807" s="1" t="str">
        <f>IFERROR(VLOOKUP(C807,'Clients List'!A:F,6,FALSE),"")</f>
        <v/>
      </c>
      <c r="K807" s="23" t="str">
        <f>IFERROR(INDEX([2]Packages!E:E, MATCH(1, ([2]Packages!A:A=B807)*([2]Packages!B:B=C807), 0)) - SUMIFS(D$2:D807, B$2:B807, B807, C$2:C807, C807),"")</f>
        <v/>
      </c>
    </row>
    <row r="808" spans="4:11" x14ac:dyDescent="0.45">
      <c r="D808" t="str">
        <f>IFERROR(VLOOKUP(C808,'Clients List'!$A:$F,2,FALSE),"")</f>
        <v/>
      </c>
      <c r="F808" s="1" t="str">
        <f>IF(OR(C808="",NOT(ISNUMBER(SEARCH("Package",D808)))),"",VLOOKUP(C808,'Clients List'!$A:$F,4,FALSE)-SUMIFS($E$2:$E808,$C$2:$C808,C808,$D$2:$D808,"*Package*"))</f>
        <v/>
      </c>
      <c r="G808" t="str">
        <f t="shared" si="27"/>
        <v/>
      </c>
      <c r="H808" s="33">
        <f>IF(ISNUMBER(SEARCH("Group",D808)),IF(G808="",E808,IFERROR(E808/COUNTIF($G2:$G6000,G808),E808)),E808)</f>
        <v>0</v>
      </c>
      <c r="I808" s="1" t="str">
        <f>IFERROR(VLOOKUP(C808,'Clients List'!A:F,6,FALSE),"")</f>
        <v/>
      </c>
      <c r="K808" s="23" t="str">
        <f>IFERROR(INDEX([2]Packages!E:E, MATCH(1, ([2]Packages!A:A=B808)*([2]Packages!B:B=C808), 0)) - SUMIFS(D$2:D808, B$2:B808, B808, C$2:C808, C808),"")</f>
        <v/>
      </c>
    </row>
    <row r="809" spans="4:11" x14ac:dyDescent="0.45">
      <c r="D809" t="str">
        <f>IFERROR(VLOOKUP(C809,'Clients List'!$A:$F,2,FALSE),"")</f>
        <v/>
      </c>
      <c r="F809" s="1" t="str">
        <f>IF(OR(C809="",NOT(ISNUMBER(SEARCH("Package",D809)))),"",VLOOKUP(C809,'Clients List'!$A:$F,4,FALSE)-SUMIFS($E$2:$E809,$C$2:$C809,C809,$D$2:$D809,"*Package*"))</f>
        <v/>
      </c>
      <c r="G809" t="str">
        <f t="shared" si="27"/>
        <v/>
      </c>
      <c r="H809" s="33">
        <f>IF(ISNUMBER(SEARCH("Group",D809)),IF(G809="",E809,IFERROR(E809/COUNTIF($G2:$G6000,G809),E809)),E809)</f>
        <v>0</v>
      </c>
      <c r="I809" s="1" t="str">
        <f>IFERROR(VLOOKUP(C809,'Clients List'!A:F,6,FALSE),"")</f>
        <v/>
      </c>
      <c r="K809" s="23" t="str">
        <f>IFERROR(INDEX([2]Packages!E:E, MATCH(1, ([2]Packages!A:A=B809)*([2]Packages!B:B=C809), 0)) - SUMIFS(D$2:D809, B$2:B809, B809, C$2:C809, C809),"")</f>
        <v/>
      </c>
    </row>
    <row r="810" spans="4:11" x14ac:dyDescent="0.45">
      <c r="D810" t="str">
        <f>IFERROR(VLOOKUP(C810,'Clients List'!$A:$F,2,FALSE),"")</f>
        <v/>
      </c>
      <c r="F810" s="1" t="str">
        <f>IF(OR(C810="",NOT(ISNUMBER(SEARCH("Package",D810)))),"",VLOOKUP(C810,'Clients List'!$A:$F,4,FALSE)-SUMIFS($E$2:$E810,$C$2:$C810,C810,$D$2:$D810,"*Package*"))</f>
        <v/>
      </c>
      <c r="G810" t="str">
        <f t="shared" si="27"/>
        <v/>
      </c>
      <c r="H810" s="33">
        <f>IF(ISNUMBER(SEARCH("Group",D810)),IF(G810="",E810,IFERROR(E810/COUNTIF($G2:$G6000,G810),E810)),E810)</f>
        <v>0</v>
      </c>
      <c r="I810" s="1" t="str">
        <f>IFERROR(VLOOKUP(C810,'Clients List'!A:F,6,FALSE),"")</f>
        <v/>
      </c>
      <c r="K810" s="23" t="str">
        <f>IFERROR(INDEX([2]Packages!E:E, MATCH(1, ([2]Packages!A:A=B810)*([2]Packages!B:B=C810), 0)) - SUMIFS(D$2:D810, B$2:B810, B810, C$2:C810, C810),"")</f>
        <v/>
      </c>
    </row>
    <row r="811" spans="4:11" x14ac:dyDescent="0.45">
      <c r="D811" t="str">
        <f>IFERROR(VLOOKUP(C811,'Clients List'!$A:$F,2,FALSE),"")</f>
        <v/>
      </c>
      <c r="F811" s="1" t="str">
        <f>IF(OR(C811="",NOT(ISNUMBER(SEARCH("Package",D811)))),"",VLOOKUP(C811,'Clients List'!$A:$F,4,FALSE)-SUMIFS($E$2:$E811,$C$2:$C811,C811,$D$2:$D811,"*Package*"))</f>
        <v/>
      </c>
      <c r="G811" t="str">
        <f t="shared" si="27"/>
        <v/>
      </c>
      <c r="H811" s="33">
        <f>IF(ISNUMBER(SEARCH("Group",D811)),IF(G811="",E811,IFERROR(E811/COUNTIF($G2:$G6000,G811),E811)),E811)</f>
        <v>0</v>
      </c>
      <c r="I811" s="1" t="str">
        <f>IFERROR(VLOOKUP(C811,'Clients List'!A:F,6,FALSE),"")</f>
        <v/>
      </c>
      <c r="K811" s="23" t="str">
        <f>IFERROR(INDEX([2]Packages!E:E, MATCH(1, ([2]Packages!A:A=B811)*([2]Packages!B:B=C811), 0)) - SUMIFS(D$2:D811, B$2:B811, B811, C$2:C811, C811),"")</f>
        <v/>
      </c>
    </row>
    <row r="812" spans="4:11" x14ac:dyDescent="0.45">
      <c r="D812" t="str">
        <f>IFERROR(VLOOKUP(C812,'Clients List'!$A:$F,2,FALSE),"")</f>
        <v/>
      </c>
      <c r="F812" s="1" t="str">
        <f>IF(OR(C812="",NOT(ISNUMBER(SEARCH("Package",D812)))),"",VLOOKUP(C812,'Clients List'!$A:$F,4,FALSE)-SUMIFS($E$2:$E812,$C$2:$C812,C812,$D$2:$D812,"*Package*"))</f>
        <v/>
      </c>
      <c r="G812" t="str">
        <f t="shared" si="27"/>
        <v/>
      </c>
      <c r="H812" s="33">
        <f>IF(ISNUMBER(SEARCH("Group",D812)),IF(G812="",E812,IFERROR(E812/COUNTIF($G2:$G6000,G812),E812)),E812)</f>
        <v>0</v>
      </c>
      <c r="I812" s="1" t="str">
        <f>IFERROR(VLOOKUP(C812,'Clients List'!A:F,6,FALSE),"")</f>
        <v/>
      </c>
      <c r="K812" s="23" t="str">
        <f>IFERROR(INDEX([2]Packages!E:E, MATCH(1, ([2]Packages!A:A=B812)*([2]Packages!B:B=C812), 0)) - SUMIFS(D$2:D812, B$2:B812, B812, C$2:C812, C812),"")</f>
        <v/>
      </c>
    </row>
    <row r="813" spans="4:11" x14ac:dyDescent="0.45">
      <c r="D813" t="str">
        <f>IFERROR(VLOOKUP(C813,'Clients List'!$A:$F,2,FALSE),"")</f>
        <v/>
      </c>
      <c r="F813" s="1" t="str">
        <f>IF(OR(C813="",NOT(ISNUMBER(SEARCH("Package",D813)))),"",VLOOKUP(C813,'Clients List'!$A:$F,4,FALSE)-SUMIFS($E$2:$E813,$C$2:$C813,C813,$D$2:$D813,"*Package*"))</f>
        <v/>
      </c>
      <c r="G813" t="str">
        <f t="shared" si="27"/>
        <v/>
      </c>
      <c r="H813" s="33">
        <f>IF(ISNUMBER(SEARCH("Group",D813)),IF(G813="",E813,IFERROR(E813/COUNTIF($G2:$G6000,G813),E813)),E813)</f>
        <v>0</v>
      </c>
      <c r="I813" s="1" t="str">
        <f>IFERROR(VLOOKUP(C813,'Clients List'!A:F,6,FALSE),"")</f>
        <v/>
      </c>
      <c r="K813" s="23" t="str">
        <f>IFERROR(INDEX([2]Packages!E:E, MATCH(1, ([2]Packages!A:A=B813)*([2]Packages!B:B=C813), 0)) - SUMIFS(D$2:D813, B$2:B813, B813, C$2:C813, C813),"")</f>
        <v/>
      </c>
    </row>
    <row r="814" spans="4:11" x14ac:dyDescent="0.45">
      <c r="D814" t="str">
        <f>IFERROR(VLOOKUP(C814,'Clients List'!$A:$F,2,FALSE),"")</f>
        <v/>
      </c>
      <c r="F814" s="1" t="str">
        <f>IF(OR(C814="",NOT(ISNUMBER(SEARCH("Package",D814)))),"",VLOOKUP(C814,'Clients List'!$A:$F,4,FALSE)-SUMIFS($E$2:$E814,$C$2:$C814,C814,$D$2:$D814,"*Package*"))</f>
        <v/>
      </c>
      <c r="G814" t="str">
        <f t="shared" ref="G814:G845" si="28">IF(ISNUMBER(SEARCH("Group",D814)),IFERROR("GRP-"&amp;TEXT(IF(ISNUMBER(A814),A814,DATEVALUE(A814)),"yyyymmdd"),""),"" )</f>
        <v/>
      </c>
      <c r="H814" s="33">
        <f>IF(ISNUMBER(SEARCH("Group",D814)),IF(G814="",E814,IFERROR(E814/COUNTIF($G2:$G6000,G814),E814)),E814)</f>
        <v>0</v>
      </c>
      <c r="I814" s="1" t="str">
        <f>IFERROR(VLOOKUP(C814,'Clients List'!A:F,6,FALSE),"")</f>
        <v/>
      </c>
      <c r="K814" s="23" t="str">
        <f>IFERROR(INDEX([2]Packages!E:E, MATCH(1, ([2]Packages!A:A=B814)*([2]Packages!B:B=C814), 0)) - SUMIFS(D$2:D814, B$2:B814, B814, C$2:C814, C814),"")</f>
        <v/>
      </c>
    </row>
    <row r="815" spans="4:11" x14ac:dyDescent="0.45">
      <c r="D815" t="str">
        <f>IFERROR(VLOOKUP(C815,'Clients List'!$A:$F,2,FALSE),"")</f>
        <v/>
      </c>
      <c r="F815" s="1" t="str">
        <f>IF(OR(C815="",NOT(ISNUMBER(SEARCH("Package",D815)))),"",VLOOKUP(C815,'Clients List'!$A:$F,4,FALSE)-SUMIFS($E$2:$E815,$C$2:$C815,C815,$D$2:$D815,"*Package*"))</f>
        <v/>
      </c>
      <c r="G815" t="str">
        <f t="shared" si="28"/>
        <v/>
      </c>
      <c r="H815" s="33">
        <f>IF(ISNUMBER(SEARCH("Group",D815)),IF(G815="",E815,IFERROR(E815/COUNTIF($G2:$G6000,G815),E815)),E815)</f>
        <v>0</v>
      </c>
      <c r="I815" s="1" t="str">
        <f>IFERROR(VLOOKUP(C815,'Clients List'!A:F,6,FALSE),"")</f>
        <v/>
      </c>
      <c r="K815" s="23" t="str">
        <f>IFERROR(INDEX([2]Packages!E:E, MATCH(1, ([2]Packages!A:A=B815)*([2]Packages!B:B=C815), 0)) - SUMIFS(D$2:D815, B$2:B815, B815, C$2:C815, C815),"")</f>
        <v/>
      </c>
    </row>
    <row r="816" spans="4:11" x14ac:dyDescent="0.45">
      <c r="D816" t="str">
        <f>IFERROR(VLOOKUP(C816,'Clients List'!$A:$F,2,FALSE),"")</f>
        <v/>
      </c>
      <c r="F816" s="1" t="str">
        <f>IF(OR(C816="",NOT(ISNUMBER(SEARCH("Package",D816)))),"",VLOOKUP(C816,'Clients List'!$A:$F,4,FALSE)-SUMIFS($E$2:$E816,$C$2:$C816,C816,$D$2:$D816,"*Package*"))</f>
        <v/>
      </c>
      <c r="G816" t="str">
        <f t="shared" si="28"/>
        <v/>
      </c>
      <c r="H816" s="33">
        <f>IF(ISNUMBER(SEARCH("Group",D816)),IF(G816="",E816,IFERROR(E816/COUNTIF($G2:$G6000,G816),E816)),E816)</f>
        <v>0</v>
      </c>
      <c r="I816" s="1" t="str">
        <f>IFERROR(VLOOKUP(C816,'Clients List'!A:F,6,FALSE),"")</f>
        <v/>
      </c>
      <c r="K816" s="23" t="str">
        <f>IFERROR(INDEX([2]Packages!E:E, MATCH(1, ([2]Packages!A:A=B816)*([2]Packages!B:B=C816), 0)) - SUMIFS(D$2:D816, B$2:B816, B816, C$2:C816, C816),"")</f>
        <v/>
      </c>
    </row>
    <row r="817" spans="4:11" x14ac:dyDescent="0.45">
      <c r="D817" t="str">
        <f>IFERROR(VLOOKUP(C817,'Clients List'!$A:$F,2,FALSE),"")</f>
        <v/>
      </c>
      <c r="F817" s="1" t="str">
        <f>IF(OR(C817="",NOT(ISNUMBER(SEARCH("Package",D817)))),"",VLOOKUP(C817,'Clients List'!$A:$F,4,FALSE)-SUMIFS($E$2:$E817,$C$2:$C817,C817,$D$2:$D817,"*Package*"))</f>
        <v/>
      </c>
      <c r="G817" t="str">
        <f t="shared" si="28"/>
        <v/>
      </c>
      <c r="H817" s="33">
        <f>IF(ISNUMBER(SEARCH("Group",D817)),IF(G817="",E817,IFERROR(E817/COUNTIF($G2:$G6000,G817),E817)),E817)</f>
        <v>0</v>
      </c>
      <c r="I817" s="1" t="str">
        <f>IFERROR(VLOOKUP(C817,'Clients List'!A:F,6,FALSE),"")</f>
        <v/>
      </c>
      <c r="K817" s="23" t="str">
        <f>IFERROR(INDEX([2]Packages!E:E, MATCH(1, ([2]Packages!A:A=B817)*([2]Packages!B:B=C817), 0)) - SUMIFS(D$2:D817, B$2:B817, B817, C$2:C817, C817),"")</f>
        <v/>
      </c>
    </row>
    <row r="818" spans="4:11" x14ac:dyDescent="0.45">
      <c r="D818" t="str">
        <f>IFERROR(VLOOKUP(C818,'Clients List'!$A:$F,2,FALSE),"")</f>
        <v/>
      </c>
      <c r="F818" s="1" t="str">
        <f>IF(OR(C818="",NOT(ISNUMBER(SEARCH("Package",D818)))),"",VLOOKUP(C818,'Clients List'!$A:$F,4,FALSE)-SUMIFS($E$2:$E818,$C$2:$C818,C818,$D$2:$D818,"*Package*"))</f>
        <v/>
      </c>
      <c r="G818" t="str">
        <f t="shared" si="28"/>
        <v/>
      </c>
      <c r="H818" s="33">
        <f>IF(ISNUMBER(SEARCH("Group",D818)),IF(G818="",E818,IFERROR(E818/COUNTIF($G2:$G6000,G818),E818)),E818)</f>
        <v>0</v>
      </c>
      <c r="I818" s="1" t="str">
        <f>IFERROR(VLOOKUP(C818,'Clients List'!A:F,6,FALSE),"")</f>
        <v/>
      </c>
      <c r="K818" s="23" t="str">
        <f>IFERROR(INDEX([2]Packages!E:E, MATCH(1, ([2]Packages!A:A=B818)*([2]Packages!B:B=C818), 0)) - SUMIFS(D$2:D818, B$2:B818, B818, C$2:C818, C818),"")</f>
        <v/>
      </c>
    </row>
    <row r="819" spans="4:11" x14ac:dyDescent="0.45">
      <c r="D819" t="str">
        <f>IFERROR(VLOOKUP(C819,'Clients List'!$A:$F,2,FALSE),"")</f>
        <v/>
      </c>
      <c r="F819" s="1" t="str">
        <f>IF(OR(C819="",NOT(ISNUMBER(SEARCH("Package",D819)))),"",VLOOKUP(C819,'Clients List'!$A:$F,4,FALSE)-SUMIFS($E$2:$E819,$C$2:$C819,C819,$D$2:$D819,"*Package*"))</f>
        <v/>
      </c>
      <c r="G819" t="str">
        <f t="shared" si="28"/>
        <v/>
      </c>
      <c r="H819" s="33">
        <f>IF(ISNUMBER(SEARCH("Group",D819)),IF(G819="",E819,IFERROR(E819/COUNTIF($G2:$G6000,G819),E819)),E819)</f>
        <v>0</v>
      </c>
      <c r="I819" s="1" t="str">
        <f>IFERROR(VLOOKUP(C819,'Clients List'!A:F,6,FALSE),"")</f>
        <v/>
      </c>
      <c r="K819" s="23" t="str">
        <f>IFERROR(INDEX([2]Packages!E:E, MATCH(1, ([2]Packages!A:A=B819)*([2]Packages!B:B=C819), 0)) - SUMIFS(D$2:D819, B$2:B819, B819, C$2:C819, C819),"")</f>
        <v/>
      </c>
    </row>
    <row r="820" spans="4:11" x14ac:dyDescent="0.45">
      <c r="D820" t="str">
        <f>IFERROR(VLOOKUP(C820,'Clients List'!$A:$F,2,FALSE),"")</f>
        <v/>
      </c>
      <c r="F820" s="1" t="str">
        <f>IF(OR(C820="",NOT(ISNUMBER(SEARCH("Package",D820)))),"",VLOOKUP(C820,'Clients List'!$A:$F,4,FALSE)-SUMIFS($E$2:$E820,$C$2:$C820,C820,$D$2:$D820,"*Package*"))</f>
        <v/>
      </c>
      <c r="G820" t="str">
        <f t="shared" si="28"/>
        <v/>
      </c>
      <c r="H820" s="33">
        <f>IF(ISNUMBER(SEARCH("Group",D820)),IF(G820="",E820,IFERROR(E820/COUNTIF($G2:$G6000,G820),E820)),E820)</f>
        <v>0</v>
      </c>
      <c r="I820" s="1" t="str">
        <f>IFERROR(VLOOKUP(C820,'Clients List'!A:F,6,FALSE),"")</f>
        <v/>
      </c>
      <c r="K820" s="23" t="str">
        <f>IFERROR(INDEX([2]Packages!E:E, MATCH(1, ([2]Packages!A:A=B820)*([2]Packages!B:B=C820), 0)) - SUMIFS(D$2:D820, B$2:B820, B820, C$2:C820, C820),"")</f>
        <v/>
      </c>
    </row>
    <row r="821" spans="4:11" x14ac:dyDescent="0.45">
      <c r="D821" t="str">
        <f>IFERROR(VLOOKUP(C821,'Clients List'!$A:$F,2,FALSE),"")</f>
        <v/>
      </c>
      <c r="F821" s="1" t="str">
        <f>IF(OR(C821="",NOT(ISNUMBER(SEARCH("Package",D821)))),"",VLOOKUP(C821,'Clients List'!$A:$F,4,FALSE)-SUMIFS($E$2:$E821,$C$2:$C821,C821,$D$2:$D821,"*Package*"))</f>
        <v/>
      </c>
      <c r="G821" t="str">
        <f t="shared" si="28"/>
        <v/>
      </c>
      <c r="H821" s="33">
        <f>IF(ISNUMBER(SEARCH("Group",D821)),IF(G821="",E821,IFERROR(E821/COUNTIF($G2:$G6000,G821),E821)),E821)</f>
        <v>0</v>
      </c>
      <c r="I821" s="1" t="str">
        <f>IFERROR(VLOOKUP(C821,'Clients List'!A:F,6,FALSE),"")</f>
        <v/>
      </c>
      <c r="K821" s="23" t="str">
        <f>IFERROR(INDEX([2]Packages!E:E, MATCH(1, ([2]Packages!A:A=B821)*([2]Packages!B:B=C821), 0)) - SUMIFS(D$2:D821, B$2:B821, B821, C$2:C821, C821),"")</f>
        <v/>
      </c>
    </row>
    <row r="822" spans="4:11" x14ac:dyDescent="0.45">
      <c r="D822" t="str">
        <f>IFERROR(VLOOKUP(C822,'Clients List'!$A:$F,2,FALSE),"")</f>
        <v/>
      </c>
      <c r="F822" s="1" t="str">
        <f>IF(OR(C822="",NOT(ISNUMBER(SEARCH("Package",D822)))),"",VLOOKUP(C822,'Clients List'!$A:$F,4,FALSE)-SUMIFS($E$2:$E822,$C$2:$C822,C822,$D$2:$D822,"*Package*"))</f>
        <v/>
      </c>
      <c r="G822" t="str">
        <f t="shared" si="28"/>
        <v/>
      </c>
      <c r="H822" s="33">
        <f>IF(ISNUMBER(SEARCH("Group",D822)),IF(G822="",E822,IFERROR(E822/COUNTIF($G2:$G6000,G822),E822)),E822)</f>
        <v>0</v>
      </c>
      <c r="I822" s="1" t="str">
        <f>IFERROR(VLOOKUP(C822,'Clients List'!A:F,6,FALSE),"")</f>
        <v/>
      </c>
      <c r="K822" s="23" t="str">
        <f>IFERROR(INDEX([2]Packages!E:E, MATCH(1, ([2]Packages!A:A=B822)*([2]Packages!B:B=C822), 0)) - SUMIFS(D$2:D822, B$2:B822, B822, C$2:C822, C822),"")</f>
        <v/>
      </c>
    </row>
    <row r="823" spans="4:11" x14ac:dyDescent="0.45">
      <c r="D823" t="str">
        <f>IFERROR(VLOOKUP(C823,'Clients List'!$A:$F,2,FALSE),"")</f>
        <v/>
      </c>
      <c r="F823" s="1" t="str">
        <f>IF(OR(C823="",NOT(ISNUMBER(SEARCH("Package",D823)))),"",VLOOKUP(C823,'Clients List'!$A:$F,4,FALSE)-SUMIFS($E$2:$E823,$C$2:$C823,C823,$D$2:$D823,"*Package*"))</f>
        <v/>
      </c>
      <c r="G823" t="str">
        <f t="shared" si="28"/>
        <v/>
      </c>
      <c r="H823" s="33">
        <f>IF(ISNUMBER(SEARCH("Group",D823)),IF(G823="",E823,IFERROR(E823/COUNTIF($G2:$G6000,G823),E823)),E823)</f>
        <v>0</v>
      </c>
      <c r="I823" s="1" t="str">
        <f>IFERROR(VLOOKUP(C823,'Clients List'!A:F,6,FALSE),"")</f>
        <v/>
      </c>
      <c r="K823" s="23" t="str">
        <f>IFERROR(INDEX([2]Packages!E:E, MATCH(1, ([2]Packages!A:A=B823)*([2]Packages!B:B=C823), 0)) - SUMIFS(D$2:D823, B$2:B823, B823, C$2:C823, C823),"")</f>
        <v/>
      </c>
    </row>
    <row r="824" spans="4:11" x14ac:dyDescent="0.45">
      <c r="D824" t="str">
        <f>IFERROR(VLOOKUP(C824,'Clients List'!$A:$F,2,FALSE),"")</f>
        <v/>
      </c>
      <c r="F824" s="1" t="str">
        <f>IF(OR(C824="",NOT(ISNUMBER(SEARCH("Package",D824)))),"",VLOOKUP(C824,'Clients List'!$A:$F,4,FALSE)-SUMIFS($E$2:$E824,$C$2:$C824,C824,$D$2:$D824,"*Package*"))</f>
        <v/>
      </c>
      <c r="G824" t="str">
        <f t="shared" si="28"/>
        <v/>
      </c>
      <c r="H824" s="33">
        <f>IF(ISNUMBER(SEARCH("Group",D824)),IF(G824="",E824,IFERROR(E824/COUNTIF($G2:$G6000,G824),E824)),E824)</f>
        <v>0</v>
      </c>
      <c r="I824" s="1" t="str">
        <f>IFERROR(VLOOKUP(C824,'Clients List'!A:F,6,FALSE),"")</f>
        <v/>
      </c>
      <c r="K824" s="23" t="str">
        <f>IFERROR(INDEX([2]Packages!E:E, MATCH(1, ([2]Packages!A:A=B824)*([2]Packages!B:B=C824), 0)) - SUMIFS(D$2:D824, B$2:B824, B824, C$2:C824, C824),"")</f>
        <v/>
      </c>
    </row>
    <row r="825" spans="4:11" x14ac:dyDescent="0.45">
      <c r="D825" t="str">
        <f>IFERROR(VLOOKUP(C825,'Clients List'!$A:$F,2,FALSE),"")</f>
        <v/>
      </c>
      <c r="F825" s="1" t="str">
        <f>IF(OR(C825="",NOT(ISNUMBER(SEARCH("Package",D825)))),"",VLOOKUP(C825,'Clients List'!$A:$F,4,FALSE)-SUMIFS($E$2:$E825,$C$2:$C825,C825,$D$2:$D825,"*Package*"))</f>
        <v/>
      </c>
      <c r="G825" t="str">
        <f t="shared" si="28"/>
        <v/>
      </c>
      <c r="H825" s="33">
        <f>IF(ISNUMBER(SEARCH("Group",D825)),IF(G825="",E825,IFERROR(E825/COUNTIF($G2:$G6000,G825),E825)),E825)</f>
        <v>0</v>
      </c>
      <c r="I825" s="1" t="str">
        <f>IFERROR(VLOOKUP(C825,'Clients List'!A:F,6,FALSE),"")</f>
        <v/>
      </c>
      <c r="K825" s="23" t="str">
        <f>IFERROR(INDEX([2]Packages!E:E, MATCH(1, ([2]Packages!A:A=B825)*([2]Packages!B:B=C825), 0)) - SUMIFS(D$2:D825, B$2:B825, B825, C$2:C825, C825),"")</f>
        <v/>
      </c>
    </row>
    <row r="826" spans="4:11" x14ac:dyDescent="0.45">
      <c r="D826" t="str">
        <f>IFERROR(VLOOKUP(C826,'Clients List'!$A:$F,2,FALSE),"")</f>
        <v/>
      </c>
      <c r="F826" s="1" t="str">
        <f>IF(OR(C826="",NOT(ISNUMBER(SEARCH("Package",D826)))),"",VLOOKUP(C826,'Clients List'!$A:$F,4,FALSE)-SUMIFS($E$2:$E826,$C$2:$C826,C826,$D$2:$D826,"*Package*"))</f>
        <v/>
      </c>
      <c r="G826" t="str">
        <f t="shared" si="28"/>
        <v/>
      </c>
      <c r="H826" s="33">
        <f>IF(ISNUMBER(SEARCH("Group",D826)),IF(G826="",E826,IFERROR(E826/COUNTIF($G2:$G6000,G826),E826)),E826)</f>
        <v>0</v>
      </c>
      <c r="I826" s="1" t="str">
        <f>IFERROR(VLOOKUP(C826,'Clients List'!A:F,6,FALSE),"")</f>
        <v/>
      </c>
      <c r="K826" s="23" t="str">
        <f>IFERROR(INDEX([2]Packages!E:E, MATCH(1, ([2]Packages!A:A=B826)*([2]Packages!B:B=C826), 0)) - SUMIFS(D$2:D826, B$2:B826, B826, C$2:C826, C826),"")</f>
        <v/>
      </c>
    </row>
    <row r="827" spans="4:11" x14ac:dyDescent="0.45">
      <c r="D827" t="str">
        <f>IFERROR(VLOOKUP(C827,'Clients List'!$A:$F,2,FALSE),"")</f>
        <v/>
      </c>
      <c r="F827" s="1" t="str">
        <f>IF(OR(C827="",NOT(ISNUMBER(SEARCH("Package",D827)))),"",VLOOKUP(C827,'Clients List'!$A:$F,4,FALSE)-SUMIFS($E$2:$E827,$C$2:$C827,C827,$D$2:$D827,"*Package*"))</f>
        <v/>
      </c>
      <c r="G827" t="str">
        <f t="shared" si="28"/>
        <v/>
      </c>
      <c r="H827" s="33">
        <f>IF(ISNUMBER(SEARCH("Group",D827)),IF(G827="",E827,IFERROR(E827/COUNTIF($G2:$G6000,G827),E827)),E827)</f>
        <v>0</v>
      </c>
      <c r="I827" s="1" t="str">
        <f>IFERROR(VLOOKUP(C827,'Clients List'!A:F,6,FALSE),"")</f>
        <v/>
      </c>
      <c r="K827" s="23" t="str">
        <f>IFERROR(INDEX([2]Packages!E:E, MATCH(1, ([2]Packages!A:A=B827)*([2]Packages!B:B=C827), 0)) - SUMIFS(D$2:D827, B$2:B827, B827, C$2:C827, C827),"")</f>
        <v/>
      </c>
    </row>
    <row r="828" spans="4:11" x14ac:dyDescent="0.45">
      <c r="D828" t="str">
        <f>IFERROR(VLOOKUP(C828,'Clients List'!$A:$F,2,FALSE),"")</f>
        <v/>
      </c>
      <c r="F828" s="1" t="str">
        <f>IF(OR(C828="",NOT(ISNUMBER(SEARCH("Package",D828)))),"",VLOOKUP(C828,'Clients List'!$A:$F,4,FALSE)-SUMIFS($E$2:$E828,$C$2:$C828,C828,$D$2:$D828,"*Package*"))</f>
        <v/>
      </c>
      <c r="G828" t="str">
        <f t="shared" si="28"/>
        <v/>
      </c>
      <c r="H828" s="33">
        <f>IF(ISNUMBER(SEARCH("Group",D828)),IF(G828="",E828,IFERROR(E828/COUNTIF($G2:$G6000,G828),E828)),E828)</f>
        <v>0</v>
      </c>
      <c r="I828" s="1" t="str">
        <f>IFERROR(VLOOKUP(C828,'Clients List'!A:F,6,FALSE),"")</f>
        <v/>
      </c>
      <c r="K828" s="23" t="str">
        <f>IFERROR(INDEX([2]Packages!E:E, MATCH(1, ([2]Packages!A:A=B828)*([2]Packages!B:B=C828), 0)) - SUMIFS(D$2:D828, B$2:B828, B828, C$2:C828, C828),"")</f>
        <v/>
      </c>
    </row>
    <row r="829" spans="4:11" x14ac:dyDescent="0.45">
      <c r="D829" t="str">
        <f>IFERROR(VLOOKUP(C829,'Clients List'!$A:$F,2,FALSE),"")</f>
        <v/>
      </c>
      <c r="F829" s="1" t="str">
        <f>IF(OR(C829="",NOT(ISNUMBER(SEARCH("Package",D829)))),"",VLOOKUP(C829,'Clients List'!$A:$F,4,FALSE)-SUMIFS($E$2:$E829,$C$2:$C829,C829,$D$2:$D829,"*Package*"))</f>
        <v/>
      </c>
      <c r="G829" t="str">
        <f t="shared" si="28"/>
        <v/>
      </c>
      <c r="H829" s="33">
        <f>IF(ISNUMBER(SEARCH("Group",D829)),IF(G829="",E829,IFERROR(E829/COUNTIF($G2:$G6000,G829),E829)),E829)</f>
        <v>0</v>
      </c>
      <c r="I829" s="1" t="str">
        <f>IFERROR(VLOOKUP(C829,'Clients List'!A:F,6,FALSE),"")</f>
        <v/>
      </c>
      <c r="K829" s="23" t="str">
        <f>IFERROR(INDEX([2]Packages!E:E, MATCH(1, ([2]Packages!A:A=B829)*([2]Packages!B:B=C829), 0)) - SUMIFS(D$2:D829, B$2:B829, B829, C$2:C829, C829),"")</f>
        <v/>
      </c>
    </row>
    <row r="830" spans="4:11" x14ac:dyDescent="0.45">
      <c r="D830" t="str">
        <f>IFERROR(VLOOKUP(C830,'Clients List'!$A:$F,2,FALSE),"")</f>
        <v/>
      </c>
      <c r="F830" s="1" t="str">
        <f>IF(OR(C830="",NOT(ISNUMBER(SEARCH("Package",D830)))),"",VLOOKUP(C830,'Clients List'!$A:$F,4,FALSE)-SUMIFS($E$2:$E830,$C$2:$C830,C830,$D$2:$D830,"*Package*"))</f>
        <v/>
      </c>
      <c r="G830" t="str">
        <f t="shared" si="28"/>
        <v/>
      </c>
      <c r="H830" s="33">
        <f>IF(ISNUMBER(SEARCH("Group",D830)),IF(G830="",E830,IFERROR(E830/COUNTIF($G2:$G6000,G830),E830)),E830)</f>
        <v>0</v>
      </c>
      <c r="I830" s="1" t="str">
        <f>IFERROR(VLOOKUP(C830,'Clients List'!A:F,6,FALSE),"")</f>
        <v/>
      </c>
      <c r="K830" s="23" t="str">
        <f>IFERROR(INDEX([2]Packages!E:E, MATCH(1, ([2]Packages!A:A=B830)*([2]Packages!B:B=C830), 0)) - SUMIFS(D$2:D830, B$2:B830, B830, C$2:C830, C830),"")</f>
        <v/>
      </c>
    </row>
    <row r="831" spans="4:11" x14ac:dyDescent="0.45">
      <c r="D831" t="str">
        <f>IFERROR(VLOOKUP(C831,'Clients List'!$A:$F,2,FALSE),"")</f>
        <v/>
      </c>
      <c r="F831" s="1" t="str">
        <f>IF(OR(C831="",NOT(ISNUMBER(SEARCH("Package",D831)))),"",VLOOKUP(C831,'Clients List'!$A:$F,4,FALSE)-SUMIFS($E$2:$E831,$C$2:$C831,C831,$D$2:$D831,"*Package*"))</f>
        <v/>
      </c>
      <c r="G831" t="str">
        <f t="shared" si="28"/>
        <v/>
      </c>
      <c r="H831" s="33">
        <f>IF(ISNUMBER(SEARCH("Group",D831)),IF(G831="",E831,IFERROR(E831/COUNTIF($G2:$G6000,G831),E831)),E831)</f>
        <v>0</v>
      </c>
      <c r="I831" s="1" t="str">
        <f>IFERROR(VLOOKUP(C831,'Clients List'!A:F,6,FALSE),"")</f>
        <v/>
      </c>
      <c r="K831" s="23" t="str">
        <f>IFERROR(INDEX([2]Packages!E:E, MATCH(1, ([2]Packages!A:A=B831)*([2]Packages!B:B=C831), 0)) - SUMIFS(D$2:D831, B$2:B831, B831, C$2:C831, C831),"")</f>
        <v/>
      </c>
    </row>
    <row r="832" spans="4:11" x14ac:dyDescent="0.45">
      <c r="D832" t="str">
        <f>IFERROR(VLOOKUP(C832,'Clients List'!$A:$F,2,FALSE),"")</f>
        <v/>
      </c>
      <c r="F832" s="1" t="str">
        <f>IF(OR(C832="",NOT(ISNUMBER(SEARCH("Package",D832)))),"",VLOOKUP(C832,'Clients List'!$A:$F,4,FALSE)-SUMIFS($E$2:$E832,$C$2:$C832,C832,$D$2:$D832,"*Package*"))</f>
        <v/>
      </c>
      <c r="G832" t="str">
        <f t="shared" si="28"/>
        <v/>
      </c>
      <c r="H832" s="33">
        <f>IF(ISNUMBER(SEARCH("Group",D832)),IF(G832="",E832,IFERROR(E832/COUNTIF($G2:$G6000,G832),E832)),E832)</f>
        <v>0</v>
      </c>
      <c r="I832" s="1" t="str">
        <f>IFERROR(VLOOKUP(C832,'Clients List'!A:F,6,FALSE),"")</f>
        <v/>
      </c>
      <c r="K832" s="23" t="str">
        <f>IFERROR(INDEX([2]Packages!E:E, MATCH(1, ([2]Packages!A:A=B832)*([2]Packages!B:B=C832), 0)) - SUMIFS(D$2:D832, B$2:B832, B832, C$2:C832, C832),"")</f>
        <v/>
      </c>
    </row>
    <row r="833" spans="4:11" x14ac:dyDescent="0.45">
      <c r="D833" t="str">
        <f>IFERROR(VLOOKUP(C833,'Clients List'!$A:$F,2,FALSE),"")</f>
        <v/>
      </c>
      <c r="F833" s="1" t="str">
        <f>IF(OR(C833="",NOT(ISNUMBER(SEARCH("Package",D833)))),"",VLOOKUP(C833,'Clients List'!$A:$F,4,FALSE)-SUMIFS($E$2:$E833,$C$2:$C833,C833,$D$2:$D833,"*Package*"))</f>
        <v/>
      </c>
      <c r="G833" t="str">
        <f t="shared" si="28"/>
        <v/>
      </c>
      <c r="H833" s="33">
        <f>IF(ISNUMBER(SEARCH("Group",D833)),IF(G833="",E833,IFERROR(E833/COUNTIF($G2:$G6000,G833),E833)),E833)</f>
        <v>0</v>
      </c>
      <c r="I833" s="1" t="str">
        <f>IFERROR(VLOOKUP(C833,'Clients List'!A:F,6,FALSE),"")</f>
        <v/>
      </c>
      <c r="K833" s="23" t="str">
        <f>IFERROR(INDEX([2]Packages!E:E, MATCH(1, ([2]Packages!A:A=B833)*([2]Packages!B:B=C833), 0)) - SUMIFS(D$2:D833, B$2:B833, B833, C$2:C833, C833),"")</f>
        <v/>
      </c>
    </row>
    <row r="834" spans="4:11" x14ac:dyDescent="0.45">
      <c r="D834" t="str">
        <f>IFERROR(VLOOKUP(C834,'Clients List'!$A:$F,2,FALSE),"")</f>
        <v/>
      </c>
      <c r="F834" s="1" t="str">
        <f>IF(OR(C834="",NOT(ISNUMBER(SEARCH("Package",D834)))),"",VLOOKUP(C834,'Clients List'!$A:$F,4,FALSE)-SUMIFS($E$2:$E834,$C$2:$C834,C834,$D$2:$D834,"*Package*"))</f>
        <v/>
      </c>
      <c r="G834" t="str">
        <f t="shared" si="28"/>
        <v/>
      </c>
      <c r="H834" s="33">
        <f>IF(ISNUMBER(SEARCH("Group",D834)),IF(G834="",E834,IFERROR(E834/COUNTIF($G2:$G6000,G834),E834)),E834)</f>
        <v>0</v>
      </c>
      <c r="I834" s="1" t="str">
        <f>IFERROR(VLOOKUP(C834,'Clients List'!A:F,6,FALSE),"")</f>
        <v/>
      </c>
      <c r="K834" s="23" t="str">
        <f>IFERROR(INDEX([2]Packages!E:E, MATCH(1, ([2]Packages!A:A=B834)*([2]Packages!B:B=C834), 0)) - SUMIFS(D$2:D834, B$2:B834, B834, C$2:C834, C834),"")</f>
        <v/>
      </c>
    </row>
    <row r="835" spans="4:11" x14ac:dyDescent="0.45">
      <c r="D835" t="str">
        <f>IFERROR(VLOOKUP(C835,'Clients List'!$A:$F,2,FALSE),"")</f>
        <v/>
      </c>
      <c r="F835" s="1" t="str">
        <f>IF(OR(C835="",NOT(ISNUMBER(SEARCH("Package",D835)))),"",VLOOKUP(C835,'Clients List'!$A:$F,4,FALSE)-SUMIFS($E$2:$E835,$C$2:$C835,C835,$D$2:$D835,"*Package*"))</f>
        <v/>
      </c>
      <c r="G835" t="str">
        <f t="shared" si="28"/>
        <v/>
      </c>
      <c r="H835" s="33">
        <f>IF(ISNUMBER(SEARCH("Group",D835)),IF(G835="",E835,IFERROR(E835/COUNTIF($G2:$G6000,G835),E835)),E835)</f>
        <v>0</v>
      </c>
      <c r="I835" s="1" t="str">
        <f>IFERROR(VLOOKUP(C835,'Clients List'!A:F,6,FALSE),"")</f>
        <v/>
      </c>
      <c r="K835" s="23" t="str">
        <f>IFERROR(INDEX([2]Packages!E:E, MATCH(1, ([2]Packages!A:A=B835)*([2]Packages!B:B=C835), 0)) - SUMIFS(D$2:D835, B$2:B835, B835, C$2:C835, C835),"")</f>
        <v/>
      </c>
    </row>
    <row r="836" spans="4:11" x14ac:dyDescent="0.45">
      <c r="D836" t="str">
        <f>IFERROR(VLOOKUP(C836,'Clients List'!$A:$F,2,FALSE),"")</f>
        <v/>
      </c>
      <c r="F836" s="1" t="str">
        <f>IF(OR(C836="",NOT(ISNUMBER(SEARCH("Package",D836)))),"",VLOOKUP(C836,'Clients List'!$A:$F,4,FALSE)-SUMIFS($E$2:$E836,$C$2:$C836,C836,$D$2:$D836,"*Package*"))</f>
        <v/>
      </c>
      <c r="G836" t="str">
        <f t="shared" si="28"/>
        <v/>
      </c>
      <c r="H836" s="33">
        <f>IF(ISNUMBER(SEARCH("Group",D836)),IF(G836="",E836,IFERROR(E836/COUNTIF($G2:$G6000,G836),E836)),E836)</f>
        <v>0</v>
      </c>
      <c r="I836" s="1" t="str">
        <f>IFERROR(VLOOKUP(C836,'Clients List'!A:F,6,FALSE),"")</f>
        <v/>
      </c>
      <c r="K836" s="23" t="str">
        <f>IFERROR(INDEX([2]Packages!E:E, MATCH(1, ([2]Packages!A:A=B836)*([2]Packages!B:B=C836), 0)) - SUMIFS(D$2:D836, B$2:B836, B836, C$2:C836, C836),"")</f>
        <v/>
      </c>
    </row>
    <row r="837" spans="4:11" x14ac:dyDescent="0.45">
      <c r="D837" t="str">
        <f>IFERROR(VLOOKUP(C837,'Clients List'!$A:$F,2,FALSE),"")</f>
        <v/>
      </c>
      <c r="F837" s="1" t="str">
        <f>IF(OR(C837="",NOT(ISNUMBER(SEARCH("Package",D837)))),"",VLOOKUP(C837,'Clients List'!$A:$F,4,FALSE)-SUMIFS($E$2:$E837,$C$2:$C837,C837,$D$2:$D837,"*Package*"))</f>
        <v/>
      </c>
      <c r="G837" t="str">
        <f t="shared" si="28"/>
        <v/>
      </c>
      <c r="H837" s="33">
        <f>IF(ISNUMBER(SEARCH("Group",D837)),IF(G837="",E837,IFERROR(E837/COUNTIF($G2:$G6000,G837),E837)),E837)</f>
        <v>0</v>
      </c>
      <c r="I837" s="1" t="str">
        <f>IFERROR(VLOOKUP(C837,'Clients List'!A:F,6,FALSE),"")</f>
        <v/>
      </c>
      <c r="K837" s="23" t="str">
        <f>IFERROR(INDEX([2]Packages!E:E, MATCH(1, ([2]Packages!A:A=B837)*([2]Packages!B:B=C837), 0)) - SUMIFS(D$2:D837, B$2:B837, B837, C$2:C837, C837),"")</f>
        <v/>
      </c>
    </row>
    <row r="838" spans="4:11" x14ac:dyDescent="0.45">
      <c r="D838" t="str">
        <f>IFERROR(VLOOKUP(C838,'Clients List'!$A:$F,2,FALSE),"")</f>
        <v/>
      </c>
      <c r="F838" s="1" t="str">
        <f>IF(OR(C838="",NOT(ISNUMBER(SEARCH("Package",D838)))),"",VLOOKUP(C838,'Clients List'!$A:$F,4,FALSE)-SUMIFS($E$2:$E838,$C$2:$C838,C838,$D$2:$D838,"*Package*"))</f>
        <v/>
      </c>
      <c r="G838" t="str">
        <f t="shared" si="28"/>
        <v/>
      </c>
      <c r="H838" s="33">
        <f>IF(ISNUMBER(SEARCH("Group",D838)),IF(G838="",E838,IFERROR(E838/COUNTIF($G2:$G6000,G838),E838)),E838)</f>
        <v>0</v>
      </c>
      <c r="I838" s="1" t="str">
        <f>IFERROR(VLOOKUP(C838,'Clients List'!A:F,6,FALSE),"")</f>
        <v/>
      </c>
      <c r="K838" s="23" t="str">
        <f>IFERROR(INDEX([2]Packages!E:E, MATCH(1, ([2]Packages!A:A=B838)*([2]Packages!B:B=C838), 0)) - SUMIFS(D$2:D838, B$2:B838, B838, C$2:C838, C838),"")</f>
        <v/>
      </c>
    </row>
    <row r="839" spans="4:11" x14ac:dyDescent="0.45">
      <c r="D839" t="str">
        <f>IFERROR(VLOOKUP(C839,'Clients List'!$A:$F,2,FALSE),"")</f>
        <v/>
      </c>
      <c r="F839" s="1" t="str">
        <f>IF(OR(C839="",NOT(ISNUMBER(SEARCH("Package",D839)))),"",VLOOKUP(C839,'Clients List'!$A:$F,4,FALSE)-SUMIFS($E$2:$E839,$C$2:$C839,C839,$D$2:$D839,"*Package*"))</f>
        <v/>
      </c>
      <c r="G839" t="str">
        <f t="shared" si="28"/>
        <v/>
      </c>
      <c r="H839" s="33">
        <f>IF(ISNUMBER(SEARCH("Group",D839)),IF(G839="",E839,IFERROR(E839/COUNTIF($G2:$G6000,G839),E839)),E839)</f>
        <v>0</v>
      </c>
      <c r="I839" s="1" t="str">
        <f>IFERROR(VLOOKUP(C839,'Clients List'!A:F,6,FALSE),"")</f>
        <v/>
      </c>
      <c r="K839" s="23" t="str">
        <f>IFERROR(INDEX([2]Packages!E:E, MATCH(1, ([2]Packages!A:A=B839)*([2]Packages!B:B=C839), 0)) - SUMIFS(D$2:D839, B$2:B839, B839, C$2:C839, C839),"")</f>
        <v/>
      </c>
    </row>
    <row r="840" spans="4:11" x14ac:dyDescent="0.45">
      <c r="D840" t="str">
        <f>IFERROR(VLOOKUP(C840,'Clients List'!$A:$F,2,FALSE),"")</f>
        <v/>
      </c>
      <c r="F840" s="1" t="str">
        <f>IF(OR(C840="",NOT(ISNUMBER(SEARCH("Package",D840)))),"",VLOOKUP(C840,'Clients List'!$A:$F,4,FALSE)-SUMIFS($E$2:$E840,$C$2:$C840,C840,$D$2:$D840,"*Package*"))</f>
        <v/>
      </c>
      <c r="G840" t="str">
        <f t="shared" si="28"/>
        <v/>
      </c>
      <c r="H840" s="33">
        <f>IF(ISNUMBER(SEARCH("Group",D840)),IF(G840="",E840,IFERROR(E840/COUNTIF($G2:$G6000,G840),E840)),E840)</f>
        <v>0</v>
      </c>
      <c r="I840" s="1" t="str">
        <f>IFERROR(VLOOKUP(C840,'Clients List'!A:F,6,FALSE),"")</f>
        <v/>
      </c>
      <c r="K840" s="23" t="str">
        <f>IFERROR(INDEX([2]Packages!E:E, MATCH(1, ([2]Packages!A:A=B840)*([2]Packages!B:B=C840), 0)) - SUMIFS(D$2:D840, B$2:B840, B840, C$2:C840, C840),"")</f>
        <v/>
      </c>
    </row>
    <row r="841" spans="4:11" x14ac:dyDescent="0.45">
      <c r="D841" t="str">
        <f>IFERROR(VLOOKUP(C841,'Clients List'!$A:$F,2,FALSE),"")</f>
        <v/>
      </c>
      <c r="F841" s="1" t="str">
        <f>IF(OR(C841="",NOT(ISNUMBER(SEARCH("Package",D841)))),"",VLOOKUP(C841,'Clients List'!$A:$F,4,FALSE)-SUMIFS($E$2:$E841,$C$2:$C841,C841,$D$2:$D841,"*Package*"))</f>
        <v/>
      </c>
      <c r="G841" t="str">
        <f t="shared" si="28"/>
        <v/>
      </c>
      <c r="H841" s="33">
        <f>IF(ISNUMBER(SEARCH("Group",D841)),IF(G841="",E841,IFERROR(E841/COUNTIF($G2:$G6000,G841),E841)),E841)</f>
        <v>0</v>
      </c>
      <c r="I841" s="1" t="str">
        <f>IFERROR(VLOOKUP(C841,'Clients List'!A:F,6,FALSE),"")</f>
        <v/>
      </c>
      <c r="K841" s="23" t="str">
        <f>IFERROR(INDEX([2]Packages!E:E, MATCH(1, ([2]Packages!A:A=B841)*([2]Packages!B:B=C841), 0)) - SUMIFS(D$2:D841, B$2:B841, B841, C$2:C841, C841),"")</f>
        <v/>
      </c>
    </row>
    <row r="842" spans="4:11" x14ac:dyDescent="0.45">
      <c r="D842" t="str">
        <f>IFERROR(VLOOKUP(C842,'Clients List'!$A:$F,2,FALSE),"")</f>
        <v/>
      </c>
      <c r="F842" s="1" t="str">
        <f>IF(OR(C842="",NOT(ISNUMBER(SEARCH("Package",D842)))),"",VLOOKUP(C842,'Clients List'!$A:$F,4,FALSE)-SUMIFS($E$2:$E842,$C$2:$C842,C842,$D$2:$D842,"*Package*"))</f>
        <v/>
      </c>
      <c r="G842" t="str">
        <f t="shared" si="28"/>
        <v/>
      </c>
      <c r="H842" s="33">
        <f>IF(ISNUMBER(SEARCH("Group",D842)),IF(G842="",E842,IFERROR(E842/COUNTIF($G2:$G6000,G842),E842)),E842)</f>
        <v>0</v>
      </c>
      <c r="I842" s="1" t="str">
        <f>IFERROR(VLOOKUP(C842,'Clients List'!A:F,6,FALSE),"")</f>
        <v/>
      </c>
      <c r="K842" s="23" t="str">
        <f>IFERROR(INDEX([2]Packages!E:E, MATCH(1, ([2]Packages!A:A=B842)*([2]Packages!B:B=C842), 0)) - SUMIFS(D$2:D842, B$2:B842, B842, C$2:C842, C842),"")</f>
        <v/>
      </c>
    </row>
    <row r="843" spans="4:11" x14ac:dyDescent="0.45">
      <c r="D843" t="str">
        <f>IFERROR(VLOOKUP(C843,'Clients List'!$A:$F,2,FALSE),"")</f>
        <v/>
      </c>
      <c r="F843" s="1" t="str">
        <f>IF(OR(C843="",NOT(ISNUMBER(SEARCH("Package",D843)))),"",VLOOKUP(C843,'Clients List'!$A:$F,4,FALSE)-SUMIFS($E$2:$E843,$C$2:$C843,C843,$D$2:$D843,"*Package*"))</f>
        <v/>
      </c>
      <c r="G843" t="str">
        <f t="shared" si="28"/>
        <v/>
      </c>
      <c r="H843" s="33">
        <f>IF(ISNUMBER(SEARCH("Group",D843)),IF(G843="",E843,IFERROR(E843/COUNTIF($G2:$G6000,G843),E843)),E843)</f>
        <v>0</v>
      </c>
      <c r="I843" s="1" t="str">
        <f>IFERROR(VLOOKUP(C843,'Clients List'!A:F,6,FALSE),"")</f>
        <v/>
      </c>
      <c r="K843" s="23" t="str">
        <f>IFERROR(INDEX([2]Packages!E:E, MATCH(1, ([2]Packages!A:A=B843)*([2]Packages!B:B=C843), 0)) - SUMIFS(D$2:D843, B$2:B843, B843, C$2:C843, C843),"")</f>
        <v/>
      </c>
    </row>
    <row r="844" spans="4:11" x14ac:dyDescent="0.45">
      <c r="D844" t="str">
        <f>IFERROR(VLOOKUP(C844,'Clients List'!$A:$F,2,FALSE),"")</f>
        <v/>
      </c>
      <c r="F844" s="1" t="str">
        <f>IF(OR(C844="",NOT(ISNUMBER(SEARCH("Package",D844)))),"",VLOOKUP(C844,'Clients List'!$A:$F,4,FALSE)-SUMIFS($E$2:$E844,$C$2:$C844,C844,$D$2:$D844,"*Package*"))</f>
        <v/>
      </c>
      <c r="G844" t="str">
        <f t="shared" si="28"/>
        <v/>
      </c>
      <c r="H844" s="33">
        <f>IF(ISNUMBER(SEARCH("Group",D844)),IF(G844="",E844,IFERROR(E844/COUNTIF($G2:$G6000,G844),E844)),E844)</f>
        <v>0</v>
      </c>
      <c r="I844" s="1" t="str">
        <f>IFERROR(VLOOKUP(C844,'Clients List'!A:F,6,FALSE),"")</f>
        <v/>
      </c>
      <c r="K844" s="23" t="str">
        <f>IFERROR(INDEX([2]Packages!E:E, MATCH(1, ([2]Packages!A:A=B844)*([2]Packages!B:B=C844), 0)) - SUMIFS(D$2:D844, B$2:B844, B844, C$2:C844, C844),"")</f>
        <v/>
      </c>
    </row>
    <row r="845" spans="4:11" x14ac:dyDescent="0.45">
      <c r="D845" t="str">
        <f>IFERROR(VLOOKUP(C845,'Clients List'!$A:$F,2,FALSE),"")</f>
        <v/>
      </c>
      <c r="F845" s="1" t="str">
        <f>IF(OR(C845="",NOT(ISNUMBER(SEARCH("Package",D845)))),"",VLOOKUP(C845,'Clients List'!$A:$F,4,FALSE)-SUMIFS($E$2:$E845,$C$2:$C845,C845,$D$2:$D845,"*Package*"))</f>
        <v/>
      </c>
      <c r="G845" t="str">
        <f t="shared" si="28"/>
        <v/>
      </c>
      <c r="H845" s="33">
        <f>IF(ISNUMBER(SEARCH("Group",D845)),IF(G845="",E845,IFERROR(E845/COUNTIF($G2:$G6000,G845),E845)),E845)</f>
        <v>0</v>
      </c>
      <c r="I845" s="1" t="str">
        <f>IFERROR(VLOOKUP(C845,'Clients List'!A:F,6,FALSE),"")</f>
        <v/>
      </c>
      <c r="K845" s="23" t="str">
        <f>IFERROR(INDEX([2]Packages!E:E, MATCH(1, ([2]Packages!A:A=B845)*([2]Packages!B:B=C845), 0)) - SUMIFS(D$2:D845, B$2:B845, B845, C$2:C845, C845),"")</f>
        <v/>
      </c>
    </row>
    <row r="846" spans="4:11" x14ac:dyDescent="0.45">
      <c r="D846" t="str">
        <f>IFERROR(VLOOKUP(C846,'Clients List'!$A:$F,2,FALSE),"")</f>
        <v/>
      </c>
      <c r="F846" s="1" t="str">
        <f>IF(OR(C846="",NOT(ISNUMBER(SEARCH("Package",D846)))),"",VLOOKUP(C846,'Clients List'!$A:$F,4,FALSE)-SUMIFS($E$2:$E846,$C$2:$C846,C846,$D$2:$D846,"*Package*"))</f>
        <v/>
      </c>
      <c r="G846" t="str">
        <f t="shared" ref="G846:G857" si="29">IF(ISNUMBER(SEARCH("Group",D846)),IFERROR("GRP-"&amp;TEXT(IF(ISNUMBER(A846),A846,DATEVALUE(A846)),"yyyymmdd"),""),"" )</f>
        <v/>
      </c>
      <c r="H846" s="33">
        <f>IF(ISNUMBER(SEARCH("Group",D846)),IF(G846="",E846,IFERROR(E846/COUNTIF($G2:$G6000,G846),E846)),E846)</f>
        <v>0</v>
      </c>
      <c r="I846" s="1" t="str">
        <f>IFERROR(VLOOKUP(C846,'Clients List'!A:F,6,FALSE),"")</f>
        <v/>
      </c>
      <c r="K846" s="23" t="str">
        <f>IFERROR(INDEX([2]Packages!E:E, MATCH(1, ([2]Packages!A:A=B846)*([2]Packages!B:B=C846), 0)) - SUMIFS(D$2:D846, B$2:B846, B846, C$2:C846, C846),"")</f>
        <v/>
      </c>
    </row>
    <row r="847" spans="4:11" x14ac:dyDescent="0.45">
      <c r="D847" t="str">
        <f>IFERROR(VLOOKUP(C847,'Clients List'!$A:$F,2,FALSE),"")</f>
        <v/>
      </c>
      <c r="F847" s="1" t="str">
        <f>IF(OR(C847="",NOT(ISNUMBER(SEARCH("Package",D847)))),"",VLOOKUP(C847,'Clients List'!$A:$F,4,FALSE)-SUMIFS($E$2:$E847,$C$2:$C847,C847,$D$2:$D847,"*Package*"))</f>
        <v/>
      </c>
      <c r="G847" t="str">
        <f t="shared" si="29"/>
        <v/>
      </c>
      <c r="H847" s="33">
        <f>IF(ISNUMBER(SEARCH("Group",D847)),IF(G847="",E847,IFERROR(E847/COUNTIF($G2:$G6000,G847),E847)),E847)</f>
        <v>0</v>
      </c>
      <c r="I847" s="1" t="str">
        <f>IFERROR(VLOOKUP(C847,'Clients List'!A:F,6,FALSE),"")</f>
        <v/>
      </c>
      <c r="K847" s="23" t="str">
        <f>IFERROR(INDEX([2]Packages!E:E, MATCH(1, ([2]Packages!A:A=B847)*([2]Packages!B:B=C847), 0)) - SUMIFS(D$2:D847, B$2:B847, B847, C$2:C847, C847),"")</f>
        <v/>
      </c>
    </row>
    <row r="848" spans="4:11" x14ac:dyDescent="0.45">
      <c r="D848" t="str">
        <f>IFERROR(VLOOKUP(C848,'Clients List'!$A:$F,2,FALSE),"")</f>
        <v/>
      </c>
      <c r="F848" s="1" t="str">
        <f>IF(OR(C848="",NOT(ISNUMBER(SEARCH("Package",D848)))),"",VLOOKUP(C848,'Clients List'!$A:$F,4,FALSE)-SUMIFS($E$2:$E848,$C$2:$C848,C848,$D$2:$D848,"*Package*"))</f>
        <v/>
      </c>
      <c r="G848" t="str">
        <f t="shared" si="29"/>
        <v/>
      </c>
      <c r="H848" s="33">
        <f>IF(ISNUMBER(SEARCH("Group",D848)),IF(G848="",E848,IFERROR(E848/COUNTIF($G2:$G6000,G848),E848)),E848)</f>
        <v>0</v>
      </c>
      <c r="I848" s="1" t="str">
        <f>IFERROR(VLOOKUP(C848,'Clients List'!A:F,6,FALSE),"")</f>
        <v/>
      </c>
      <c r="K848" s="23" t="str">
        <f>IFERROR(INDEX([2]Packages!E:E, MATCH(1, ([2]Packages!A:A=B848)*([2]Packages!B:B=C848), 0)) - SUMIFS(D$2:D848, B$2:B848, B848, C$2:C848, C848),"")</f>
        <v/>
      </c>
    </row>
    <row r="849" spans="1:11" x14ac:dyDescent="0.45">
      <c r="D849" t="str">
        <f>IFERROR(VLOOKUP(C849,'Clients List'!$A:$F,2,FALSE),"")</f>
        <v/>
      </c>
      <c r="F849" s="1" t="str">
        <f>IF(OR(C849="",NOT(ISNUMBER(SEARCH("Package",D849)))),"",VLOOKUP(C849,'Clients List'!$A:$F,4,FALSE)-SUMIFS($E$2:$E849,$C$2:$C849,C849,$D$2:$D849,"*Package*"))</f>
        <v/>
      </c>
      <c r="G849" t="str">
        <f t="shared" si="29"/>
        <v/>
      </c>
      <c r="H849" s="33">
        <f>IF(ISNUMBER(SEARCH("Group",D849)),IF(G849="",E849,IFERROR(E849/COUNTIF($G2:$G6000,G849),E849)),E849)</f>
        <v>0</v>
      </c>
      <c r="I849" s="1" t="str">
        <f>IFERROR(VLOOKUP(C849,'Clients List'!A:F,6,FALSE),"")</f>
        <v/>
      </c>
      <c r="K849" s="23" t="str">
        <f>IFERROR(INDEX([2]Packages!E:E, MATCH(1, ([2]Packages!A:A=B849)*([2]Packages!B:B=C849), 0)) - SUMIFS(D$2:D849, B$2:B849, B849, C$2:C849, C849),"")</f>
        <v/>
      </c>
    </row>
    <row r="850" spans="1:11" x14ac:dyDescent="0.45">
      <c r="D850" t="str">
        <f>IFERROR(VLOOKUP(C850,'Clients List'!$A:$F,2,FALSE),"")</f>
        <v/>
      </c>
      <c r="F850" s="1" t="str">
        <f>IF(OR(C850="",NOT(ISNUMBER(SEARCH("Package",D850)))),"",VLOOKUP(C850,'Clients List'!$A:$F,4,FALSE)-SUMIFS($E$2:$E850,$C$2:$C850,C850,$D$2:$D850,"*Package*"))</f>
        <v/>
      </c>
      <c r="G850" t="str">
        <f t="shared" si="29"/>
        <v/>
      </c>
      <c r="H850" s="33">
        <f>IF(ISNUMBER(SEARCH("Group",D850)),IF(G850="",E850,IFERROR(E850/COUNTIF($G2:$G6000,G850),E850)),E850)</f>
        <v>0</v>
      </c>
      <c r="I850" s="1" t="str">
        <f>IFERROR(VLOOKUP(C850,'Clients List'!A:F,6,FALSE),"")</f>
        <v/>
      </c>
      <c r="K850" s="23" t="str">
        <f>IFERROR(INDEX([2]Packages!E:E, MATCH(1, ([2]Packages!A:A=B850)*([2]Packages!B:B=C850), 0)) - SUMIFS(D$2:D850, B$2:B850, B850, C$2:C850, C850),"")</f>
        <v/>
      </c>
    </row>
    <row r="851" spans="1:11" x14ac:dyDescent="0.45">
      <c r="D851" t="str">
        <f>IFERROR(VLOOKUP(C851,'Clients List'!$A:$F,2,FALSE),"")</f>
        <v/>
      </c>
      <c r="F851" s="1" t="str">
        <f>IF(OR(C851="",NOT(ISNUMBER(SEARCH("Package",D851)))),"",VLOOKUP(C851,'Clients List'!$A:$F,4,FALSE)-SUMIFS($E$2:$E851,$C$2:$C851,C851,$D$2:$D851,"*Package*"))</f>
        <v/>
      </c>
      <c r="G851" t="str">
        <f t="shared" si="29"/>
        <v/>
      </c>
      <c r="H851" s="33">
        <f>IF(ISNUMBER(SEARCH("Group",D851)),IF(G851="",E851,IFERROR(E851/COUNTIF($G2:$G6000,G851),E851)),E851)</f>
        <v>0</v>
      </c>
      <c r="I851" s="1" t="str">
        <f>IFERROR(VLOOKUP(C851,'Clients List'!A:F,6,FALSE),"")</f>
        <v/>
      </c>
      <c r="K851" s="23" t="str">
        <f>IFERROR(INDEX([2]Packages!E:E, MATCH(1, ([2]Packages!A:A=B851)*([2]Packages!B:B=C851), 0)) - SUMIFS(D$2:D851, B$2:B851, B851, C$2:C851, C851),"")</f>
        <v/>
      </c>
    </row>
    <row r="852" spans="1:11" x14ac:dyDescent="0.45">
      <c r="D852" t="str">
        <f>IFERROR(VLOOKUP(C852,'Clients List'!$A:$F,2,FALSE),"")</f>
        <v/>
      </c>
      <c r="F852" s="1" t="str">
        <f>IF(OR(C852="",NOT(ISNUMBER(SEARCH("Package",D852)))),"",VLOOKUP(C852,'Clients List'!$A:$F,4,FALSE)-SUMIFS($E$2:$E852,$C$2:$C852,C852,$D$2:$D852,"*Package*"))</f>
        <v/>
      </c>
      <c r="G852" t="str">
        <f t="shared" si="29"/>
        <v/>
      </c>
      <c r="H852" s="33">
        <f>IF(ISNUMBER(SEARCH("Group",D852)),IF(G852="",E852,IFERROR(E852/COUNTIF($G2:$G6000,G852),E852)),E852)</f>
        <v>0</v>
      </c>
      <c r="I852" s="1" t="str">
        <f>IFERROR(VLOOKUP(C852,'Clients List'!A:F,6,FALSE),"")</f>
        <v/>
      </c>
      <c r="K852" s="23" t="str">
        <f>IFERROR(INDEX([2]Packages!E:E, MATCH(1, ([2]Packages!A:A=B852)*([2]Packages!B:B=C852), 0)) - SUMIFS(D$2:D852, B$2:B852, B852, C$2:C852, C852),"")</f>
        <v/>
      </c>
    </row>
    <row r="853" spans="1:11" x14ac:dyDescent="0.45">
      <c r="D853" t="str">
        <f>IFERROR(VLOOKUP(C853,'Clients List'!$A:$F,2,FALSE),"")</f>
        <v/>
      </c>
      <c r="F853" s="1" t="str">
        <f>IF(OR(C853="",NOT(ISNUMBER(SEARCH("Package",D853)))),"",VLOOKUP(C853,'Clients List'!$A:$F,4,FALSE)-SUMIFS($E$2:$E853,$C$2:$C853,C853,$D$2:$D853,"*Package*"))</f>
        <v/>
      </c>
      <c r="G853" t="str">
        <f t="shared" si="29"/>
        <v/>
      </c>
      <c r="H853" s="33">
        <f>IF(ISNUMBER(SEARCH("Group",D853)),IF(G853="",E853,IFERROR(E853/COUNTIF($G2:$G6000,G853),E853)),E853)</f>
        <v>0</v>
      </c>
      <c r="I853" s="1" t="str">
        <f>IFERROR(VLOOKUP(C853,'Clients List'!A:F,6,FALSE),"")</f>
        <v/>
      </c>
      <c r="K853" s="23" t="str">
        <f>IFERROR(INDEX([2]Packages!E:E, MATCH(1, ([2]Packages!A:A=B853)*([2]Packages!B:B=C853), 0)) - SUMIFS(D$2:D853, B$2:B853, B853, C$2:C853, C853),"")</f>
        <v/>
      </c>
    </row>
    <row r="854" spans="1:11" x14ac:dyDescent="0.45">
      <c r="D854" t="str">
        <f>IFERROR(VLOOKUP(C854,'Clients List'!$A:$F,2,FALSE),"")</f>
        <v/>
      </c>
      <c r="F854" s="1" t="str">
        <f>IF(OR(C854="",NOT(ISNUMBER(SEARCH("Package",D854)))),"",VLOOKUP(C854,'Clients List'!$A:$F,4,FALSE)-SUMIFS($E$2:$E854,$C$2:$C854,C854,$D$2:$D854,"*Package*"))</f>
        <v/>
      </c>
      <c r="G854" t="str">
        <f t="shared" si="29"/>
        <v/>
      </c>
      <c r="H854" s="33">
        <f>IF(ISNUMBER(SEARCH("Group",D854)),IF(G854="",E854,IFERROR(E854/COUNTIF($G2:$G6000,G854),E854)),E854)</f>
        <v>0</v>
      </c>
      <c r="I854" s="1" t="str">
        <f>IFERROR(VLOOKUP(C854,'Clients List'!A:F,6,FALSE),"")</f>
        <v/>
      </c>
      <c r="K854" s="23" t="str">
        <f>IFERROR(INDEX([2]Packages!E:E, MATCH(1, ([2]Packages!A:A=B854)*([2]Packages!B:B=C854), 0)) - SUMIFS(D$2:D854, B$2:B854, B854, C$2:C854, C854),"")</f>
        <v/>
      </c>
    </row>
    <row r="855" spans="1:11" x14ac:dyDescent="0.45">
      <c r="D855" t="str">
        <f>IFERROR(VLOOKUP(C855,'Clients List'!$A:$F,2,FALSE),"")</f>
        <v/>
      </c>
      <c r="F855" s="1" t="str">
        <f>IF(OR(C855="",NOT(ISNUMBER(SEARCH("Package",D855)))),"",VLOOKUP(C855,'Clients List'!$A:$F,4,FALSE)-SUMIFS($E$2:$E855,$C$2:$C855,C855,$D$2:$D855,"*Package*"))</f>
        <v/>
      </c>
      <c r="G855" t="str">
        <f t="shared" si="29"/>
        <v/>
      </c>
      <c r="H855" s="33">
        <f>IF(ISNUMBER(SEARCH("Group",D855)),IF(G855="",E855,IFERROR(E855/COUNTIF($G2:$G6000,G855),E855)),E855)</f>
        <v>0</v>
      </c>
      <c r="I855" s="1" t="str">
        <f>IFERROR(VLOOKUP(C855,'Clients List'!A:F,6,FALSE),"")</f>
        <v/>
      </c>
      <c r="K855" s="23" t="str">
        <f>IFERROR(INDEX([2]Packages!E:E, MATCH(1, ([2]Packages!A:A=B855)*([2]Packages!B:B=C855), 0)) - SUMIFS(D$2:D855, B$2:B855, B855, C$2:C855, C855),"")</f>
        <v/>
      </c>
    </row>
    <row r="856" spans="1:11" x14ac:dyDescent="0.45">
      <c r="D856" t="str">
        <f>IFERROR(VLOOKUP(C856,'Clients List'!$A:$F,2,FALSE),"")</f>
        <v/>
      </c>
      <c r="F856" s="1" t="str">
        <f>IF(OR(C856="",NOT(ISNUMBER(SEARCH("Package",D856)))),"",VLOOKUP(C856,'Clients List'!$A:$F,4,FALSE)-SUMIFS($E$2:$E856,$C$2:$C856,C856,$D$2:$D856,"*Package*"))</f>
        <v/>
      </c>
      <c r="G856" t="str">
        <f t="shared" si="29"/>
        <v/>
      </c>
      <c r="H856" s="33">
        <f>IF(ISNUMBER(SEARCH("Group",D856)),IF(G856="",E856,IFERROR(E856/COUNTIF($G2:$G6000,G856),E856)),E856)</f>
        <v>0</v>
      </c>
      <c r="I856" s="1" t="str">
        <f>IFERROR(VLOOKUP(C856,'Clients List'!A:F,6,FALSE),"")</f>
        <v/>
      </c>
      <c r="K856" s="23" t="str">
        <f>IFERROR(INDEX([2]Packages!E:E, MATCH(1, ([2]Packages!A:A=B856)*([2]Packages!B:B=C856), 0)) - SUMIFS(D$2:D856, B$2:B856, B856, C$2:C856, C856),"")</f>
        <v/>
      </c>
    </row>
    <row r="857" spans="1:11" x14ac:dyDescent="0.45">
      <c r="D857" t="str">
        <f>IFERROR(VLOOKUP(C857,'Clients List'!$A:$F,2,FALSE),"")</f>
        <v/>
      </c>
      <c r="F857" s="1" t="str">
        <f>IF(OR(C857="",NOT(ISNUMBER(SEARCH("Package",D857)))),"",VLOOKUP(C857,'Clients List'!$A:$F,4,FALSE)-SUMIFS($E$2:$E857,$C$2:$C857,C857,$D$2:$D857,"*Package*"))</f>
        <v/>
      </c>
      <c r="G857" t="str">
        <f t="shared" si="29"/>
        <v/>
      </c>
      <c r="H857" s="33">
        <f>IF(ISNUMBER(SEARCH("Group",D857)),IF(G857="",E857,IFERROR(E857/COUNTIF($G2:$G6000,G857),E857)),E857)</f>
        <v>0</v>
      </c>
      <c r="I857" s="1" t="str">
        <f>IFERROR(VLOOKUP(C857,'Clients List'!A:F,6,FALSE),"")</f>
        <v/>
      </c>
      <c r="K857" s="23" t="str">
        <f>IFERROR(INDEX([2]Packages!E:E, MATCH(1, ([2]Packages!A:A=B857)*([2]Packages!B:B=C857), 0)) - SUMIFS(D$2:D857, B$2:B857, B857, C$2:C857, C857),"")</f>
        <v/>
      </c>
    </row>
    <row r="858" spans="1:11" x14ac:dyDescent="0.45">
      <c r="A858" s="8"/>
      <c r="C858" s="9"/>
      <c r="D858" s="10" t="str">
        <f>IFERROR(VLOOKUP(C858,'Clients List'!$A:$F,2,FALSE),"")</f>
        <v/>
      </c>
      <c r="E858" s="21">
        <f>SUM(E718:E857)</f>
        <v>0</v>
      </c>
      <c r="F858" s="1" t="str">
        <f>IF(OR(C858="",NOT(ISNUMBER(SEARCH("Package",D858)))),"",VLOOKUP(C858,'Clients List'!$A:$F,4,FALSE)-SUMIFS($E$2:$E858,$C$2:$C858,C858,$D$2:$D858,"*Package*"))</f>
        <v/>
      </c>
      <c r="H858" s="33">
        <f>SUM(H718:H857)</f>
        <v>0</v>
      </c>
      <c r="I858" s="11" t="str">
        <f>IFERROR(VLOOKUP(C858,'Clients List'!A:F,6,FALSE),"")</f>
        <v/>
      </c>
      <c r="K858" s="23" t="str">
        <f>IFERROR(INDEX([2]Packages!E:E, MATCH(1, ([2]Packages!A:A=B858)*([2]Packages!B:B=C858), 0)) - SUMIFS(D$2:D858, B$2:B858, B858, C$2:C858, C858),"")</f>
        <v/>
      </c>
    </row>
    <row r="859" spans="1:11" x14ac:dyDescent="0.45">
      <c r="D859" t="str">
        <f>IFERROR(VLOOKUP(C859,'Clients List'!$A:$F,2,FALSE),"")</f>
        <v/>
      </c>
      <c r="F859" s="1" t="str">
        <f>IF(OR(C859="",NOT(ISNUMBER(SEARCH("Package",D859)))),"",VLOOKUP(C859,'Clients List'!$A:$F,4,FALSE)-SUMIFS($E$2:$E859,$C$2:$C859,C859,$D$2:$D859,"*Package*"))</f>
        <v/>
      </c>
      <c r="G859" t="str">
        <f>IF(ISNUMBER(SEARCH("Group",D859)),IFERROR("GRP-"&amp;TEXT(IF(ISNUMBER(A859),A859,DATEVALUE(A859)),"yyyymmdd"),""),"" )</f>
        <v/>
      </c>
      <c r="H859" s="33">
        <f>IF(ISNUMBER(SEARCH("Group",D859)),IF(G859="",E859,IFERROR(E859/COUNTIF($G2:$G6000,G859),E859)),E859)</f>
        <v>0</v>
      </c>
      <c r="I859" s="1" t="str">
        <f>IFERROR(VLOOKUP(C859,'Clients List'!A:F,6,FALSE),"")</f>
        <v/>
      </c>
      <c r="K859" s="23" t="str">
        <f>IFERROR(INDEX([2]Packages!E:E, MATCH(1, ([2]Packages!A:A=B859)*([2]Packages!B:B=C859), 0)) - SUMIFS(D$2:D859, B$2:B859, B859, C$2:C859, C859),"")</f>
        <v/>
      </c>
    </row>
    <row r="860" spans="1:11" x14ac:dyDescent="0.45">
      <c r="A860" s="14" t="s">
        <v>21</v>
      </c>
      <c r="D860" t="str">
        <f>IFERROR(VLOOKUP(C860,'Clients List'!$A:$F,2,FALSE),"")</f>
        <v/>
      </c>
      <c r="F860" s="1" t="str">
        <f>IF(OR(C860="",NOT(ISNUMBER(SEARCH("Package",D860)))),"",VLOOKUP(C860,'Clients List'!$A:$F,4,FALSE)-SUMIFS($E$2:$E860,$C$2:$C860,C860,$D$2:$D860,"*Package*"))</f>
        <v/>
      </c>
      <c r="H860" s="33"/>
      <c r="I860" s="1" t="str">
        <f>IFERROR(VLOOKUP(C860,'Clients List'!A:F,6,FALSE),"")</f>
        <v/>
      </c>
      <c r="K860" s="23" t="str">
        <f>IFERROR(INDEX([2]Packages!E:E, MATCH(1, ([2]Packages!A:A=B860)*([2]Packages!B:B=C860), 0)) - SUMIFS(D$2:D860, B$2:B860, B860, C$2:C860, C860),"")</f>
        <v/>
      </c>
    </row>
    <row r="861" spans="1:11" x14ac:dyDescent="0.45">
      <c r="D861" t="str">
        <f>IFERROR(VLOOKUP(C861,'Clients List'!$A:$F,2,FALSE),"")</f>
        <v/>
      </c>
      <c r="F861" s="1" t="str">
        <f>IF(OR(C861="",NOT(ISNUMBER(SEARCH("Package",D861)))),"",VLOOKUP(C861,'Clients List'!$A:$F,4,FALSE)-SUMIFS($E$2:$E861,$C$2:$C861,C861,$D$2:$D861,"*Package*"))</f>
        <v/>
      </c>
      <c r="G861" t="str">
        <f t="shared" ref="G861:G892" si="30">IF(ISNUMBER(SEARCH("Group",D861)),IFERROR("GRP-"&amp;TEXT(IF(ISNUMBER(A861),A861,DATEVALUE(A861)),"yyyymmdd"),""),"" )</f>
        <v/>
      </c>
      <c r="H861" s="33">
        <f>IF(ISNUMBER(SEARCH("Group",D861)),IF(G861="",E861,IFERROR(E861/COUNTIF($G2:$G6000,G861),E861)),E861)</f>
        <v>0</v>
      </c>
      <c r="I861" s="1" t="str">
        <f>IFERROR(VLOOKUP(C861,'Clients List'!A:F,6,FALSE),"")</f>
        <v/>
      </c>
      <c r="K861" s="23" t="str">
        <f>IFERROR(INDEX([2]Packages!E:E, MATCH(1, ([2]Packages!A:A=B861)*([2]Packages!B:B=C861), 0)) - SUMIFS(D$2:D861, B$2:B861, B861, C$2:C861, C861),"")</f>
        <v/>
      </c>
    </row>
    <row r="862" spans="1:11" x14ac:dyDescent="0.45">
      <c r="D862" t="str">
        <f>IFERROR(VLOOKUP(C862,'Clients List'!$A:$F,2,FALSE),"")</f>
        <v/>
      </c>
      <c r="F862" s="1" t="str">
        <f>IF(OR(C862="",NOT(ISNUMBER(SEARCH("Package",D862)))),"",VLOOKUP(C862,'Clients List'!$A:$F,4,FALSE)-SUMIFS($E$2:$E862,$C$2:$C862,C862,$D$2:$D862,"*Package*"))</f>
        <v/>
      </c>
      <c r="G862" t="str">
        <f t="shared" si="30"/>
        <v/>
      </c>
      <c r="H862" s="33">
        <f>IF(ISNUMBER(SEARCH("Group",D862)),IF(G862="",E862,IFERROR(E862/COUNTIF($G2:$G6000,G862),E862)),E862)</f>
        <v>0</v>
      </c>
      <c r="I862" s="1" t="str">
        <f>IFERROR(VLOOKUP(C862,'Clients List'!A:F,6,FALSE),"")</f>
        <v/>
      </c>
      <c r="K862" s="23" t="str">
        <f>IFERROR(INDEX([2]Packages!E:E, MATCH(1, ([2]Packages!A:A=B862)*([2]Packages!B:B=C862), 0)) - SUMIFS(D$2:D862, B$2:B862, B862, C$2:C862, C862),"")</f>
        <v/>
      </c>
    </row>
    <row r="863" spans="1:11" x14ac:dyDescent="0.45">
      <c r="D863" t="str">
        <f>IFERROR(VLOOKUP(C863,'Clients List'!$A:$F,2,FALSE),"")</f>
        <v/>
      </c>
      <c r="F863" s="1" t="str">
        <f>IF(OR(C863="",NOT(ISNUMBER(SEARCH("Package",D863)))),"",VLOOKUP(C863,'Clients List'!$A:$F,4,FALSE)-SUMIFS($E$2:$E863,$C$2:$C863,C863,$D$2:$D863,"*Package*"))</f>
        <v/>
      </c>
      <c r="G863" t="str">
        <f t="shared" si="30"/>
        <v/>
      </c>
      <c r="H863" s="33">
        <f>IF(ISNUMBER(SEARCH("Group",D863)),IF(G863="",E863,IFERROR(E863/COUNTIF($G2:$G6000,G863),E863)),E863)</f>
        <v>0</v>
      </c>
      <c r="I863" s="1" t="str">
        <f>IFERROR(VLOOKUP(C863,'Clients List'!A:F,6,FALSE),"")</f>
        <v/>
      </c>
      <c r="K863" s="23" t="str">
        <f>IFERROR(INDEX([2]Packages!E:E, MATCH(1, ([2]Packages!A:A=B863)*([2]Packages!B:B=C863), 0)) - SUMIFS(D$2:D863, B$2:B863, B863, C$2:C863, C863),"")</f>
        <v/>
      </c>
    </row>
    <row r="864" spans="1:11" x14ac:dyDescent="0.45">
      <c r="D864" t="str">
        <f>IFERROR(VLOOKUP(C864,'Clients List'!$A:$F,2,FALSE),"")</f>
        <v/>
      </c>
      <c r="F864" s="1" t="str">
        <f>IF(OR(C864="",NOT(ISNUMBER(SEARCH("Package",D864)))),"",VLOOKUP(C864,'Clients List'!$A:$F,4,FALSE)-SUMIFS($E$2:$E864,$C$2:$C864,C864,$D$2:$D864,"*Package*"))</f>
        <v/>
      </c>
      <c r="G864" t="str">
        <f t="shared" si="30"/>
        <v/>
      </c>
      <c r="H864" s="33">
        <f>IF(ISNUMBER(SEARCH("Group",D864)),IF(G864="",E864,IFERROR(E864/COUNTIF($G2:$G6000,G864),E864)),E864)</f>
        <v>0</v>
      </c>
      <c r="I864" s="1" t="str">
        <f>IFERROR(VLOOKUP(C864,'Clients List'!A:F,6,FALSE),"")</f>
        <v/>
      </c>
      <c r="K864" s="23" t="str">
        <f>IFERROR(INDEX([2]Packages!E:E, MATCH(1, ([2]Packages!A:A=B864)*([2]Packages!B:B=C864), 0)) - SUMIFS(D$2:D864, B$2:B864, B864, C$2:C864, C864),"")</f>
        <v/>
      </c>
    </row>
    <row r="865" spans="4:11" x14ac:dyDescent="0.45">
      <c r="D865" t="str">
        <f>IFERROR(VLOOKUP(C865,'Clients List'!$A:$F,2,FALSE),"")</f>
        <v/>
      </c>
      <c r="F865" s="1" t="str">
        <f>IF(OR(C865="",NOT(ISNUMBER(SEARCH("Package",D865)))),"",VLOOKUP(C865,'Clients List'!$A:$F,4,FALSE)-SUMIFS($E$2:$E865,$C$2:$C865,C865,$D$2:$D865,"*Package*"))</f>
        <v/>
      </c>
      <c r="G865" t="str">
        <f t="shared" si="30"/>
        <v/>
      </c>
      <c r="H865" s="33">
        <f>IF(ISNUMBER(SEARCH("Group",D865)),IF(G865="",E865,IFERROR(E865/COUNTIF($G2:$G6000,G865),E865)),E865)</f>
        <v>0</v>
      </c>
      <c r="I865" s="1" t="str">
        <f>IFERROR(VLOOKUP(C865,'Clients List'!A:F,6,FALSE),"")</f>
        <v/>
      </c>
      <c r="K865" s="23" t="str">
        <f>IFERROR(INDEX([2]Packages!E:E, MATCH(1, ([2]Packages!A:A=B865)*([2]Packages!B:B=C865), 0)) - SUMIFS(D$2:D865, B$2:B865, B865, C$2:C865, C865),"")</f>
        <v/>
      </c>
    </row>
    <row r="866" spans="4:11" x14ac:dyDescent="0.45">
      <c r="D866" t="str">
        <f>IFERROR(VLOOKUP(C866,'Clients List'!$A:$F,2,FALSE),"")</f>
        <v/>
      </c>
      <c r="F866" s="1" t="str">
        <f>IF(OR(C866="",NOT(ISNUMBER(SEARCH("Package",D866)))),"",VLOOKUP(C866,'Clients List'!$A:$F,4,FALSE)-SUMIFS($E$2:$E866,$C$2:$C866,C866,$D$2:$D866,"*Package*"))</f>
        <v/>
      </c>
      <c r="G866" t="str">
        <f t="shared" si="30"/>
        <v/>
      </c>
      <c r="H866" s="33">
        <f>IF(ISNUMBER(SEARCH("Group",D866)),IF(G866="",E866,IFERROR(E866/COUNTIF($G2:$G6000,G866),E866)),E866)</f>
        <v>0</v>
      </c>
      <c r="I866" s="1" t="str">
        <f>IFERROR(VLOOKUP(C866,'Clients List'!A:F,6,FALSE),"")</f>
        <v/>
      </c>
      <c r="K866" s="23" t="str">
        <f>IFERROR(INDEX([2]Packages!E:E, MATCH(1, ([2]Packages!A:A=B866)*([2]Packages!B:B=C866), 0)) - SUMIFS(D$2:D866, B$2:B866, B866, C$2:C866, C866),"")</f>
        <v/>
      </c>
    </row>
    <row r="867" spans="4:11" x14ac:dyDescent="0.45">
      <c r="D867" t="str">
        <f>IFERROR(VLOOKUP(C867,'Clients List'!$A:$F,2,FALSE),"")</f>
        <v/>
      </c>
      <c r="F867" s="1" t="str">
        <f>IF(OR(C867="",NOT(ISNUMBER(SEARCH("Package",D867)))),"",VLOOKUP(C867,'Clients List'!$A:$F,4,FALSE)-SUMIFS($E$2:$E867,$C$2:$C867,C867,$D$2:$D867,"*Package*"))</f>
        <v/>
      </c>
      <c r="G867" t="str">
        <f t="shared" si="30"/>
        <v/>
      </c>
      <c r="H867" s="33">
        <f>IF(ISNUMBER(SEARCH("Group",D867)),IF(G867="",E867,IFERROR(E867/COUNTIF($G2:$G6000,G867),E867)),E867)</f>
        <v>0</v>
      </c>
      <c r="I867" s="1" t="str">
        <f>IFERROR(VLOOKUP(C867,'Clients List'!A:F,6,FALSE),"")</f>
        <v/>
      </c>
      <c r="K867" s="23" t="str">
        <f>IFERROR(INDEX([2]Packages!E:E, MATCH(1, ([2]Packages!A:A=B867)*([2]Packages!B:B=C867), 0)) - SUMIFS(D$2:D867, B$2:B867, B867, C$2:C867, C867),"")</f>
        <v/>
      </c>
    </row>
    <row r="868" spans="4:11" x14ac:dyDescent="0.45">
      <c r="D868" t="str">
        <f>IFERROR(VLOOKUP(C868,'Clients List'!$A:$F,2,FALSE),"")</f>
        <v/>
      </c>
      <c r="F868" s="1" t="str">
        <f>IF(OR(C868="",NOT(ISNUMBER(SEARCH("Package",D868)))),"",VLOOKUP(C868,'Clients List'!$A:$F,4,FALSE)-SUMIFS($E$2:$E868,$C$2:$C868,C868,$D$2:$D868,"*Package*"))</f>
        <v/>
      </c>
      <c r="G868" t="str">
        <f t="shared" si="30"/>
        <v/>
      </c>
      <c r="H868" s="33">
        <f>IF(ISNUMBER(SEARCH("Group",D868)),IF(G868="",E868,IFERROR(E868/COUNTIF($G2:$G6000,G868),E868)),E868)</f>
        <v>0</v>
      </c>
      <c r="I868" s="1" t="str">
        <f>IFERROR(VLOOKUP(C868,'Clients List'!A:F,6,FALSE),"")</f>
        <v/>
      </c>
      <c r="K868" s="23" t="str">
        <f>IFERROR(INDEX([2]Packages!E:E, MATCH(1, ([2]Packages!A:A=B868)*([2]Packages!B:B=C868), 0)) - SUMIFS(D$2:D868, B$2:B868, B868, C$2:C868, C868),"")</f>
        <v/>
      </c>
    </row>
    <row r="869" spans="4:11" x14ac:dyDescent="0.45">
      <c r="D869" t="str">
        <f>IFERROR(VLOOKUP(C869,'Clients List'!$A:$F,2,FALSE),"")</f>
        <v/>
      </c>
      <c r="F869" s="1" t="str">
        <f>IF(OR(C869="",NOT(ISNUMBER(SEARCH("Package",D869)))),"",VLOOKUP(C869,'Clients List'!$A:$F,4,FALSE)-SUMIFS($E$2:$E869,$C$2:$C869,C869,$D$2:$D869,"*Package*"))</f>
        <v/>
      </c>
      <c r="G869" t="str">
        <f t="shared" si="30"/>
        <v/>
      </c>
      <c r="H869" s="33">
        <f>IF(ISNUMBER(SEARCH("Group",D869)),IF(G869="",E869,IFERROR(E869/COUNTIF($G2:$G6000,G869),E869)),E869)</f>
        <v>0</v>
      </c>
      <c r="I869" s="1" t="str">
        <f>IFERROR(VLOOKUP(C869,'Clients List'!A:F,6,FALSE),"")</f>
        <v/>
      </c>
      <c r="K869" s="23" t="str">
        <f>IFERROR(INDEX([2]Packages!E:E, MATCH(1, ([2]Packages!A:A=B869)*([2]Packages!B:B=C869), 0)) - SUMIFS(D$2:D869, B$2:B869, B869, C$2:C869, C869),"")</f>
        <v/>
      </c>
    </row>
    <row r="870" spans="4:11" x14ac:dyDescent="0.45">
      <c r="D870" t="str">
        <f>IFERROR(VLOOKUP(C870,'Clients List'!$A:$F,2,FALSE),"")</f>
        <v/>
      </c>
      <c r="F870" s="1" t="str">
        <f>IF(OR(C870="",NOT(ISNUMBER(SEARCH("Package",D870)))),"",VLOOKUP(C870,'Clients List'!$A:$F,4,FALSE)-SUMIFS($E$2:$E870,$C$2:$C870,C870,$D$2:$D870,"*Package*"))</f>
        <v/>
      </c>
      <c r="G870" t="str">
        <f t="shared" si="30"/>
        <v/>
      </c>
      <c r="H870" s="33">
        <f>IF(ISNUMBER(SEARCH("Group",D870)),IF(G870="",E870,IFERROR(E870/COUNTIF($G2:$G6000,G870),E870)),E870)</f>
        <v>0</v>
      </c>
      <c r="I870" s="1" t="str">
        <f>IFERROR(VLOOKUP(C870,'Clients List'!A:F,6,FALSE),"")</f>
        <v/>
      </c>
      <c r="K870" s="23" t="str">
        <f>IFERROR(INDEX([2]Packages!E:E, MATCH(1, ([2]Packages!A:A=B870)*([2]Packages!B:B=C870), 0)) - SUMIFS(D$2:D870, B$2:B870, B870, C$2:C870, C870),"")</f>
        <v/>
      </c>
    </row>
    <row r="871" spans="4:11" x14ac:dyDescent="0.45">
      <c r="D871" t="str">
        <f>IFERROR(VLOOKUP(C871,'Clients List'!$A:$F,2,FALSE),"")</f>
        <v/>
      </c>
      <c r="F871" s="1" t="str">
        <f>IF(OR(C871="",NOT(ISNUMBER(SEARCH("Package",D871)))),"",VLOOKUP(C871,'Clients List'!$A:$F,4,FALSE)-SUMIFS($E$2:$E871,$C$2:$C871,C871,$D$2:$D871,"*Package*"))</f>
        <v/>
      </c>
      <c r="G871" t="str">
        <f t="shared" si="30"/>
        <v/>
      </c>
      <c r="H871" s="33">
        <f>IF(ISNUMBER(SEARCH("Group",D871)),IF(G871="",E871,IFERROR(E871/COUNTIF($G2:$G6000,G871),E871)),E871)</f>
        <v>0</v>
      </c>
      <c r="I871" s="1" t="str">
        <f>IFERROR(VLOOKUP(C871,'Clients List'!A:F,6,FALSE),"")</f>
        <v/>
      </c>
      <c r="K871" s="23" t="str">
        <f>IFERROR(INDEX([2]Packages!E:E, MATCH(1, ([2]Packages!A:A=B871)*([2]Packages!B:B=C871), 0)) - SUMIFS(D$2:D871, B$2:B871, B871, C$2:C871, C871),"")</f>
        <v/>
      </c>
    </row>
    <row r="872" spans="4:11" x14ac:dyDescent="0.45">
      <c r="D872" t="str">
        <f>IFERROR(VLOOKUP(C872,'Clients List'!$A:$F,2,FALSE),"")</f>
        <v/>
      </c>
      <c r="F872" s="1" t="str">
        <f>IF(OR(C872="",NOT(ISNUMBER(SEARCH("Package",D872)))),"",VLOOKUP(C872,'Clients List'!$A:$F,4,FALSE)-SUMIFS($E$2:$E872,$C$2:$C872,C872,$D$2:$D872,"*Package*"))</f>
        <v/>
      </c>
      <c r="G872" t="str">
        <f t="shared" si="30"/>
        <v/>
      </c>
      <c r="H872" s="33">
        <f>IF(ISNUMBER(SEARCH("Group",D872)),IF(G872="",E872,IFERROR(E872/COUNTIF($G2:$G6000,G872),E872)),E872)</f>
        <v>0</v>
      </c>
      <c r="I872" s="1" t="str">
        <f>IFERROR(VLOOKUP(C872,'Clients List'!A:F,6,FALSE),"")</f>
        <v/>
      </c>
      <c r="K872" s="23" t="str">
        <f>IFERROR(INDEX([2]Packages!E:E, MATCH(1, ([2]Packages!A:A=B872)*([2]Packages!B:B=C872), 0)) - SUMIFS(D$2:D872, B$2:B872, B872, C$2:C872, C872),"")</f>
        <v/>
      </c>
    </row>
    <row r="873" spans="4:11" x14ac:dyDescent="0.45">
      <c r="D873" t="str">
        <f>IFERROR(VLOOKUP(C873,'Clients List'!$A:$F,2,FALSE),"")</f>
        <v/>
      </c>
      <c r="F873" s="1" t="str">
        <f>IF(OR(C873="",NOT(ISNUMBER(SEARCH("Package",D873)))),"",VLOOKUP(C873,'Clients List'!$A:$F,4,FALSE)-SUMIFS($E$2:$E873,$C$2:$C873,C873,$D$2:$D873,"*Package*"))</f>
        <v/>
      </c>
      <c r="G873" t="str">
        <f t="shared" si="30"/>
        <v/>
      </c>
      <c r="H873" s="33">
        <f>IF(ISNUMBER(SEARCH("Group",D873)),IF(G873="",E873,IFERROR(E873/COUNTIF($G2:$G6000,G873),E873)),E873)</f>
        <v>0</v>
      </c>
      <c r="I873" s="1" t="str">
        <f>IFERROR(VLOOKUP(C873,'Clients List'!A:F,6,FALSE),"")</f>
        <v/>
      </c>
      <c r="K873" s="23" t="str">
        <f>IFERROR(INDEX([2]Packages!E:E, MATCH(1, ([2]Packages!A:A=B873)*([2]Packages!B:B=C873), 0)) - SUMIFS(D$2:D873, B$2:B873, B873, C$2:C873, C873),"")</f>
        <v/>
      </c>
    </row>
    <row r="874" spans="4:11" x14ac:dyDescent="0.45">
      <c r="D874" t="str">
        <f>IFERROR(VLOOKUP(C874,'Clients List'!$A:$F,2,FALSE),"")</f>
        <v/>
      </c>
      <c r="F874" s="1" t="str">
        <f>IF(OR(C874="",NOT(ISNUMBER(SEARCH("Package",D874)))),"",VLOOKUP(C874,'Clients List'!$A:$F,4,FALSE)-SUMIFS($E$2:$E874,$C$2:$C874,C874,$D$2:$D874,"*Package*"))</f>
        <v/>
      </c>
      <c r="G874" t="str">
        <f t="shared" si="30"/>
        <v/>
      </c>
      <c r="H874" s="33">
        <f>IF(ISNUMBER(SEARCH("Group",D874)),IF(G874="",E874,IFERROR(E874/COUNTIF($G2:$G6000,G874),E874)),E874)</f>
        <v>0</v>
      </c>
      <c r="I874" s="1" t="str">
        <f>IFERROR(VLOOKUP(C874,'Clients List'!A:F,6,FALSE),"")</f>
        <v/>
      </c>
      <c r="K874" s="23" t="str">
        <f>IFERROR(INDEX([2]Packages!E:E, MATCH(1, ([2]Packages!A:A=B874)*([2]Packages!B:B=C874), 0)) - SUMIFS(D$2:D874, B$2:B874, B874, C$2:C874, C874),"")</f>
        <v/>
      </c>
    </row>
    <row r="875" spans="4:11" x14ac:dyDescent="0.45">
      <c r="D875" t="str">
        <f>IFERROR(VLOOKUP(C875,'Clients List'!$A:$F,2,FALSE),"")</f>
        <v/>
      </c>
      <c r="F875" s="1" t="str">
        <f>IF(OR(C875="",NOT(ISNUMBER(SEARCH("Package",D875)))),"",VLOOKUP(C875,'Clients List'!$A:$F,4,FALSE)-SUMIFS($E$2:$E875,$C$2:$C875,C875,$D$2:$D875,"*Package*"))</f>
        <v/>
      </c>
      <c r="G875" t="str">
        <f t="shared" si="30"/>
        <v/>
      </c>
      <c r="H875" s="33">
        <f>IF(ISNUMBER(SEARCH("Group",D875)),IF(G875="",E875,IFERROR(E875/COUNTIF($G2:$G6000,G875),E875)),E875)</f>
        <v>0</v>
      </c>
      <c r="I875" s="1" t="str">
        <f>IFERROR(VLOOKUP(C875,'Clients List'!A:F,6,FALSE),"")</f>
        <v/>
      </c>
      <c r="K875" s="23" t="str">
        <f>IFERROR(INDEX([2]Packages!E:E, MATCH(1, ([2]Packages!A:A=B875)*([2]Packages!B:B=C875), 0)) - SUMIFS(D$2:D875, B$2:B875, B875, C$2:C875, C875),"")</f>
        <v/>
      </c>
    </row>
    <row r="876" spans="4:11" x14ac:dyDescent="0.45">
      <c r="D876" t="str">
        <f>IFERROR(VLOOKUP(C876,'Clients List'!$A:$F,2,FALSE),"")</f>
        <v/>
      </c>
      <c r="F876" s="1" t="str">
        <f>IF(OR(C876="",NOT(ISNUMBER(SEARCH("Package",D876)))),"",VLOOKUP(C876,'Clients List'!$A:$F,4,FALSE)-SUMIFS($E$2:$E876,$C$2:$C876,C876,$D$2:$D876,"*Package*"))</f>
        <v/>
      </c>
      <c r="G876" t="str">
        <f t="shared" si="30"/>
        <v/>
      </c>
      <c r="H876" s="33">
        <f>IF(ISNUMBER(SEARCH("Group",D876)),IF(G876="",E876,IFERROR(E876/COUNTIF($G2:$G6000,G876),E876)),E876)</f>
        <v>0</v>
      </c>
      <c r="I876" s="1" t="str">
        <f>IFERROR(VLOOKUP(C876,'Clients List'!A:F,6,FALSE),"")</f>
        <v/>
      </c>
      <c r="K876" s="23" t="str">
        <f>IFERROR(INDEX([2]Packages!E:E, MATCH(1, ([2]Packages!A:A=B876)*([2]Packages!B:B=C876), 0)) - SUMIFS(D$2:D876, B$2:B876, B876, C$2:C876, C876),"")</f>
        <v/>
      </c>
    </row>
    <row r="877" spans="4:11" x14ac:dyDescent="0.45">
      <c r="D877" t="str">
        <f>IFERROR(VLOOKUP(C877,'Clients List'!$A:$F,2,FALSE),"")</f>
        <v/>
      </c>
      <c r="F877" s="1" t="str">
        <f>IF(OR(C877="",NOT(ISNUMBER(SEARCH("Package",D877)))),"",VLOOKUP(C877,'Clients List'!$A:$F,4,FALSE)-SUMIFS($E$2:$E877,$C$2:$C877,C877,$D$2:$D877,"*Package*"))</f>
        <v/>
      </c>
      <c r="G877" t="str">
        <f t="shared" si="30"/>
        <v/>
      </c>
      <c r="H877" s="33">
        <f>IF(ISNUMBER(SEARCH("Group",D877)),IF(G877="",E877,IFERROR(E877/COUNTIF($G2:$G6000,G877),E877)),E877)</f>
        <v>0</v>
      </c>
      <c r="I877" s="1" t="str">
        <f>IFERROR(VLOOKUP(C877,'Clients List'!A:F,6,FALSE),"")</f>
        <v/>
      </c>
      <c r="K877" s="23" t="str">
        <f>IFERROR(INDEX([2]Packages!E:E, MATCH(1, ([2]Packages!A:A=B877)*([2]Packages!B:B=C877), 0)) - SUMIFS(D$2:D877, B$2:B877, B877, C$2:C877, C877),"")</f>
        <v/>
      </c>
    </row>
    <row r="878" spans="4:11" x14ac:dyDescent="0.45">
      <c r="D878" t="str">
        <f>IFERROR(VLOOKUP(C878,'Clients List'!$A:$F,2,FALSE),"")</f>
        <v/>
      </c>
      <c r="F878" s="1" t="str">
        <f>IF(OR(C878="",NOT(ISNUMBER(SEARCH("Package",D878)))),"",VLOOKUP(C878,'Clients List'!$A:$F,4,FALSE)-SUMIFS($E$2:$E878,$C$2:$C878,C878,$D$2:$D878,"*Package*"))</f>
        <v/>
      </c>
      <c r="G878" t="str">
        <f t="shared" si="30"/>
        <v/>
      </c>
      <c r="H878" s="33">
        <f>IF(ISNUMBER(SEARCH("Group",D878)),IF(G878="",E878,IFERROR(E878/COUNTIF($G2:$G6000,G878),E878)),E878)</f>
        <v>0</v>
      </c>
      <c r="I878" s="1" t="str">
        <f>IFERROR(VLOOKUP(C878,'Clients List'!A:F,6,FALSE),"")</f>
        <v/>
      </c>
      <c r="K878" s="23" t="str">
        <f>IFERROR(INDEX([2]Packages!E:E, MATCH(1, ([2]Packages!A:A=B878)*([2]Packages!B:B=C878), 0)) - SUMIFS(D$2:D878, B$2:B878, B878, C$2:C878, C878),"")</f>
        <v/>
      </c>
    </row>
    <row r="879" spans="4:11" x14ac:dyDescent="0.45">
      <c r="D879" t="str">
        <f>IFERROR(VLOOKUP(C879,'Clients List'!$A:$F,2,FALSE),"")</f>
        <v/>
      </c>
      <c r="F879" s="1" t="str">
        <f>IF(OR(C879="",NOT(ISNUMBER(SEARCH("Package",D879)))),"",VLOOKUP(C879,'Clients List'!$A:$F,4,FALSE)-SUMIFS($E$2:$E879,$C$2:$C879,C879,$D$2:$D879,"*Package*"))</f>
        <v/>
      </c>
      <c r="G879" t="str">
        <f t="shared" si="30"/>
        <v/>
      </c>
      <c r="H879" s="33">
        <f>IF(ISNUMBER(SEARCH("Group",D879)),IF(G879="",E879,IFERROR(E879/COUNTIF($G2:$G6000,G879),E879)),E879)</f>
        <v>0</v>
      </c>
      <c r="I879" s="1" t="str">
        <f>IFERROR(VLOOKUP(C879,'Clients List'!A:F,6,FALSE),"")</f>
        <v/>
      </c>
      <c r="K879" s="23" t="str">
        <f>IFERROR(INDEX([2]Packages!E:E, MATCH(1, ([2]Packages!A:A=B879)*([2]Packages!B:B=C879), 0)) - SUMIFS(D$2:D879, B$2:B879, B879, C$2:C879, C879),"")</f>
        <v/>
      </c>
    </row>
    <row r="880" spans="4:11" x14ac:dyDescent="0.45">
      <c r="D880" t="str">
        <f>IFERROR(VLOOKUP(C880,'Clients List'!$A:$F,2,FALSE),"")</f>
        <v/>
      </c>
      <c r="F880" s="1" t="str">
        <f>IF(OR(C880="",NOT(ISNUMBER(SEARCH("Package",D880)))),"",VLOOKUP(C880,'Clients List'!$A:$F,4,FALSE)-SUMIFS($E$2:$E880,$C$2:$C880,C880,$D$2:$D880,"*Package*"))</f>
        <v/>
      </c>
      <c r="G880" t="str">
        <f t="shared" si="30"/>
        <v/>
      </c>
      <c r="H880" s="33">
        <f>IF(ISNUMBER(SEARCH("Group",D880)),IF(G880="",E880,IFERROR(E880/COUNTIF($G2:$G6000,G880),E880)),E880)</f>
        <v>0</v>
      </c>
      <c r="I880" s="1" t="str">
        <f>IFERROR(VLOOKUP(C880,'Clients List'!A:F,6,FALSE),"")</f>
        <v/>
      </c>
      <c r="K880" s="23" t="str">
        <f>IFERROR(INDEX([2]Packages!E:E, MATCH(1, ([2]Packages!A:A=B880)*([2]Packages!B:B=C880), 0)) - SUMIFS(D$2:D880, B$2:B880, B880, C$2:C880, C880),"")</f>
        <v/>
      </c>
    </row>
    <row r="881" spans="4:11" x14ac:dyDescent="0.45">
      <c r="D881" t="str">
        <f>IFERROR(VLOOKUP(C881,'Clients List'!$A:$F,2,FALSE),"")</f>
        <v/>
      </c>
      <c r="F881" s="1" t="str">
        <f>IF(OR(C881="",NOT(ISNUMBER(SEARCH("Package",D881)))),"",VLOOKUP(C881,'Clients List'!$A:$F,4,FALSE)-SUMIFS($E$2:$E881,$C$2:$C881,C881,$D$2:$D881,"*Package*"))</f>
        <v/>
      </c>
      <c r="G881" t="str">
        <f t="shared" si="30"/>
        <v/>
      </c>
      <c r="H881" s="33">
        <f>IF(ISNUMBER(SEARCH("Group",D881)),IF(G881="",E881,IFERROR(E881/COUNTIF($G2:$G6000,G881),E881)),E881)</f>
        <v>0</v>
      </c>
      <c r="I881" s="1" t="str">
        <f>IFERROR(VLOOKUP(C881,'Clients List'!A:F,6,FALSE),"")</f>
        <v/>
      </c>
      <c r="K881" s="23" t="str">
        <f>IFERROR(INDEX([2]Packages!E:E, MATCH(1, ([2]Packages!A:A=B881)*([2]Packages!B:B=C881), 0)) - SUMIFS(D$2:D881, B$2:B881, B881, C$2:C881, C881),"")</f>
        <v/>
      </c>
    </row>
    <row r="882" spans="4:11" x14ac:dyDescent="0.45">
      <c r="D882" t="str">
        <f>IFERROR(VLOOKUP(C882,'Clients List'!$A:$F,2,FALSE),"")</f>
        <v/>
      </c>
      <c r="F882" s="1" t="str">
        <f>IF(OR(C882="",NOT(ISNUMBER(SEARCH("Package",D882)))),"",VLOOKUP(C882,'Clients List'!$A:$F,4,FALSE)-SUMIFS($E$2:$E882,$C$2:$C882,C882,$D$2:$D882,"*Package*"))</f>
        <v/>
      </c>
      <c r="G882" t="str">
        <f t="shared" si="30"/>
        <v/>
      </c>
      <c r="H882" s="33">
        <f>IF(ISNUMBER(SEARCH("Group",D882)),IF(G882="",E882,IFERROR(E882/COUNTIF($G2:$G6000,G882),E882)),E882)</f>
        <v>0</v>
      </c>
      <c r="I882" s="1" t="str">
        <f>IFERROR(VLOOKUP(C882,'Clients List'!A:F,6,FALSE),"")</f>
        <v/>
      </c>
      <c r="K882" s="23" t="str">
        <f>IFERROR(INDEX([2]Packages!E:E, MATCH(1, ([2]Packages!A:A=B882)*([2]Packages!B:B=C882), 0)) - SUMIFS(D$2:D882, B$2:B882, B882, C$2:C882, C882),"")</f>
        <v/>
      </c>
    </row>
    <row r="883" spans="4:11" x14ac:dyDescent="0.45">
      <c r="D883" t="str">
        <f>IFERROR(VLOOKUP(C883,'Clients List'!$A:$F,2,FALSE),"")</f>
        <v/>
      </c>
      <c r="F883" s="1" t="str">
        <f>IF(OR(C883="",NOT(ISNUMBER(SEARCH("Package",D883)))),"",VLOOKUP(C883,'Clients List'!$A:$F,4,FALSE)-SUMIFS($E$2:$E883,$C$2:$C883,C883,$D$2:$D883,"*Package*"))</f>
        <v/>
      </c>
      <c r="G883" t="str">
        <f t="shared" si="30"/>
        <v/>
      </c>
      <c r="H883" s="33">
        <f>IF(ISNUMBER(SEARCH("Group",D883)),IF(G883="",E883,IFERROR(E883/COUNTIF($G2:$G6000,G883),E883)),E883)</f>
        <v>0</v>
      </c>
      <c r="I883" s="1" t="str">
        <f>IFERROR(VLOOKUP(C883,'Clients List'!A:F,6,FALSE),"")</f>
        <v/>
      </c>
      <c r="K883" s="23" t="str">
        <f>IFERROR(INDEX([2]Packages!E:E, MATCH(1, ([2]Packages!A:A=B883)*([2]Packages!B:B=C883), 0)) - SUMIFS(D$2:D883, B$2:B883, B883, C$2:C883, C883),"")</f>
        <v/>
      </c>
    </row>
    <row r="884" spans="4:11" x14ac:dyDescent="0.45">
      <c r="D884" t="str">
        <f>IFERROR(VLOOKUP(C884,'Clients List'!$A:$F,2,FALSE),"")</f>
        <v/>
      </c>
      <c r="F884" s="1" t="str">
        <f>IF(OR(C884="",NOT(ISNUMBER(SEARCH("Package",D884)))),"",VLOOKUP(C884,'Clients List'!$A:$F,4,FALSE)-SUMIFS($E$2:$E884,$C$2:$C884,C884,$D$2:$D884,"*Package*"))</f>
        <v/>
      </c>
      <c r="G884" t="str">
        <f t="shared" si="30"/>
        <v/>
      </c>
      <c r="H884" s="33">
        <f>IF(ISNUMBER(SEARCH("Group",D884)),IF(G884="",E884,IFERROR(E884/COUNTIF($G2:$G6000,G884),E884)),E884)</f>
        <v>0</v>
      </c>
      <c r="I884" s="1" t="str">
        <f>IFERROR(VLOOKUP(C884,'Clients List'!A:F,6,FALSE),"")</f>
        <v/>
      </c>
      <c r="K884" s="23" t="str">
        <f>IFERROR(INDEX([2]Packages!E:E, MATCH(1, ([2]Packages!A:A=B884)*([2]Packages!B:B=C884), 0)) - SUMIFS(D$2:D884, B$2:B884, B884, C$2:C884, C884),"")</f>
        <v/>
      </c>
    </row>
    <row r="885" spans="4:11" x14ac:dyDescent="0.45">
      <c r="D885" t="str">
        <f>IFERROR(VLOOKUP(C885,'Clients List'!$A:$F,2,FALSE),"")</f>
        <v/>
      </c>
      <c r="F885" s="1" t="str">
        <f>IF(OR(C885="",NOT(ISNUMBER(SEARCH("Package",D885)))),"",VLOOKUP(C885,'Clients List'!$A:$F,4,FALSE)-SUMIFS($E$2:$E885,$C$2:$C885,C885,$D$2:$D885,"*Package*"))</f>
        <v/>
      </c>
      <c r="G885" t="str">
        <f t="shared" si="30"/>
        <v/>
      </c>
      <c r="H885" s="33">
        <f>IF(ISNUMBER(SEARCH("Group",D885)),IF(G885="",E885,IFERROR(E885/COUNTIF($G2:$G6000,G885),E885)),E885)</f>
        <v>0</v>
      </c>
      <c r="I885" s="1" t="str">
        <f>IFERROR(VLOOKUP(C885,'Clients List'!A:F,6,FALSE),"")</f>
        <v/>
      </c>
      <c r="K885" s="23" t="str">
        <f>IFERROR(INDEX([2]Packages!E:E, MATCH(1, ([2]Packages!A:A=B885)*([2]Packages!B:B=C885), 0)) - SUMIFS(D$2:D885, B$2:B885, B885, C$2:C885, C885),"")</f>
        <v/>
      </c>
    </row>
    <row r="886" spans="4:11" x14ac:dyDescent="0.45">
      <c r="D886" t="str">
        <f>IFERROR(VLOOKUP(C886,'Clients List'!$A:$F,2,FALSE),"")</f>
        <v/>
      </c>
      <c r="F886" s="1" t="str">
        <f>IF(OR(C886="",NOT(ISNUMBER(SEARCH("Package",D886)))),"",VLOOKUP(C886,'Clients List'!$A:$F,4,FALSE)-SUMIFS($E$2:$E886,$C$2:$C886,C886,$D$2:$D886,"*Package*"))</f>
        <v/>
      </c>
      <c r="G886" t="str">
        <f t="shared" si="30"/>
        <v/>
      </c>
      <c r="H886" s="33">
        <f>IF(ISNUMBER(SEARCH("Group",D886)),IF(G886="",E886,IFERROR(E886/COUNTIF($G2:$G6000,G886),E886)),E886)</f>
        <v>0</v>
      </c>
      <c r="I886" s="1" t="str">
        <f>IFERROR(VLOOKUP(C886,'Clients List'!A:F,6,FALSE),"")</f>
        <v/>
      </c>
      <c r="K886" s="23" t="str">
        <f>IFERROR(INDEX([2]Packages!E:E, MATCH(1, ([2]Packages!A:A=B886)*([2]Packages!B:B=C886), 0)) - SUMIFS(D$2:D886, B$2:B886, B886, C$2:C886, C886),"")</f>
        <v/>
      </c>
    </row>
    <row r="887" spans="4:11" x14ac:dyDescent="0.45">
      <c r="D887" t="str">
        <f>IFERROR(VLOOKUP(C887,'Clients List'!$A:$F,2,FALSE),"")</f>
        <v/>
      </c>
      <c r="F887" s="1" t="str">
        <f>IF(OR(C887="",NOT(ISNUMBER(SEARCH("Package",D887)))),"",VLOOKUP(C887,'Clients List'!$A:$F,4,FALSE)-SUMIFS($E$2:$E887,$C$2:$C887,C887,$D$2:$D887,"*Package*"))</f>
        <v/>
      </c>
      <c r="G887" t="str">
        <f t="shared" si="30"/>
        <v/>
      </c>
      <c r="H887" s="33">
        <f>IF(ISNUMBER(SEARCH("Group",D887)),IF(G887="",E887,IFERROR(E887/COUNTIF($G2:$G6000,G887),E887)),E887)</f>
        <v>0</v>
      </c>
      <c r="I887" s="1" t="str">
        <f>IFERROR(VLOOKUP(C887,'Clients List'!A:F,6,FALSE),"")</f>
        <v/>
      </c>
      <c r="K887" s="23" t="str">
        <f>IFERROR(INDEX([2]Packages!E:E, MATCH(1, ([2]Packages!A:A=B887)*([2]Packages!B:B=C887), 0)) - SUMIFS(D$2:D887, B$2:B887, B887, C$2:C887, C887),"")</f>
        <v/>
      </c>
    </row>
    <row r="888" spans="4:11" x14ac:dyDescent="0.45">
      <c r="D888" t="str">
        <f>IFERROR(VLOOKUP(C888,'Clients List'!$A:$F,2,FALSE),"")</f>
        <v/>
      </c>
      <c r="F888" s="1" t="str">
        <f>IF(OR(C888="",NOT(ISNUMBER(SEARCH("Package",D888)))),"",VLOOKUP(C888,'Clients List'!$A:$F,4,FALSE)-SUMIFS($E$2:$E888,$C$2:$C888,C888,$D$2:$D888,"*Package*"))</f>
        <v/>
      </c>
      <c r="G888" t="str">
        <f t="shared" si="30"/>
        <v/>
      </c>
      <c r="H888" s="33">
        <f>IF(ISNUMBER(SEARCH("Group",D888)),IF(G888="",E888,IFERROR(E888/COUNTIF($G2:$G6000,G888),E888)),E888)</f>
        <v>0</v>
      </c>
      <c r="I888" s="1" t="str">
        <f>IFERROR(VLOOKUP(C888,'Clients List'!A:F,6,FALSE),"")</f>
        <v/>
      </c>
      <c r="K888" s="23" t="str">
        <f>IFERROR(INDEX([2]Packages!E:E, MATCH(1, ([2]Packages!A:A=B888)*([2]Packages!B:B=C888), 0)) - SUMIFS(D$2:D888, B$2:B888, B888, C$2:C888, C888),"")</f>
        <v/>
      </c>
    </row>
    <row r="889" spans="4:11" x14ac:dyDescent="0.45">
      <c r="D889" t="str">
        <f>IFERROR(VLOOKUP(C889,'Clients List'!$A:$F,2,FALSE),"")</f>
        <v/>
      </c>
      <c r="F889" s="1" t="str">
        <f>IF(OR(C889="",NOT(ISNUMBER(SEARCH("Package",D889)))),"",VLOOKUP(C889,'Clients List'!$A:$F,4,FALSE)-SUMIFS($E$2:$E889,$C$2:$C889,C889,$D$2:$D889,"*Package*"))</f>
        <v/>
      </c>
      <c r="G889" t="str">
        <f t="shared" si="30"/>
        <v/>
      </c>
      <c r="H889" s="33">
        <f>IF(ISNUMBER(SEARCH("Group",D889)),IF(G889="",E889,IFERROR(E889/COUNTIF($G2:$G6000,G889),E889)),E889)</f>
        <v>0</v>
      </c>
      <c r="I889" s="1" t="str">
        <f>IFERROR(VLOOKUP(C889,'Clients List'!A:F,6,FALSE),"")</f>
        <v/>
      </c>
      <c r="K889" s="23" t="str">
        <f>IFERROR(INDEX([2]Packages!E:E, MATCH(1, ([2]Packages!A:A=B889)*([2]Packages!B:B=C889), 0)) - SUMIFS(D$2:D889, B$2:B889, B889, C$2:C889, C889),"")</f>
        <v/>
      </c>
    </row>
    <row r="890" spans="4:11" x14ac:dyDescent="0.45">
      <c r="D890" t="str">
        <f>IFERROR(VLOOKUP(C890,'Clients List'!$A:$F,2,FALSE),"")</f>
        <v/>
      </c>
      <c r="F890" s="1" t="str">
        <f>IF(OR(C890="",NOT(ISNUMBER(SEARCH("Package",D890)))),"",VLOOKUP(C890,'Clients List'!$A:$F,4,FALSE)-SUMIFS($E$2:$E890,$C$2:$C890,C890,$D$2:$D890,"*Package*"))</f>
        <v/>
      </c>
      <c r="G890" t="str">
        <f t="shared" si="30"/>
        <v/>
      </c>
      <c r="H890" s="33">
        <f>IF(ISNUMBER(SEARCH("Group",D890)),IF(G890="",E890,IFERROR(E890/COUNTIF($G2:$G6000,G890),E890)),E890)</f>
        <v>0</v>
      </c>
      <c r="I890" s="1" t="str">
        <f>IFERROR(VLOOKUP(C890,'Clients List'!A:F,6,FALSE),"")</f>
        <v/>
      </c>
      <c r="K890" s="23" t="str">
        <f>IFERROR(INDEX([2]Packages!E:E, MATCH(1, ([2]Packages!A:A=B890)*([2]Packages!B:B=C890), 0)) - SUMIFS(D$2:D890, B$2:B890, B890, C$2:C890, C890),"")</f>
        <v/>
      </c>
    </row>
    <row r="891" spans="4:11" x14ac:dyDescent="0.45">
      <c r="D891" t="str">
        <f>IFERROR(VLOOKUP(C891,'Clients List'!$A:$F,2,FALSE),"")</f>
        <v/>
      </c>
      <c r="F891" s="1" t="str">
        <f>IF(OR(C891="",NOT(ISNUMBER(SEARCH("Package",D891)))),"",VLOOKUP(C891,'Clients List'!$A:$F,4,FALSE)-SUMIFS($E$2:$E891,$C$2:$C891,C891,$D$2:$D891,"*Package*"))</f>
        <v/>
      </c>
      <c r="G891" t="str">
        <f t="shared" si="30"/>
        <v/>
      </c>
      <c r="H891" s="33">
        <f>IF(ISNUMBER(SEARCH("Group",D891)),IF(G891="",E891,IFERROR(E891/COUNTIF($G2:$G6000,G891),E891)),E891)</f>
        <v>0</v>
      </c>
      <c r="I891" s="1" t="str">
        <f>IFERROR(VLOOKUP(C891,'Clients List'!A:F,6,FALSE),"")</f>
        <v/>
      </c>
      <c r="K891" s="23" t="str">
        <f>IFERROR(INDEX([2]Packages!E:E, MATCH(1, ([2]Packages!A:A=B891)*([2]Packages!B:B=C891), 0)) - SUMIFS(D$2:D891, B$2:B891, B891, C$2:C891, C891),"")</f>
        <v/>
      </c>
    </row>
    <row r="892" spans="4:11" x14ac:dyDescent="0.45">
      <c r="D892" t="str">
        <f>IFERROR(VLOOKUP(C892,'Clients List'!$A:$F,2,FALSE),"")</f>
        <v/>
      </c>
      <c r="F892" s="1" t="str">
        <f>IF(OR(C892="",NOT(ISNUMBER(SEARCH("Package",D892)))),"",VLOOKUP(C892,'Clients List'!$A:$F,4,FALSE)-SUMIFS($E$2:$E892,$C$2:$C892,C892,$D$2:$D892,"*Package*"))</f>
        <v/>
      </c>
      <c r="G892" t="str">
        <f t="shared" si="30"/>
        <v/>
      </c>
      <c r="H892" s="33">
        <f>IF(ISNUMBER(SEARCH("Group",D892)),IF(G892="",E892,IFERROR(E892/COUNTIF($G2:$G6000,G892),E892)),E892)</f>
        <v>0</v>
      </c>
      <c r="I892" s="1" t="str">
        <f>IFERROR(VLOOKUP(C892,'Clients List'!A:F,6,FALSE),"")</f>
        <v/>
      </c>
      <c r="K892" s="23" t="str">
        <f>IFERROR(INDEX([2]Packages!E:E, MATCH(1, ([2]Packages!A:A=B892)*([2]Packages!B:B=C892), 0)) - SUMIFS(D$2:D892, B$2:B892, B892, C$2:C892, C892),"")</f>
        <v/>
      </c>
    </row>
    <row r="893" spans="4:11" x14ac:dyDescent="0.45">
      <c r="D893" t="str">
        <f>IFERROR(VLOOKUP(C893,'Clients List'!$A:$F,2,FALSE),"")</f>
        <v/>
      </c>
      <c r="F893" s="1" t="str">
        <f>IF(OR(C893="",NOT(ISNUMBER(SEARCH("Package",D893)))),"",VLOOKUP(C893,'Clients List'!$A:$F,4,FALSE)-SUMIFS($E$2:$E893,$C$2:$C893,C893,$D$2:$D893,"*Package*"))</f>
        <v/>
      </c>
      <c r="G893" t="str">
        <f t="shared" ref="G893:G924" si="31">IF(ISNUMBER(SEARCH("Group",D893)),IFERROR("GRP-"&amp;TEXT(IF(ISNUMBER(A893),A893,DATEVALUE(A893)),"yyyymmdd"),""),"" )</f>
        <v/>
      </c>
      <c r="H893" s="33">
        <f>IF(ISNUMBER(SEARCH("Group",D893)),IF(G893="",E893,IFERROR(E893/COUNTIF($G2:$G6000,G893),E893)),E893)</f>
        <v>0</v>
      </c>
      <c r="I893" s="1" t="str">
        <f>IFERROR(VLOOKUP(C893,'Clients List'!A:F,6,FALSE),"")</f>
        <v/>
      </c>
      <c r="K893" s="23" t="str">
        <f>IFERROR(INDEX([2]Packages!E:E, MATCH(1, ([2]Packages!A:A=B893)*([2]Packages!B:B=C893), 0)) - SUMIFS(D$2:D893, B$2:B893, B893, C$2:C893, C893),"")</f>
        <v/>
      </c>
    </row>
    <row r="894" spans="4:11" x14ac:dyDescent="0.45">
      <c r="D894" t="str">
        <f>IFERROR(VLOOKUP(C894,'Clients List'!$A:$F,2,FALSE),"")</f>
        <v/>
      </c>
      <c r="F894" s="1" t="str">
        <f>IF(OR(C894="",NOT(ISNUMBER(SEARCH("Package",D894)))),"",VLOOKUP(C894,'Clients List'!$A:$F,4,FALSE)-SUMIFS($E$2:$E894,$C$2:$C894,C894,$D$2:$D894,"*Package*"))</f>
        <v/>
      </c>
      <c r="G894" t="str">
        <f t="shared" si="31"/>
        <v/>
      </c>
      <c r="H894" s="33">
        <f>IF(ISNUMBER(SEARCH("Group",D894)),IF(G894="",E894,IFERROR(E894/COUNTIF($G2:$G6000,G894),E894)),E894)</f>
        <v>0</v>
      </c>
      <c r="I894" s="1" t="str">
        <f>IFERROR(VLOOKUP(C894,'Clients List'!A:F,6,FALSE),"")</f>
        <v/>
      </c>
      <c r="K894" s="23" t="str">
        <f>IFERROR(INDEX([2]Packages!E:E, MATCH(1, ([2]Packages!A:A=B894)*([2]Packages!B:B=C894), 0)) - SUMIFS(D$2:D894, B$2:B894, B894, C$2:C894, C894),"")</f>
        <v/>
      </c>
    </row>
    <row r="895" spans="4:11" x14ac:dyDescent="0.45">
      <c r="D895" t="str">
        <f>IFERROR(VLOOKUP(C895,'Clients List'!$A:$F,2,FALSE),"")</f>
        <v/>
      </c>
      <c r="F895" s="1" t="str">
        <f>IF(OR(C895="",NOT(ISNUMBER(SEARCH("Package",D895)))),"",VLOOKUP(C895,'Clients List'!$A:$F,4,FALSE)-SUMIFS($E$2:$E895,$C$2:$C895,C895,$D$2:$D895,"*Package*"))</f>
        <v/>
      </c>
      <c r="G895" t="str">
        <f t="shared" si="31"/>
        <v/>
      </c>
      <c r="H895" s="33">
        <f>IF(ISNUMBER(SEARCH("Group",D895)),IF(G895="",E895,IFERROR(E895/COUNTIF($G2:$G6000,G895),E895)),E895)</f>
        <v>0</v>
      </c>
      <c r="I895" s="1" t="str">
        <f>IFERROR(VLOOKUP(C895,'Clients List'!A:F,6,FALSE),"")</f>
        <v/>
      </c>
      <c r="K895" s="23" t="str">
        <f>IFERROR(INDEX([2]Packages!E:E, MATCH(1, ([2]Packages!A:A=B895)*([2]Packages!B:B=C895), 0)) - SUMIFS(D$2:D895, B$2:B895, B895, C$2:C895, C895),"")</f>
        <v/>
      </c>
    </row>
    <row r="896" spans="4:11" x14ac:dyDescent="0.45">
      <c r="D896" t="str">
        <f>IFERROR(VLOOKUP(C896,'Clients List'!$A:$F,2,FALSE),"")</f>
        <v/>
      </c>
      <c r="F896" s="1" t="str">
        <f>IF(OR(C896="",NOT(ISNUMBER(SEARCH("Package",D896)))),"",VLOOKUP(C896,'Clients List'!$A:$F,4,FALSE)-SUMIFS($E$2:$E896,$C$2:$C896,C896,$D$2:$D896,"*Package*"))</f>
        <v/>
      </c>
      <c r="G896" t="str">
        <f t="shared" si="31"/>
        <v/>
      </c>
      <c r="H896" s="33">
        <f>IF(ISNUMBER(SEARCH("Group",D896)),IF(G896="",E896,IFERROR(E896/COUNTIF($G2:$G6000,G896),E896)),E896)</f>
        <v>0</v>
      </c>
      <c r="I896" s="1" t="str">
        <f>IFERROR(VLOOKUP(C896,'Clients List'!A:F,6,FALSE),"")</f>
        <v/>
      </c>
      <c r="K896" s="23" t="str">
        <f>IFERROR(INDEX([2]Packages!E:E, MATCH(1, ([2]Packages!A:A=B896)*([2]Packages!B:B=C896), 0)) - SUMIFS(D$2:D896, B$2:B896, B896, C$2:C896, C896),"")</f>
        <v/>
      </c>
    </row>
    <row r="897" spans="4:11" x14ac:dyDescent="0.45">
      <c r="D897" t="str">
        <f>IFERROR(VLOOKUP(C897,'Clients List'!$A:$F,2,FALSE),"")</f>
        <v/>
      </c>
      <c r="F897" s="1" t="str">
        <f>IF(OR(C897="",NOT(ISNUMBER(SEARCH("Package",D897)))),"",VLOOKUP(C897,'Clients List'!$A:$F,4,FALSE)-SUMIFS($E$2:$E897,$C$2:$C897,C897,$D$2:$D897,"*Package*"))</f>
        <v/>
      </c>
      <c r="G897" t="str">
        <f t="shared" si="31"/>
        <v/>
      </c>
      <c r="H897" s="33">
        <f>IF(ISNUMBER(SEARCH("Group",D897)),IF(G897="",E897,IFERROR(E897/COUNTIF($G2:$G6000,G897),E897)),E897)</f>
        <v>0</v>
      </c>
      <c r="I897" s="1" t="str">
        <f>IFERROR(VLOOKUP(C897,'Clients List'!A:F,6,FALSE),"")</f>
        <v/>
      </c>
      <c r="K897" s="23" t="str">
        <f>IFERROR(INDEX([2]Packages!E:E, MATCH(1, ([2]Packages!A:A=B897)*([2]Packages!B:B=C897), 0)) - SUMIFS(D$2:D897, B$2:B897, B897, C$2:C897, C897),"")</f>
        <v/>
      </c>
    </row>
    <row r="898" spans="4:11" x14ac:dyDescent="0.45">
      <c r="D898" t="str">
        <f>IFERROR(VLOOKUP(C898,'Clients List'!$A:$F,2,FALSE),"")</f>
        <v/>
      </c>
      <c r="F898" s="1" t="str">
        <f>IF(OR(C898="",NOT(ISNUMBER(SEARCH("Package",D898)))),"",VLOOKUP(C898,'Clients List'!$A:$F,4,FALSE)-SUMIFS($E$2:$E898,$C$2:$C898,C898,$D$2:$D898,"*Package*"))</f>
        <v/>
      </c>
      <c r="G898" t="str">
        <f t="shared" si="31"/>
        <v/>
      </c>
      <c r="H898" s="33">
        <f>IF(ISNUMBER(SEARCH("Group",D898)),IF(G898="",E898,IFERROR(E898/COUNTIF($G2:$G6000,G898),E898)),E898)</f>
        <v>0</v>
      </c>
      <c r="I898" s="1" t="str">
        <f>IFERROR(VLOOKUP(C898,'Clients List'!A:F,6,FALSE),"")</f>
        <v/>
      </c>
      <c r="K898" s="23" t="str">
        <f>IFERROR(INDEX([2]Packages!E:E, MATCH(1, ([2]Packages!A:A=B898)*([2]Packages!B:B=C898), 0)) - SUMIFS(D$2:D898, B$2:B898, B898, C$2:C898, C898),"")</f>
        <v/>
      </c>
    </row>
    <row r="899" spans="4:11" x14ac:dyDescent="0.45">
      <c r="D899" t="str">
        <f>IFERROR(VLOOKUP(C899,'Clients List'!$A:$F,2,FALSE),"")</f>
        <v/>
      </c>
      <c r="F899" s="1" t="str">
        <f>IF(OR(C899="",NOT(ISNUMBER(SEARCH("Package",D899)))),"",VLOOKUP(C899,'Clients List'!$A:$F,4,FALSE)-SUMIFS($E$2:$E899,$C$2:$C899,C899,$D$2:$D899,"*Package*"))</f>
        <v/>
      </c>
      <c r="G899" t="str">
        <f t="shared" si="31"/>
        <v/>
      </c>
      <c r="H899" s="33">
        <f>IF(ISNUMBER(SEARCH("Group",D899)),IF(G899="",E899,IFERROR(E899/COUNTIF($G2:$G6000,G899),E899)),E899)</f>
        <v>0</v>
      </c>
      <c r="I899" s="1" t="str">
        <f>IFERROR(VLOOKUP(C899,'Clients List'!A:F,6,FALSE),"")</f>
        <v/>
      </c>
      <c r="K899" s="23" t="str">
        <f>IFERROR(INDEX([2]Packages!E:E, MATCH(1, ([2]Packages!A:A=B899)*([2]Packages!B:B=C899), 0)) - SUMIFS(D$2:D899, B$2:B899, B899, C$2:C899, C899),"")</f>
        <v/>
      </c>
    </row>
    <row r="900" spans="4:11" x14ac:dyDescent="0.45">
      <c r="D900" t="str">
        <f>IFERROR(VLOOKUP(C900,'Clients List'!$A:$F,2,FALSE),"")</f>
        <v/>
      </c>
      <c r="F900" s="1" t="str">
        <f>IF(OR(C900="",NOT(ISNUMBER(SEARCH("Package",D900)))),"",VLOOKUP(C900,'Clients List'!$A:$F,4,FALSE)-SUMIFS($E$2:$E900,$C$2:$C900,C900,$D$2:$D900,"*Package*"))</f>
        <v/>
      </c>
      <c r="G900" t="str">
        <f t="shared" si="31"/>
        <v/>
      </c>
      <c r="H900" s="33">
        <f>IF(ISNUMBER(SEARCH("Group",D900)),IF(G900="",E900,IFERROR(E900/COUNTIF($G2:$G6000,G900),E900)),E900)</f>
        <v>0</v>
      </c>
      <c r="I900" s="1" t="str">
        <f>IFERROR(VLOOKUP(C900,'Clients List'!A:F,6,FALSE),"")</f>
        <v/>
      </c>
      <c r="K900" s="23" t="str">
        <f>IFERROR(INDEX([2]Packages!E:E, MATCH(1, ([2]Packages!A:A=B900)*([2]Packages!B:B=C900), 0)) - SUMIFS(D$2:D900, B$2:B900, B900, C$2:C900, C900),"")</f>
        <v/>
      </c>
    </row>
    <row r="901" spans="4:11" x14ac:dyDescent="0.45">
      <c r="D901" t="str">
        <f>IFERROR(VLOOKUP(C901,'Clients List'!$A:$F,2,FALSE),"")</f>
        <v/>
      </c>
      <c r="F901" s="1" t="str">
        <f>IF(OR(C901="",NOT(ISNUMBER(SEARCH("Package",D901)))),"",VLOOKUP(C901,'Clients List'!$A:$F,4,FALSE)-SUMIFS($E$2:$E901,$C$2:$C901,C901,$D$2:$D901,"*Package*"))</f>
        <v/>
      </c>
      <c r="G901" t="str">
        <f t="shared" si="31"/>
        <v/>
      </c>
      <c r="H901" s="33">
        <f>IF(ISNUMBER(SEARCH("Group",D901)),IF(G901="",E901,IFERROR(E901/COUNTIF($G2:$G6000,G901),E901)),E901)</f>
        <v>0</v>
      </c>
      <c r="I901" s="1" t="str">
        <f>IFERROR(VLOOKUP(C901,'Clients List'!A:F,6,FALSE),"")</f>
        <v/>
      </c>
      <c r="K901" s="23" t="str">
        <f>IFERROR(INDEX([2]Packages!E:E, MATCH(1, ([2]Packages!A:A=B901)*([2]Packages!B:B=C901), 0)) - SUMIFS(D$2:D901, B$2:B901, B901, C$2:C901, C901),"")</f>
        <v/>
      </c>
    </row>
    <row r="902" spans="4:11" x14ac:dyDescent="0.45">
      <c r="D902" t="str">
        <f>IFERROR(VLOOKUP(C902,'Clients List'!$A:$F,2,FALSE),"")</f>
        <v/>
      </c>
      <c r="F902" s="1" t="str">
        <f>IF(OR(C902="",NOT(ISNUMBER(SEARCH("Package",D902)))),"",VLOOKUP(C902,'Clients List'!$A:$F,4,FALSE)-SUMIFS($E$2:$E902,$C$2:$C902,C902,$D$2:$D902,"*Package*"))</f>
        <v/>
      </c>
      <c r="G902" t="str">
        <f t="shared" si="31"/>
        <v/>
      </c>
      <c r="H902" s="33">
        <f>IF(ISNUMBER(SEARCH("Group",D902)),IF(G902="",E902,IFERROR(E902/COUNTIF($G2:$G6000,G902),E902)),E902)</f>
        <v>0</v>
      </c>
      <c r="I902" s="1" t="str">
        <f>IFERROR(VLOOKUP(C902,'Clients List'!A:F,6,FALSE),"")</f>
        <v/>
      </c>
      <c r="K902" s="23" t="str">
        <f>IFERROR(INDEX([2]Packages!E:E, MATCH(1, ([2]Packages!A:A=B902)*([2]Packages!B:B=C902), 0)) - SUMIFS(D$2:D902, B$2:B902, B902, C$2:C902, C902),"")</f>
        <v/>
      </c>
    </row>
    <row r="903" spans="4:11" x14ac:dyDescent="0.45">
      <c r="D903" t="str">
        <f>IFERROR(VLOOKUP(C903,'Clients List'!$A:$F,2,FALSE),"")</f>
        <v/>
      </c>
      <c r="F903" s="1" t="str">
        <f>IF(OR(C903="",NOT(ISNUMBER(SEARCH("Package",D903)))),"",VLOOKUP(C903,'Clients List'!$A:$F,4,FALSE)-SUMIFS($E$2:$E903,$C$2:$C903,C903,$D$2:$D903,"*Package*"))</f>
        <v/>
      </c>
      <c r="G903" t="str">
        <f t="shared" si="31"/>
        <v/>
      </c>
      <c r="H903" s="33">
        <f>IF(ISNUMBER(SEARCH("Group",D903)),IF(G903="",E903,IFERROR(E903/COUNTIF($G2:$G6000,G903),E903)),E903)</f>
        <v>0</v>
      </c>
      <c r="I903" s="1" t="str">
        <f>IFERROR(VLOOKUP(C903,'Clients List'!A:F,6,FALSE),"")</f>
        <v/>
      </c>
      <c r="K903" s="23" t="str">
        <f>IFERROR(INDEX([2]Packages!E:E, MATCH(1, ([2]Packages!A:A=B903)*([2]Packages!B:B=C903), 0)) - SUMIFS(D$2:D903, B$2:B903, B903, C$2:C903, C903),"")</f>
        <v/>
      </c>
    </row>
    <row r="904" spans="4:11" x14ac:dyDescent="0.45">
      <c r="D904" t="str">
        <f>IFERROR(VLOOKUP(C904,'Clients List'!$A:$F,2,FALSE),"")</f>
        <v/>
      </c>
      <c r="F904" s="1" t="str">
        <f>IF(OR(C904="",NOT(ISNUMBER(SEARCH("Package",D904)))),"",VLOOKUP(C904,'Clients List'!$A:$F,4,FALSE)-SUMIFS($E$2:$E904,$C$2:$C904,C904,$D$2:$D904,"*Package*"))</f>
        <v/>
      </c>
      <c r="G904" t="str">
        <f t="shared" si="31"/>
        <v/>
      </c>
      <c r="H904" s="33">
        <f>IF(ISNUMBER(SEARCH("Group",D904)),IF(G904="",E904,IFERROR(E904/COUNTIF($G2:$G6000,G904),E904)),E904)</f>
        <v>0</v>
      </c>
      <c r="I904" s="1" t="str">
        <f>IFERROR(VLOOKUP(C904,'Clients List'!A:F,6,FALSE),"")</f>
        <v/>
      </c>
      <c r="K904" s="23" t="str">
        <f>IFERROR(INDEX([2]Packages!E:E, MATCH(1, ([2]Packages!A:A=B904)*([2]Packages!B:B=C904), 0)) - SUMIFS(D$2:D904, B$2:B904, B904, C$2:C904, C904),"")</f>
        <v/>
      </c>
    </row>
    <row r="905" spans="4:11" x14ac:dyDescent="0.45">
      <c r="D905" t="str">
        <f>IFERROR(VLOOKUP(C905,'Clients List'!$A:$F,2,FALSE),"")</f>
        <v/>
      </c>
      <c r="F905" s="1" t="str">
        <f>IF(OR(C905="",NOT(ISNUMBER(SEARCH("Package",D905)))),"",VLOOKUP(C905,'Clients List'!$A:$F,4,FALSE)-SUMIFS($E$2:$E905,$C$2:$C905,C905,$D$2:$D905,"*Package*"))</f>
        <v/>
      </c>
      <c r="G905" t="str">
        <f t="shared" si="31"/>
        <v/>
      </c>
      <c r="H905" s="33">
        <f>IF(ISNUMBER(SEARCH("Group",D905)),IF(G905="",E905,IFERROR(E905/COUNTIF($G2:$G6000,G905),E905)),E905)</f>
        <v>0</v>
      </c>
      <c r="I905" s="1" t="str">
        <f>IFERROR(VLOOKUP(C905,'Clients List'!A:F,6,FALSE),"")</f>
        <v/>
      </c>
      <c r="K905" s="23" t="str">
        <f>IFERROR(INDEX([2]Packages!E:E, MATCH(1, ([2]Packages!A:A=B905)*([2]Packages!B:B=C905), 0)) - SUMIFS(D$2:D905, B$2:B905, B905, C$2:C905, C905),"")</f>
        <v/>
      </c>
    </row>
    <row r="906" spans="4:11" x14ac:dyDescent="0.45">
      <c r="D906" t="str">
        <f>IFERROR(VLOOKUP(C906,'Clients List'!$A:$F,2,FALSE),"")</f>
        <v/>
      </c>
      <c r="F906" s="1" t="str">
        <f>IF(OR(C906="",NOT(ISNUMBER(SEARCH("Package",D906)))),"",VLOOKUP(C906,'Clients List'!$A:$F,4,FALSE)-SUMIFS($E$2:$E906,$C$2:$C906,C906,$D$2:$D906,"*Package*"))</f>
        <v/>
      </c>
      <c r="G906" t="str">
        <f t="shared" si="31"/>
        <v/>
      </c>
      <c r="H906" s="33">
        <f>IF(ISNUMBER(SEARCH("Group",D906)),IF(G906="",E906,IFERROR(E906/COUNTIF($G2:$G6000,G906),E906)),E906)</f>
        <v>0</v>
      </c>
      <c r="I906" s="1" t="str">
        <f>IFERROR(VLOOKUP(C906,'Clients List'!A:F,6,FALSE),"")</f>
        <v/>
      </c>
      <c r="K906" s="23" t="str">
        <f>IFERROR(INDEX([2]Packages!E:E, MATCH(1, ([2]Packages!A:A=B906)*([2]Packages!B:B=C906), 0)) - SUMIFS(D$2:D906, B$2:B906, B906, C$2:C906, C906),"")</f>
        <v/>
      </c>
    </row>
    <row r="907" spans="4:11" x14ac:dyDescent="0.45">
      <c r="D907" t="str">
        <f>IFERROR(VLOOKUP(C907,'Clients List'!$A:$F,2,FALSE),"")</f>
        <v/>
      </c>
      <c r="F907" s="1" t="str">
        <f>IF(OR(C907="",NOT(ISNUMBER(SEARCH("Package",D907)))),"",VLOOKUP(C907,'Clients List'!$A:$F,4,FALSE)-SUMIFS($E$2:$E907,$C$2:$C907,C907,$D$2:$D907,"*Package*"))</f>
        <v/>
      </c>
      <c r="G907" t="str">
        <f t="shared" si="31"/>
        <v/>
      </c>
      <c r="H907" s="33">
        <f>IF(ISNUMBER(SEARCH("Group",D907)),IF(G907="",E907,IFERROR(E907/COUNTIF($G2:$G6000,G907),E907)),E907)</f>
        <v>0</v>
      </c>
      <c r="I907" s="1" t="str">
        <f>IFERROR(VLOOKUP(C907,'Clients List'!A:F,6,FALSE),"")</f>
        <v/>
      </c>
      <c r="K907" s="23" t="str">
        <f>IFERROR(INDEX([2]Packages!E:E, MATCH(1, ([2]Packages!A:A=B907)*([2]Packages!B:B=C907), 0)) - SUMIFS(D$2:D907, B$2:B907, B907, C$2:C907, C907),"")</f>
        <v/>
      </c>
    </row>
    <row r="908" spans="4:11" x14ac:dyDescent="0.45">
      <c r="D908" t="str">
        <f>IFERROR(VLOOKUP(C908,'Clients List'!$A:$F,2,FALSE),"")</f>
        <v/>
      </c>
      <c r="F908" s="1" t="str">
        <f>IF(OR(C908="",NOT(ISNUMBER(SEARCH("Package",D908)))),"",VLOOKUP(C908,'Clients List'!$A:$F,4,FALSE)-SUMIFS($E$2:$E908,$C$2:$C908,C908,$D$2:$D908,"*Package*"))</f>
        <v/>
      </c>
      <c r="G908" t="str">
        <f t="shared" si="31"/>
        <v/>
      </c>
      <c r="H908" s="33">
        <f>IF(ISNUMBER(SEARCH("Group",D908)),IF(G908="",E908,IFERROR(E908/COUNTIF($G2:$G6000,G908),E908)),E908)</f>
        <v>0</v>
      </c>
      <c r="I908" s="1" t="str">
        <f>IFERROR(VLOOKUP(C908,'Clients List'!A:F,6,FALSE),"")</f>
        <v/>
      </c>
      <c r="K908" s="23" t="str">
        <f>IFERROR(INDEX([2]Packages!E:E, MATCH(1, ([2]Packages!A:A=B908)*([2]Packages!B:B=C908), 0)) - SUMIFS(D$2:D908, B$2:B908, B908, C$2:C908, C908),"")</f>
        <v/>
      </c>
    </row>
    <row r="909" spans="4:11" x14ac:dyDescent="0.45">
      <c r="D909" t="str">
        <f>IFERROR(VLOOKUP(C909,'Clients List'!$A:$F,2,FALSE),"")</f>
        <v/>
      </c>
      <c r="F909" s="1" t="str">
        <f>IF(OR(C909="",NOT(ISNUMBER(SEARCH("Package",D909)))),"",VLOOKUP(C909,'Clients List'!$A:$F,4,FALSE)-SUMIFS($E$2:$E909,$C$2:$C909,C909,$D$2:$D909,"*Package*"))</f>
        <v/>
      </c>
      <c r="G909" t="str">
        <f t="shared" si="31"/>
        <v/>
      </c>
      <c r="H909" s="33">
        <f>IF(ISNUMBER(SEARCH("Group",D909)),IF(G909="",E909,IFERROR(E909/COUNTIF($G2:$G6000,G909),E909)),E909)</f>
        <v>0</v>
      </c>
      <c r="I909" s="1" t="str">
        <f>IFERROR(VLOOKUP(C909,'Clients List'!A:F,6,FALSE),"")</f>
        <v/>
      </c>
      <c r="K909" s="23" t="str">
        <f>IFERROR(INDEX([2]Packages!E:E, MATCH(1, ([2]Packages!A:A=B909)*([2]Packages!B:B=C909), 0)) - SUMIFS(D$2:D909, B$2:B909, B909, C$2:C909, C909),"")</f>
        <v/>
      </c>
    </row>
    <row r="910" spans="4:11" x14ac:dyDescent="0.45">
      <c r="D910" t="str">
        <f>IFERROR(VLOOKUP(C910,'Clients List'!$A:$F,2,FALSE),"")</f>
        <v/>
      </c>
      <c r="F910" s="1" t="str">
        <f>IF(OR(C910="",NOT(ISNUMBER(SEARCH("Package",D910)))),"",VLOOKUP(C910,'Clients List'!$A:$F,4,FALSE)-SUMIFS($E$2:$E910,$C$2:$C910,C910,$D$2:$D910,"*Package*"))</f>
        <v/>
      </c>
      <c r="G910" t="str">
        <f t="shared" si="31"/>
        <v/>
      </c>
      <c r="H910" s="33">
        <f>IF(ISNUMBER(SEARCH("Group",D910)),IF(G910="",E910,IFERROR(E910/COUNTIF($G2:$G6000,G910),E910)),E910)</f>
        <v>0</v>
      </c>
      <c r="I910" s="1" t="str">
        <f>IFERROR(VLOOKUP(C910,'Clients List'!A:F,6,FALSE),"")</f>
        <v/>
      </c>
      <c r="K910" s="23" t="str">
        <f>IFERROR(INDEX([2]Packages!E:E, MATCH(1, ([2]Packages!A:A=B910)*([2]Packages!B:B=C910), 0)) - SUMIFS(D$2:D910, B$2:B910, B910, C$2:C910, C910),"")</f>
        <v/>
      </c>
    </row>
    <row r="911" spans="4:11" x14ac:dyDescent="0.45">
      <c r="D911" t="str">
        <f>IFERROR(VLOOKUP(C911,'Clients List'!$A:$F,2,FALSE),"")</f>
        <v/>
      </c>
      <c r="F911" s="1" t="str">
        <f>IF(OR(C911="",NOT(ISNUMBER(SEARCH("Package",D911)))),"",VLOOKUP(C911,'Clients List'!$A:$F,4,FALSE)-SUMIFS($E$2:$E911,$C$2:$C911,C911,$D$2:$D911,"*Package*"))</f>
        <v/>
      </c>
      <c r="G911" t="str">
        <f t="shared" si="31"/>
        <v/>
      </c>
      <c r="H911" s="33">
        <f>IF(ISNUMBER(SEARCH("Group",D911)),IF(G911="",E911,IFERROR(E911/COUNTIF($G2:$G6000,G911),E911)),E911)</f>
        <v>0</v>
      </c>
      <c r="I911" s="1" t="str">
        <f>IFERROR(VLOOKUP(C911,'Clients List'!A:F,6,FALSE),"")</f>
        <v/>
      </c>
      <c r="K911" s="23" t="str">
        <f>IFERROR(INDEX([2]Packages!E:E, MATCH(1, ([2]Packages!A:A=B911)*([2]Packages!B:B=C911), 0)) - SUMIFS(D$2:D911, B$2:B911, B911, C$2:C911, C911),"")</f>
        <v/>
      </c>
    </row>
    <row r="912" spans="4:11" x14ac:dyDescent="0.45">
      <c r="D912" t="str">
        <f>IFERROR(VLOOKUP(C912,'Clients List'!$A:$F,2,FALSE),"")</f>
        <v/>
      </c>
      <c r="F912" s="1" t="str">
        <f>IF(OR(C912="",NOT(ISNUMBER(SEARCH("Package",D912)))),"",VLOOKUP(C912,'Clients List'!$A:$F,4,FALSE)-SUMIFS($E$2:$E912,$C$2:$C912,C912,$D$2:$D912,"*Package*"))</f>
        <v/>
      </c>
      <c r="G912" t="str">
        <f t="shared" si="31"/>
        <v/>
      </c>
      <c r="H912" s="33">
        <f>IF(ISNUMBER(SEARCH("Group",D912)),IF(G912="",E912,IFERROR(E912/COUNTIF($G2:$G6000,G912),E912)),E912)</f>
        <v>0</v>
      </c>
      <c r="I912" s="1" t="str">
        <f>IFERROR(VLOOKUP(C912,'Clients List'!A:F,6,FALSE),"")</f>
        <v/>
      </c>
      <c r="K912" s="23" t="str">
        <f>IFERROR(INDEX([2]Packages!E:E, MATCH(1, ([2]Packages!A:A=B912)*([2]Packages!B:B=C912), 0)) - SUMIFS(D$2:D912, B$2:B912, B912, C$2:C912, C912),"")</f>
        <v/>
      </c>
    </row>
    <row r="913" spans="4:11" x14ac:dyDescent="0.45">
      <c r="D913" t="str">
        <f>IFERROR(VLOOKUP(C913,'Clients List'!$A:$F,2,FALSE),"")</f>
        <v/>
      </c>
      <c r="F913" s="1" t="str">
        <f>IF(OR(C913="",NOT(ISNUMBER(SEARCH("Package",D913)))),"",VLOOKUP(C913,'Clients List'!$A:$F,4,FALSE)-SUMIFS($E$2:$E913,$C$2:$C913,C913,$D$2:$D913,"*Package*"))</f>
        <v/>
      </c>
      <c r="G913" t="str">
        <f t="shared" si="31"/>
        <v/>
      </c>
      <c r="H913" s="33">
        <f>IF(ISNUMBER(SEARCH("Group",D913)),IF(G913="",E913,IFERROR(E913/COUNTIF($G2:$G6000,G913),E913)),E913)</f>
        <v>0</v>
      </c>
      <c r="I913" s="1" t="str">
        <f>IFERROR(VLOOKUP(C913,'Clients List'!A:F,6,FALSE),"")</f>
        <v/>
      </c>
      <c r="K913" s="23" t="str">
        <f>IFERROR(INDEX([2]Packages!E:E, MATCH(1, ([2]Packages!A:A=B913)*([2]Packages!B:B=C913), 0)) - SUMIFS(D$2:D913, B$2:B913, B913, C$2:C913, C913),"")</f>
        <v/>
      </c>
    </row>
    <row r="914" spans="4:11" x14ac:dyDescent="0.45">
      <c r="D914" t="str">
        <f>IFERROR(VLOOKUP(C914,'Clients List'!$A:$F,2,FALSE),"")</f>
        <v/>
      </c>
      <c r="F914" s="1" t="str">
        <f>IF(OR(C914="",NOT(ISNUMBER(SEARCH("Package",D914)))),"",VLOOKUP(C914,'Clients List'!$A:$F,4,FALSE)-SUMIFS($E$2:$E914,$C$2:$C914,C914,$D$2:$D914,"*Package*"))</f>
        <v/>
      </c>
      <c r="G914" t="str">
        <f t="shared" si="31"/>
        <v/>
      </c>
      <c r="H914" s="33">
        <f>IF(ISNUMBER(SEARCH("Group",D914)),IF(G914="",E914,IFERROR(E914/COUNTIF($G2:$G6000,G914),E914)),E914)</f>
        <v>0</v>
      </c>
      <c r="I914" s="1" t="str">
        <f>IFERROR(VLOOKUP(C914,'Clients List'!A:F,6,FALSE),"")</f>
        <v/>
      </c>
      <c r="K914" s="23" t="str">
        <f>IFERROR(INDEX([2]Packages!E:E, MATCH(1, ([2]Packages!A:A=B914)*([2]Packages!B:B=C914), 0)) - SUMIFS(D$2:D914, B$2:B914, B914, C$2:C914, C914),"")</f>
        <v/>
      </c>
    </row>
    <row r="915" spans="4:11" x14ac:dyDescent="0.45">
      <c r="D915" t="str">
        <f>IFERROR(VLOOKUP(C915,'Clients List'!$A:$F,2,FALSE),"")</f>
        <v/>
      </c>
      <c r="F915" s="1" t="str">
        <f>IF(OR(C915="",NOT(ISNUMBER(SEARCH("Package",D915)))),"",VLOOKUP(C915,'Clients List'!$A:$F,4,FALSE)-SUMIFS($E$2:$E915,$C$2:$C915,C915,$D$2:$D915,"*Package*"))</f>
        <v/>
      </c>
      <c r="G915" t="str">
        <f t="shared" si="31"/>
        <v/>
      </c>
      <c r="H915" s="33">
        <f>IF(ISNUMBER(SEARCH("Group",D915)),IF(G915="",E915,IFERROR(E915/COUNTIF($G2:$G6000,G915),E915)),E915)</f>
        <v>0</v>
      </c>
      <c r="I915" s="1" t="str">
        <f>IFERROR(VLOOKUP(C915,'Clients List'!A:F,6,FALSE),"")</f>
        <v/>
      </c>
      <c r="K915" s="23" t="str">
        <f>IFERROR(INDEX([2]Packages!E:E, MATCH(1, ([2]Packages!A:A=B915)*([2]Packages!B:B=C915), 0)) - SUMIFS(D$2:D915, B$2:B915, B915, C$2:C915, C915),"")</f>
        <v/>
      </c>
    </row>
    <row r="916" spans="4:11" x14ac:dyDescent="0.45">
      <c r="D916" t="str">
        <f>IFERROR(VLOOKUP(C916,'Clients List'!$A:$F,2,FALSE),"")</f>
        <v/>
      </c>
      <c r="F916" s="1" t="str">
        <f>IF(OR(C916="",NOT(ISNUMBER(SEARCH("Package",D916)))),"",VLOOKUP(C916,'Clients List'!$A:$F,4,FALSE)-SUMIFS($E$2:$E916,$C$2:$C916,C916,$D$2:$D916,"*Package*"))</f>
        <v/>
      </c>
      <c r="G916" t="str">
        <f t="shared" si="31"/>
        <v/>
      </c>
      <c r="H916" s="33">
        <f>IF(ISNUMBER(SEARCH("Group",D916)),IF(G916="",E916,IFERROR(E916/COUNTIF($G2:$G6000,G916),E916)),E916)</f>
        <v>0</v>
      </c>
      <c r="I916" s="1" t="str">
        <f>IFERROR(VLOOKUP(C916,'Clients List'!A:F,6,FALSE),"")</f>
        <v/>
      </c>
      <c r="K916" s="23" t="str">
        <f>IFERROR(INDEX([2]Packages!E:E, MATCH(1, ([2]Packages!A:A=B916)*([2]Packages!B:B=C916), 0)) - SUMIFS(D$2:D916, B$2:B916, B916, C$2:C916, C916),"")</f>
        <v/>
      </c>
    </row>
    <row r="917" spans="4:11" x14ac:dyDescent="0.45">
      <c r="D917" t="str">
        <f>IFERROR(VLOOKUP(C917,'Clients List'!$A:$F,2,FALSE),"")</f>
        <v/>
      </c>
      <c r="F917" s="1" t="str">
        <f>IF(OR(C917="",NOT(ISNUMBER(SEARCH("Package",D917)))),"",VLOOKUP(C917,'Clients List'!$A:$F,4,FALSE)-SUMIFS($E$2:$E917,$C$2:$C917,C917,$D$2:$D917,"*Package*"))</f>
        <v/>
      </c>
      <c r="G917" t="str">
        <f t="shared" si="31"/>
        <v/>
      </c>
      <c r="H917" s="33">
        <f>IF(ISNUMBER(SEARCH("Group",D917)),IF(G917="",E917,IFERROR(E917/COUNTIF($G2:$G6000,G917),E917)),E917)</f>
        <v>0</v>
      </c>
      <c r="I917" s="1" t="str">
        <f>IFERROR(VLOOKUP(C917,'Clients List'!A:F,6,FALSE),"")</f>
        <v/>
      </c>
      <c r="K917" s="23" t="str">
        <f>IFERROR(INDEX([2]Packages!E:E, MATCH(1, ([2]Packages!A:A=B917)*([2]Packages!B:B=C917), 0)) - SUMIFS(D$2:D917, B$2:B917, B917, C$2:C917, C917),"")</f>
        <v/>
      </c>
    </row>
    <row r="918" spans="4:11" x14ac:dyDescent="0.45">
      <c r="D918" t="str">
        <f>IFERROR(VLOOKUP(C918,'Clients List'!$A:$F,2,FALSE),"")</f>
        <v/>
      </c>
      <c r="F918" s="1" t="str">
        <f>IF(OR(C918="",NOT(ISNUMBER(SEARCH("Package",D918)))),"",VLOOKUP(C918,'Clients List'!$A:$F,4,FALSE)-SUMIFS($E$2:$E918,$C$2:$C918,C918,$D$2:$D918,"*Package*"))</f>
        <v/>
      </c>
      <c r="G918" t="str">
        <f t="shared" si="31"/>
        <v/>
      </c>
      <c r="H918" s="33">
        <f>IF(ISNUMBER(SEARCH("Group",D918)),IF(G918="",E918,IFERROR(E918/COUNTIF($G2:$G6000,G918),E918)),E918)</f>
        <v>0</v>
      </c>
      <c r="I918" s="1" t="str">
        <f>IFERROR(VLOOKUP(C918,'Clients List'!A:F,6,FALSE),"")</f>
        <v/>
      </c>
      <c r="K918" s="23" t="str">
        <f>IFERROR(INDEX([2]Packages!E:E, MATCH(1, ([2]Packages!A:A=B918)*([2]Packages!B:B=C918), 0)) - SUMIFS(D$2:D918, B$2:B918, B918, C$2:C918, C918),"")</f>
        <v/>
      </c>
    </row>
    <row r="919" spans="4:11" x14ac:dyDescent="0.45">
      <c r="D919" t="str">
        <f>IFERROR(VLOOKUP(C919,'Clients List'!$A:$F,2,FALSE),"")</f>
        <v/>
      </c>
      <c r="F919" s="1" t="str">
        <f>IF(OR(C919="",NOT(ISNUMBER(SEARCH("Package",D919)))),"",VLOOKUP(C919,'Clients List'!$A:$F,4,FALSE)-SUMIFS($E$2:$E919,$C$2:$C919,C919,$D$2:$D919,"*Package*"))</f>
        <v/>
      </c>
      <c r="G919" t="str">
        <f t="shared" si="31"/>
        <v/>
      </c>
      <c r="H919" s="33">
        <f>IF(ISNUMBER(SEARCH("Group",D919)),IF(G919="",E919,IFERROR(E919/COUNTIF($G2:$G6000,G919),E919)),E919)</f>
        <v>0</v>
      </c>
      <c r="I919" s="1" t="str">
        <f>IFERROR(VLOOKUP(C919,'Clients List'!A:F,6,FALSE),"")</f>
        <v/>
      </c>
      <c r="K919" s="23" t="str">
        <f>IFERROR(INDEX([2]Packages!E:E, MATCH(1, ([2]Packages!A:A=B919)*([2]Packages!B:B=C919), 0)) - SUMIFS(D$2:D919, B$2:B919, B919, C$2:C919, C919),"")</f>
        <v/>
      </c>
    </row>
    <row r="920" spans="4:11" x14ac:dyDescent="0.45">
      <c r="D920" t="str">
        <f>IFERROR(VLOOKUP(C920,'Clients List'!$A:$F,2,FALSE),"")</f>
        <v/>
      </c>
      <c r="F920" s="1" t="str">
        <f>IF(OR(C920="",NOT(ISNUMBER(SEARCH("Package",D920)))),"",VLOOKUP(C920,'Clients List'!$A:$F,4,FALSE)-SUMIFS($E$2:$E920,$C$2:$C920,C920,$D$2:$D920,"*Package*"))</f>
        <v/>
      </c>
      <c r="G920" t="str">
        <f t="shared" si="31"/>
        <v/>
      </c>
      <c r="H920" s="33">
        <f>IF(ISNUMBER(SEARCH("Group",D920)),IF(G920="",E920,IFERROR(E920/COUNTIF($G2:$G6000,G920),E920)),E920)</f>
        <v>0</v>
      </c>
      <c r="I920" s="1" t="str">
        <f>IFERROR(VLOOKUP(C920,'Clients List'!A:F,6,FALSE),"")</f>
        <v/>
      </c>
      <c r="K920" s="23" t="str">
        <f>IFERROR(INDEX([2]Packages!E:E, MATCH(1, ([2]Packages!A:A=B920)*([2]Packages!B:B=C920), 0)) - SUMIFS(D$2:D920, B$2:B920, B920, C$2:C920, C920),"")</f>
        <v/>
      </c>
    </row>
    <row r="921" spans="4:11" x14ac:dyDescent="0.45">
      <c r="D921" t="str">
        <f>IFERROR(VLOOKUP(C921,'Clients List'!$A:$F,2,FALSE),"")</f>
        <v/>
      </c>
      <c r="F921" s="1" t="str">
        <f>IF(OR(C921="",NOT(ISNUMBER(SEARCH("Package",D921)))),"",VLOOKUP(C921,'Clients List'!$A:$F,4,FALSE)-SUMIFS($E$2:$E921,$C$2:$C921,C921,$D$2:$D921,"*Package*"))</f>
        <v/>
      </c>
      <c r="G921" t="str">
        <f t="shared" si="31"/>
        <v/>
      </c>
      <c r="H921" s="33">
        <f>IF(ISNUMBER(SEARCH("Group",D921)),IF(G921="",E921,IFERROR(E921/COUNTIF($G2:$G6000,G921),E921)),E921)</f>
        <v>0</v>
      </c>
      <c r="I921" s="1" t="str">
        <f>IFERROR(VLOOKUP(C921,'Clients List'!A:F,6,FALSE),"")</f>
        <v/>
      </c>
      <c r="K921" s="23" t="str">
        <f>IFERROR(INDEX([2]Packages!E:E, MATCH(1, ([2]Packages!A:A=B921)*([2]Packages!B:B=C921), 0)) - SUMIFS(D$2:D921, B$2:B921, B921, C$2:C921, C921),"")</f>
        <v/>
      </c>
    </row>
    <row r="922" spans="4:11" x14ac:dyDescent="0.45">
      <c r="D922" t="str">
        <f>IFERROR(VLOOKUP(C922,'Clients List'!$A:$F,2,FALSE),"")</f>
        <v/>
      </c>
      <c r="F922" s="1" t="str">
        <f>IF(OR(C922="",NOT(ISNUMBER(SEARCH("Package",D922)))),"",VLOOKUP(C922,'Clients List'!$A:$F,4,FALSE)-SUMIFS($E$2:$E922,$C$2:$C922,C922,$D$2:$D922,"*Package*"))</f>
        <v/>
      </c>
      <c r="G922" t="str">
        <f t="shared" si="31"/>
        <v/>
      </c>
      <c r="H922" s="33">
        <f>IF(ISNUMBER(SEARCH("Group",D922)),IF(G922="",E922,IFERROR(E922/COUNTIF($G2:$G6000,G922),E922)),E922)</f>
        <v>0</v>
      </c>
      <c r="I922" s="1" t="str">
        <f>IFERROR(VLOOKUP(C922,'Clients List'!A:F,6,FALSE),"")</f>
        <v/>
      </c>
      <c r="K922" s="23" t="str">
        <f>IFERROR(INDEX([2]Packages!E:E, MATCH(1, ([2]Packages!A:A=B922)*([2]Packages!B:B=C922), 0)) - SUMIFS(D$2:D922, B$2:B922, B922, C$2:C922, C922),"")</f>
        <v/>
      </c>
    </row>
    <row r="923" spans="4:11" x14ac:dyDescent="0.45">
      <c r="D923" t="str">
        <f>IFERROR(VLOOKUP(C923,'Clients List'!$A:$F,2,FALSE),"")</f>
        <v/>
      </c>
      <c r="F923" s="1" t="str">
        <f>IF(OR(C923="",NOT(ISNUMBER(SEARCH("Package",D923)))),"",VLOOKUP(C923,'Clients List'!$A:$F,4,FALSE)-SUMIFS($E$2:$E923,$C$2:$C923,C923,$D$2:$D923,"*Package*"))</f>
        <v/>
      </c>
      <c r="G923" t="str">
        <f t="shared" si="31"/>
        <v/>
      </c>
      <c r="H923" s="33">
        <f>IF(ISNUMBER(SEARCH("Group",D923)),IF(G923="",E923,IFERROR(E923/COUNTIF($G2:$G6000,G923),E923)),E923)</f>
        <v>0</v>
      </c>
      <c r="I923" s="1" t="str">
        <f>IFERROR(VLOOKUP(C923,'Clients List'!A:F,6,FALSE),"")</f>
        <v/>
      </c>
      <c r="K923" s="23" t="str">
        <f>IFERROR(INDEX([2]Packages!E:E, MATCH(1, ([2]Packages!A:A=B923)*([2]Packages!B:B=C923), 0)) - SUMIFS(D$2:D923, B$2:B923, B923, C$2:C923, C923),"")</f>
        <v/>
      </c>
    </row>
    <row r="924" spans="4:11" x14ac:dyDescent="0.45">
      <c r="D924" t="str">
        <f>IFERROR(VLOOKUP(C924,'Clients List'!$A:$F,2,FALSE),"")</f>
        <v/>
      </c>
      <c r="F924" s="1" t="str">
        <f>IF(OR(C924="",NOT(ISNUMBER(SEARCH("Package",D924)))),"",VLOOKUP(C924,'Clients List'!$A:$F,4,FALSE)-SUMIFS($E$2:$E924,$C$2:$C924,C924,$D$2:$D924,"*Package*"))</f>
        <v/>
      </c>
      <c r="G924" t="str">
        <f t="shared" si="31"/>
        <v/>
      </c>
      <c r="H924" s="33">
        <f>IF(ISNUMBER(SEARCH("Group",D924)),IF(G924="",E924,IFERROR(E924/COUNTIF($G2:$G6000,G924),E924)),E924)</f>
        <v>0</v>
      </c>
      <c r="I924" s="1" t="str">
        <f>IFERROR(VLOOKUP(C924,'Clients List'!A:F,6,FALSE),"")</f>
        <v/>
      </c>
      <c r="K924" s="23" t="str">
        <f>IFERROR(INDEX([2]Packages!E:E, MATCH(1, ([2]Packages!A:A=B924)*([2]Packages!B:B=C924), 0)) - SUMIFS(D$2:D924, B$2:B924, B924, C$2:C924, C924),"")</f>
        <v/>
      </c>
    </row>
    <row r="925" spans="4:11" x14ac:dyDescent="0.45">
      <c r="D925" t="str">
        <f>IFERROR(VLOOKUP(C925,'Clients List'!$A:$F,2,FALSE),"")</f>
        <v/>
      </c>
      <c r="F925" s="1" t="str">
        <f>IF(OR(C925="",NOT(ISNUMBER(SEARCH("Package",D925)))),"",VLOOKUP(C925,'Clients List'!$A:$F,4,FALSE)-SUMIFS($E$2:$E925,$C$2:$C925,C925,$D$2:$D925,"*Package*"))</f>
        <v/>
      </c>
      <c r="G925" t="str">
        <f t="shared" ref="G925:G956" si="32">IF(ISNUMBER(SEARCH("Group",D925)),IFERROR("GRP-"&amp;TEXT(IF(ISNUMBER(A925),A925,DATEVALUE(A925)),"yyyymmdd"),""),"" )</f>
        <v/>
      </c>
      <c r="H925" s="33">
        <f>IF(ISNUMBER(SEARCH("Group",D925)),IF(G925="",E925,IFERROR(E925/COUNTIF($G2:$G6000,G925),E925)),E925)</f>
        <v>0</v>
      </c>
      <c r="I925" s="1" t="str">
        <f>IFERROR(VLOOKUP(C925,'Clients List'!A:F,6,FALSE),"")</f>
        <v/>
      </c>
      <c r="K925" s="23" t="str">
        <f>IFERROR(INDEX([2]Packages!E:E, MATCH(1, ([2]Packages!A:A=B925)*([2]Packages!B:B=C925), 0)) - SUMIFS(D$2:D925, B$2:B925, B925, C$2:C925, C925),"")</f>
        <v/>
      </c>
    </row>
    <row r="926" spans="4:11" x14ac:dyDescent="0.45">
      <c r="D926" t="str">
        <f>IFERROR(VLOOKUP(C926,'Clients List'!$A:$F,2,FALSE),"")</f>
        <v/>
      </c>
      <c r="F926" s="1" t="str">
        <f>IF(OR(C926="",NOT(ISNUMBER(SEARCH("Package",D926)))),"",VLOOKUP(C926,'Clients List'!$A:$F,4,FALSE)-SUMIFS($E$2:$E926,$C$2:$C926,C926,$D$2:$D926,"*Package*"))</f>
        <v/>
      </c>
      <c r="G926" t="str">
        <f t="shared" si="32"/>
        <v/>
      </c>
      <c r="H926" s="33">
        <f>IF(ISNUMBER(SEARCH("Group",D926)),IF(G926="",E926,IFERROR(E926/COUNTIF($G2:$G6000,G926),E926)),E926)</f>
        <v>0</v>
      </c>
      <c r="I926" s="1" t="str">
        <f>IFERROR(VLOOKUP(C926,'Clients List'!A:F,6,FALSE),"")</f>
        <v/>
      </c>
      <c r="K926" s="23" t="str">
        <f>IFERROR(INDEX([2]Packages!E:E, MATCH(1, ([2]Packages!A:A=B926)*([2]Packages!B:B=C926), 0)) - SUMIFS(D$2:D926, B$2:B926, B926, C$2:C926, C926),"")</f>
        <v/>
      </c>
    </row>
    <row r="927" spans="4:11" x14ac:dyDescent="0.45">
      <c r="D927" t="str">
        <f>IFERROR(VLOOKUP(C927,'Clients List'!$A:$F,2,FALSE),"")</f>
        <v/>
      </c>
      <c r="F927" s="1" t="str">
        <f>IF(OR(C927="",NOT(ISNUMBER(SEARCH("Package",D927)))),"",VLOOKUP(C927,'Clients List'!$A:$F,4,FALSE)-SUMIFS($E$2:$E927,$C$2:$C927,C927,$D$2:$D927,"*Package*"))</f>
        <v/>
      </c>
      <c r="G927" t="str">
        <f t="shared" si="32"/>
        <v/>
      </c>
      <c r="H927" s="33">
        <f>IF(ISNUMBER(SEARCH("Group",D927)),IF(G927="",E927,IFERROR(E927/COUNTIF($G2:$G6000,G927),E927)),E927)</f>
        <v>0</v>
      </c>
      <c r="I927" s="1" t="str">
        <f>IFERROR(VLOOKUP(C927,'Clients List'!A:F,6,FALSE),"")</f>
        <v/>
      </c>
      <c r="K927" s="23" t="str">
        <f>IFERROR(INDEX([2]Packages!E:E, MATCH(1, ([2]Packages!A:A=B927)*([2]Packages!B:B=C927), 0)) - SUMIFS(D$2:D927, B$2:B927, B927, C$2:C927, C927),"")</f>
        <v/>
      </c>
    </row>
    <row r="928" spans="4:11" x14ac:dyDescent="0.45">
      <c r="D928" t="str">
        <f>IFERROR(VLOOKUP(C928,'Clients List'!$A:$F,2,FALSE),"")</f>
        <v/>
      </c>
      <c r="F928" s="1" t="str">
        <f>IF(OR(C928="",NOT(ISNUMBER(SEARCH("Package",D928)))),"",VLOOKUP(C928,'Clients List'!$A:$F,4,FALSE)-SUMIFS($E$2:$E928,$C$2:$C928,C928,$D$2:$D928,"*Package*"))</f>
        <v/>
      </c>
      <c r="G928" t="str">
        <f t="shared" si="32"/>
        <v/>
      </c>
      <c r="H928" s="33">
        <f>IF(ISNUMBER(SEARCH("Group",D928)),IF(G928="",E928,IFERROR(E928/COUNTIF($G2:$G6000,G928),E928)),E928)</f>
        <v>0</v>
      </c>
      <c r="I928" s="1" t="str">
        <f>IFERROR(VLOOKUP(C928,'Clients List'!A:F,6,FALSE),"")</f>
        <v/>
      </c>
      <c r="K928" s="23" t="str">
        <f>IFERROR(INDEX([2]Packages!E:E, MATCH(1, ([2]Packages!A:A=B928)*([2]Packages!B:B=C928), 0)) - SUMIFS(D$2:D928, B$2:B928, B928, C$2:C928, C928),"")</f>
        <v/>
      </c>
    </row>
    <row r="929" spans="4:11" x14ac:dyDescent="0.45">
      <c r="D929" t="str">
        <f>IFERROR(VLOOKUP(C929,'Clients List'!$A:$F,2,FALSE),"")</f>
        <v/>
      </c>
      <c r="F929" s="1" t="str">
        <f>IF(OR(C929="",NOT(ISNUMBER(SEARCH("Package",D929)))),"",VLOOKUP(C929,'Clients List'!$A:$F,4,FALSE)-SUMIFS($E$2:$E929,$C$2:$C929,C929,$D$2:$D929,"*Package*"))</f>
        <v/>
      </c>
      <c r="G929" t="str">
        <f t="shared" si="32"/>
        <v/>
      </c>
      <c r="H929" s="33">
        <f>IF(ISNUMBER(SEARCH("Group",D929)),IF(G929="",E929,IFERROR(E929/COUNTIF($G2:$G6000,G929),E929)),E929)</f>
        <v>0</v>
      </c>
      <c r="I929" s="1" t="str">
        <f>IFERROR(VLOOKUP(C929,'Clients List'!A:F,6,FALSE),"")</f>
        <v/>
      </c>
      <c r="K929" s="23" t="str">
        <f>IFERROR(INDEX([2]Packages!E:E, MATCH(1, ([2]Packages!A:A=B929)*([2]Packages!B:B=C929), 0)) - SUMIFS(D$2:D929, B$2:B929, B929, C$2:C929, C929),"")</f>
        <v/>
      </c>
    </row>
    <row r="930" spans="4:11" x14ac:dyDescent="0.45">
      <c r="D930" t="str">
        <f>IFERROR(VLOOKUP(C930,'Clients List'!$A:$F,2,FALSE),"")</f>
        <v/>
      </c>
      <c r="F930" s="1" t="str">
        <f>IF(OR(C930="",NOT(ISNUMBER(SEARCH("Package",D930)))),"",VLOOKUP(C930,'Clients List'!$A:$F,4,FALSE)-SUMIFS($E$2:$E930,$C$2:$C930,C930,$D$2:$D930,"*Package*"))</f>
        <v/>
      </c>
      <c r="G930" t="str">
        <f t="shared" si="32"/>
        <v/>
      </c>
      <c r="H930" s="33">
        <f>IF(ISNUMBER(SEARCH("Group",D930)),IF(G930="",E930,IFERROR(E930/COUNTIF($G2:$G6000,G930),E930)),E930)</f>
        <v>0</v>
      </c>
      <c r="I930" s="1" t="str">
        <f>IFERROR(VLOOKUP(C930,'Clients List'!A:F,6,FALSE),"")</f>
        <v/>
      </c>
      <c r="K930" s="23" t="str">
        <f>IFERROR(INDEX([2]Packages!E:E, MATCH(1, ([2]Packages!A:A=B930)*([2]Packages!B:B=C930), 0)) - SUMIFS(D$2:D930, B$2:B930, B930, C$2:C930, C930),"")</f>
        <v/>
      </c>
    </row>
    <row r="931" spans="4:11" x14ac:dyDescent="0.45">
      <c r="D931" t="str">
        <f>IFERROR(VLOOKUP(C931,'Clients List'!$A:$F,2,FALSE),"")</f>
        <v/>
      </c>
      <c r="F931" s="1" t="str">
        <f>IF(OR(C931="",NOT(ISNUMBER(SEARCH("Package",D931)))),"",VLOOKUP(C931,'Clients List'!$A:$F,4,FALSE)-SUMIFS($E$2:$E931,$C$2:$C931,C931,$D$2:$D931,"*Package*"))</f>
        <v/>
      </c>
      <c r="G931" t="str">
        <f t="shared" si="32"/>
        <v/>
      </c>
      <c r="H931" s="33">
        <f>IF(ISNUMBER(SEARCH("Group",D931)),IF(G931="",E931,IFERROR(E931/COUNTIF($G2:$G6000,G931),E931)),E931)</f>
        <v>0</v>
      </c>
      <c r="I931" s="1" t="str">
        <f>IFERROR(VLOOKUP(C931,'Clients List'!A:F,6,FALSE),"")</f>
        <v/>
      </c>
      <c r="K931" s="23" t="str">
        <f>IFERROR(INDEX([2]Packages!E:E, MATCH(1, ([2]Packages!A:A=B931)*([2]Packages!B:B=C931), 0)) - SUMIFS(D$2:D931, B$2:B931, B931, C$2:C931, C931),"")</f>
        <v/>
      </c>
    </row>
    <row r="932" spans="4:11" x14ac:dyDescent="0.45">
      <c r="D932" t="str">
        <f>IFERROR(VLOOKUP(C932,'Clients List'!$A:$F,2,FALSE),"")</f>
        <v/>
      </c>
      <c r="F932" s="1" t="str">
        <f>IF(OR(C932="",NOT(ISNUMBER(SEARCH("Package",D932)))),"",VLOOKUP(C932,'Clients List'!$A:$F,4,FALSE)-SUMIFS($E$2:$E932,$C$2:$C932,C932,$D$2:$D932,"*Package*"))</f>
        <v/>
      </c>
      <c r="G932" t="str">
        <f t="shared" si="32"/>
        <v/>
      </c>
      <c r="H932" s="33">
        <f>IF(ISNUMBER(SEARCH("Group",D932)),IF(G932="",E932,IFERROR(E932/COUNTIF($G2:$G6000,G932),E932)),E932)</f>
        <v>0</v>
      </c>
      <c r="I932" s="1" t="str">
        <f>IFERROR(VLOOKUP(C932,'Clients List'!A:F,6,FALSE),"")</f>
        <v/>
      </c>
      <c r="K932" s="23" t="str">
        <f>IFERROR(INDEX([2]Packages!E:E, MATCH(1, ([2]Packages!A:A=B932)*([2]Packages!B:B=C932), 0)) - SUMIFS(D$2:D932, B$2:B932, B932, C$2:C932, C932),"")</f>
        <v/>
      </c>
    </row>
    <row r="933" spans="4:11" x14ac:dyDescent="0.45">
      <c r="D933" t="str">
        <f>IFERROR(VLOOKUP(C933,'Clients List'!$A:$F,2,FALSE),"")</f>
        <v/>
      </c>
      <c r="F933" s="1" t="str">
        <f>IF(OR(C933="",NOT(ISNUMBER(SEARCH("Package",D933)))),"",VLOOKUP(C933,'Clients List'!$A:$F,4,FALSE)-SUMIFS($E$2:$E933,$C$2:$C933,C933,$D$2:$D933,"*Package*"))</f>
        <v/>
      </c>
      <c r="G933" t="str">
        <f t="shared" si="32"/>
        <v/>
      </c>
      <c r="H933" s="33">
        <f>IF(ISNUMBER(SEARCH("Group",D933)),IF(G933="",E933,IFERROR(E933/COUNTIF($G2:$G6000,G933),E933)),E933)</f>
        <v>0</v>
      </c>
      <c r="I933" s="1" t="str">
        <f>IFERROR(VLOOKUP(C933,'Clients List'!A:F,6,FALSE),"")</f>
        <v/>
      </c>
      <c r="K933" s="23" t="str">
        <f>IFERROR(INDEX([2]Packages!E:E, MATCH(1, ([2]Packages!A:A=B933)*([2]Packages!B:B=C933), 0)) - SUMIFS(D$2:D933, B$2:B933, B933, C$2:C933, C933),"")</f>
        <v/>
      </c>
    </row>
    <row r="934" spans="4:11" x14ac:dyDescent="0.45">
      <c r="D934" t="str">
        <f>IFERROR(VLOOKUP(C934,'Clients List'!$A:$F,2,FALSE),"")</f>
        <v/>
      </c>
      <c r="F934" s="1" t="str">
        <f>IF(OR(C934="",NOT(ISNUMBER(SEARCH("Package",D934)))),"",VLOOKUP(C934,'Clients List'!$A:$F,4,FALSE)-SUMIFS($E$2:$E934,$C$2:$C934,C934,$D$2:$D934,"*Package*"))</f>
        <v/>
      </c>
      <c r="G934" t="str">
        <f t="shared" si="32"/>
        <v/>
      </c>
      <c r="H934" s="33">
        <f>IF(ISNUMBER(SEARCH("Group",D934)),IF(G934="",E934,IFERROR(E934/COUNTIF($G2:$G6000,G934),E934)),E934)</f>
        <v>0</v>
      </c>
      <c r="I934" s="1" t="str">
        <f>IFERROR(VLOOKUP(C934,'Clients List'!A:F,6,FALSE),"")</f>
        <v/>
      </c>
      <c r="K934" s="23" t="str">
        <f>IFERROR(INDEX([2]Packages!E:E, MATCH(1, ([2]Packages!A:A=B934)*([2]Packages!B:B=C934), 0)) - SUMIFS(D$2:D934, B$2:B934, B934, C$2:C934, C934),"")</f>
        <v/>
      </c>
    </row>
    <row r="935" spans="4:11" x14ac:dyDescent="0.45">
      <c r="D935" t="str">
        <f>IFERROR(VLOOKUP(C935,'Clients List'!$A:$F,2,FALSE),"")</f>
        <v/>
      </c>
      <c r="F935" s="1" t="str">
        <f>IF(OR(C935="",NOT(ISNUMBER(SEARCH("Package",D935)))),"",VLOOKUP(C935,'Clients List'!$A:$F,4,FALSE)-SUMIFS($E$2:$E935,$C$2:$C935,C935,$D$2:$D935,"*Package*"))</f>
        <v/>
      </c>
      <c r="G935" t="str">
        <f t="shared" si="32"/>
        <v/>
      </c>
      <c r="H935" s="33">
        <f>IF(ISNUMBER(SEARCH("Group",D935)),IF(G935="",E935,IFERROR(E935/COUNTIF($G2:$G6000,G935),E935)),E935)</f>
        <v>0</v>
      </c>
      <c r="I935" s="1" t="str">
        <f>IFERROR(VLOOKUP(C935,'Clients List'!A:F,6,FALSE),"")</f>
        <v/>
      </c>
      <c r="K935" s="23" t="str">
        <f>IFERROR(INDEX([2]Packages!E:E, MATCH(1, ([2]Packages!A:A=B935)*([2]Packages!B:B=C935), 0)) - SUMIFS(D$2:D935, B$2:B935, B935, C$2:C935, C935),"")</f>
        <v/>
      </c>
    </row>
    <row r="936" spans="4:11" x14ac:dyDescent="0.45">
      <c r="D936" t="str">
        <f>IFERROR(VLOOKUP(C936,'Clients List'!$A:$F,2,FALSE),"")</f>
        <v/>
      </c>
      <c r="F936" s="1" t="str">
        <f>IF(OR(C936="",NOT(ISNUMBER(SEARCH("Package",D936)))),"",VLOOKUP(C936,'Clients List'!$A:$F,4,FALSE)-SUMIFS($E$2:$E936,$C$2:$C936,C936,$D$2:$D936,"*Package*"))</f>
        <v/>
      </c>
      <c r="G936" t="str">
        <f t="shared" si="32"/>
        <v/>
      </c>
      <c r="H936" s="33">
        <f>IF(ISNUMBER(SEARCH("Group",D936)),IF(G936="",E936,IFERROR(E936/COUNTIF($G2:$G6000,G936),E936)),E936)</f>
        <v>0</v>
      </c>
      <c r="I936" s="1" t="str">
        <f>IFERROR(VLOOKUP(C936,'Clients List'!A:F,6,FALSE),"")</f>
        <v/>
      </c>
      <c r="K936" s="23" t="str">
        <f>IFERROR(INDEX([2]Packages!E:E, MATCH(1, ([2]Packages!A:A=B936)*([2]Packages!B:B=C936), 0)) - SUMIFS(D$2:D936, B$2:B936, B936, C$2:C936, C936),"")</f>
        <v/>
      </c>
    </row>
    <row r="937" spans="4:11" x14ac:dyDescent="0.45">
      <c r="D937" t="str">
        <f>IFERROR(VLOOKUP(C937,'Clients List'!$A:$F,2,FALSE),"")</f>
        <v/>
      </c>
      <c r="F937" s="1" t="str">
        <f>IF(OR(C937="",NOT(ISNUMBER(SEARCH("Package",D937)))),"",VLOOKUP(C937,'Clients List'!$A:$F,4,FALSE)-SUMIFS($E$2:$E937,$C$2:$C937,C937,$D$2:$D937,"*Package*"))</f>
        <v/>
      </c>
      <c r="G937" t="str">
        <f t="shared" si="32"/>
        <v/>
      </c>
      <c r="H937" s="33">
        <f>IF(ISNUMBER(SEARCH("Group",D937)),IF(G937="",E937,IFERROR(E937/COUNTIF($G2:$G6000,G937),E937)),E937)</f>
        <v>0</v>
      </c>
      <c r="I937" s="1" t="str">
        <f>IFERROR(VLOOKUP(C937,'Clients List'!A:F,6,FALSE),"")</f>
        <v/>
      </c>
      <c r="K937" s="23" t="str">
        <f>IFERROR(INDEX([2]Packages!E:E, MATCH(1, ([2]Packages!A:A=B937)*([2]Packages!B:B=C937), 0)) - SUMIFS(D$2:D937, B$2:B937, B937, C$2:C937, C937),"")</f>
        <v/>
      </c>
    </row>
    <row r="938" spans="4:11" x14ac:dyDescent="0.45">
      <c r="D938" t="str">
        <f>IFERROR(VLOOKUP(C938,'Clients List'!$A:$F,2,FALSE),"")</f>
        <v/>
      </c>
      <c r="F938" s="1" t="str">
        <f>IF(OR(C938="",NOT(ISNUMBER(SEARCH("Package",D938)))),"",VLOOKUP(C938,'Clients List'!$A:$F,4,FALSE)-SUMIFS($E$2:$E938,$C$2:$C938,C938,$D$2:$D938,"*Package*"))</f>
        <v/>
      </c>
      <c r="G938" t="str">
        <f t="shared" si="32"/>
        <v/>
      </c>
      <c r="H938" s="33">
        <f>IF(ISNUMBER(SEARCH("Group",D938)),IF(G938="",E938,IFERROR(E938/COUNTIF($G2:$G6000,G938),E938)),E938)</f>
        <v>0</v>
      </c>
      <c r="I938" s="1" t="str">
        <f>IFERROR(VLOOKUP(C938,'Clients List'!A:F,6,FALSE),"")</f>
        <v/>
      </c>
      <c r="K938" s="23" t="str">
        <f>IFERROR(INDEX([2]Packages!E:E, MATCH(1, ([2]Packages!A:A=B938)*([2]Packages!B:B=C938), 0)) - SUMIFS(D$2:D938, B$2:B938, B938, C$2:C938, C938),"")</f>
        <v/>
      </c>
    </row>
    <row r="939" spans="4:11" x14ac:dyDescent="0.45">
      <c r="D939" t="str">
        <f>IFERROR(VLOOKUP(C939,'Clients List'!$A:$F,2,FALSE),"")</f>
        <v/>
      </c>
      <c r="F939" s="1" t="str">
        <f>IF(OR(C939="",NOT(ISNUMBER(SEARCH("Package",D939)))),"",VLOOKUP(C939,'Clients List'!$A:$F,4,FALSE)-SUMIFS($E$2:$E939,$C$2:$C939,C939,$D$2:$D939,"*Package*"))</f>
        <v/>
      </c>
      <c r="G939" t="str">
        <f t="shared" si="32"/>
        <v/>
      </c>
      <c r="H939" s="33">
        <f>IF(ISNUMBER(SEARCH("Group",D939)),IF(G939="",E939,IFERROR(E939/COUNTIF($G2:$G6000,G939),E939)),E939)</f>
        <v>0</v>
      </c>
      <c r="I939" s="1" t="str">
        <f>IFERROR(VLOOKUP(C939,'Clients List'!A:F,6,FALSE),"")</f>
        <v/>
      </c>
      <c r="K939" s="23" t="str">
        <f>IFERROR(INDEX([2]Packages!E:E, MATCH(1, ([2]Packages!A:A=B939)*([2]Packages!B:B=C939), 0)) - SUMIFS(D$2:D939, B$2:B939, B939, C$2:C939, C939),"")</f>
        <v/>
      </c>
    </row>
    <row r="940" spans="4:11" x14ac:dyDescent="0.45">
      <c r="D940" t="str">
        <f>IFERROR(VLOOKUP(C940,'Clients List'!$A:$F,2,FALSE),"")</f>
        <v/>
      </c>
      <c r="F940" s="1" t="str">
        <f>IF(OR(C940="",NOT(ISNUMBER(SEARCH("Package",D940)))),"",VLOOKUP(C940,'Clients List'!$A:$F,4,FALSE)-SUMIFS($E$2:$E940,$C$2:$C940,C940,$D$2:$D940,"*Package*"))</f>
        <v/>
      </c>
      <c r="G940" t="str">
        <f t="shared" si="32"/>
        <v/>
      </c>
      <c r="H940" s="33">
        <f>IF(ISNUMBER(SEARCH("Group",D940)),IF(G940="",E940,IFERROR(E940/COUNTIF($G2:$G6000,G940),E940)),E940)</f>
        <v>0</v>
      </c>
      <c r="I940" s="1" t="str">
        <f>IFERROR(VLOOKUP(C940,'Clients List'!A:F,6,FALSE),"")</f>
        <v/>
      </c>
      <c r="K940" s="23" t="str">
        <f>IFERROR(INDEX([2]Packages!E:E, MATCH(1, ([2]Packages!A:A=B940)*([2]Packages!B:B=C940), 0)) - SUMIFS(D$2:D940, B$2:B940, B940, C$2:C940, C940),"")</f>
        <v/>
      </c>
    </row>
    <row r="941" spans="4:11" x14ac:dyDescent="0.45">
      <c r="D941" t="str">
        <f>IFERROR(VLOOKUP(C941,'Clients List'!$A:$F,2,FALSE),"")</f>
        <v/>
      </c>
      <c r="F941" s="1" t="str">
        <f>IF(OR(C941="",NOT(ISNUMBER(SEARCH("Package",D941)))),"",VLOOKUP(C941,'Clients List'!$A:$F,4,FALSE)-SUMIFS($E$2:$E941,$C$2:$C941,C941,$D$2:$D941,"*Package*"))</f>
        <v/>
      </c>
      <c r="G941" t="str">
        <f t="shared" si="32"/>
        <v/>
      </c>
      <c r="H941" s="33">
        <f>IF(ISNUMBER(SEARCH("Group",D941)),IF(G941="",E941,IFERROR(E941/COUNTIF($G2:$G6000,G941),E941)),E941)</f>
        <v>0</v>
      </c>
      <c r="I941" s="1" t="str">
        <f>IFERROR(VLOOKUP(C941,'Clients List'!A:F,6,FALSE),"")</f>
        <v/>
      </c>
      <c r="K941" s="23" t="str">
        <f>IFERROR(INDEX([2]Packages!E:E, MATCH(1, ([2]Packages!A:A=B941)*([2]Packages!B:B=C941), 0)) - SUMIFS(D$2:D941, B$2:B941, B941, C$2:C941, C941),"")</f>
        <v/>
      </c>
    </row>
    <row r="942" spans="4:11" x14ac:dyDescent="0.45">
      <c r="D942" t="str">
        <f>IFERROR(VLOOKUP(C942,'Clients List'!$A:$F,2,FALSE),"")</f>
        <v/>
      </c>
      <c r="F942" s="1" t="str">
        <f>IF(OR(C942="",NOT(ISNUMBER(SEARCH("Package",D942)))),"",VLOOKUP(C942,'Clients List'!$A:$F,4,FALSE)-SUMIFS($E$2:$E942,$C$2:$C942,C942,$D$2:$D942,"*Package*"))</f>
        <v/>
      </c>
      <c r="G942" t="str">
        <f t="shared" si="32"/>
        <v/>
      </c>
      <c r="H942" s="33">
        <f>IF(ISNUMBER(SEARCH("Group",D942)),IF(G942="",E942,IFERROR(E942/COUNTIF($G2:$G6000,G942),E942)),E942)</f>
        <v>0</v>
      </c>
      <c r="I942" s="1" t="str">
        <f>IFERROR(VLOOKUP(C942,'Clients List'!A:F,6,FALSE),"")</f>
        <v/>
      </c>
      <c r="K942" s="23" t="str">
        <f>IFERROR(INDEX([2]Packages!E:E, MATCH(1, ([2]Packages!A:A=B942)*([2]Packages!B:B=C942), 0)) - SUMIFS(D$2:D942, B$2:B942, B942, C$2:C942, C942),"")</f>
        <v/>
      </c>
    </row>
    <row r="943" spans="4:11" x14ac:dyDescent="0.45">
      <c r="D943" t="str">
        <f>IFERROR(VLOOKUP(C943,'Clients List'!$A:$F,2,FALSE),"")</f>
        <v/>
      </c>
      <c r="F943" s="1" t="str">
        <f>IF(OR(C943="",NOT(ISNUMBER(SEARCH("Package",D943)))),"",VLOOKUP(C943,'Clients List'!$A:$F,4,FALSE)-SUMIFS($E$2:$E943,$C$2:$C943,C943,$D$2:$D943,"*Package*"))</f>
        <v/>
      </c>
      <c r="G943" t="str">
        <f t="shared" si="32"/>
        <v/>
      </c>
      <c r="H943" s="33">
        <f>IF(ISNUMBER(SEARCH("Group",D943)),IF(G943="",E943,IFERROR(E943/COUNTIF($G2:$G6000,G943),E943)),E943)</f>
        <v>0</v>
      </c>
      <c r="I943" s="1" t="str">
        <f>IFERROR(VLOOKUP(C943,'Clients List'!A:F,6,FALSE),"")</f>
        <v/>
      </c>
      <c r="K943" s="23" t="str">
        <f>IFERROR(INDEX([2]Packages!E:E, MATCH(1, ([2]Packages!A:A=B943)*([2]Packages!B:B=C943), 0)) - SUMIFS(D$2:D943, B$2:B943, B943, C$2:C943, C943),"")</f>
        <v/>
      </c>
    </row>
    <row r="944" spans="4:11" x14ac:dyDescent="0.45">
      <c r="D944" t="str">
        <f>IFERROR(VLOOKUP(C944,'Clients List'!$A:$F,2,FALSE),"")</f>
        <v/>
      </c>
      <c r="F944" s="1" t="str">
        <f>IF(OR(C944="",NOT(ISNUMBER(SEARCH("Package",D944)))),"",VLOOKUP(C944,'Clients List'!$A:$F,4,FALSE)-SUMIFS($E$2:$E944,$C$2:$C944,C944,$D$2:$D944,"*Package*"))</f>
        <v/>
      </c>
      <c r="G944" t="str">
        <f t="shared" si="32"/>
        <v/>
      </c>
      <c r="H944" s="33">
        <f>IF(ISNUMBER(SEARCH("Group",D944)),IF(G944="",E944,IFERROR(E944/COUNTIF($G2:$G6000,G944),E944)),E944)</f>
        <v>0</v>
      </c>
      <c r="I944" s="1" t="str">
        <f>IFERROR(VLOOKUP(C944,'Clients List'!A:F,6,FALSE),"")</f>
        <v/>
      </c>
      <c r="K944" s="23" t="str">
        <f>IFERROR(INDEX([2]Packages!E:E, MATCH(1, ([2]Packages!A:A=B944)*([2]Packages!B:B=C944), 0)) - SUMIFS(D$2:D944, B$2:B944, B944, C$2:C944, C944),"")</f>
        <v/>
      </c>
    </row>
    <row r="945" spans="4:11" x14ac:dyDescent="0.45">
      <c r="D945" t="str">
        <f>IFERROR(VLOOKUP(C945,'Clients List'!$A:$F,2,FALSE),"")</f>
        <v/>
      </c>
      <c r="F945" s="1" t="str">
        <f>IF(OR(C945="",NOT(ISNUMBER(SEARCH("Package",D945)))),"",VLOOKUP(C945,'Clients List'!$A:$F,4,FALSE)-SUMIFS($E$2:$E945,$C$2:$C945,C945,$D$2:$D945,"*Package*"))</f>
        <v/>
      </c>
      <c r="G945" t="str">
        <f t="shared" si="32"/>
        <v/>
      </c>
      <c r="H945" s="33">
        <f>IF(ISNUMBER(SEARCH("Group",D945)),IF(G945="",E945,IFERROR(E945/COUNTIF($G2:$G6000,G945),E945)),E945)</f>
        <v>0</v>
      </c>
      <c r="I945" s="1" t="str">
        <f>IFERROR(VLOOKUP(C945,'Clients List'!A:F,6,FALSE),"")</f>
        <v/>
      </c>
      <c r="K945" s="23" t="str">
        <f>IFERROR(INDEX([2]Packages!E:E, MATCH(1, ([2]Packages!A:A=B945)*([2]Packages!B:B=C945), 0)) - SUMIFS(D$2:D945, B$2:B945, B945, C$2:C945, C945),"")</f>
        <v/>
      </c>
    </row>
    <row r="946" spans="4:11" x14ac:dyDescent="0.45">
      <c r="D946" t="str">
        <f>IFERROR(VLOOKUP(C946,'Clients List'!$A:$F,2,FALSE),"")</f>
        <v/>
      </c>
      <c r="F946" s="1" t="str">
        <f>IF(OR(C946="",NOT(ISNUMBER(SEARCH("Package",D946)))),"",VLOOKUP(C946,'Clients List'!$A:$F,4,FALSE)-SUMIFS($E$2:$E946,$C$2:$C946,C946,$D$2:$D946,"*Package*"))</f>
        <v/>
      </c>
      <c r="G946" t="str">
        <f t="shared" si="32"/>
        <v/>
      </c>
      <c r="H946" s="33">
        <f>IF(ISNUMBER(SEARCH("Group",D946)),IF(G946="",E946,IFERROR(E946/COUNTIF($G2:$G6000,G946),E946)),E946)</f>
        <v>0</v>
      </c>
      <c r="I946" s="1" t="str">
        <f>IFERROR(VLOOKUP(C946,'Clients List'!A:F,6,FALSE),"")</f>
        <v/>
      </c>
      <c r="K946" s="23" t="str">
        <f>IFERROR(INDEX([2]Packages!E:E, MATCH(1, ([2]Packages!A:A=B946)*([2]Packages!B:B=C946), 0)) - SUMIFS(D$2:D946, B$2:B946, B946, C$2:C946, C946),"")</f>
        <v/>
      </c>
    </row>
    <row r="947" spans="4:11" x14ac:dyDescent="0.45">
      <c r="D947" t="str">
        <f>IFERROR(VLOOKUP(C947,'Clients List'!$A:$F,2,FALSE),"")</f>
        <v/>
      </c>
      <c r="F947" s="1" t="str">
        <f>IF(OR(C947="",NOT(ISNUMBER(SEARCH("Package",D947)))),"",VLOOKUP(C947,'Clients List'!$A:$F,4,FALSE)-SUMIFS($E$2:$E947,$C$2:$C947,C947,$D$2:$D947,"*Package*"))</f>
        <v/>
      </c>
      <c r="G947" t="str">
        <f t="shared" si="32"/>
        <v/>
      </c>
      <c r="H947" s="33">
        <f>IF(ISNUMBER(SEARCH("Group",D947)),IF(G947="",E947,IFERROR(E947/COUNTIF($G2:$G6000,G947),E947)),E947)</f>
        <v>0</v>
      </c>
      <c r="I947" s="1" t="str">
        <f>IFERROR(VLOOKUP(C947,'Clients List'!A:F,6,FALSE),"")</f>
        <v/>
      </c>
      <c r="K947" s="23" t="str">
        <f>IFERROR(INDEX([2]Packages!E:E, MATCH(1, ([2]Packages!A:A=B947)*([2]Packages!B:B=C947), 0)) - SUMIFS(D$2:D947, B$2:B947, B947, C$2:C947, C947),"")</f>
        <v/>
      </c>
    </row>
    <row r="948" spans="4:11" x14ac:dyDescent="0.45">
      <c r="D948" t="str">
        <f>IFERROR(VLOOKUP(C948,'Clients List'!$A:$F,2,FALSE),"")</f>
        <v/>
      </c>
      <c r="F948" s="1" t="str">
        <f>IF(OR(C948="",NOT(ISNUMBER(SEARCH("Package",D948)))),"",VLOOKUP(C948,'Clients List'!$A:$F,4,FALSE)-SUMIFS($E$2:$E948,$C$2:$C948,C948,$D$2:$D948,"*Package*"))</f>
        <v/>
      </c>
      <c r="G948" t="str">
        <f t="shared" si="32"/>
        <v/>
      </c>
      <c r="H948" s="33">
        <f>IF(ISNUMBER(SEARCH("Group",D948)),IF(G948="",E948,IFERROR(E948/COUNTIF($G2:$G6000,G948),E948)),E948)</f>
        <v>0</v>
      </c>
      <c r="I948" s="1" t="str">
        <f>IFERROR(VLOOKUP(C948,'Clients List'!A:F,6,FALSE),"")</f>
        <v/>
      </c>
      <c r="K948" s="23" t="str">
        <f>IFERROR(INDEX([2]Packages!E:E, MATCH(1, ([2]Packages!A:A=B948)*([2]Packages!B:B=C948), 0)) - SUMIFS(D$2:D948, B$2:B948, B948, C$2:C948, C948),"")</f>
        <v/>
      </c>
    </row>
    <row r="949" spans="4:11" x14ac:dyDescent="0.45">
      <c r="D949" t="str">
        <f>IFERROR(VLOOKUP(C949,'Clients List'!$A:$F,2,FALSE),"")</f>
        <v/>
      </c>
      <c r="F949" s="1" t="str">
        <f>IF(OR(C949="",NOT(ISNUMBER(SEARCH("Package",D949)))),"",VLOOKUP(C949,'Clients List'!$A:$F,4,FALSE)-SUMIFS($E$2:$E949,$C$2:$C949,C949,$D$2:$D949,"*Package*"))</f>
        <v/>
      </c>
      <c r="G949" t="str">
        <f t="shared" si="32"/>
        <v/>
      </c>
      <c r="H949" s="33">
        <f>IF(ISNUMBER(SEARCH("Group",D949)),IF(G949="",E949,IFERROR(E949/COUNTIF($G2:$G6000,G949),E949)),E949)</f>
        <v>0</v>
      </c>
      <c r="I949" s="1" t="str">
        <f>IFERROR(VLOOKUP(C949,'Clients List'!A:F,6,FALSE),"")</f>
        <v/>
      </c>
      <c r="K949" s="23" t="str">
        <f>IFERROR(INDEX([2]Packages!E:E, MATCH(1, ([2]Packages!A:A=B949)*([2]Packages!B:B=C949), 0)) - SUMIFS(D$2:D949, B$2:B949, B949, C$2:C949, C949),"")</f>
        <v/>
      </c>
    </row>
    <row r="950" spans="4:11" x14ac:dyDescent="0.45">
      <c r="D950" t="str">
        <f>IFERROR(VLOOKUP(C950,'Clients List'!$A:$F,2,FALSE),"")</f>
        <v/>
      </c>
      <c r="F950" s="1" t="str">
        <f>IF(OR(C950="",NOT(ISNUMBER(SEARCH("Package",D950)))),"",VLOOKUP(C950,'Clients List'!$A:$F,4,FALSE)-SUMIFS($E$2:$E950,$C$2:$C950,C950,$D$2:$D950,"*Package*"))</f>
        <v/>
      </c>
      <c r="G950" t="str">
        <f t="shared" si="32"/>
        <v/>
      </c>
      <c r="H950" s="33">
        <f>IF(ISNUMBER(SEARCH("Group",D950)),IF(G950="",E950,IFERROR(E950/COUNTIF($G2:$G6000,G950),E950)),E950)</f>
        <v>0</v>
      </c>
      <c r="I950" s="1" t="str">
        <f>IFERROR(VLOOKUP(C950,'Clients List'!A:F,6,FALSE),"")</f>
        <v/>
      </c>
      <c r="K950" s="23" t="str">
        <f>IFERROR(INDEX([2]Packages!E:E, MATCH(1, ([2]Packages!A:A=B950)*([2]Packages!B:B=C950), 0)) - SUMIFS(D$2:D950, B$2:B950, B950, C$2:C950, C950),"")</f>
        <v/>
      </c>
    </row>
    <row r="951" spans="4:11" x14ac:dyDescent="0.45">
      <c r="D951" t="str">
        <f>IFERROR(VLOOKUP(C951,'Clients List'!$A:$F,2,FALSE),"")</f>
        <v/>
      </c>
      <c r="F951" s="1" t="str">
        <f>IF(OR(C951="",NOT(ISNUMBER(SEARCH("Package",D951)))),"",VLOOKUP(C951,'Clients List'!$A:$F,4,FALSE)-SUMIFS($E$2:$E951,$C$2:$C951,C951,$D$2:$D951,"*Package*"))</f>
        <v/>
      </c>
      <c r="G951" t="str">
        <f t="shared" si="32"/>
        <v/>
      </c>
      <c r="H951" s="33">
        <f>IF(ISNUMBER(SEARCH("Group",D951)),IF(G951="",E951,IFERROR(E951/COUNTIF($G2:$G6000,G951),E951)),E951)</f>
        <v>0</v>
      </c>
      <c r="I951" s="1" t="str">
        <f>IFERROR(VLOOKUP(C951,'Clients List'!A:F,6,FALSE),"")</f>
        <v/>
      </c>
      <c r="K951" s="23" t="str">
        <f>IFERROR(INDEX([2]Packages!E:E, MATCH(1, ([2]Packages!A:A=B951)*([2]Packages!B:B=C951), 0)) - SUMIFS(D$2:D951, B$2:B951, B951, C$2:C951, C951),"")</f>
        <v/>
      </c>
    </row>
    <row r="952" spans="4:11" x14ac:dyDescent="0.45">
      <c r="D952" t="str">
        <f>IFERROR(VLOOKUP(C952,'Clients List'!$A:$F,2,FALSE),"")</f>
        <v/>
      </c>
      <c r="F952" s="1" t="str">
        <f>IF(OR(C952="",NOT(ISNUMBER(SEARCH("Package",D952)))),"",VLOOKUP(C952,'Clients List'!$A:$F,4,FALSE)-SUMIFS($E$2:$E952,$C$2:$C952,C952,$D$2:$D952,"*Package*"))</f>
        <v/>
      </c>
      <c r="G952" t="str">
        <f t="shared" si="32"/>
        <v/>
      </c>
      <c r="H952" s="33">
        <f>IF(ISNUMBER(SEARCH("Group",D952)),IF(G952="",E952,IFERROR(E952/COUNTIF($G2:$G6000,G952),E952)),E952)</f>
        <v>0</v>
      </c>
      <c r="I952" s="1" t="str">
        <f>IFERROR(VLOOKUP(C952,'Clients List'!A:F,6,FALSE),"")</f>
        <v/>
      </c>
      <c r="K952" s="23" t="str">
        <f>IFERROR(INDEX([2]Packages!E:E, MATCH(1, ([2]Packages!A:A=B952)*([2]Packages!B:B=C952), 0)) - SUMIFS(D$2:D952, B$2:B952, B952, C$2:C952, C952),"")</f>
        <v/>
      </c>
    </row>
    <row r="953" spans="4:11" x14ac:dyDescent="0.45">
      <c r="D953" t="str">
        <f>IFERROR(VLOOKUP(C953,'Clients List'!$A:$F,2,FALSE),"")</f>
        <v/>
      </c>
      <c r="F953" s="1" t="str">
        <f>IF(OR(C953="",NOT(ISNUMBER(SEARCH("Package",D953)))),"",VLOOKUP(C953,'Clients List'!$A:$F,4,FALSE)-SUMIFS($E$2:$E953,$C$2:$C953,C953,$D$2:$D953,"*Package*"))</f>
        <v/>
      </c>
      <c r="G953" t="str">
        <f t="shared" si="32"/>
        <v/>
      </c>
      <c r="H953" s="33">
        <f>IF(ISNUMBER(SEARCH("Group",D953)),IF(G953="",E953,IFERROR(E953/COUNTIF($G2:$G6000,G953),E953)),E953)</f>
        <v>0</v>
      </c>
      <c r="I953" s="1" t="str">
        <f>IFERROR(VLOOKUP(C953,'Clients List'!A:F,6,FALSE),"")</f>
        <v/>
      </c>
      <c r="K953" s="23" t="str">
        <f>IFERROR(INDEX([2]Packages!E:E, MATCH(1, ([2]Packages!A:A=B953)*([2]Packages!B:B=C953), 0)) - SUMIFS(D$2:D953, B$2:B953, B953, C$2:C953, C953),"")</f>
        <v/>
      </c>
    </row>
    <row r="954" spans="4:11" x14ac:dyDescent="0.45">
      <c r="D954" t="str">
        <f>IFERROR(VLOOKUP(C954,'Clients List'!$A:$F,2,FALSE),"")</f>
        <v/>
      </c>
      <c r="F954" s="1" t="str">
        <f>IF(OR(C954="",NOT(ISNUMBER(SEARCH("Package",D954)))),"",VLOOKUP(C954,'Clients List'!$A:$F,4,FALSE)-SUMIFS($E$2:$E954,$C$2:$C954,C954,$D$2:$D954,"*Package*"))</f>
        <v/>
      </c>
      <c r="G954" t="str">
        <f t="shared" si="32"/>
        <v/>
      </c>
      <c r="H954" s="33">
        <f>IF(ISNUMBER(SEARCH("Group",D954)),IF(G954="",E954,IFERROR(E954/COUNTIF($G2:$G6000,G954),E954)),E954)</f>
        <v>0</v>
      </c>
      <c r="I954" s="1" t="str">
        <f>IFERROR(VLOOKUP(C954,'Clients List'!A:F,6,FALSE),"")</f>
        <v/>
      </c>
      <c r="K954" s="23" t="str">
        <f>IFERROR(INDEX([2]Packages!E:E, MATCH(1, ([2]Packages!A:A=B954)*([2]Packages!B:B=C954), 0)) - SUMIFS(D$2:D954, B$2:B954, B954, C$2:C954, C954),"")</f>
        <v/>
      </c>
    </row>
    <row r="955" spans="4:11" x14ac:dyDescent="0.45">
      <c r="D955" t="str">
        <f>IFERROR(VLOOKUP(C955,'Clients List'!$A:$F,2,FALSE),"")</f>
        <v/>
      </c>
      <c r="F955" s="1" t="str">
        <f>IF(OR(C955="",NOT(ISNUMBER(SEARCH("Package",D955)))),"",VLOOKUP(C955,'Clients List'!$A:$F,4,FALSE)-SUMIFS($E$2:$E955,$C$2:$C955,C955,$D$2:$D955,"*Package*"))</f>
        <v/>
      </c>
      <c r="G955" t="str">
        <f t="shared" si="32"/>
        <v/>
      </c>
      <c r="H955" s="33">
        <f>IF(ISNUMBER(SEARCH("Group",D955)),IF(G955="",E955,IFERROR(E955/COUNTIF($G2:$G6000,G955),E955)),E955)</f>
        <v>0</v>
      </c>
      <c r="I955" s="1" t="str">
        <f>IFERROR(VLOOKUP(C955,'Clients List'!A:F,6,FALSE),"")</f>
        <v/>
      </c>
      <c r="K955" s="23" t="str">
        <f>IFERROR(INDEX([2]Packages!E:E, MATCH(1, ([2]Packages!A:A=B955)*([2]Packages!B:B=C955), 0)) - SUMIFS(D$2:D955, B$2:B955, B955, C$2:C955, C955),"")</f>
        <v/>
      </c>
    </row>
    <row r="956" spans="4:11" x14ac:dyDescent="0.45">
      <c r="D956" t="str">
        <f>IFERROR(VLOOKUP(C956,'Clients List'!$A:$F,2,FALSE),"")</f>
        <v/>
      </c>
      <c r="F956" s="1" t="str">
        <f>IF(OR(C956="",NOT(ISNUMBER(SEARCH("Package",D956)))),"",VLOOKUP(C956,'Clients List'!$A:$F,4,FALSE)-SUMIFS($E$2:$E956,$C$2:$C956,C956,$D$2:$D956,"*Package*"))</f>
        <v/>
      </c>
      <c r="G956" t="str">
        <f t="shared" si="32"/>
        <v/>
      </c>
      <c r="H956" s="33">
        <f>IF(ISNUMBER(SEARCH("Group",D956)),IF(G956="",E956,IFERROR(E956/COUNTIF($G2:$G6000,G956),E956)),E956)</f>
        <v>0</v>
      </c>
      <c r="I956" s="1" t="str">
        <f>IFERROR(VLOOKUP(C956,'Clients List'!A:F,6,FALSE),"")</f>
        <v/>
      </c>
      <c r="K956" s="23" t="str">
        <f>IFERROR(INDEX([2]Packages!E:E, MATCH(1, ([2]Packages!A:A=B956)*([2]Packages!B:B=C956), 0)) - SUMIFS(D$2:D956, B$2:B956, B956, C$2:C956, C956),"")</f>
        <v/>
      </c>
    </row>
    <row r="957" spans="4:11" x14ac:dyDescent="0.45">
      <c r="D957" t="str">
        <f>IFERROR(VLOOKUP(C957,'Clients List'!$A:$F,2,FALSE),"")</f>
        <v/>
      </c>
      <c r="F957" s="1" t="str">
        <f>IF(OR(C957="",NOT(ISNUMBER(SEARCH("Package",D957)))),"",VLOOKUP(C957,'Clients List'!$A:$F,4,FALSE)-SUMIFS($E$2:$E957,$C$2:$C957,C957,$D$2:$D957,"*Package*"))</f>
        <v/>
      </c>
      <c r="G957" t="str">
        <f t="shared" ref="G957:G988" si="33">IF(ISNUMBER(SEARCH("Group",D957)),IFERROR("GRP-"&amp;TEXT(IF(ISNUMBER(A957),A957,DATEVALUE(A957)),"yyyymmdd"),""),"" )</f>
        <v/>
      </c>
      <c r="H957" s="33">
        <f>IF(ISNUMBER(SEARCH("Group",D957)),IF(G957="",E957,IFERROR(E957/COUNTIF($G2:$G6000,G957),E957)),E957)</f>
        <v>0</v>
      </c>
      <c r="I957" s="1" t="str">
        <f>IFERROR(VLOOKUP(C957,'Clients List'!A:F,6,FALSE),"")</f>
        <v/>
      </c>
      <c r="K957" s="23" t="str">
        <f>IFERROR(INDEX([2]Packages!E:E, MATCH(1, ([2]Packages!A:A=B957)*([2]Packages!B:B=C957), 0)) - SUMIFS(D$2:D957, B$2:B957, B957, C$2:C957, C957),"")</f>
        <v/>
      </c>
    </row>
    <row r="958" spans="4:11" x14ac:dyDescent="0.45">
      <c r="D958" t="str">
        <f>IFERROR(VLOOKUP(C958,'Clients List'!$A:$F,2,FALSE),"")</f>
        <v/>
      </c>
      <c r="F958" s="1" t="str">
        <f>IF(OR(C958="",NOT(ISNUMBER(SEARCH("Package",D958)))),"",VLOOKUP(C958,'Clients List'!$A:$F,4,FALSE)-SUMIFS($E$2:$E958,$C$2:$C958,C958,$D$2:$D958,"*Package*"))</f>
        <v/>
      </c>
      <c r="G958" t="str">
        <f t="shared" si="33"/>
        <v/>
      </c>
      <c r="H958" s="33">
        <f>IF(ISNUMBER(SEARCH("Group",D958)),IF(G958="",E958,IFERROR(E958/COUNTIF($G2:$G6000,G958),E958)),E958)</f>
        <v>0</v>
      </c>
      <c r="I958" s="1" t="str">
        <f>IFERROR(VLOOKUP(C958,'Clients List'!A:F,6,FALSE),"")</f>
        <v/>
      </c>
      <c r="K958" s="23" t="str">
        <f>IFERROR(INDEX([2]Packages!E:E, MATCH(1, ([2]Packages!A:A=B958)*([2]Packages!B:B=C958), 0)) - SUMIFS(D$2:D958, B$2:B958, B958, C$2:C958, C958),"")</f>
        <v/>
      </c>
    </row>
    <row r="959" spans="4:11" x14ac:dyDescent="0.45">
      <c r="D959" t="str">
        <f>IFERROR(VLOOKUP(C959,'Clients List'!$A:$F,2,FALSE),"")</f>
        <v/>
      </c>
      <c r="F959" s="1" t="str">
        <f>IF(OR(C959="",NOT(ISNUMBER(SEARCH("Package",D959)))),"",VLOOKUP(C959,'Clients List'!$A:$F,4,FALSE)-SUMIFS($E$2:$E959,$C$2:$C959,C959,$D$2:$D959,"*Package*"))</f>
        <v/>
      </c>
      <c r="G959" t="str">
        <f t="shared" si="33"/>
        <v/>
      </c>
      <c r="H959" s="33">
        <f>IF(ISNUMBER(SEARCH("Group",D959)),IF(G959="",E959,IFERROR(E959/COUNTIF($G2:$G6000,G959),E959)),E959)</f>
        <v>0</v>
      </c>
      <c r="I959" s="1" t="str">
        <f>IFERROR(VLOOKUP(C959,'Clients List'!A:F,6,FALSE),"")</f>
        <v/>
      </c>
      <c r="K959" s="23" t="str">
        <f>IFERROR(INDEX([2]Packages!E:E, MATCH(1, ([2]Packages!A:A=B959)*([2]Packages!B:B=C959), 0)) - SUMIFS(D$2:D959, B$2:B959, B959, C$2:C959, C959),"")</f>
        <v/>
      </c>
    </row>
    <row r="960" spans="4:11" x14ac:dyDescent="0.45">
      <c r="D960" t="str">
        <f>IFERROR(VLOOKUP(C960,'Clients List'!$A:$F,2,FALSE),"")</f>
        <v/>
      </c>
      <c r="F960" s="1" t="str">
        <f>IF(OR(C960="",NOT(ISNUMBER(SEARCH("Package",D960)))),"",VLOOKUP(C960,'Clients List'!$A:$F,4,FALSE)-SUMIFS($E$2:$E960,$C$2:$C960,C960,$D$2:$D960,"*Package*"))</f>
        <v/>
      </c>
      <c r="G960" t="str">
        <f t="shared" si="33"/>
        <v/>
      </c>
      <c r="H960" s="33">
        <f>IF(ISNUMBER(SEARCH("Group",D960)),IF(G960="",E960,IFERROR(E960/COUNTIF($G2:$G6000,G960),E960)),E960)</f>
        <v>0</v>
      </c>
      <c r="I960" s="1" t="str">
        <f>IFERROR(VLOOKUP(C960,'Clients List'!A:F,6,FALSE),"")</f>
        <v/>
      </c>
      <c r="K960" s="23" t="str">
        <f>IFERROR(INDEX([2]Packages!E:E, MATCH(1, ([2]Packages!A:A=B960)*([2]Packages!B:B=C960), 0)) - SUMIFS(D$2:D960, B$2:B960, B960, C$2:C960, C960),"")</f>
        <v/>
      </c>
    </row>
    <row r="961" spans="4:11" x14ac:dyDescent="0.45">
      <c r="D961" t="str">
        <f>IFERROR(VLOOKUP(C961,'Clients List'!$A:$F,2,FALSE),"")</f>
        <v/>
      </c>
      <c r="F961" s="1" t="str">
        <f>IF(OR(C961="",NOT(ISNUMBER(SEARCH("Package",D961)))),"",VLOOKUP(C961,'Clients List'!$A:$F,4,FALSE)-SUMIFS($E$2:$E961,$C$2:$C961,C961,$D$2:$D961,"*Package*"))</f>
        <v/>
      </c>
      <c r="G961" t="str">
        <f t="shared" si="33"/>
        <v/>
      </c>
      <c r="H961" s="33">
        <f>IF(ISNUMBER(SEARCH("Group",D961)),IF(G961="",E961,IFERROR(E961/COUNTIF($G2:$G6000,G961),E961)),E961)</f>
        <v>0</v>
      </c>
      <c r="I961" s="1" t="str">
        <f>IFERROR(VLOOKUP(C961,'Clients List'!A:F,6,FALSE),"")</f>
        <v/>
      </c>
      <c r="K961" s="23" t="str">
        <f>IFERROR(INDEX([2]Packages!E:E, MATCH(1, ([2]Packages!A:A=B961)*([2]Packages!B:B=C961), 0)) - SUMIFS(D$2:D961, B$2:B961, B961, C$2:C961, C961),"")</f>
        <v/>
      </c>
    </row>
    <row r="962" spans="4:11" x14ac:dyDescent="0.45">
      <c r="D962" t="str">
        <f>IFERROR(VLOOKUP(C962,'Clients List'!$A:$F,2,FALSE),"")</f>
        <v/>
      </c>
      <c r="F962" s="1" t="str">
        <f>IF(OR(C962="",NOT(ISNUMBER(SEARCH("Package",D962)))),"",VLOOKUP(C962,'Clients List'!$A:$F,4,FALSE)-SUMIFS($E$2:$E962,$C$2:$C962,C962,$D$2:$D962,"*Package*"))</f>
        <v/>
      </c>
      <c r="G962" t="str">
        <f t="shared" si="33"/>
        <v/>
      </c>
      <c r="H962" s="33">
        <f>IF(ISNUMBER(SEARCH("Group",D962)),IF(G962="",E962,IFERROR(E962/COUNTIF($G2:$G6000,G962),E962)),E962)</f>
        <v>0</v>
      </c>
      <c r="I962" s="1" t="str">
        <f>IFERROR(VLOOKUP(C962,'Clients List'!A:F,6,FALSE),"")</f>
        <v/>
      </c>
      <c r="K962" s="23" t="str">
        <f>IFERROR(INDEX([2]Packages!E:E, MATCH(1, ([2]Packages!A:A=B962)*([2]Packages!B:B=C962), 0)) - SUMIFS(D$2:D962, B$2:B962, B962, C$2:C962, C962),"")</f>
        <v/>
      </c>
    </row>
    <row r="963" spans="4:11" x14ac:dyDescent="0.45">
      <c r="D963" t="str">
        <f>IFERROR(VLOOKUP(C963,'Clients List'!$A:$F,2,FALSE),"")</f>
        <v/>
      </c>
      <c r="F963" s="1" t="str">
        <f>IF(OR(C963="",NOT(ISNUMBER(SEARCH("Package",D963)))),"",VLOOKUP(C963,'Clients List'!$A:$F,4,FALSE)-SUMIFS($E$2:$E963,$C$2:$C963,C963,$D$2:$D963,"*Package*"))</f>
        <v/>
      </c>
      <c r="G963" t="str">
        <f t="shared" si="33"/>
        <v/>
      </c>
      <c r="H963" s="33">
        <f>IF(ISNUMBER(SEARCH("Group",D963)),IF(G963="",E963,IFERROR(E963/COUNTIF($G2:$G6000,G963),E963)),E963)</f>
        <v>0</v>
      </c>
      <c r="I963" s="1" t="str">
        <f>IFERROR(VLOOKUP(C963,'Clients List'!A:F,6,FALSE),"")</f>
        <v/>
      </c>
      <c r="K963" s="23" t="str">
        <f>IFERROR(INDEX([2]Packages!E:E, MATCH(1, ([2]Packages!A:A=B963)*([2]Packages!B:B=C963), 0)) - SUMIFS(D$2:D963, B$2:B963, B963, C$2:C963, C963),"")</f>
        <v/>
      </c>
    </row>
    <row r="964" spans="4:11" x14ac:dyDescent="0.45">
      <c r="D964" t="str">
        <f>IFERROR(VLOOKUP(C964,'Clients List'!$A:$F,2,FALSE),"")</f>
        <v/>
      </c>
      <c r="F964" s="1" t="str">
        <f>IF(OR(C964="",NOT(ISNUMBER(SEARCH("Package",D964)))),"",VLOOKUP(C964,'Clients List'!$A:$F,4,FALSE)-SUMIFS($E$2:$E964,$C$2:$C964,C964,$D$2:$D964,"*Package*"))</f>
        <v/>
      </c>
      <c r="G964" t="str">
        <f t="shared" si="33"/>
        <v/>
      </c>
      <c r="H964" s="33">
        <f>IF(ISNUMBER(SEARCH("Group",D964)),IF(G964="",E964,IFERROR(E964/COUNTIF($G2:$G6000,G964),E964)),E964)</f>
        <v>0</v>
      </c>
      <c r="I964" s="1" t="str">
        <f>IFERROR(VLOOKUP(C964,'Clients List'!A:F,6,FALSE),"")</f>
        <v/>
      </c>
      <c r="K964" s="23" t="str">
        <f>IFERROR(INDEX([2]Packages!E:E, MATCH(1, ([2]Packages!A:A=B964)*([2]Packages!B:B=C964), 0)) - SUMIFS(D$2:D964, B$2:B964, B964, C$2:C964, C964),"")</f>
        <v/>
      </c>
    </row>
    <row r="965" spans="4:11" x14ac:dyDescent="0.45">
      <c r="D965" t="str">
        <f>IFERROR(VLOOKUP(C965,'Clients List'!$A:$F,2,FALSE),"")</f>
        <v/>
      </c>
      <c r="F965" s="1" t="str">
        <f>IF(OR(C965="",NOT(ISNUMBER(SEARCH("Package",D965)))),"",VLOOKUP(C965,'Clients List'!$A:$F,4,FALSE)-SUMIFS($E$2:$E965,$C$2:$C965,C965,$D$2:$D965,"*Package*"))</f>
        <v/>
      </c>
      <c r="G965" t="str">
        <f t="shared" si="33"/>
        <v/>
      </c>
      <c r="H965" s="33">
        <f>IF(ISNUMBER(SEARCH("Group",D965)),IF(G965="",E965,IFERROR(E965/COUNTIF($G2:$G6000,G965),E965)),E965)</f>
        <v>0</v>
      </c>
      <c r="I965" s="1" t="str">
        <f>IFERROR(VLOOKUP(C965,'Clients List'!A:F,6,FALSE),"")</f>
        <v/>
      </c>
      <c r="K965" s="23" t="str">
        <f>IFERROR(INDEX([2]Packages!E:E, MATCH(1, ([2]Packages!A:A=B965)*([2]Packages!B:B=C965), 0)) - SUMIFS(D$2:D965, B$2:B965, B965, C$2:C965, C965),"")</f>
        <v/>
      </c>
    </row>
    <row r="966" spans="4:11" x14ac:dyDescent="0.45">
      <c r="D966" t="str">
        <f>IFERROR(VLOOKUP(C966,'Clients List'!$A:$F,2,FALSE),"")</f>
        <v/>
      </c>
      <c r="F966" s="1" t="str">
        <f>IF(OR(C966="",NOT(ISNUMBER(SEARCH("Package",D966)))),"",VLOOKUP(C966,'Clients List'!$A:$F,4,FALSE)-SUMIFS($E$2:$E966,$C$2:$C966,C966,$D$2:$D966,"*Package*"))</f>
        <v/>
      </c>
      <c r="G966" t="str">
        <f t="shared" si="33"/>
        <v/>
      </c>
      <c r="H966" s="33">
        <f>IF(ISNUMBER(SEARCH("Group",D966)),IF(G966="",E966,IFERROR(E966/COUNTIF($G2:$G6000,G966),E966)),E966)</f>
        <v>0</v>
      </c>
      <c r="I966" s="1" t="str">
        <f>IFERROR(VLOOKUP(C966,'Clients List'!A:F,6,FALSE),"")</f>
        <v/>
      </c>
      <c r="K966" s="23" t="str">
        <f>IFERROR(INDEX([2]Packages!E:E, MATCH(1, ([2]Packages!A:A=B966)*([2]Packages!B:B=C966), 0)) - SUMIFS(D$2:D966, B$2:B966, B966, C$2:C966, C966),"")</f>
        <v/>
      </c>
    </row>
    <row r="967" spans="4:11" x14ac:dyDescent="0.45">
      <c r="D967" t="str">
        <f>IFERROR(VLOOKUP(C967,'Clients List'!$A:$F,2,FALSE),"")</f>
        <v/>
      </c>
      <c r="F967" s="1" t="str">
        <f>IF(OR(C967="",NOT(ISNUMBER(SEARCH("Package",D967)))),"",VLOOKUP(C967,'Clients List'!$A:$F,4,FALSE)-SUMIFS($E$2:$E967,$C$2:$C967,C967,$D$2:$D967,"*Package*"))</f>
        <v/>
      </c>
      <c r="G967" t="str">
        <f t="shared" si="33"/>
        <v/>
      </c>
      <c r="H967" s="33">
        <f>IF(ISNUMBER(SEARCH("Group",D967)),IF(G967="",E967,IFERROR(E967/COUNTIF($G2:$G6000,G967),E967)),E967)</f>
        <v>0</v>
      </c>
      <c r="I967" s="1" t="str">
        <f>IFERROR(VLOOKUP(C967,'Clients List'!A:F,6,FALSE),"")</f>
        <v/>
      </c>
      <c r="K967" s="23" t="str">
        <f>IFERROR(INDEX([2]Packages!E:E, MATCH(1, ([2]Packages!A:A=B967)*([2]Packages!B:B=C967), 0)) - SUMIFS(D$2:D967, B$2:B967, B967, C$2:C967, C967),"")</f>
        <v/>
      </c>
    </row>
    <row r="968" spans="4:11" x14ac:dyDescent="0.45">
      <c r="D968" t="str">
        <f>IFERROR(VLOOKUP(C968,'Clients List'!$A:$F,2,FALSE),"")</f>
        <v/>
      </c>
      <c r="F968" s="1" t="str">
        <f>IF(OR(C968="",NOT(ISNUMBER(SEARCH("Package",D968)))),"",VLOOKUP(C968,'Clients List'!$A:$F,4,FALSE)-SUMIFS($E$2:$E968,$C$2:$C968,C968,$D$2:$D968,"*Package*"))</f>
        <v/>
      </c>
      <c r="G968" t="str">
        <f t="shared" si="33"/>
        <v/>
      </c>
      <c r="H968" s="33">
        <f>IF(ISNUMBER(SEARCH("Group",D968)),IF(G968="",E968,IFERROR(E968/COUNTIF($G2:$G6000,G968),E968)),E968)</f>
        <v>0</v>
      </c>
      <c r="I968" s="1" t="str">
        <f>IFERROR(VLOOKUP(C968,'Clients List'!A:F,6,FALSE),"")</f>
        <v/>
      </c>
      <c r="K968" s="23" t="str">
        <f>IFERROR(INDEX([2]Packages!E:E, MATCH(1, ([2]Packages!A:A=B968)*([2]Packages!B:B=C968), 0)) - SUMIFS(D$2:D968, B$2:B968, B968, C$2:C968, C968),"")</f>
        <v/>
      </c>
    </row>
    <row r="969" spans="4:11" x14ac:dyDescent="0.45">
      <c r="D969" t="str">
        <f>IFERROR(VLOOKUP(C969,'Clients List'!$A:$F,2,FALSE),"")</f>
        <v/>
      </c>
      <c r="F969" s="1" t="str">
        <f>IF(OR(C969="",NOT(ISNUMBER(SEARCH("Package",D969)))),"",VLOOKUP(C969,'Clients List'!$A:$F,4,FALSE)-SUMIFS($E$2:$E969,$C$2:$C969,C969,$D$2:$D969,"*Package*"))</f>
        <v/>
      </c>
      <c r="G969" t="str">
        <f t="shared" si="33"/>
        <v/>
      </c>
      <c r="H969" s="33">
        <f>IF(ISNUMBER(SEARCH("Group",D969)),IF(G969="",E969,IFERROR(E969/COUNTIF($G2:$G6000,G969),E969)),E969)</f>
        <v>0</v>
      </c>
      <c r="I969" s="1" t="str">
        <f>IFERROR(VLOOKUP(C969,'Clients List'!A:F,6,FALSE),"")</f>
        <v/>
      </c>
      <c r="K969" s="23" t="str">
        <f>IFERROR(INDEX([2]Packages!E:E, MATCH(1, ([2]Packages!A:A=B969)*([2]Packages!B:B=C969), 0)) - SUMIFS(D$2:D969, B$2:B969, B969, C$2:C969, C969),"")</f>
        <v/>
      </c>
    </row>
    <row r="970" spans="4:11" x14ac:dyDescent="0.45">
      <c r="D970" t="str">
        <f>IFERROR(VLOOKUP(C970,'Clients List'!$A:$F,2,FALSE),"")</f>
        <v/>
      </c>
      <c r="F970" s="1" t="str">
        <f>IF(OR(C970="",NOT(ISNUMBER(SEARCH("Package",D970)))),"",VLOOKUP(C970,'Clients List'!$A:$F,4,FALSE)-SUMIFS($E$2:$E970,$C$2:$C970,C970,$D$2:$D970,"*Package*"))</f>
        <v/>
      </c>
      <c r="G970" t="str">
        <f t="shared" si="33"/>
        <v/>
      </c>
      <c r="H970" s="33">
        <f>IF(ISNUMBER(SEARCH("Group",D970)),IF(G970="",E970,IFERROR(E970/COUNTIF($G2:$G6000,G970),E970)),E970)</f>
        <v>0</v>
      </c>
      <c r="I970" s="1" t="str">
        <f>IFERROR(VLOOKUP(C970,'Clients List'!A:F,6,FALSE),"")</f>
        <v/>
      </c>
      <c r="K970" s="23" t="str">
        <f>IFERROR(INDEX([2]Packages!E:E, MATCH(1, ([2]Packages!A:A=B970)*([2]Packages!B:B=C970), 0)) - SUMIFS(D$2:D970, B$2:B970, B970, C$2:C970, C970),"")</f>
        <v/>
      </c>
    </row>
    <row r="971" spans="4:11" x14ac:dyDescent="0.45">
      <c r="D971" t="str">
        <f>IFERROR(VLOOKUP(C971,'Clients List'!$A:$F,2,FALSE),"")</f>
        <v/>
      </c>
      <c r="F971" s="1" t="str">
        <f>IF(OR(C971="",NOT(ISNUMBER(SEARCH("Package",D971)))),"",VLOOKUP(C971,'Clients List'!$A:$F,4,FALSE)-SUMIFS($E$2:$E971,$C$2:$C971,C971,$D$2:$D971,"*Package*"))</f>
        <v/>
      </c>
      <c r="G971" t="str">
        <f t="shared" si="33"/>
        <v/>
      </c>
      <c r="H971" s="33">
        <f>IF(ISNUMBER(SEARCH("Group",D971)),IF(G971="",E971,IFERROR(E971/COUNTIF($G2:$G6000,G971),E971)),E971)</f>
        <v>0</v>
      </c>
      <c r="I971" s="1" t="str">
        <f>IFERROR(VLOOKUP(C971,'Clients List'!A:F,6,FALSE),"")</f>
        <v/>
      </c>
      <c r="K971" s="23" t="str">
        <f>IFERROR(INDEX([2]Packages!E:E, MATCH(1, ([2]Packages!A:A=B971)*([2]Packages!B:B=C971), 0)) - SUMIFS(D$2:D971, B$2:B971, B971, C$2:C971, C971),"")</f>
        <v/>
      </c>
    </row>
    <row r="972" spans="4:11" x14ac:dyDescent="0.45">
      <c r="D972" t="str">
        <f>IFERROR(VLOOKUP(C972,'Clients List'!$A:$F,2,FALSE),"")</f>
        <v/>
      </c>
      <c r="F972" s="1" t="str">
        <f>IF(OR(C972="",NOT(ISNUMBER(SEARCH("Package",D972)))),"",VLOOKUP(C972,'Clients List'!$A:$F,4,FALSE)-SUMIFS($E$2:$E972,$C$2:$C972,C972,$D$2:$D972,"*Package*"))</f>
        <v/>
      </c>
      <c r="G972" t="str">
        <f t="shared" si="33"/>
        <v/>
      </c>
      <c r="H972" s="33">
        <f>IF(ISNUMBER(SEARCH("Group",D972)),IF(G972="",E972,IFERROR(E972/COUNTIF($G2:$G6000,G972),E972)),E972)</f>
        <v>0</v>
      </c>
      <c r="I972" s="1" t="str">
        <f>IFERROR(VLOOKUP(C972,'Clients List'!A:F,6,FALSE),"")</f>
        <v/>
      </c>
      <c r="K972" s="23" t="str">
        <f>IFERROR(INDEX([2]Packages!E:E, MATCH(1, ([2]Packages!A:A=B972)*([2]Packages!B:B=C972), 0)) - SUMIFS(D$2:D972, B$2:B972, B972, C$2:C972, C972),"")</f>
        <v/>
      </c>
    </row>
    <row r="973" spans="4:11" x14ac:dyDescent="0.45">
      <c r="D973" t="str">
        <f>IFERROR(VLOOKUP(C973,'Clients List'!$A:$F,2,FALSE),"")</f>
        <v/>
      </c>
      <c r="F973" s="1" t="str">
        <f>IF(OR(C973="",NOT(ISNUMBER(SEARCH("Package",D973)))),"",VLOOKUP(C973,'Clients List'!$A:$F,4,FALSE)-SUMIFS($E$2:$E973,$C$2:$C973,C973,$D$2:$D973,"*Package*"))</f>
        <v/>
      </c>
      <c r="G973" t="str">
        <f t="shared" si="33"/>
        <v/>
      </c>
      <c r="H973" s="33">
        <f>IF(ISNUMBER(SEARCH("Group",D973)),IF(G973="",E973,IFERROR(E973/COUNTIF($G2:$G6000,G973),E973)),E973)</f>
        <v>0</v>
      </c>
      <c r="I973" s="1" t="str">
        <f>IFERROR(VLOOKUP(C973,'Clients List'!A:F,6,FALSE),"")</f>
        <v/>
      </c>
      <c r="K973" s="23" t="str">
        <f>IFERROR(INDEX([2]Packages!E:E, MATCH(1, ([2]Packages!A:A=B973)*([2]Packages!B:B=C973), 0)) - SUMIFS(D$2:D973, B$2:B973, B973, C$2:C973, C973),"")</f>
        <v/>
      </c>
    </row>
    <row r="974" spans="4:11" x14ac:dyDescent="0.45">
      <c r="D974" t="str">
        <f>IFERROR(VLOOKUP(C974,'Clients List'!$A:$F,2,FALSE),"")</f>
        <v/>
      </c>
      <c r="F974" s="1" t="str">
        <f>IF(OR(C974="",NOT(ISNUMBER(SEARCH("Package",D974)))),"",VLOOKUP(C974,'Clients List'!$A:$F,4,FALSE)-SUMIFS($E$2:$E974,$C$2:$C974,C974,$D$2:$D974,"*Package*"))</f>
        <v/>
      </c>
      <c r="G974" t="str">
        <f t="shared" si="33"/>
        <v/>
      </c>
      <c r="H974" s="33">
        <f>IF(ISNUMBER(SEARCH("Group",D974)),IF(G974="",E974,IFERROR(E974/COUNTIF($G2:$G6000,G974),E974)),E974)</f>
        <v>0</v>
      </c>
      <c r="I974" s="1" t="str">
        <f>IFERROR(VLOOKUP(C974,'Clients List'!A:F,6,FALSE),"")</f>
        <v/>
      </c>
      <c r="K974" s="23" t="str">
        <f>IFERROR(INDEX([2]Packages!E:E, MATCH(1, ([2]Packages!A:A=B974)*([2]Packages!B:B=C974), 0)) - SUMIFS(D$2:D974, B$2:B974, B974, C$2:C974, C974),"")</f>
        <v/>
      </c>
    </row>
    <row r="975" spans="4:11" x14ac:dyDescent="0.45">
      <c r="D975" t="str">
        <f>IFERROR(VLOOKUP(C975,'Clients List'!$A:$F,2,FALSE),"")</f>
        <v/>
      </c>
      <c r="F975" s="1" t="str">
        <f>IF(OR(C975="",NOT(ISNUMBER(SEARCH("Package",D975)))),"",VLOOKUP(C975,'Clients List'!$A:$F,4,FALSE)-SUMIFS($E$2:$E975,$C$2:$C975,C975,$D$2:$D975,"*Package*"))</f>
        <v/>
      </c>
      <c r="G975" t="str">
        <f t="shared" si="33"/>
        <v/>
      </c>
      <c r="H975" s="33">
        <f>IF(ISNUMBER(SEARCH("Group",D975)),IF(G975="",E975,IFERROR(E975/COUNTIF($G2:$G6000,G975),E975)),E975)</f>
        <v>0</v>
      </c>
      <c r="I975" s="1" t="str">
        <f>IFERROR(VLOOKUP(C975,'Clients List'!A:F,6,FALSE),"")</f>
        <v/>
      </c>
      <c r="K975" s="23" t="str">
        <f>IFERROR(INDEX([2]Packages!E:E, MATCH(1, ([2]Packages!A:A=B975)*([2]Packages!B:B=C975), 0)) - SUMIFS(D$2:D975, B$2:B975, B975, C$2:C975, C975),"")</f>
        <v/>
      </c>
    </row>
    <row r="976" spans="4:11" x14ac:dyDescent="0.45">
      <c r="D976" t="str">
        <f>IFERROR(VLOOKUP(C976,'Clients List'!$A:$F,2,FALSE),"")</f>
        <v/>
      </c>
      <c r="F976" s="1" t="str">
        <f>IF(OR(C976="",NOT(ISNUMBER(SEARCH("Package",D976)))),"",VLOOKUP(C976,'Clients List'!$A:$F,4,FALSE)-SUMIFS($E$2:$E976,$C$2:$C976,C976,$D$2:$D976,"*Package*"))</f>
        <v/>
      </c>
      <c r="G976" t="str">
        <f t="shared" si="33"/>
        <v/>
      </c>
      <c r="H976" s="33">
        <f>IF(ISNUMBER(SEARCH("Group",D976)),IF(G976="",E976,IFERROR(E976/COUNTIF($G2:$G6000,G976),E976)),E976)</f>
        <v>0</v>
      </c>
      <c r="I976" s="1" t="str">
        <f>IFERROR(VLOOKUP(C976,'Clients List'!A:F,6,FALSE),"")</f>
        <v/>
      </c>
      <c r="K976" s="23" t="str">
        <f>IFERROR(INDEX([2]Packages!E:E, MATCH(1, ([2]Packages!A:A=B976)*([2]Packages!B:B=C976), 0)) - SUMIFS(D$2:D976, B$2:B976, B976, C$2:C976, C976),"")</f>
        <v/>
      </c>
    </row>
    <row r="977" spans="4:11" x14ac:dyDescent="0.45">
      <c r="D977" t="str">
        <f>IFERROR(VLOOKUP(C977,'Clients List'!$A:$F,2,FALSE),"")</f>
        <v/>
      </c>
      <c r="F977" s="1" t="str">
        <f>IF(OR(C977="",NOT(ISNUMBER(SEARCH("Package",D977)))),"",VLOOKUP(C977,'Clients List'!$A:$F,4,FALSE)-SUMIFS($E$2:$E977,$C$2:$C977,C977,$D$2:$D977,"*Package*"))</f>
        <v/>
      </c>
      <c r="G977" t="str">
        <f t="shared" si="33"/>
        <v/>
      </c>
      <c r="H977" s="33">
        <f>IF(ISNUMBER(SEARCH("Group",D977)),IF(G977="",E977,IFERROR(E977/COUNTIF($G2:$G6000,G977),E977)),E977)</f>
        <v>0</v>
      </c>
      <c r="I977" s="1" t="str">
        <f>IFERROR(VLOOKUP(C977,'Clients List'!A:F,6,FALSE),"")</f>
        <v/>
      </c>
      <c r="K977" s="23" t="str">
        <f>IFERROR(INDEX([2]Packages!E:E, MATCH(1, ([2]Packages!A:A=B977)*([2]Packages!B:B=C977), 0)) - SUMIFS(D$2:D977, B$2:B977, B977, C$2:C977, C977),"")</f>
        <v/>
      </c>
    </row>
    <row r="978" spans="4:11" x14ac:dyDescent="0.45">
      <c r="D978" t="str">
        <f>IFERROR(VLOOKUP(C978,'Clients List'!$A:$F,2,FALSE),"")</f>
        <v/>
      </c>
      <c r="F978" s="1" t="str">
        <f>IF(OR(C978="",NOT(ISNUMBER(SEARCH("Package",D978)))),"",VLOOKUP(C978,'Clients List'!$A:$F,4,FALSE)-SUMIFS($E$2:$E978,$C$2:$C978,C978,$D$2:$D978,"*Package*"))</f>
        <v/>
      </c>
      <c r="G978" t="str">
        <f t="shared" si="33"/>
        <v/>
      </c>
      <c r="H978" s="33">
        <f>IF(ISNUMBER(SEARCH("Group",D978)),IF(G978="",E978,IFERROR(E978/COUNTIF($G2:$G6000,G978),E978)),E978)</f>
        <v>0</v>
      </c>
      <c r="I978" s="1" t="str">
        <f>IFERROR(VLOOKUP(C978,'Clients List'!A:F,6,FALSE),"")</f>
        <v/>
      </c>
      <c r="K978" s="23" t="str">
        <f>IFERROR(INDEX([2]Packages!E:E, MATCH(1, ([2]Packages!A:A=B978)*([2]Packages!B:B=C978), 0)) - SUMIFS(D$2:D978, B$2:B978, B978, C$2:C978, C978),"")</f>
        <v/>
      </c>
    </row>
    <row r="979" spans="4:11" x14ac:dyDescent="0.45">
      <c r="D979" t="str">
        <f>IFERROR(VLOOKUP(C979,'Clients List'!$A:$F,2,FALSE),"")</f>
        <v/>
      </c>
      <c r="F979" s="1" t="str">
        <f>IF(OR(C979="",NOT(ISNUMBER(SEARCH("Package",D979)))),"",VLOOKUP(C979,'Clients List'!$A:$F,4,FALSE)-SUMIFS($E$2:$E979,$C$2:$C979,C979,$D$2:$D979,"*Package*"))</f>
        <v/>
      </c>
      <c r="G979" t="str">
        <f t="shared" si="33"/>
        <v/>
      </c>
      <c r="H979" s="33">
        <f>IF(ISNUMBER(SEARCH("Group",D979)),IF(G979="",E979,IFERROR(E979/COUNTIF($G2:$G6000,G979),E979)),E979)</f>
        <v>0</v>
      </c>
      <c r="I979" s="1" t="str">
        <f>IFERROR(VLOOKUP(C979,'Clients List'!A:F,6,FALSE),"")</f>
        <v/>
      </c>
      <c r="K979" s="23" t="str">
        <f>IFERROR(INDEX([2]Packages!E:E, MATCH(1, ([2]Packages!A:A=B979)*([2]Packages!B:B=C979), 0)) - SUMIFS(D$2:D979, B$2:B979, B979, C$2:C979, C979),"")</f>
        <v/>
      </c>
    </row>
    <row r="980" spans="4:11" x14ac:dyDescent="0.45">
      <c r="D980" t="str">
        <f>IFERROR(VLOOKUP(C980,'Clients List'!$A:$F,2,FALSE),"")</f>
        <v/>
      </c>
      <c r="F980" s="1" t="str">
        <f>IF(OR(C980="",NOT(ISNUMBER(SEARCH("Package",D980)))),"",VLOOKUP(C980,'Clients List'!$A:$F,4,FALSE)-SUMIFS($E$2:$E980,$C$2:$C980,C980,$D$2:$D980,"*Package*"))</f>
        <v/>
      </c>
      <c r="G980" t="str">
        <f t="shared" si="33"/>
        <v/>
      </c>
      <c r="H980" s="33">
        <f>IF(ISNUMBER(SEARCH("Group",D980)),IF(G980="",E980,IFERROR(E980/COUNTIF($G2:$G6000,G980),E980)),E980)</f>
        <v>0</v>
      </c>
      <c r="I980" s="1" t="str">
        <f>IFERROR(VLOOKUP(C980,'Clients List'!A:F,6,FALSE),"")</f>
        <v/>
      </c>
      <c r="K980" s="23" t="str">
        <f>IFERROR(INDEX([2]Packages!E:E, MATCH(1, ([2]Packages!A:A=B980)*([2]Packages!B:B=C980), 0)) - SUMIFS(D$2:D980, B$2:B980, B980, C$2:C980, C980),"")</f>
        <v/>
      </c>
    </row>
    <row r="981" spans="4:11" x14ac:dyDescent="0.45">
      <c r="D981" t="str">
        <f>IFERROR(VLOOKUP(C981,'Clients List'!$A:$F,2,FALSE),"")</f>
        <v/>
      </c>
      <c r="F981" s="1" t="str">
        <f>IF(OR(C981="",NOT(ISNUMBER(SEARCH("Package",D981)))),"",VLOOKUP(C981,'Clients List'!$A:$F,4,FALSE)-SUMIFS($E$2:$E981,$C$2:$C981,C981,$D$2:$D981,"*Package*"))</f>
        <v/>
      </c>
      <c r="G981" t="str">
        <f t="shared" si="33"/>
        <v/>
      </c>
      <c r="H981" s="33">
        <f>IF(ISNUMBER(SEARCH("Group",D981)),IF(G981="",E981,IFERROR(E981/COUNTIF($G2:$G6000,G981),E981)),E981)</f>
        <v>0</v>
      </c>
      <c r="I981" s="1" t="str">
        <f>IFERROR(VLOOKUP(C981,'Clients List'!A:F,6,FALSE),"")</f>
        <v/>
      </c>
      <c r="K981" s="23" t="str">
        <f>IFERROR(INDEX([2]Packages!E:E, MATCH(1, ([2]Packages!A:A=B981)*([2]Packages!B:B=C981), 0)) - SUMIFS(D$2:D981, B$2:B981, B981, C$2:C981, C981),"")</f>
        <v/>
      </c>
    </row>
    <row r="982" spans="4:11" x14ac:dyDescent="0.45">
      <c r="D982" t="str">
        <f>IFERROR(VLOOKUP(C982,'Clients List'!$A:$F,2,FALSE),"")</f>
        <v/>
      </c>
      <c r="F982" s="1" t="str">
        <f>IF(OR(C982="",NOT(ISNUMBER(SEARCH("Package",D982)))),"",VLOOKUP(C982,'Clients List'!$A:$F,4,FALSE)-SUMIFS($E$2:$E982,$C$2:$C982,C982,$D$2:$D982,"*Package*"))</f>
        <v/>
      </c>
      <c r="G982" t="str">
        <f t="shared" si="33"/>
        <v/>
      </c>
      <c r="H982" s="33">
        <f>IF(ISNUMBER(SEARCH("Group",D982)),IF(G982="",E982,IFERROR(E982/COUNTIF($G2:$G6000,G982),E982)),E982)</f>
        <v>0</v>
      </c>
      <c r="I982" s="1" t="str">
        <f>IFERROR(VLOOKUP(C982,'Clients List'!A:F,6,FALSE),"")</f>
        <v/>
      </c>
      <c r="K982" s="23" t="str">
        <f>IFERROR(INDEX([2]Packages!E:E, MATCH(1, ([2]Packages!A:A=B982)*([2]Packages!B:B=C982), 0)) - SUMIFS(D$2:D982, B$2:B982, B982, C$2:C982, C982),"")</f>
        <v/>
      </c>
    </row>
    <row r="983" spans="4:11" x14ac:dyDescent="0.45">
      <c r="D983" t="str">
        <f>IFERROR(VLOOKUP(C983,'Clients List'!$A:$F,2,FALSE),"")</f>
        <v/>
      </c>
      <c r="F983" s="1" t="str">
        <f>IF(OR(C983="",NOT(ISNUMBER(SEARCH("Package",D983)))),"",VLOOKUP(C983,'Clients List'!$A:$F,4,FALSE)-SUMIFS($E$2:$E983,$C$2:$C983,C983,$D$2:$D983,"*Package*"))</f>
        <v/>
      </c>
      <c r="G983" t="str">
        <f t="shared" si="33"/>
        <v/>
      </c>
      <c r="H983" s="33">
        <f>IF(ISNUMBER(SEARCH("Group",D983)),IF(G983="",E983,IFERROR(E983/COUNTIF($G2:$G6000,G983),E983)),E983)</f>
        <v>0</v>
      </c>
      <c r="I983" s="1" t="str">
        <f>IFERROR(VLOOKUP(C983,'Clients List'!A:F,6,FALSE),"")</f>
        <v/>
      </c>
      <c r="K983" s="23" t="str">
        <f>IFERROR(INDEX([2]Packages!E:E, MATCH(1, ([2]Packages!A:A=B983)*([2]Packages!B:B=C983), 0)) - SUMIFS(D$2:D983, B$2:B983, B983, C$2:C983, C983),"")</f>
        <v/>
      </c>
    </row>
    <row r="984" spans="4:11" x14ac:dyDescent="0.45">
      <c r="D984" t="str">
        <f>IFERROR(VLOOKUP(C984,'Clients List'!$A:$F,2,FALSE),"")</f>
        <v/>
      </c>
      <c r="F984" s="1" t="str">
        <f>IF(OR(C984="",NOT(ISNUMBER(SEARCH("Package",D984)))),"",VLOOKUP(C984,'Clients List'!$A:$F,4,FALSE)-SUMIFS($E$2:$E984,$C$2:$C984,C984,$D$2:$D984,"*Package*"))</f>
        <v/>
      </c>
      <c r="G984" t="str">
        <f t="shared" si="33"/>
        <v/>
      </c>
      <c r="H984" s="33">
        <f>IF(ISNUMBER(SEARCH("Group",D984)),IF(G984="",E984,IFERROR(E984/COUNTIF($G2:$G6000,G984),E984)),E984)</f>
        <v>0</v>
      </c>
      <c r="I984" s="1" t="str">
        <f>IFERROR(VLOOKUP(C984,'Clients List'!A:F,6,FALSE),"")</f>
        <v/>
      </c>
      <c r="K984" s="23" t="str">
        <f>IFERROR(INDEX([2]Packages!E:E, MATCH(1, ([2]Packages!A:A=B984)*([2]Packages!B:B=C984), 0)) - SUMIFS(D$2:D984, B$2:B984, B984, C$2:C984, C984),"")</f>
        <v/>
      </c>
    </row>
    <row r="985" spans="4:11" x14ac:dyDescent="0.45">
      <c r="D985" t="str">
        <f>IFERROR(VLOOKUP(C985,'Clients List'!$A:$F,2,FALSE),"")</f>
        <v/>
      </c>
      <c r="F985" s="1" t="str">
        <f>IF(OR(C985="",NOT(ISNUMBER(SEARCH("Package",D985)))),"",VLOOKUP(C985,'Clients List'!$A:$F,4,FALSE)-SUMIFS($E$2:$E985,$C$2:$C985,C985,$D$2:$D985,"*Package*"))</f>
        <v/>
      </c>
      <c r="G985" t="str">
        <f t="shared" si="33"/>
        <v/>
      </c>
      <c r="H985" s="33">
        <f>IF(ISNUMBER(SEARCH("Group",D985)),IF(G985="",E985,IFERROR(E985/COUNTIF($G2:$G6000,G985),E985)),E985)</f>
        <v>0</v>
      </c>
      <c r="I985" s="1" t="str">
        <f>IFERROR(VLOOKUP(C985,'Clients List'!A:F,6,FALSE),"")</f>
        <v/>
      </c>
      <c r="K985" s="23" t="str">
        <f>IFERROR(INDEX([2]Packages!E:E, MATCH(1, ([2]Packages!A:A=B985)*([2]Packages!B:B=C985), 0)) - SUMIFS(D$2:D985, B$2:B985, B985, C$2:C985, C985),"")</f>
        <v/>
      </c>
    </row>
    <row r="986" spans="4:11" x14ac:dyDescent="0.45">
      <c r="D986" t="str">
        <f>IFERROR(VLOOKUP(C986,'Clients List'!$A:$F,2,FALSE),"")</f>
        <v/>
      </c>
      <c r="F986" s="1" t="str">
        <f>IF(OR(C986="",NOT(ISNUMBER(SEARCH("Package",D986)))),"",VLOOKUP(C986,'Clients List'!$A:$F,4,FALSE)-SUMIFS($E$2:$E986,$C$2:$C986,C986,$D$2:$D986,"*Package*"))</f>
        <v/>
      </c>
      <c r="G986" t="str">
        <f t="shared" si="33"/>
        <v/>
      </c>
      <c r="H986" s="33">
        <f>IF(ISNUMBER(SEARCH("Group",D986)),IF(G986="",E986,IFERROR(E986/COUNTIF($G2:$G6000,G986),E986)),E986)</f>
        <v>0</v>
      </c>
      <c r="I986" s="1" t="str">
        <f>IFERROR(VLOOKUP(C986,'Clients List'!A:F,6,FALSE),"")</f>
        <v/>
      </c>
      <c r="K986" s="23" t="str">
        <f>IFERROR(INDEX([2]Packages!E:E, MATCH(1, ([2]Packages!A:A=B986)*([2]Packages!B:B=C986), 0)) - SUMIFS(D$2:D986, B$2:B986, B986, C$2:C986, C986),"")</f>
        <v/>
      </c>
    </row>
    <row r="987" spans="4:11" x14ac:dyDescent="0.45">
      <c r="D987" t="str">
        <f>IFERROR(VLOOKUP(C987,'Clients List'!$A:$F,2,FALSE),"")</f>
        <v/>
      </c>
      <c r="F987" s="1" t="str">
        <f>IF(OR(C987="",NOT(ISNUMBER(SEARCH("Package",D987)))),"",VLOOKUP(C987,'Clients List'!$A:$F,4,FALSE)-SUMIFS($E$2:$E987,$C$2:$C987,C987,$D$2:$D987,"*Package*"))</f>
        <v/>
      </c>
      <c r="G987" t="str">
        <f t="shared" si="33"/>
        <v/>
      </c>
      <c r="H987" s="33">
        <f>IF(ISNUMBER(SEARCH("Group",D987)),IF(G987="",E987,IFERROR(E987/COUNTIF($G2:$G6000,G987),E987)),E987)</f>
        <v>0</v>
      </c>
      <c r="I987" s="1" t="str">
        <f>IFERROR(VLOOKUP(C987,'Clients List'!A:F,6,FALSE),"")</f>
        <v/>
      </c>
      <c r="K987" s="23" t="str">
        <f>IFERROR(INDEX([2]Packages!E:E, MATCH(1, ([2]Packages!A:A=B987)*([2]Packages!B:B=C987), 0)) - SUMIFS(D$2:D987, B$2:B987, B987, C$2:C987, C987),"")</f>
        <v/>
      </c>
    </row>
    <row r="988" spans="4:11" x14ac:dyDescent="0.45">
      <c r="D988" t="str">
        <f>IFERROR(VLOOKUP(C988,'Clients List'!$A:$F,2,FALSE),"")</f>
        <v/>
      </c>
      <c r="F988" s="1" t="str">
        <f>IF(OR(C988="",NOT(ISNUMBER(SEARCH("Package",D988)))),"",VLOOKUP(C988,'Clients List'!$A:$F,4,FALSE)-SUMIFS($E$2:$E988,$C$2:$C988,C988,$D$2:$D988,"*Package*"))</f>
        <v/>
      </c>
      <c r="G988" t="str">
        <f t="shared" si="33"/>
        <v/>
      </c>
      <c r="H988" s="33">
        <f>IF(ISNUMBER(SEARCH("Group",D988)),IF(G988="",E988,IFERROR(E988/COUNTIF($G2:$G6000,G988),E988)),E988)</f>
        <v>0</v>
      </c>
      <c r="I988" s="1" t="str">
        <f>IFERROR(VLOOKUP(C988,'Clients List'!A:F,6,FALSE),"")</f>
        <v/>
      </c>
      <c r="K988" s="23" t="str">
        <f>IFERROR(INDEX([2]Packages!E:E, MATCH(1, ([2]Packages!A:A=B988)*([2]Packages!B:B=C988), 0)) - SUMIFS(D$2:D988, B$2:B988, B988, C$2:C988, C988),"")</f>
        <v/>
      </c>
    </row>
    <row r="989" spans="4:11" x14ac:dyDescent="0.45">
      <c r="D989" t="str">
        <f>IFERROR(VLOOKUP(C989,'Clients List'!$A:$F,2,FALSE),"")</f>
        <v/>
      </c>
      <c r="F989" s="1" t="str">
        <f>IF(OR(C989="",NOT(ISNUMBER(SEARCH("Package",D989)))),"",VLOOKUP(C989,'Clients List'!$A:$F,4,FALSE)-SUMIFS($E$2:$E989,$C$2:$C989,C989,$D$2:$D989,"*Package*"))</f>
        <v/>
      </c>
      <c r="G989" t="str">
        <f t="shared" ref="G989:G1000" si="34">IF(ISNUMBER(SEARCH("Group",D989)),IFERROR("GRP-"&amp;TEXT(IF(ISNUMBER(A989),A989,DATEVALUE(A989)),"yyyymmdd"),""),"" )</f>
        <v/>
      </c>
      <c r="H989" s="33">
        <f>IF(ISNUMBER(SEARCH("Group",D989)),IF(G989="",E989,IFERROR(E989/COUNTIF($G2:$G6000,G989),E989)),E989)</f>
        <v>0</v>
      </c>
      <c r="I989" s="1" t="str">
        <f>IFERROR(VLOOKUP(C989,'Clients List'!A:F,6,FALSE),"")</f>
        <v/>
      </c>
      <c r="K989" s="23" t="str">
        <f>IFERROR(INDEX([2]Packages!E:E, MATCH(1, ([2]Packages!A:A=B989)*([2]Packages!B:B=C989), 0)) - SUMIFS(D$2:D989, B$2:B989, B989, C$2:C989, C989),"")</f>
        <v/>
      </c>
    </row>
    <row r="990" spans="4:11" x14ac:dyDescent="0.45">
      <c r="D990" t="str">
        <f>IFERROR(VLOOKUP(C990,'Clients List'!$A:$F,2,FALSE),"")</f>
        <v/>
      </c>
      <c r="F990" s="1" t="str">
        <f>IF(OR(C990="",NOT(ISNUMBER(SEARCH("Package",D990)))),"",VLOOKUP(C990,'Clients List'!$A:$F,4,FALSE)-SUMIFS($E$2:$E990,$C$2:$C990,C990,$D$2:$D990,"*Package*"))</f>
        <v/>
      </c>
      <c r="G990" t="str">
        <f t="shared" si="34"/>
        <v/>
      </c>
      <c r="H990" s="33">
        <f>IF(ISNUMBER(SEARCH("Group",D990)),IF(G990="",E990,IFERROR(E990/COUNTIF($G2:$G6000,G990),E990)),E990)</f>
        <v>0</v>
      </c>
      <c r="I990" s="1" t="str">
        <f>IFERROR(VLOOKUP(C990,'Clients List'!A:F,6,FALSE),"")</f>
        <v/>
      </c>
      <c r="K990" s="23" t="str">
        <f>IFERROR(INDEX([2]Packages!E:E, MATCH(1, ([2]Packages!A:A=B990)*([2]Packages!B:B=C990), 0)) - SUMIFS(D$2:D990, B$2:B990, B990, C$2:C990, C990),"")</f>
        <v/>
      </c>
    </row>
    <row r="991" spans="4:11" x14ac:dyDescent="0.45">
      <c r="D991" t="str">
        <f>IFERROR(VLOOKUP(C991,'Clients List'!$A:$F,2,FALSE),"")</f>
        <v/>
      </c>
      <c r="F991" s="1" t="str">
        <f>IF(OR(C991="",NOT(ISNUMBER(SEARCH("Package",D991)))),"",VLOOKUP(C991,'Clients List'!$A:$F,4,FALSE)-SUMIFS($E$2:$E991,$C$2:$C991,C991,$D$2:$D991,"*Package*"))</f>
        <v/>
      </c>
      <c r="G991" t="str">
        <f t="shared" si="34"/>
        <v/>
      </c>
      <c r="H991" s="33">
        <f>IF(ISNUMBER(SEARCH("Group",D991)),IF(G991="",E991,IFERROR(E991/COUNTIF($G2:$G6000,G991),E991)),E991)</f>
        <v>0</v>
      </c>
      <c r="I991" s="1" t="str">
        <f>IFERROR(VLOOKUP(C991,'Clients List'!A:F,6,FALSE),"")</f>
        <v/>
      </c>
      <c r="K991" s="23" t="str">
        <f>IFERROR(INDEX([2]Packages!E:E, MATCH(1, ([2]Packages!A:A=B991)*([2]Packages!B:B=C991), 0)) - SUMIFS(D$2:D991, B$2:B991, B991, C$2:C991, C991),"")</f>
        <v/>
      </c>
    </row>
    <row r="992" spans="4:11" x14ac:dyDescent="0.45">
      <c r="D992" t="str">
        <f>IFERROR(VLOOKUP(C992,'Clients List'!$A:$F,2,FALSE),"")</f>
        <v/>
      </c>
      <c r="F992" s="1" t="str">
        <f>IF(OR(C992="",NOT(ISNUMBER(SEARCH("Package",D992)))),"",VLOOKUP(C992,'Clients List'!$A:$F,4,FALSE)-SUMIFS($E$2:$E992,$C$2:$C992,C992,$D$2:$D992,"*Package*"))</f>
        <v/>
      </c>
      <c r="G992" t="str">
        <f t="shared" si="34"/>
        <v/>
      </c>
      <c r="H992" s="33">
        <f>IF(ISNUMBER(SEARCH("Group",D992)),IF(G992="",E992,IFERROR(E992/COUNTIF($G2:$G6000,G992),E992)),E992)</f>
        <v>0</v>
      </c>
      <c r="I992" s="1" t="str">
        <f>IFERROR(VLOOKUP(C992,'Clients List'!A:F,6,FALSE),"")</f>
        <v/>
      </c>
      <c r="K992" s="23" t="str">
        <f>IFERROR(INDEX([2]Packages!E:E, MATCH(1, ([2]Packages!A:A=B992)*([2]Packages!B:B=C992), 0)) - SUMIFS(D$2:D992, B$2:B992, B992, C$2:C992, C992),"")</f>
        <v/>
      </c>
    </row>
    <row r="993" spans="1:11" x14ac:dyDescent="0.45">
      <c r="D993" t="str">
        <f>IFERROR(VLOOKUP(C993,'Clients List'!$A:$F,2,FALSE),"")</f>
        <v/>
      </c>
      <c r="F993" s="1" t="str">
        <f>IF(OR(C993="",NOT(ISNUMBER(SEARCH("Package",D993)))),"",VLOOKUP(C993,'Clients List'!$A:$F,4,FALSE)-SUMIFS($E$2:$E993,$C$2:$C993,C993,$D$2:$D993,"*Package*"))</f>
        <v/>
      </c>
      <c r="G993" t="str">
        <f t="shared" si="34"/>
        <v/>
      </c>
      <c r="H993" s="33">
        <f>IF(ISNUMBER(SEARCH("Group",D993)),IF(G993="",E993,IFERROR(E993/COUNTIF($G2:$G6000,G993),E993)),E993)</f>
        <v>0</v>
      </c>
      <c r="I993" s="1" t="str">
        <f>IFERROR(VLOOKUP(C993,'Clients List'!A:F,6,FALSE),"")</f>
        <v/>
      </c>
      <c r="K993" s="23" t="str">
        <f>IFERROR(INDEX([2]Packages!E:E, MATCH(1, ([2]Packages!A:A=B993)*([2]Packages!B:B=C993), 0)) - SUMIFS(D$2:D993, B$2:B993, B993, C$2:C993, C993),"")</f>
        <v/>
      </c>
    </row>
    <row r="994" spans="1:11" x14ac:dyDescent="0.45">
      <c r="D994" t="str">
        <f>IFERROR(VLOOKUP(C994,'Clients List'!$A:$F,2,FALSE),"")</f>
        <v/>
      </c>
      <c r="F994" s="1" t="str">
        <f>IF(OR(C994="",NOT(ISNUMBER(SEARCH("Package",D994)))),"",VLOOKUP(C994,'Clients List'!$A:$F,4,FALSE)-SUMIFS($E$2:$E994,$C$2:$C994,C994,$D$2:$D994,"*Package*"))</f>
        <v/>
      </c>
      <c r="G994" t="str">
        <f t="shared" si="34"/>
        <v/>
      </c>
      <c r="H994" s="33">
        <f>IF(ISNUMBER(SEARCH("Group",D994)),IF(G994="",E994,IFERROR(E994/COUNTIF($G2:$G6000,G994),E994)),E994)</f>
        <v>0</v>
      </c>
      <c r="I994" s="1" t="str">
        <f>IFERROR(VLOOKUP(C994,'Clients List'!A:F,6,FALSE),"")</f>
        <v/>
      </c>
      <c r="K994" s="23" t="str">
        <f>IFERROR(INDEX([2]Packages!E:E, MATCH(1, ([2]Packages!A:A=B994)*([2]Packages!B:B=C994), 0)) - SUMIFS(D$2:D994, B$2:B994, B994, C$2:C994, C994),"")</f>
        <v/>
      </c>
    </row>
    <row r="995" spans="1:11" x14ac:dyDescent="0.45">
      <c r="D995" t="str">
        <f>IFERROR(VLOOKUP(C995,'Clients List'!$A:$F,2,FALSE),"")</f>
        <v/>
      </c>
      <c r="F995" s="1" t="str">
        <f>IF(OR(C995="",NOT(ISNUMBER(SEARCH("Package",D995)))),"",VLOOKUP(C995,'Clients List'!$A:$F,4,FALSE)-SUMIFS($E$2:$E995,$C$2:$C995,C995,$D$2:$D995,"*Package*"))</f>
        <v/>
      </c>
      <c r="G995" t="str">
        <f t="shared" si="34"/>
        <v/>
      </c>
      <c r="H995" s="33">
        <f>IF(ISNUMBER(SEARCH("Group",D995)),IF(G995="",E995,IFERROR(E995/COUNTIF($G2:$G6000,G995),E995)),E995)</f>
        <v>0</v>
      </c>
      <c r="I995" s="1" t="str">
        <f>IFERROR(VLOOKUP(C995,'Clients List'!A:F,6,FALSE),"")</f>
        <v/>
      </c>
      <c r="K995" s="23" t="str">
        <f>IFERROR(INDEX([2]Packages!E:E, MATCH(1, ([2]Packages!A:A=B995)*([2]Packages!B:B=C995), 0)) - SUMIFS(D$2:D995, B$2:B995, B995, C$2:C995, C995),"")</f>
        <v/>
      </c>
    </row>
    <row r="996" spans="1:11" x14ac:dyDescent="0.45">
      <c r="D996" t="str">
        <f>IFERROR(VLOOKUP(C996,'Clients List'!$A:$F,2,FALSE),"")</f>
        <v/>
      </c>
      <c r="F996" s="1" t="str">
        <f>IF(OR(C996="",NOT(ISNUMBER(SEARCH("Package",D996)))),"",VLOOKUP(C996,'Clients List'!$A:$F,4,FALSE)-SUMIFS($E$2:$E996,$C$2:$C996,C996,$D$2:$D996,"*Package*"))</f>
        <v/>
      </c>
      <c r="G996" t="str">
        <f t="shared" si="34"/>
        <v/>
      </c>
      <c r="H996" s="33">
        <f>IF(ISNUMBER(SEARCH("Group",D996)),IF(G996="",E996,IFERROR(E996/COUNTIF($G2:$G6000,G996),E996)),E996)</f>
        <v>0</v>
      </c>
      <c r="I996" s="1" t="str">
        <f>IFERROR(VLOOKUP(C996,'Clients List'!A:F,6,FALSE),"")</f>
        <v/>
      </c>
      <c r="K996" s="23" t="str">
        <f>IFERROR(INDEX([2]Packages!E:E, MATCH(1, ([2]Packages!A:A=B996)*([2]Packages!B:B=C996), 0)) - SUMIFS(D$2:D996, B$2:B996, B996, C$2:C996, C996),"")</f>
        <v/>
      </c>
    </row>
    <row r="997" spans="1:11" x14ac:dyDescent="0.45">
      <c r="D997" t="str">
        <f>IFERROR(VLOOKUP(C997,'Clients List'!$A:$F,2,FALSE),"")</f>
        <v/>
      </c>
      <c r="F997" s="1" t="str">
        <f>IF(OR(C997="",NOT(ISNUMBER(SEARCH("Package",D997)))),"",VLOOKUP(C997,'Clients List'!$A:$F,4,FALSE)-SUMIFS($E$2:$E997,$C$2:$C997,C997,$D$2:$D997,"*Package*"))</f>
        <v/>
      </c>
      <c r="G997" t="str">
        <f t="shared" si="34"/>
        <v/>
      </c>
      <c r="H997" s="33">
        <f>IF(ISNUMBER(SEARCH("Group",D997)),IF(G997="",E997,IFERROR(E997/COUNTIF($G2:$G6000,G997),E997)),E997)</f>
        <v>0</v>
      </c>
      <c r="I997" s="1" t="str">
        <f>IFERROR(VLOOKUP(C997,'Clients List'!A:F,6,FALSE),"")</f>
        <v/>
      </c>
      <c r="K997" s="23" t="str">
        <f>IFERROR(INDEX([2]Packages!E:E, MATCH(1, ([2]Packages!A:A=B997)*([2]Packages!B:B=C997), 0)) - SUMIFS(D$2:D997, B$2:B997, B997, C$2:C997, C997),"")</f>
        <v/>
      </c>
    </row>
    <row r="998" spans="1:11" x14ac:dyDescent="0.45">
      <c r="D998" t="str">
        <f>IFERROR(VLOOKUP(C998,'Clients List'!$A:$F,2,FALSE),"")</f>
        <v/>
      </c>
      <c r="F998" s="1" t="str">
        <f>IF(OR(C998="",NOT(ISNUMBER(SEARCH("Package",D998)))),"",VLOOKUP(C998,'Clients List'!$A:$F,4,FALSE)-SUMIFS($E$2:$E998,$C$2:$C998,C998,$D$2:$D998,"*Package*"))</f>
        <v/>
      </c>
      <c r="G998" t="str">
        <f t="shared" si="34"/>
        <v/>
      </c>
      <c r="H998" s="33">
        <f>IF(ISNUMBER(SEARCH("Group",D998)),IF(G998="",E998,IFERROR(E998/COUNTIF($G2:$G6000,G998),E998)),E998)</f>
        <v>0</v>
      </c>
      <c r="I998" s="1" t="str">
        <f>IFERROR(VLOOKUP(C998,'Clients List'!A:F,6,FALSE),"")</f>
        <v/>
      </c>
      <c r="K998" s="23" t="str">
        <f>IFERROR(INDEX([2]Packages!E:E, MATCH(1, ([2]Packages!A:A=B998)*([2]Packages!B:B=C998), 0)) - SUMIFS(D$2:D998, B$2:B998, B998, C$2:C998, C998),"")</f>
        <v/>
      </c>
    </row>
    <row r="999" spans="1:11" x14ac:dyDescent="0.45">
      <c r="D999" t="str">
        <f>IFERROR(VLOOKUP(C999,'Clients List'!$A:$F,2,FALSE),"")</f>
        <v/>
      </c>
      <c r="F999" s="1" t="str">
        <f>IF(OR(C999="",NOT(ISNUMBER(SEARCH("Package",D999)))),"",VLOOKUP(C999,'Clients List'!$A:$F,4,FALSE)-SUMIFS($E$2:$E999,$C$2:$C999,C999,$D$2:$D999,"*Package*"))</f>
        <v/>
      </c>
      <c r="G999" t="str">
        <f t="shared" si="34"/>
        <v/>
      </c>
      <c r="H999" s="33">
        <f>IF(ISNUMBER(SEARCH("Group",D999)),IF(G999="",E999,IFERROR(E999/COUNTIF($G2:$G6000,G999),E999)),E999)</f>
        <v>0</v>
      </c>
      <c r="I999" s="1" t="str">
        <f>IFERROR(VLOOKUP(C999,'Clients List'!A:F,6,FALSE),"")</f>
        <v/>
      </c>
      <c r="K999" s="23" t="str">
        <f>IFERROR(INDEX([2]Packages!E:E, MATCH(1, ([2]Packages!A:A=B999)*([2]Packages!B:B=C999), 0)) - SUMIFS(D$2:D999, B$2:B999, B999, C$2:C999, C999),"")</f>
        <v/>
      </c>
    </row>
    <row r="1000" spans="1:11" x14ac:dyDescent="0.45">
      <c r="D1000" t="str">
        <f>IFERROR(VLOOKUP(C1000,'Clients List'!$A:$F,2,FALSE),"")</f>
        <v/>
      </c>
      <c r="F1000" s="1" t="str">
        <f>IF(OR(C1000="",NOT(ISNUMBER(SEARCH("Package",D1000)))),"",VLOOKUP(C1000,'Clients List'!$A:$F,4,FALSE)-SUMIFS($E$2:$E1000,$C$2:$C1000,C1000,$D$2:$D1000,"*Package*"))</f>
        <v/>
      </c>
      <c r="G1000" t="str">
        <f t="shared" si="34"/>
        <v/>
      </c>
      <c r="H1000" s="33">
        <f>IF(ISNUMBER(SEARCH("Group",D1000)),IF(G1000="",E1000,IFERROR(E1000/COUNTIF($G2:$G6000,G1000),E1000)),E1000)</f>
        <v>0</v>
      </c>
      <c r="I1000" s="1" t="str">
        <f>IFERROR(VLOOKUP(C1000,'Clients List'!A:F,6,FALSE),"")</f>
        <v/>
      </c>
      <c r="K1000" s="23" t="str">
        <f>IFERROR(INDEX([2]Packages!E:E, MATCH(1, ([2]Packages!A:A=B1000)*([2]Packages!B:B=C1000), 0)) - SUMIFS(D$2:D1000, B$2:B1000, B1000, C$2:C1000, C1000),"")</f>
        <v/>
      </c>
    </row>
    <row r="1001" spans="1:11" x14ac:dyDescent="0.45">
      <c r="A1001" s="8"/>
      <c r="C1001" s="9"/>
      <c r="D1001" s="10" t="str">
        <f>IFERROR(VLOOKUP(C1001,'Clients List'!$A:$F,2,FALSE),"")</f>
        <v/>
      </c>
      <c r="E1001" s="21">
        <f>SUM(E861:E1000)</f>
        <v>0</v>
      </c>
      <c r="F1001" s="1" t="str">
        <f>IF(OR(C1001="",NOT(ISNUMBER(SEARCH("Package",D1001)))),"",VLOOKUP(C1001,'Clients List'!$A:$F,4,FALSE)-SUMIFS($E$2:$E1001,$C$2:$C1001,C1001,$D$2:$D1001,"*Package*"))</f>
        <v/>
      </c>
      <c r="H1001" s="33">
        <f>SUM(H861:H1000)</f>
        <v>0</v>
      </c>
      <c r="I1001" s="11" t="str">
        <f>IFERROR(VLOOKUP(C1001,'Clients List'!A:F,6,FALSE),"")</f>
        <v/>
      </c>
    </row>
    <row r="1002" spans="1:11" x14ac:dyDescent="0.45">
      <c r="D1002" t="str">
        <f>IFERROR(VLOOKUP(C1002,'Clients List'!$A:$F,2,FALSE),"")</f>
        <v/>
      </c>
      <c r="F1002" s="1" t="str">
        <f>IF(OR(C1002="",NOT(ISNUMBER(SEARCH("Package",D1002)))),"",VLOOKUP(C1002,'Clients List'!$A:$F,4,FALSE)-SUMIFS($E$2:$E1002,$C$2:$C1002,C1002,$D$2:$D1002,"*Package*"))</f>
        <v/>
      </c>
      <c r="G1002" t="str">
        <f>IF(ISNUMBER(SEARCH("Group",D1002)),IFERROR("GRP-"&amp;TEXT(IF(ISNUMBER(A1002),A1002,DATEVALUE(A1002)),"yyyymmdd"),""),"" )</f>
        <v/>
      </c>
      <c r="H1002" s="33">
        <f>IF(ISNUMBER(SEARCH("Group",D1002)),IF(G1002="",E1002,IFERROR(E1002/COUNTIF($G2:$G6000,G1002),E1002)),E1002)</f>
        <v>0</v>
      </c>
      <c r="I1002" s="1" t="str">
        <f>IFERROR(VLOOKUP(C1002,'Clients List'!A:F,6,FALSE),"")</f>
        <v/>
      </c>
    </row>
    <row r="1003" spans="1:11" x14ac:dyDescent="0.45">
      <c r="A1003" s="14" t="s">
        <v>22</v>
      </c>
      <c r="D1003" t="str">
        <f>IFERROR(VLOOKUP(C1003,'Clients List'!$A:$F,2,FALSE),"")</f>
        <v/>
      </c>
      <c r="F1003" s="1" t="str">
        <f>IF(OR(C1003="",NOT(ISNUMBER(SEARCH("Package",D1003)))),"",VLOOKUP(C1003,'Clients List'!$A:$F,4,FALSE)-SUMIFS($E$2:$E1003,$C$2:$C1003,C1003,$D$2:$D1003,"*Package*"))</f>
        <v/>
      </c>
      <c r="H1003" s="33"/>
      <c r="I1003" s="1" t="str">
        <f>IFERROR(VLOOKUP(C1003,'Clients List'!A:F,6,FALSE),"")</f>
        <v/>
      </c>
    </row>
    <row r="1004" spans="1:11" x14ac:dyDescent="0.45">
      <c r="D1004" t="str">
        <f>IFERROR(VLOOKUP(C1004,'Clients List'!$A:$F,2,FALSE),"")</f>
        <v/>
      </c>
      <c r="F1004" s="1" t="str">
        <f>IF(OR(C1004="",NOT(ISNUMBER(SEARCH("Package",D1004)))),"",VLOOKUP(C1004,'Clients List'!$A:$F,4,FALSE)-SUMIFS($E$2:$E1004,$C$2:$C1004,C1004,$D$2:$D1004,"*Package*"))</f>
        <v/>
      </c>
      <c r="G1004" t="str">
        <f t="shared" ref="G1004:G1035" si="35">IF(ISNUMBER(SEARCH("Group",D1004)),IFERROR("GRP-"&amp;TEXT(IF(ISNUMBER(A1004),A1004,DATEVALUE(A1004)),"yyyymmdd"),""),"" )</f>
        <v/>
      </c>
      <c r="H1004" s="33">
        <f>IF(ISNUMBER(SEARCH("Group",D1004)),IF(G1004="",E1004,IFERROR(E1004/COUNTIF($G2:$G6000,G1004),E1004)),E1004)</f>
        <v>0</v>
      </c>
      <c r="I1004" s="1" t="str">
        <f>IFERROR(VLOOKUP(C1004,'Clients List'!A:F,6,FALSE),"")</f>
        <v/>
      </c>
    </row>
    <row r="1005" spans="1:11" x14ac:dyDescent="0.45">
      <c r="D1005" t="str">
        <f>IFERROR(VLOOKUP(C1005,'Clients List'!$A:$F,2,FALSE),"")</f>
        <v/>
      </c>
      <c r="F1005" s="1" t="str">
        <f>IF(OR(C1005="",NOT(ISNUMBER(SEARCH("Package",D1005)))),"",VLOOKUP(C1005,'Clients List'!$A:$F,4,FALSE)-SUMIFS($E$2:$E1005,$C$2:$C1005,C1005,$D$2:$D1005,"*Package*"))</f>
        <v/>
      </c>
      <c r="G1005" t="str">
        <f t="shared" si="35"/>
        <v/>
      </c>
      <c r="H1005" s="33">
        <f>IF(ISNUMBER(SEARCH("Group",D1005)),IF(G1005="",E1005,IFERROR(E1005/COUNTIF($G2:$G6000,G1005),E1005)),E1005)</f>
        <v>0</v>
      </c>
      <c r="I1005" s="1" t="str">
        <f>IFERROR(VLOOKUP(C1005,'Clients List'!A:F,6,FALSE),"")</f>
        <v/>
      </c>
    </row>
    <row r="1006" spans="1:11" x14ac:dyDescent="0.45">
      <c r="D1006" t="str">
        <f>IFERROR(VLOOKUP(C1006,'Clients List'!$A:$F,2,FALSE),"")</f>
        <v/>
      </c>
      <c r="F1006" s="1" t="str">
        <f>IF(OR(C1006="",NOT(ISNUMBER(SEARCH("Package",D1006)))),"",VLOOKUP(C1006,'Clients List'!$A:$F,4,FALSE)-SUMIFS($E$2:$E1006,$C$2:$C1006,C1006,$D$2:$D1006,"*Package*"))</f>
        <v/>
      </c>
      <c r="G1006" t="str">
        <f t="shared" si="35"/>
        <v/>
      </c>
      <c r="H1006" s="33">
        <f>IF(ISNUMBER(SEARCH("Group",D1006)),IF(G1006="",E1006,IFERROR(E1006/COUNTIF($G2:$G6000,G1006),E1006)),E1006)</f>
        <v>0</v>
      </c>
      <c r="I1006" s="1" t="str">
        <f>IFERROR(VLOOKUP(C1006,'Clients List'!A:F,6,FALSE),"")</f>
        <v/>
      </c>
    </row>
    <row r="1007" spans="1:11" x14ac:dyDescent="0.45">
      <c r="D1007" t="str">
        <f>IFERROR(VLOOKUP(C1007,'Clients List'!$A:$F,2,FALSE),"")</f>
        <v/>
      </c>
      <c r="F1007" s="1" t="str">
        <f>IF(OR(C1007="",NOT(ISNUMBER(SEARCH("Package",D1007)))),"",VLOOKUP(C1007,'Clients List'!$A:$F,4,FALSE)-SUMIFS($E$2:$E1007,$C$2:$C1007,C1007,$D$2:$D1007,"*Package*"))</f>
        <v/>
      </c>
      <c r="G1007" t="str">
        <f t="shared" si="35"/>
        <v/>
      </c>
      <c r="H1007" s="33">
        <f>IF(ISNUMBER(SEARCH("Group",D1007)),IF(G1007="",E1007,IFERROR(E1007/COUNTIF($G2:$G6000,G1007),E1007)),E1007)</f>
        <v>0</v>
      </c>
      <c r="I1007" s="1" t="str">
        <f>IFERROR(VLOOKUP(C1007,'Clients List'!A:F,6,FALSE),"")</f>
        <v/>
      </c>
    </row>
    <row r="1008" spans="1:11" x14ac:dyDescent="0.45">
      <c r="D1008" t="str">
        <f>IFERROR(VLOOKUP(C1008,'Clients List'!$A:$F,2,FALSE),"")</f>
        <v/>
      </c>
      <c r="F1008" s="1" t="str">
        <f>IF(OR(C1008="",NOT(ISNUMBER(SEARCH("Package",D1008)))),"",VLOOKUP(C1008,'Clients List'!$A:$F,4,FALSE)-SUMIFS($E$2:$E1008,$C$2:$C1008,C1008,$D$2:$D1008,"*Package*"))</f>
        <v/>
      </c>
      <c r="G1008" t="str">
        <f t="shared" si="35"/>
        <v/>
      </c>
      <c r="H1008" s="33">
        <f>IF(ISNUMBER(SEARCH("Group",D1008)),IF(G1008="",E1008,IFERROR(E1008/COUNTIF($G2:$G6000,G1008),E1008)),E1008)</f>
        <v>0</v>
      </c>
      <c r="I1008" s="1" t="str">
        <f>IFERROR(VLOOKUP(C1008,'Clients List'!A:F,6,FALSE),"")</f>
        <v/>
      </c>
    </row>
    <row r="1009" spans="4:9" x14ac:dyDescent="0.45">
      <c r="D1009" t="str">
        <f>IFERROR(VLOOKUP(C1009,'Clients List'!$A:$F,2,FALSE),"")</f>
        <v/>
      </c>
      <c r="F1009" s="1" t="str">
        <f>IF(OR(C1009="",NOT(ISNUMBER(SEARCH("Package",D1009)))),"",VLOOKUP(C1009,'Clients List'!$A:$F,4,FALSE)-SUMIFS($E$2:$E1009,$C$2:$C1009,C1009,$D$2:$D1009,"*Package*"))</f>
        <v/>
      </c>
      <c r="G1009" t="str">
        <f t="shared" si="35"/>
        <v/>
      </c>
      <c r="H1009" s="33">
        <f>IF(ISNUMBER(SEARCH("Group",D1009)),IF(G1009="",E1009,IFERROR(E1009/COUNTIF($G2:$G6000,G1009),E1009)),E1009)</f>
        <v>0</v>
      </c>
      <c r="I1009" s="1" t="str">
        <f>IFERROR(VLOOKUP(C1009,'Clients List'!A:F,6,FALSE),"")</f>
        <v/>
      </c>
    </row>
    <row r="1010" spans="4:9" x14ac:dyDescent="0.45">
      <c r="D1010" t="str">
        <f>IFERROR(VLOOKUP(C1010,'Clients List'!$A:$F,2,FALSE),"")</f>
        <v/>
      </c>
      <c r="F1010" s="1" t="str">
        <f>IF(OR(C1010="",NOT(ISNUMBER(SEARCH("Package",D1010)))),"",VLOOKUP(C1010,'Clients List'!$A:$F,4,FALSE)-SUMIFS($E$2:$E1010,$C$2:$C1010,C1010,$D$2:$D1010,"*Package*"))</f>
        <v/>
      </c>
      <c r="G1010" t="str">
        <f t="shared" si="35"/>
        <v/>
      </c>
      <c r="H1010" s="33">
        <f>IF(ISNUMBER(SEARCH("Group",D1010)),IF(G1010="",E1010,IFERROR(E1010/COUNTIF($G2:$G6000,G1010),E1010)),E1010)</f>
        <v>0</v>
      </c>
      <c r="I1010" s="1" t="str">
        <f>IFERROR(VLOOKUP(C1010,'Clients List'!A:F,6,FALSE),"")</f>
        <v/>
      </c>
    </row>
    <row r="1011" spans="4:9" x14ac:dyDescent="0.45">
      <c r="D1011" t="str">
        <f>IFERROR(VLOOKUP(C1011,'Clients List'!$A:$F,2,FALSE),"")</f>
        <v/>
      </c>
      <c r="F1011" s="1" t="str">
        <f>IF(OR(C1011="",NOT(ISNUMBER(SEARCH("Package",D1011)))),"",VLOOKUP(C1011,'Clients List'!$A:$F,4,FALSE)-SUMIFS($E$2:$E1011,$C$2:$C1011,C1011,$D$2:$D1011,"*Package*"))</f>
        <v/>
      </c>
      <c r="G1011" t="str">
        <f t="shared" si="35"/>
        <v/>
      </c>
      <c r="H1011" s="33">
        <f>IF(ISNUMBER(SEARCH("Group",D1011)),IF(G1011="",E1011,IFERROR(E1011/COUNTIF($G2:$G6000,G1011),E1011)),E1011)</f>
        <v>0</v>
      </c>
      <c r="I1011" s="1" t="str">
        <f>IFERROR(VLOOKUP(C1011,'Clients List'!A:F,6,FALSE),"")</f>
        <v/>
      </c>
    </row>
    <row r="1012" spans="4:9" x14ac:dyDescent="0.45">
      <c r="D1012" t="str">
        <f>IFERROR(VLOOKUP(C1012,'Clients List'!$A:$F,2,FALSE),"")</f>
        <v/>
      </c>
      <c r="F1012" s="1" t="str">
        <f>IF(OR(C1012="",NOT(ISNUMBER(SEARCH("Package",D1012)))),"",VLOOKUP(C1012,'Clients List'!$A:$F,4,FALSE)-SUMIFS($E$2:$E1012,$C$2:$C1012,C1012,$D$2:$D1012,"*Package*"))</f>
        <v/>
      </c>
      <c r="G1012" t="str">
        <f t="shared" si="35"/>
        <v/>
      </c>
      <c r="H1012" s="33">
        <f>IF(ISNUMBER(SEARCH("Group",D1012)),IF(G1012="",E1012,IFERROR(E1012/COUNTIF($G2:$G6000,G1012),E1012)),E1012)</f>
        <v>0</v>
      </c>
      <c r="I1012" s="1" t="str">
        <f>IFERROR(VLOOKUP(C1012,'Clients List'!A:F,6,FALSE),"")</f>
        <v/>
      </c>
    </row>
    <row r="1013" spans="4:9" x14ac:dyDescent="0.45">
      <c r="D1013" t="str">
        <f>IFERROR(VLOOKUP(C1013,'Clients List'!$A:$F,2,FALSE),"")</f>
        <v/>
      </c>
      <c r="F1013" s="1" t="str">
        <f>IF(OR(C1013="",NOT(ISNUMBER(SEARCH("Package",D1013)))),"",VLOOKUP(C1013,'Clients List'!$A:$F,4,FALSE)-SUMIFS($E$2:$E1013,$C$2:$C1013,C1013,$D$2:$D1013,"*Package*"))</f>
        <v/>
      </c>
      <c r="G1013" t="str">
        <f t="shared" si="35"/>
        <v/>
      </c>
      <c r="H1013" s="33">
        <f>IF(ISNUMBER(SEARCH("Group",D1013)),IF(G1013="",E1013,IFERROR(E1013/COUNTIF($G2:$G6000,G1013),E1013)),E1013)</f>
        <v>0</v>
      </c>
      <c r="I1013" s="1" t="str">
        <f>IFERROR(VLOOKUP(C1013,'Clients List'!A:F,6,FALSE),"")</f>
        <v/>
      </c>
    </row>
    <row r="1014" spans="4:9" x14ac:dyDescent="0.45">
      <c r="D1014" t="str">
        <f>IFERROR(VLOOKUP(C1014,'Clients List'!$A:$F,2,FALSE),"")</f>
        <v/>
      </c>
      <c r="F1014" s="1" t="str">
        <f>IF(OR(C1014="",NOT(ISNUMBER(SEARCH("Package",D1014)))),"",VLOOKUP(C1014,'Clients List'!$A:$F,4,FALSE)-SUMIFS($E$2:$E1014,$C$2:$C1014,C1014,$D$2:$D1014,"*Package*"))</f>
        <v/>
      </c>
      <c r="G1014" t="str">
        <f t="shared" si="35"/>
        <v/>
      </c>
      <c r="H1014" s="33">
        <f>IF(ISNUMBER(SEARCH("Group",D1014)),IF(G1014="",E1014,IFERROR(E1014/COUNTIF($G2:$G6000,G1014),E1014)),E1014)</f>
        <v>0</v>
      </c>
      <c r="I1014" s="1" t="str">
        <f>IFERROR(VLOOKUP(C1014,'Clients List'!A:F,6,FALSE),"")</f>
        <v/>
      </c>
    </row>
    <row r="1015" spans="4:9" x14ac:dyDescent="0.45">
      <c r="D1015" t="str">
        <f>IFERROR(VLOOKUP(C1015,'Clients List'!$A:$F,2,FALSE),"")</f>
        <v/>
      </c>
      <c r="F1015" s="1" t="str">
        <f>IF(OR(C1015="",NOT(ISNUMBER(SEARCH("Package",D1015)))),"",VLOOKUP(C1015,'Clients List'!$A:$F,4,FALSE)-SUMIFS($E$2:$E1015,$C$2:$C1015,C1015,$D$2:$D1015,"*Package*"))</f>
        <v/>
      </c>
      <c r="G1015" t="str">
        <f t="shared" si="35"/>
        <v/>
      </c>
      <c r="H1015" s="33">
        <f>IF(ISNUMBER(SEARCH("Group",D1015)),IF(G1015="",E1015,IFERROR(E1015/COUNTIF($G2:$G6000,G1015),E1015)),E1015)</f>
        <v>0</v>
      </c>
      <c r="I1015" s="1" t="str">
        <f>IFERROR(VLOOKUP(C1015,'Clients List'!A:F,6,FALSE),"")</f>
        <v/>
      </c>
    </row>
    <row r="1016" spans="4:9" x14ac:dyDescent="0.45">
      <c r="D1016" t="str">
        <f>IFERROR(VLOOKUP(C1016,'Clients List'!$A:$F,2,FALSE),"")</f>
        <v/>
      </c>
      <c r="F1016" s="1" t="str">
        <f>IF(OR(C1016="",NOT(ISNUMBER(SEARCH("Package",D1016)))),"",VLOOKUP(C1016,'Clients List'!$A:$F,4,FALSE)-SUMIFS($E$2:$E1016,$C$2:$C1016,C1016,$D$2:$D1016,"*Package*"))</f>
        <v/>
      </c>
      <c r="G1016" t="str">
        <f t="shared" si="35"/>
        <v/>
      </c>
      <c r="H1016" s="33">
        <f>IF(ISNUMBER(SEARCH("Group",D1016)),IF(G1016="",E1016,IFERROR(E1016/COUNTIF($G2:$G6000,G1016),E1016)),E1016)</f>
        <v>0</v>
      </c>
      <c r="I1016" s="1" t="str">
        <f>IFERROR(VLOOKUP(C1016,'Clients List'!A:F,6,FALSE),"")</f>
        <v/>
      </c>
    </row>
    <row r="1017" spans="4:9" x14ac:dyDescent="0.45">
      <c r="D1017" t="str">
        <f>IFERROR(VLOOKUP(C1017,'Clients List'!$A:$F,2,FALSE),"")</f>
        <v/>
      </c>
      <c r="F1017" s="1" t="str">
        <f>IF(OR(C1017="",NOT(ISNUMBER(SEARCH("Package",D1017)))),"",VLOOKUP(C1017,'Clients List'!$A:$F,4,FALSE)-SUMIFS($E$2:$E1017,$C$2:$C1017,C1017,$D$2:$D1017,"*Package*"))</f>
        <v/>
      </c>
      <c r="G1017" t="str">
        <f t="shared" si="35"/>
        <v/>
      </c>
      <c r="H1017" s="33">
        <f>IF(ISNUMBER(SEARCH("Group",D1017)),IF(G1017="",E1017,IFERROR(E1017/COUNTIF($G2:$G6000,G1017),E1017)),E1017)</f>
        <v>0</v>
      </c>
      <c r="I1017" s="1" t="str">
        <f>IFERROR(VLOOKUP(C1017,'Clients List'!A:F,6,FALSE),"")</f>
        <v/>
      </c>
    </row>
    <row r="1018" spans="4:9" x14ac:dyDescent="0.45">
      <c r="D1018" t="str">
        <f>IFERROR(VLOOKUP(C1018,'Clients List'!$A:$F,2,FALSE),"")</f>
        <v/>
      </c>
      <c r="F1018" s="1" t="str">
        <f>IF(OR(C1018="",NOT(ISNUMBER(SEARCH("Package",D1018)))),"",VLOOKUP(C1018,'Clients List'!$A:$F,4,FALSE)-SUMIFS($E$2:$E1018,$C$2:$C1018,C1018,$D$2:$D1018,"*Package*"))</f>
        <v/>
      </c>
      <c r="G1018" t="str">
        <f t="shared" si="35"/>
        <v/>
      </c>
      <c r="H1018" s="33">
        <f>IF(ISNUMBER(SEARCH("Group",D1018)),IF(G1018="",E1018,IFERROR(E1018/COUNTIF($G2:$G6000,G1018),E1018)),E1018)</f>
        <v>0</v>
      </c>
      <c r="I1018" s="1" t="str">
        <f>IFERROR(VLOOKUP(C1018,'Clients List'!A:F,6,FALSE),"")</f>
        <v/>
      </c>
    </row>
    <row r="1019" spans="4:9" x14ac:dyDescent="0.45">
      <c r="D1019" t="str">
        <f>IFERROR(VLOOKUP(C1019,'Clients List'!$A:$F,2,FALSE),"")</f>
        <v/>
      </c>
      <c r="F1019" s="1" t="str">
        <f>IF(OR(C1019="",NOT(ISNUMBER(SEARCH("Package",D1019)))),"",VLOOKUP(C1019,'Clients List'!$A:$F,4,FALSE)-SUMIFS($E$2:$E1019,$C$2:$C1019,C1019,$D$2:$D1019,"*Package*"))</f>
        <v/>
      </c>
      <c r="G1019" t="str">
        <f t="shared" si="35"/>
        <v/>
      </c>
      <c r="H1019" s="33">
        <f>IF(ISNUMBER(SEARCH("Group",D1019)),IF(G1019="",E1019,IFERROR(E1019/COUNTIF($G2:$G6000,G1019),E1019)),E1019)</f>
        <v>0</v>
      </c>
      <c r="I1019" s="1" t="str">
        <f>IFERROR(VLOOKUP(C1019,'Clients List'!A:F,6,FALSE),"")</f>
        <v/>
      </c>
    </row>
    <row r="1020" spans="4:9" x14ac:dyDescent="0.45">
      <c r="D1020" t="str">
        <f>IFERROR(VLOOKUP(C1020,'Clients List'!$A:$F,2,FALSE),"")</f>
        <v/>
      </c>
      <c r="F1020" s="1" t="str">
        <f>IF(OR(C1020="",NOT(ISNUMBER(SEARCH("Package",D1020)))),"",VLOOKUP(C1020,'Clients List'!$A:$F,4,FALSE)-SUMIFS($E$2:$E1020,$C$2:$C1020,C1020,$D$2:$D1020,"*Package*"))</f>
        <v/>
      </c>
      <c r="G1020" t="str">
        <f t="shared" si="35"/>
        <v/>
      </c>
      <c r="H1020" s="33">
        <f>IF(ISNUMBER(SEARCH("Group",D1020)),IF(G1020="",E1020,IFERROR(E1020/COUNTIF($G2:$G6000,G1020),E1020)),E1020)</f>
        <v>0</v>
      </c>
      <c r="I1020" s="1" t="str">
        <f>IFERROR(VLOOKUP(C1020,'Clients List'!A:F,6,FALSE),"")</f>
        <v/>
      </c>
    </row>
    <row r="1021" spans="4:9" x14ac:dyDescent="0.45">
      <c r="D1021" t="str">
        <f>IFERROR(VLOOKUP(C1021,'Clients List'!$A:$F,2,FALSE),"")</f>
        <v/>
      </c>
      <c r="F1021" s="1" t="str">
        <f>IF(OR(C1021="",NOT(ISNUMBER(SEARCH("Package",D1021)))),"",VLOOKUP(C1021,'Clients List'!$A:$F,4,FALSE)-SUMIFS($E$2:$E1021,$C$2:$C1021,C1021,$D$2:$D1021,"*Package*"))</f>
        <v/>
      </c>
      <c r="G1021" t="str">
        <f t="shared" si="35"/>
        <v/>
      </c>
      <c r="H1021" s="33">
        <f>IF(ISNUMBER(SEARCH("Group",D1021)),IF(G1021="",E1021,IFERROR(E1021/COUNTIF($G2:$G6000,G1021),E1021)),E1021)</f>
        <v>0</v>
      </c>
      <c r="I1021" s="1" t="str">
        <f>IFERROR(VLOOKUP(C1021,'Clients List'!A:F,6,FALSE),"")</f>
        <v/>
      </c>
    </row>
    <row r="1022" spans="4:9" x14ac:dyDescent="0.45">
      <c r="D1022" t="str">
        <f>IFERROR(VLOOKUP(C1022,'Clients List'!$A:$F,2,FALSE),"")</f>
        <v/>
      </c>
      <c r="F1022" s="1" t="str">
        <f>IF(OR(C1022="",NOT(ISNUMBER(SEARCH("Package",D1022)))),"",VLOOKUP(C1022,'Clients List'!$A:$F,4,FALSE)-SUMIFS($E$2:$E1022,$C$2:$C1022,C1022,$D$2:$D1022,"*Package*"))</f>
        <v/>
      </c>
      <c r="G1022" t="str">
        <f t="shared" si="35"/>
        <v/>
      </c>
      <c r="H1022" s="33">
        <f>IF(ISNUMBER(SEARCH("Group",D1022)),IF(G1022="",E1022,IFERROR(E1022/COUNTIF($G2:$G6000,G1022),E1022)),E1022)</f>
        <v>0</v>
      </c>
      <c r="I1022" s="1" t="str">
        <f>IFERROR(VLOOKUP(C1022,'Clients List'!A:F,6,FALSE),"")</f>
        <v/>
      </c>
    </row>
    <row r="1023" spans="4:9" x14ac:dyDescent="0.45">
      <c r="D1023" t="str">
        <f>IFERROR(VLOOKUP(C1023,'Clients List'!$A:$F,2,FALSE),"")</f>
        <v/>
      </c>
      <c r="F1023" s="1" t="str">
        <f>IF(OR(C1023="",NOT(ISNUMBER(SEARCH("Package",D1023)))),"",VLOOKUP(C1023,'Clients List'!$A:$F,4,FALSE)-SUMIFS($E$2:$E1023,$C$2:$C1023,C1023,$D$2:$D1023,"*Package*"))</f>
        <v/>
      </c>
      <c r="G1023" t="str">
        <f t="shared" si="35"/>
        <v/>
      </c>
      <c r="H1023" s="33">
        <f>IF(ISNUMBER(SEARCH("Group",D1023)),IF(G1023="",E1023,IFERROR(E1023/COUNTIF($G2:$G6000,G1023),E1023)),E1023)</f>
        <v>0</v>
      </c>
      <c r="I1023" s="1" t="str">
        <f>IFERROR(VLOOKUP(C1023,'Clients List'!A:F,6,FALSE),"")</f>
        <v/>
      </c>
    </row>
    <row r="1024" spans="4:9" x14ac:dyDescent="0.45">
      <c r="D1024" t="str">
        <f>IFERROR(VLOOKUP(C1024,'Clients List'!$A:$F,2,FALSE),"")</f>
        <v/>
      </c>
      <c r="F1024" s="1" t="str">
        <f>IF(OR(C1024="",NOT(ISNUMBER(SEARCH("Package",D1024)))),"",VLOOKUP(C1024,'Clients List'!$A:$F,4,FALSE)-SUMIFS($E$2:$E1024,$C$2:$C1024,C1024,$D$2:$D1024,"*Package*"))</f>
        <v/>
      </c>
      <c r="G1024" t="str">
        <f t="shared" si="35"/>
        <v/>
      </c>
      <c r="H1024" s="33">
        <f>IF(ISNUMBER(SEARCH("Group",D1024)),IF(G1024="",E1024,IFERROR(E1024/COUNTIF($G2:$G6000,G1024),E1024)),E1024)</f>
        <v>0</v>
      </c>
      <c r="I1024" s="1" t="str">
        <f>IFERROR(VLOOKUP(C1024,'Clients List'!A:F,6,FALSE),"")</f>
        <v/>
      </c>
    </row>
    <row r="1025" spans="4:9" x14ac:dyDescent="0.45">
      <c r="D1025" t="str">
        <f>IFERROR(VLOOKUP(C1025,'Clients List'!$A:$F,2,FALSE),"")</f>
        <v/>
      </c>
      <c r="F1025" s="1" t="str">
        <f>IF(OR(C1025="",NOT(ISNUMBER(SEARCH("Package",D1025)))),"",VLOOKUP(C1025,'Clients List'!$A:$F,4,FALSE)-SUMIFS($E$2:$E1025,$C$2:$C1025,C1025,$D$2:$D1025,"*Package*"))</f>
        <v/>
      </c>
      <c r="G1025" t="str">
        <f t="shared" si="35"/>
        <v/>
      </c>
      <c r="H1025" s="33">
        <f>IF(ISNUMBER(SEARCH("Group",D1025)),IF(G1025="",E1025,IFERROR(E1025/COUNTIF($G2:$G6000,G1025),E1025)),E1025)</f>
        <v>0</v>
      </c>
      <c r="I1025" s="1" t="str">
        <f>IFERROR(VLOOKUP(C1025,'Clients List'!A:F,6,FALSE),"")</f>
        <v/>
      </c>
    </row>
    <row r="1026" spans="4:9" x14ac:dyDescent="0.45">
      <c r="D1026" t="str">
        <f>IFERROR(VLOOKUP(C1026,'Clients List'!$A:$F,2,FALSE),"")</f>
        <v/>
      </c>
      <c r="F1026" s="1" t="str">
        <f>IF(OR(C1026="",NOT(ISNUMBER(SEARCH("Package",D1026)))),"",VLOOKUP(C1026,'Clients List'!$A:$F,4,FALSE)-SUMIFS($E$2:$E1026,$C$2:$C1026,C1026,$D$2:$D1026,"*Package*"))</f>
        <v/>
      </c>
      <c r="G1026" t="str">
        <f t="shared" si="35"/>
        <v/>
      </c>
      <c r="H1026" s="33">
        <f>IF(ISNUMBER(SEARCH("Group",D1026)),IF(G1026="",E1026,IFERROR(E1026/COUNTIF($G2:$G6000,G1026),E1026)),E1026)</f>
        <v>0</v>
      </c>
      <c r="I1026" s="1" t="str">
        <f>IFERROR(VLOOKUP(C1026,'Clients List'!A:F,6,FALSE),"")</f>
        <v/>
      </c>
    </row>
    <row r="1027" spans="4:9" x14ac:dyDescent="0.45">
      <c r="D1027" t="str">
        <f>IFERROR(VLOOKUP(C1027,'Clients List'!$A:$F,2,FALSE),"")</f>
        <v/>
      </c>
      <c r="F1027" s="1" t="str">
        <f>IF(OR(C1027="",NOT(ISNUMBER(SEARCH("Package",D1027)))),"",VLOOKUP(C1027,'Clients List'!$A:$F,4,FALSE)-SUMIFS($E$2:$E1027,$C$2:$C1027,C1027,$D$2:$D1027,"*Package*"))</f>
        <v/>
      </c>
      <c r="G1027" t="str">
        <f t="shared" si="35"/>
        <v/>
      </c>
      <c r="H1027" s="33">
        <f>IF(ISNUMBER(SEARCH("Group",D1027)),IF(G1027="",E1027,IFERROR(E1027/COUNTIF($G2:$G6000,G1027),E1027)),E1027)</f>
        <v>0</v>
      </c>
      <c r="I1027" s="1" t="str">
        <f>IFERROR(VLOOKUP(C1027,'Clients List'!A:F,6,FALSE),"")</f>
        <v/>
      </c>
    </row>
    <row r="1028" spans="4:9" x14ac:dyDescent="0.45">
      <c r="D1028" t="str">
        <f>IFERROR(VLOOKUP(C1028,'Clients List'!$A:$F,2,FALSE),"")</f>
        <v/>
      </c>
      <c r="F1028" s="1" t="str">
        <f>IF(OR(C1028="",NOT(ISNUMBER(SEARCH("Package",D1028)))),"",VLOOKUP(C1028,'Clients List'!$A:$F,4,FALSE)-SUMIFS($E$2:$E1028,$C$2:$C1028,C1028,$D$2:$D1028,"*Package*"))</f>
        <v/>
      </c>
      <c r="G1028" t="str">
        <f t="shared" si="35"/>
        <v/>
      </c>
      <c r="H1028" s="33">
        <f>IF(ISNUMBER(SEARCH("Group",D1028)),IF(G1028="",E1028,IFERROR(E1028/COUNTIF($G2:$G6000,G1028),E1028)),E1028)</f>
        <v>0</v>
      </c>
      <c r="I1028" s="1" t="str">
        <f>IFERROR(VLOOKUP(C1028,'Clients List'!A:F,6,FALSE),"")</f>
        <v/>
      </c>
    </row>
    <row r="1029" spans="4:9" x14ac:dyDescent="0.45">
      <c r="D1029" t="str">
        <f>IFERROR(VLOOKUP(C1029,'Clients List'!$A:$F,2,FALSE),"")</f>
        <v/>
      </c>
      <c r="F1029" s="1" t="str">
        <f>IF(OR(C1029="",NOT(ISNUMBER(SEARCH("Package",D1029)))),"",VLOOKUP(C1029,'Clients List'!$A:$F,4,FALSE)-SUMIFS($E$2:$E1029,$C$2:$C1029,C1029,$D$2:$D1029,"*Package*"))</f>
        <v/>
      </c>
      <c r="G1029" t="str">
        <f t="shared" si="35"/>
        <v/>
      </c>
      <c r="H1029" s="33">
        <f>IF(ISNUMBER(SEARCH("Group",D1029)),IF(G1029="",E1029,IFERROR(E1029/COUNTIF($G2:$G6000,G1029),E1029)),E1029)</f>
        <v>0</v>
      </c>
      <c r="I1029" s="1" t="str">
        <f>IFERROR(VLOOKUP(C1029,'Clients List'!A:F,6,FALSE),"")</f>
        <v/>
      </c>
    </row>
    <row r="1030" spans="4:9" x14ac:dyDescent="0.45">
      <c r="D1030" t="str">
        <f>IFERROR(VLOOKUP(C1030,'Clients List'!$A:$F,2,FALSE),"")</f>
        <v/>
      </c>
      <c r="F1030" s="1" t="str">
        <f>IF(OR(C1030="",NOT(ISNUMBER(SEARCH("Package",D1030)))),"",VLOOKUP(C1030,'Clients List'!$A:$F,4,FALSE)-SUMIFS($E$2:$E1030,$C$2:$C1030,C1030,$D$2:$D1030,"*Package*"))</f>
        <v/>
      </c>
      <c r="G1030" t="str">
        <f t="shared" si="35"/>
        <v/>
      </c>
      <c r="H1030" s="33">
        <f>IF(ISNUMBER(SEARCH("Group",D1030)),IF(G1030="",E1030,IFERROR(E1030/COUNTIF($G2:$G6000,G1030),E1030)),E1030)</f>
        <v>0</v>
      </c>
      <c r="I1030" s="1" t="str">
        <f>IFERROR(VLOOKUP(C1030,'Clients List'!A:F,6,FALSE),"")</f>
        <v/>
      </c>
    </row>
    <row r="1031" spans="4:9" x14ac:dyDescent="0.45">
      <c r="D1031" t="str">
        <f>IFERROR(VLOOKUP(C1031,'Clients List'!$A:$F,2,FALSE),"")</f>
        <v/>
      </c>
      <c r="F1031" s="1" t="str">
        <f>IF(OR(C1031="",NOT(ISNUMBER(SEARCH("Package",D1031)))),"",VLOOKUP(C1031,'Clients List'!$A:$F,4,FALSE)-SUMIFS($E$2:$E1031,$C$2:$C1031,C1031,$D$2:$D1031,"*Package*"))</f>
        <v/>
      </c>
      <c r="G1031" t="str">
        <f t="shared" si="35"/>
        <v/>
      </c>
      <c r="H1031" s="33">
        <f>IF(ISNUMBER(SEARCH("Group",D1031)),IF(G1031="",E1031,IFERROR(E1031/COUNTIF($G2:$G6000,G1031),E1031)),E1031)</f>
        <v>0</v>
      </c>
      <c r="I1031" s="1" t="str">
        <f>IFERROR(VLOOKUP(C1031,'Clients List'!A:F,6,FALSE),"")</f>
        <v/>
      </c>
    </row>
    <row r="1032" spans="4:9" x14ac:dyDescent="0.45">
      <c r="D1032" t="str">
        <f>IFERROR(VLOOKUP(C1032,'Clients List'!$A:$F,2,FALSE),"")</f>
        <v/>
      </c>
      <c r="F1032" s="1" t="str">
        <f>IF(OR(C1032="",NOT(ISNUMBER(SEARCH("Package",D1032)))),"",VLOOKUP(C1032,'Clients List'!$A:$F,4,FALSE)-SUMIFS($E$2:$E1032,$C$2:$C1032,C1032,$D$2:$D1032,"*Package*"))</f>
        <v/>
      </c>
      <c r="G1032" t="str">
        <f t="shared" si="35"/>
        <v/>
      </c>
      <c r="H1032" s="33">
        <f>IF(ISNUMBER(SEARCH("Group",D1032)),IF(G1032="",E1032,IFERROR(E1032/COUNTIF($G2:$G6000,G1032),E1032)),E1032)</f>
        <v>0</v>
      </c>
      <c r="I1032" s="1" t="str">
        <f>IFERROR(VLOOKUP(C1032,'Clients List'!A:F,6,FALSE),"")</f>
        <v/>
      </c>
    </row>
    <row r="1033" spans="4:9" x14ac:dyDescent="0.45">
      <c r="D1033" t="str">
        <f>IFERROR(VLOOKUP(C1033,'Clients List'!$A:$F,2,FALSE),"")</f>
        <v/>
      </c>
      <c r="F1033" s="1" t="str">
        <f>IF(OR(C1033="",NOT(ISNUMBER(SEARCH("Package",D1033)))),"",VLOOKUP(C1033,'Clients List'!$A:$F,4,FALSE)-SUMIFS($E$2:$E1033,$C$2:$C1033,C1033,$D$2:$D1033,"*Package*"))</f>
        <v/>
      </c>
      <c r="G1033" t="str">
        <f t="shared" si="35"/>
        <v/>
      </c>
      <c r="H1033" s="33">
        <f>IF(ISNUMBER(SEARCH("Group",D1033)),IF(G1033="",E1033,IFERROR(E1033/COUNTIF($G2:$G6000,G1033),E1033)),E1033)</f>
        <v>0</v>
      </c>
      <c r="I1033" s="1" t="str">
        <f>IFERROR(VLOOKUP(C1033,'Clients List'!A:F,6,FALSE),"")</f>
        <v/>
      </c>
    </row>
    <row r="1034" spans="4:9" x14ac:dyDescent="0.45">
      <c r="D1034" t="str">
        <f>IFERROR(VLOOKUP(C1034,'Clients List'!$A:$F,2,FALSE),"")</f>
        <v/>
      </c>
      <c r="F1034" s="1" t="str">
        <f>IF(OR(C1034="",NOT(ISNUMBER(SEARCH("Package",D1034)))),"",VLOOKUP(C1034,'Clients List'!$A:$F,4,FALSE)-SUMIFS($E$2:$E1034,$C$2:$C1034,C1034,$D$2:$D1034,"*Package*"))</f>
        <v/>
      </c>
      <c r="G1034" t="str">
        <f t="shared" si="35"/>
        <v/>
      </c>
      <c r="H1034" s="33">
        <f>IF(ISNUMBER(SEARCH("Group",D1034)),IF(G1034="",E1034,IFERROR(E1034/COUNTIF($G2:$G6000,G1034),E1034)),E1034)</f>
        <v>0</v>
      </c>
      <c r="I1034" s="1" t="str">
        <f>IFERROR(VLOOKUP(C1034,'Clients List'!A:F,6,FALSE),"")</f>
        <v/>
      </c>
    </row>
    <row r="1035" spans="4:9" x14ac:dyDescent="0.45">
      <c r="D1035" t="str">
        <f>IFERROR(VLOOKUP(C1035,'Clients List'!$A:$F,2,FALSE),"")</f>
        <v/>
      </c>
      <c r="F1035" s="1" t="str">
        <f>IF(OR(C1035="",NOT(ISNUMBER(SEARCH("Package",D1035)))),"",VLOOKUP(C1035,'Clients List'!$A:$F,4,FALSE)-SUMIFS($E$2:$E1035,$C$2:$C1035,C1035,$D$2:$D1035,"*Package*"))</f>
        <v/>
      </c>
      <c r="G1035" t="str">
        <f t="shared" si="35"/>
        <v/>
      </c>
      <c r="H1035" s="33">
        <f>IF(ISNUMBER(SEARCH("Group",D1035)),IF(G1035="",E1035,IFERROR(E1035/COUNTIF($G2:$G6000,G1035),E1035)),E1035)</f>
        <v>0</v>
      </c>
      <c r="I1035" s="1" t="str">
        <f>IFERROR(VLOOKUP(C1035,'Clients List'!A:F,6,FALSE),"")</f>
        <v/>
      </c>
    </row>
    <row r="1036" spans="4:9" x14ac:dyDescent="0.45">
      <c r="D1036" t="str">
        <f>IFERROR(VLOOKUP(C1036,'Clients List'!$A:$F,2,FALSE),"")</f>
        <v/>
      </c>
      <c r="F1036" s="1" t="str">
        <f>IF(OR(C1036="",NOT(ISNUMBER(SEARCH("Package",D1036)))),"",VLOOKUP(C1036,'Clients List'!$A:$F,4,FALSE)-SUMIFS($E$2:$E1036,$C$2:$C1036,C1036,$D$2:$D1036,"*Package*"))</f>
        <v/>
      </c>
      <c r="G1036" t="str">
        <f t="shared" ref="G1036:G1067" si="36">IF(ISNUMBER(SEARCH("Group",D1036)),IFERROR("GRP-"&amp;TEXT(IF(ISNUMBER(A1036),A1036,DATEVALUE(A1036)),"yyyymmdd"),""),"" )</f>
        <v/>
      </c>
      <c r="H1036" s="33">
        <f>IF(ISNUMBER(SEARCH("Group",D1036)),IF(G1036="",E1036,IFERROR(E1036/COUNTIF($G2:$G6000,G1036),E1036)),E1036)</f>
        <v>0</v>
      </c>
      <c r="I1036" s="1" t="str">
        <f>IFERROR(VLOOKUP(C1036,'Clients List'!A:F,6,FALSE),"")</f>
        <v/>
      </c>
    </row>
    <row r="1037" spans="4:9" x14ac:dyDescent="0.45">
      <c r="D1037" t="str">
        <f>IFERROR(VLOOKUP(C1037,'Clients List'!$A:$F,2,FALSE),"")</f>
        <v/>
      </c>
      <c r="F1037" s="1" t="str">
        <f>IF(OR(C1037="",NOT(ISNUMBER(SEARCH("Package",D1037)))),"",VLOOKUP(C1037,'Clients List'!$A:$F,4,FALSE)-SUMIFS($E$2:$E1037,$C$2:$C1037,C1037,$D$2:$D1037,"*Package*"))</f>
        <v/>
      </c>
      <c r="G1037" t="str">
        <f t="shared" si="36"/>
        <v/>
      </c>
      <c r="H1037" s="33">
        <f>IF(ISNUMBER(SEARCH("Group",D1037)),IF(G1037="",E1037,IFERROR(E1037/COUNTIF($G2:$G6000,G1037),E1037)),E1037)</f>
        <v>0</v>
      </c>
      <c r="I1037" s="1" t="str">
        <f>IFERROR(VLOOKUP(C1037,'Clients List'!A:F,6,FALSE),"")</f>
        <v/>
      </c>
    </row>
    <row r="1038" spans="4:9" x14ac:dyDescent="0.45">
      <c r="D1038" t="str">
        <f>IFERROR(VLOOKUP(C1038,'Clients List'!$A:$F,2,FALSE),"")</f>
        <v/>
      </c>
      <c r="F1038" s="1" t="str">
        <f>IF(OR(C1038="",NOT(ISNUMBER(SEARCH("Package",D1038)))),"",VLOOKUP(C1038,'Clients List'!$A:$F,4,FALSE)-SUMIFS($E$2:$E1038,$C$2:$C1038,C1038,$D$2:$D1038,"*Package*"))</f>
        <v/>
      </c>
      <c r="G1038" t="str">
        <f t="shared" si="36"/>
        <v/>
      </c>
      <c r="H1038" s="33">
        <f>IF(ISNUMBER(SEARCH("Group",D1038)),IF(G1038="",E1038,IFERROR(E1038/COUNTIF($G2:$G6000,G1038),E1038)),E1038)</f>
        <v>0</v>
      </c>
      <c r="I1038" s="1" t="str">
        <f>IFERROR(VLOOKUP(C1038,'Clients List'!A:F,6,FALSE),"")</f>
        <v/>
      </c>
    </row>
    <row r="1039" spans="4:9" x14ac:dyDescent="0.45">
      <c r="D1039" t="str">
        <f>IFERROR(VLOOKUP(C1039,'Clients List'!$A:$F,2,FALSE),"")</f>
        <v/>
      </c>
      <c r="F1039" s="1" t="str">
        <f>IF(OR(C1039="",NOT(ISNUMBER(SEARCH("Package",D1039)))),"",VLOOKUP(C1039,'Clients List'!$A:$F,4,FALSE)-SUMIFS($E$2:$E1039,$C$2:$C1039,C1039,$D$2:$D1039,"*Package*"))</f>
        <v/>
      </c>
      <c r="G1039" t="str">
        <f t="shared" si="36"/>
        <v/>
      </c>
      <c r="H1039" s="33">
        <f>IF(ISNUMBER(SEARCH("Group",D1039)),IF(G1039="",E1039,IFERROR(E1039/COUNTIF($G2:$G6000,G1039),E1039)),E1039)</f>
        <v>0</v>
      </c>
      <c r="I1039" s="1" t="str">
        <f>IFERROR(VLOOKUP(C1039,'Clients List'!A:F,6,FALSE),"")</f>
        <v/>
      </c>
    </row>
    <row r="1040" spans="4:9" x14ac:dyDescent="0.45">
      <c r="D1040" t="str">
        <f>IFERROR(VLOOKUP(C1040,'Clients List'!$A:$F,2,FALSE),"")</f>
        <v/>
      </c>
      <c r="F1040" s="1" t="str">
        <f>IF(OR(C1040="",NOT(ISNUMBER(SEARCH("Package",D1040)))),"",VLOOKUP(C1040,'Clients List'!$A:$F,4,FALSE)-SUMIFS($E$2:$E1040,$C$2:$C1040,C1040,$D$2:$D1040,"*Package*"))</f>
        <v/>
      </c>
      <c r="G1040" t="str">
        <f t="shared" si="36"/>
        <v/>
      </c>
      <c r="H1040" s="33">
        <f>IF(ISNUMBER(SEARCH("Group",D1040)),IF(G1040="",E1040,IFERROR(E1040/COUNTIF($G2:$G6000,G1040),E1040)),E1040)</f>
        <v>0</v>
      </c>
      <c r="I1040" s="1" t="str">
        <f>IFERROR(VLOOKUP(C1040,'Clients List'!A:F,6,FALSE),"")</f>
        <v/>
      </c>
    </row>
    <row r="1041" spans="4:9" x14ac:dyDescent="0.45">
      <c r="D1041" t="str">
        <f>IFERROR(VLOOKUP(C1041,'Clients List'!$A:$F,2,FALSE),"")</f>
        <v/>
      </c>
      <c r="F1041" s="1" t="str">
        <f>IF(OR(C1041="",NOT(ISNUMBER(SEARCH("Package",D1041)))),"",VLOOKUP(C1041,'Clients List'!$A:$F,4,FALSE)-SUMIFS($E$2:$E1041,$C$2:$C1041,C1041,$D$2:$D1041,"*Package*"))</f>
        <v/>
      </c>
      <c r="G1041" t="str">
        <f t="shared" si="36"/>
        <v/>
      </c>
      <c r="H1041" s="33">
        <f>IF(ISNUMBER(SEARCH("Group",D1041)),IF(G1041="",E1041,IFERROR(E1041/COUNTIF($G2:$G6000,G1041),E1041)),E1041)</f>
        <v>0</v>
      </c>
      <c r="I1041" s="1" t="str">
        <f>IFERROR(VLOOKUP(C1041,'Clients List'!A:F,6,FALSE),"")</f>
        <v/>
      </c>
    </row>
    <row r="1042" spans="4:9" x14ac:dyDescent="0.45">
      <c r="D1042" t="str">
        <f>IFERROR(VLOOKUP(C1042,'Clients List'!$A:$F,2,FALSE),"")</f>
        <v/>
      </c>
      <c r="F1042" s="1" t="str">
        <f>IF(OR(C1042="",NOT(ISNUMBER(SEARCH("Package",D1042)))),"",VLOOKUP(C1042,'Clients List'!$A:$F,4,FALSE)-SUMIFS($E$2:$E1042,$C$2:$C1042,C1042,$D$2:$D1042,"*Package*"))</f>
        <v/>
      </c>
      <c r="G1042" t="str">
        <f t="shared" si="36"/>
        <v/>
      </c>
      <c r="H1042" s="33">
        <f>IF(ISNUMBER(SEARCH("Group",D1042)),IF(G1042="",E1042,IFERROR(E1042/COUNTIF($G2:$G6000,G1042),E1042)),E1042)</f>
        <v>0</v>
      </c>
      <c r="I1042" s="1" t="str">
        <f>IFERROR(VLOOKUP(C1042,'Clients List'!A:F,6,FALSE),"")</f>
        <v/>
      </c>
    </row>
    <row r="1043" spans="4:9" x14ac:dyDescent="0.45">
      <c r="D1043" t="str">
        <f>IFERROR(VLOOKUP(C1043,'Clients List'!$A:$F,2,FALSE),"")</f>
        <v/>
      </c>
      <c r="F1043" s="1" t="str">
        <f>IF(OR(C1043="",NOT(ISNUMBER(SEARCH("Package",D1043)))),"",VLOOKUP(C1043,'Clients List'!$A:$F,4,FALSE)-SUMIFS($E$2:$E1043,$C$2:$C1043,C1043,$D$2:$D1043,"*Package*"))</f>
        <v/>
      </c>
      <c r="G1043" t="str">
        <f t="shared" si="36"/>
        <v/>
      </c>
      <c r="H1043" s="33">
        <f>IF(ISNUMBER(SEARCH("Group",D1043)),IF(G1043="",E1043,IFERROR(E1043/COUNTIF($G2:$G6000,G1043),E1043)),E1043)</f>
        <v>0</v>
      </c>
      <c r="I1043" s="1" t="str">
        <f>IFERROR(VLOOKUP(C1043,'Clients List'!A:F,6,FALSE),"")</f>
        <v/>
      </c>
    </row>
    <row r="1044" spans="4:9" x14ac:dyDescent="0.45">
      <c r="D1044" t="str">
        <f>IFERROR(VLOOKUP(C1044,'Clients List'!$A:$F,2,FALSE),"")</f>
        <v/>
      </c>
      <c r="F1044" s="1" t="str">
        <f>IF(OR(C1044="",NOT(ISNUMBER(SEARCH("Package",D1044)))),"",VLOOKUP(C1044,'Clients List'!$A:$F,4,FALSE)-SUMIFS($E$2:$E1044,$C$2:$C1044,C1044,$D$2:$D1044,"*Package*"))</f>
        <v/>
      </c>
      <c r="G1044" t="str">
        <f t="shared" si="36"/>
        <v/>
      </c>
      <c r="H1044" s="33">
        <f>IF(ISNUMBER(SEARCH("Group",D1044)),IF(G1044="",E1044,IFERROR(E1044/COUNTIF($G2:$G6000,G1044),E1044)),E1044)</f>
        <v>0</v>
      </c>
      <c r="I1044" s="1" t="str">
        <f>IFERROR(VLOOKUP(C1044,'Clients List'!A:F,6,FALSE),"")</f>
        <v/>
      </c>
    </row>
    <row r="1045" spans="4:9" x14ac:dyDescent="0.45">
      <c r="D1045" t="str">
        <f>IFERROR(VLOOKUP(C1045,'Clients List'!$A:$F,2,FALSE),"")</f>
        <v/>
      </c>
      <c r="F1045" s="1" t="str">
        <f>IF(OR(C1045="",NOT(ISNUMBER(SEARCH("Package",D1045)))),"",VLOOKUP(C1045,'Clients List'!$A:$F,4,FALSE)-SUMIFS($E$2:$E1045,$C$2:$C1045,C1045,$D$2:$D1045,"*Package*"))</f>
        <v/>
      </c>
      <c r="G1045" t="str">
        <f t="shared" si="36"/>
        <v/>
      </c>
      <c r="H1045" s="33">
        <f>IF(ISNUMBER(SEARCH("Group",D1045)),IF(G1045="",E1045,IFERROR(E1045/COUNTIF($G2:$G6000,G1045),E1045)),E1045)</f>
        <v>0</v>
      </c>
      <c r="I1045" s="1" t="str">
        <f>IFERROR(VLOOKUP(C1045,'Clients List'!A:F,6,FALSE),"")</f>
        <v/>
      </c>
    </row>
    <row r="1046" spans="4:9" x14ac:dyDescent="0.45">
      <c r="D1046" t="str">
        <f>IFERROR(VLOOKUP(C1046,'Clients List'!$A:$F,2,FALSE),"")</f>
        <v/>
      </c>
      <c r="F1046" s="1" t="str">
        <f>IF(OR(C1046="",NOT(ISNUMBER(SEARCH("Package",D1046)))),"",VLOOKUP(C1046,'Clients List'!$A:$F,4,FALSE)-SUMIFS($E$2:$E1046,$C$2:$C1046,C1046,$D$2:$D1046,"*Package*"))</f>
        <v/>
      </c>
      <c r="G1046" t="str">
        <f t="shared" si="36"/>
        <v/>
      </c>
      <c r="H1046" s="33">
        <f>IF(ISNUMBER(SEARCH("Group",D1046)),IF(G1046="",E1046,IFERROR(E1046/COUNTIF($G2:$G6000,G1046),E1046)),E1046)</f>
        <v>0</v>
      </c>
      <c r="I1046" s="1" t="str">
        <f>IFERROR(VLOOKUP(C1046,'Clients List'!A:F,6,FALSE),"")</f>
        <v/>
      </c>
    </row>
    <row r="1047" spans="4:9" x14ac:dyDescent="0.45">
      <c r="D1047" t="str">
        <f>IFERROR(VLOOKUP(C1047,'Clients List'!$A:$F,2,FALSE),"")</f>
        <v/>
      </c>
      <c r="F1047" s="1" t="str">
        <f>IF(OR(C1047="",NOT(ISNUMBER(SEARCH("Package",D1047)))),"",VLOOKUP(C1047,'Clients List'!$A:$F,4,FALSE)-SUMIFS($E$2:$E1047,$C$2:$C1047,C1047,$D$2:$D1047,"*Package*"))</f>
        <v/>
      </c>
      <c r="G1047" t="str">
        <f t="shared" si="36"/>
        <v/>
      </c>
      <c r="H1047" s="33">
        <f>IF(ISNUMBER(SEARCH("Group",D1047)),IF(G1047="",E1047,IFERROR(E1047/COUNTIF($G2:$G6000,G1047),E1047)),E1047)</f>
        <v>0</v>
      </c>
      <c r="I1047" s="1" t="str">
        <f>IFERROR(VLOOKUP(C1047,'Clients List'!A:F,6,FALSE),"")</f>
        <v/>
      </c>
    </row>
    <row r="1048" spans="4:9" x14ac:dyDescent="0.45">
      <c r="D1048" t="str">
        <f>IFERROR(VLOOKUP(C1048,'Clients List'!$A:$F,2,FALSE),"")</f>
        <v/>
      </c>
      <c r="F1048" s="1" t="str">
        <f>IF(OR(C1048="",NOT(ISNUMBER(SEARCH("Package",D1048)))),"",VLOOKUP(C1048,'Clients List'!$A:$F,4,FALSE)-SUMIFS($E$2:$E1048,$C$2:$C1048,C1048,$D$2:$D1048,"*Package*"))</f>
        <v/>
      </c>
      <c r="G1048" t="str">
        <f t="shared" si="36"/>
        <v/>
      </c>
      <c r="H1048" s="33">
        <f>IF(ISNUMBER(SEARCH("Group",D1048)),IF(G1048="",E1048,IFERROR(E1048/COUNTIF($G2:$G6000,G1048),E1048)),E1048)</f>
        <v>0</v>
      </c>
      <c r="I1048" s="1" t="str">
        <f>IFERROR(VLOOKUP(C1048,'Clients List'!A:F,6,FALSE),"")</f>
        <v/>
      </c>
    </row>
    <row r="1049" spans="4:9" x14ac:dyDescent="0.45">
      <c r="D1049" t="str">
        <f>IFERROR(VLOOKUP(C1049,'Clients List'!$A:$F,2,FALSE),"")</f>
        <v/>
      </c>
      <c r="F1049" s="1" t="str">
        <f>IF(OR(C1049="",NOT(ISNUMBER(SEARCH("Package",D1049)))),"",VLOOKUP(C1049,'Clients List'!$A:$F,4,FALSE)-SUMIFS($E$2:$E1049,$C$2:$C1049,C1049,$D$2:$D1049,"*Package*"))</f>
        <v/>
      </c>
      <c r="G1049" t="str">
        <f t="shared" si="36"/>
        <v/>
      </c>
      <c r="H1049" s="33">
        <f>IF(ISNUMBER(SEARCH("Group",D1049)),IF(G1049="",E1049,IFERROR(E1049/COUNTIF($G2:$G6000,G1049),E1049)),E1049)</f>
        <v>0</v>
      </c>
      <c r="I1049" s="1" t="str">
        <f>IFERROR(VLOOKUP(C1049,'Clients List'!A:F,6,FALSE),"")</f>
        <v/>
      </c>
    </row>
    <row r="1050" spans="4:9" x14ac:dyDescent="0.45">
      <c r="D1050" t="str">
        <f>IFERROR(VLOOKUP(C1050,'Clients List'!$A:$F,2,FALSE),"")</f>
        <v/>
      </c>
      <c r="F1050" s="1" t="str">
        <f>IF(OR(C1050="",NOT(ISNUMBER(SEARCH("Package",D1050)))),"",VLOOKUP(C1050,'Clients List'!$A:$F,4,FALSE)-SUMIFS($E$2:$E1050,$C$2:$C1050,C1050,$D$2:$D1050,"*Package*"))</f>
        <v/>
      </c>
      <c r="G1050" t="str">
        <f t="shared" si="36"/>
        <v/>
      </c>
      <c r="H1050" s="33">
        <f>IF(ISNUMBER(SEARCH("Group",D1050)),IF(G1050="",E1050,IFERROR(E1050/COUNTIF($G2:$G6000,G1050),E1050)),E1050)</f>
        <v>0</v>
      </c>
      <c r="I1050" s="1" t="str">
        <f>IFERROR(VLOOKUP(C1050,'Clients List'!A:F,6,FALSE),"")</f>
        <v/>
      </c>
    </row>
    <row r="1051" spans="4:9" x14ac:dyDescent="0.45">
      <c r="D1051" t="str">
        <f>IFERROR(VLOOKUP(C1051,'Clients List'!$A:$F,2,FALSE),"")</f>
        <v/>
      </c>
      <c r="F1051" s="1" t="str">
        <f>IF(OR(C1051="",NOT(ISNUMBER(SEARCH("Package",D1051)))),"",VLOOKUP(C1051,'Clients List'!$A:$F,4,FALSE)-SUMIFS($E$2:$E1051,$C$2:$C1051,C1051,$D$2:$D1051,"*Package*"))</f>
        <v/>
      </c>
      <c r="G1051" t="str">
        <f t="shared" si="36"/>
        <v/>
      </c>
      <c r="H1051" s="33">
        <f>IF(ISNUMBER(SEARCH("Group",D1051)),IF(G1051="",E1051,IFERROR(E1051/COUNTIF($G2:$G6000,G1051),E1051)),E1051)</f>
        <v>0</v>
      </c>
      <c r="I1051" s="1" t="str">
        <f>IFERROR(VLOOKUP(C1051,'Clients List'!A:F,6,FALSE),"")</f>
        <v/>
      </c>
    </row>
    <row r="1052" spans="4:9" x14ac:dyDescent="0.45">
      <c r="D1052" t="str">
        <f>IFERROR(VLOOKUP(C1052,'Clients List'!$A:$F,2,FALSE),"")</f>
        <v/>
      </c>
      <c r="F1052" s="1" t="str">
        <f>IF(OR(C1052="",NOT(ISNUMBER(SEARCH("Package",D1052)))),"",VLOOKUP(C1052,'Clients List'!$A:$F,4,FALSE)-SUMIFS($E$2:$E1052,$C$2:$C1052,C1052,$D$2:$D1052,"*Package*"))</f>
        <v/>
      </c>
      <c r="G1052" t="str">
        <f t="shared" si="36"/>
        <v/>
      </c>
      <c r="H1052" s="33">
        <f>IF(ISNUMBER(SEARCH("Group",D1052)),IF(G1052="",E1052,IFERROR(E1052/COUNTIF($G2:$G6000,G1052),E1052)),E1052)</f>
        <v>0</v>
      </c>
      <c r="I1052" s="1" t="str">
        <f>IFERROR(VLOOKUP(C1052,'Clients List'!A:F,6,FALSE),"")</f>
        <v/>
      </c>
    </row>
    <row r="1053" spans="4:9" x14ac:dyDescent="0.45">
      <c r="D1053" t="str">
        <f>IFERROR(VLOOKUP(C1053,'Clients List'!$A:$F,2,FALSE),"")</f>
        <v/>
      </c>
      <c r="F1053" s="1" t="str">
        <f>IF(OR(C1053="",NOT(ISNUMBER(SEARCH("Package",D1053)))),"",VLOOKUP(C1053,'Clients List'!$A:$F,4,FALSE)-SUMIFS($E$2:$E1053,$C$2:$C1053,C1053,$D$2:$D1053,"*Package*"))</f>
        <v/>
      </c>
      <c r="G1053" t="str">
        <f t="shared" si="36"/>
        <v/>
      </c>
      <c r="H1053" s="33">
        <f>IF(ISNUMBER(SEARCH("Group",D1053)),IF(G1053="",E1053,IFERROR(E1053/COUNTIF($G2:$G6000,G1053),E1053)),E1053)</f>
        <v>0</v>
      </c>
      <c r="I1053" s="1" t="str">
        <f>IFERROR(VLOOKUP(C1053,'Clients List'!A:F,6,FALSE),"")</f>
        <v/>
      </c>
    </row>
    <row r="1054" spans="4:9" x14ac:dyDescent="0.45">
      <c r="D1054" t="str">
        <f>IFERROR(VLOOKUP(C1054,'Clients List'!$A:$F,2,FALSE),"")</f>
        <v/>
      </c>
      <c r="F1054" s="1" t="str">
        <f>IF(OR(C1054="",NOT(ISNUMBER(SEARCH("Package",D1054)))),"",VLOOKUP(C1054,'Clients List'!$A:$F,4,FALSE)-SUMIFS($E$2:$E1054,$C$2:$C1054,C1054,$D$2:$D1054,"*Package*"))</f>
        <v/>
      </c>
      <c r="G1054" t="str">
        <f t="shared" si="36"/>
        <v/>
      </c>
      <c r="H1054" s="33">
        <f>IF(ISNUMBER(SEARCH("Group",D1054)),IF(G1054="",E1054,IFERROR(E1054/COUNTIF($G2:$G6000,G1054),E1054)),E1054)</f>
        <v>0</v>
      </c>
      <c r="I1054" s="1" t="str">
        <f>IFERROR(VLOOKUP(C1054,'Clients List'!A:F,6,FALSE),"")</f>
        <v/>
      </c>
    </row>
    <row r="1055" spans="4:9" x14ac:dyDescent="0.45">
      <c r="D1055" t="str">
        <f>IFERROR(VLOOKUP(C1055,'Clients List'!$A:$F,2,FALSE),"")</f>
        <v/>
      </c>
      <c r="F1055" s="1" t="str">
        <f>IF(OR(C1055="",NOT(ISNUMBER(SEARCH("Package",D1055)))),"",VLOOKUP(C1055,'Clients List'!$A:$F,4,FALSE)-SUMIFS($E$2:$E1055,$C$2:$C1055,C1055,$D$2:$D1055,"*Package*"))</f>
        <v/>
      </c>
      <c r="G1055" t="str">
        <f t="shared" si="36"/>
        <v/>
      </c>
      <c r="H1055" s="33">
        <f>IF(ISNUMBER(SEARCH("Group",D1055)),IF(G1055="",E1055,IFERROR(E1055/COUNTIF($G2:$G6000,G1055),E1055)),E1055)</f>
        <v>0</v>
      </c>
      <c r="I1055" s="1" t="str">
        <f>IFERROR(VLOOKUP(C1055,'Clients List'!A:F,6,FALSE),"")</f>
        <v/>
      </c>
    </row>
    <row r="1056" spans="4:9" x14ac:dyDescent="0.45">
      <c r="D1056" t="str">
        <f>IFERROR(VLOOKUP(C1056,'Clients List'!$A:$F,2,FALSE),"")</f>
        <v/>
      </c>
      <c r="F1056" s="1" t="str">
        <f>IF(OR(C1056="",NOT(ISNUMBER(SEARCH("Package",D1056)))),"",VLOOKUP(C1056,'Clients List'!$A:$F,4,FALSE)-SUMIFS($E$2:$E1056,$C$2:$C1056,C1056,$D$2:$D1056,"*Package*"))</f>
        <v/>
      </c>
      <c r="G1056" t="str">
        <f t="shared" si="36"/>
        <v/>
      </c>
      <c r="H1056" s="33">
        <f>IF(ISNUMBER(SEARCH("Group",D1056)),IF(G1056="",E1056,IFERROR(E1056/COUNTIF($G2:$G6000,G1056),E1056)),E1056)</f>
        <v>0</v>
      </c>
      <c r="I1056" s="1" t="str">
        <f>IFERROR(VLOOKUP(C1056,'Clients List'!A:F,6,FALSE),"")</f>
        <v/>
      </c>
    </row>
    <row r="1057" spans="4:9" x14ac:dyDescent="0.45">
      <c r="D1057" t="str">
        <f>IFERROR(VLOOKUP(C1057,'Clients List'!$A:$F,2,FALSE),"")</f>
        <v/>
      </c>
      <c r="F1057" s="1" t="str">
        <f>IF(OR(C1057="",NOT(ISNUMBER(SEARCH("Package",D1057)))),"",VLOOKUP(C1057,'Clients List'!$A:$F,4,FALSE)-SUMIFS($E$2:$E1057,$C$2:$C1057,C1057,$D$2:$D1057,"*Package*"))</f>
        <v/>
      </c>
      <c r="G1057" t="str">
        <f t="shared" si="36"/>
        <v/>
      </c>
      <c r="H1057" s="33">
        <f>IF(ISNUMBER(SEARCH("Group",D1057)),IF(G1057="",E1057,IFERROR(E1057/COUNTIF($G2:$G6000,G1057),E1057)),E1057)</f>
        <v>0</v>
      </c>
      <c r="I1057" s="1" t="str">
        <f>IFERROR(VLOOKUP(C1057,'Clients List'!A:F,6,FALSE),"")</f>
        <v/>
      </c>
    </row>
    <row r="1058" spans="4:9" x14ac:dyDescent="0.45">
      <c r="D1058" t="str">
        <f>IFERROR(VLOOKUP(C1058,'Clients List'!$A:$F,2,FALSE),"")</f>
        <v/>
      </c>
      <c r="F1058" s="1" t="str">
        <f>IF(OR(C1058="",NOT(ISNUMBER(SEARCH("Package",D1058)))),"",VLOOKUP(C1058,'Clients List'!$A:$F,4,FALSE)-SUMIFS($E$2:$E1058,$C$2:$C1058,C1058,$D$2:$D1058,"*Package*"))</f>
        <v/>
      </c>
      <c r="G1058" t="str">
        <f t="shared" si="36"/>
        <v/>
      </c>
      <c r="H1058" s="33">
        <f>IF(ISNUMBER(SEARCH("Group",D1058)),IF(G1058="",E1058,IFERROR(E1058/COUNTIF($G2:$G6000,G1058),E1058)),E1058)</f>
        <v>0</v>
      </c>
      <c r="I1058" s="1" t="str">
        <f>IFERROR(VLOOKUP(C1058,'Clients List'!A:F,6,FALSE),"")</f>
        <v/>
      </c>
    </row>
    <row r="1059" spans="4:9" x14ac:dyDescent="0.45">
      <c r="D1059" t="str">
        <f>IFERROR(VLOOKUP(C1059,'Clients List'!$A:$F,2,FALSE),"")</f>
        <v/>
      </c>
      <c r="F1059" s="1" t="str">
        <f>IF(OR(C1059="",NOT(ISNUMBER(SEARCH("Package",D1059)))),"",VLOOKUP(C1059,'Clients List'!$A:$F,4,FALSE)-SUMIFS($E$2:$E1059,$C$2:$C1059,C1059,$D$2:$D1059,"*Package*"))</f>
        <v/>
      </c>
      <c r="G1059" t="str">
        <f t="shared" si="36"/>
        <v/>
      </c>
      <c r="H1059" s="33">
        <f>IF(ISNUMBER(SEARCH("Group",D1059)),IF(G1059="",E1059,IFERROR(E1059/COUNTIF($G2:$G6000,G1059),E1059)),E1059)</f>
        <v>0</v>
      </c>
      <c r="I1059" s="1" t="str">
        <f>IFERROR(VLOOKUP(C1059,'Clients List'!A:F,6,FALSE),"")</f>
        <v/>
      </c>
    </row>
    <row r="1060" spans="4:9" x14ac:dyDescent="0.45">
      <c r="D1060" t="str">
        <f>IFERROR(VLOOKUP(C1060,'Clients List'!$A:$F,2,FALSE),"")</f>
        <v/>
      </c>
      <c r="F1060" s="1" t="str">
        <f>IF(OR(C1060="",NOT(ISNUMBER(SEARCH("Package",D1060)))),"",VLOOKUP(C1060,'Clients List'!$A:$F,4,FALSE)-SUMIFS($E$2:$E1060,$C$2:$C1060,C1060,$D$2:$D1060,"*Package*"))</f>
        <v/>
      </c>
      <c r="G1060" t="str">
        <f t="shared" si="36"/>
        <v/>
      </c>
      <c r="H1060" s="33">
        <f>IF(ISNUMBER(SEARCH("Group",D1060)),IF(G1060="",E1060,IFERROR(E1060/COUNTIF($G2:$G6000,G1060),E1060)),E1060)</f>
        <v>0</v>
      </c>
      <c r="I1060" s="1" t="str">
        <f>IFERROR(VLOOKUP(C1060,'Clients List'!A:F,6,FALSE),"")</f>
        <v/>
      </c>
    </row>
    <row r="1061" spans="4:9" x14ac:dyDescent="0.45">
      <c r="D1061" t="str">
        <f>IFERROR(VLOOKUP(C1061,'Clients List'!$A:$F,2,FALSE),"")</f>
        <v/>
      </c>
      <c r="F1061" s="1" t="str">
        <f>IF(OR(C1061="",NOT(ISNUMBER(SEARCH("Package",D1061)))),"",VLOOKUP(C1061,'Clients List'!$A:$F,4,FALSE)-SUMIFS($E$2:$E1061,$C$2:$C1061,C1061,$D$2:$D1061,"*Package*"))</f>
        <v/>
      </c>
      <c r="G1061" t="str">
        <f t="shared" si="36"/>
        <v/>
      </c>
      <c r="H1061" s="33">
        <f>IF(ISNUMBER(SEARCH("Group",D1061)),IF(G1061="",E1061,IFERROR(E1061/COUNTIF($G2:$G6000,G1061),E1061)),E1061)</f>
        <v>0</v>
      </c>
      <c r="I1061" s="1" t="str">
        <f>IFERROR(VLOOKUP(C1061,'Clients List'!A:F,6,FALSE),"")</f>
        <v/>
      </c>
    </row>
    <row r="1062" spans="4:9" x14ac:dyDescent="0.45">
      <c r="D1062" t="str">
        <f>IFERROR(VLOOKUP(C1062,'Clients List'!$A:$F,2,FALSE),"")</f>
        <v/>
      </c>
      <c r="F1062" s="1" t="str">
        <f>IF(OR(C1062="",NOT(ISNUMBER(SEARCH("Package",D1062)))),"",VLOOKUP(C1062,'Clients List'!$A:$F,4,FALSE)-SUMIFS($E$2:$E1062,$C$2:$C1062,C1062,$D$2:$D1062,"*Package*"))</f>
        <v/>
      </c>
      <c r="G1062" t="str">
        <f t="shared" si="36"/>
        <v/>
      </c>
      <c r="H1062" s="33">
        <f>IF(ISNUMBER(SEARCH("Group",D1062)),IF(G1062="",E1062,IFERROR(E1062/COUNTIF($G2:$G6000,G1062),E1062)),E1062)</f>
        <v>0</v>
      </c>
      <c r="I1062" s="1" t="str">
        <f>IFERROR(VLOOKUP(C1062,'Clients List'!A:F,6,FALSE),"")</f>
        <v/>
      </c>
    </row>
    <row r="1063" spans="4:9" x14ac:dyDescent="0.45">
      <c r="D1063" t="str">
        <f>IFERROR(VLOOKUP(C1063,'Clients List'!$A:$F,2,FALSE),"")</f>
        <v/>
      </c>
      <c r="F1063" s="1" t="str">
        <f>IF(OR(C1063="",NOT(ISNUMBER(SEARCH("Package",D1063)))),"",VLOOKUP(C1063,'Clients List'!$A:$F,4,FALSE)-SUMIFS($E$2:$E1063,$C$2:$C1063,C1063,$D$2:$D1063,"*Package*"))</f>
        <v/>
      </c>
      <c r="G1063" t="str">
        <f t="shared" si="36"/>
        <v/>
      </c>
      <c r="H1063" s="33">
        <f>IF(ISNUMBER(SEARCH("Group",D1063)),IF(G1063="",E1063,IFERROR(E1063/COUNTIF($G2:$G6000,G1063),E1063)),E1063)</f>
        <v>0</v>
      </c>
      <c r="I1063" s="1" t="str">
        <f>IFERROR(VLOOKUP(C1063,'Clients List'!A:F,6,FALSE),"")</f>
        <v/>
      </c>
    </row>
    <row r="1064" spans="4:9" x14ac:dyDescent="0.45">
      <c r="D1064" t="str">
        <f>IFERROR(VLOOKUP(C1064,'Clients List'!$A:$F,2,FALSE),"")</f>
        <v/>
      </c>
      <c r="F1064" s="1" t="str">
        <f>IF(OR(C1064="",NOT(ISNUMBER(SEARCH("Package",D1064)))),"",VLOOKUP(C1064,'Clients List'!$A:$F,4,FALSE)-SUMIFS($E$2:$E1064,$C$2:$C1064,C1064,$D$2:$D1064,"*Package*"))</f>
        <v/>
      </c>
      <c r="G1064" t="str">
        <f t="shared" si="36"/>
        <v/>
      </c>
      <c r="H1064" s="33">
        <f>IF(ISNUMBER(SEARCH("Group",D1064)),IF(G1064="",E1064,IFERROR(E1064/COUNTIF($G2:$G6000,G1064),E1064)),E1064)</f>
        <v>0</v>
      </c>
      <c r="I1064" s="1" t="str">
        <f>IFERROR(VLOOKUP(C1064,'Clients List'!A:F,6,FALSE),"")</f>
        <v/>
      </c>
    </row>
    <row r="1065" spans="4:9" x14ac:dyDescent="0.45">
      <c r="D1065" t="str">
        <f>IFERROR(VLOOKUP(C1065,'Clients List'!$A:$F,2,FALSE),"")</f>
        <v/>
      </c>
      <c r="F1065" s="1" t="str">
        <f>IF(OR(C1065="",NOT(ISNUMBER(SEARCH("Package",D1065)))),"",VLOOKUP(C1065,'Clients List'!$A:$F,4,FALSE)-SUMIFS($E$2:$E1065,$C$2:$C1065,C1065,$D$2:$D1065,"*Package*"))</f>
        <v/>
      </c>
      <c r="G1065" t="str">
        <f t="shared" si="36"/>
        <v/>
      </c>
      <c r="H1065" s="33">
        <f>IF(ISNUMBER(SEARCH("Group",D1065)),IF(G1065="",E1065,IFERROR(E1065/COUNTIF($G2:$G6000,G1065),E1065)),E1065)</f>
        <v>0</v>
      </c>
      <c r="I1065" s="1" t="str">
        <f>IFERROR(VLOOKUP(C1065,'Clients List'!A:F,6,FALSE),"")</f>
        <v/>
      </c>
    </row>
    <row r="1066" spans="4:9" x14ac:dyDescent="0.45">
      <c r="D1066" t="str">
        <f>IFERROR(VLOOKUP(C1066,'Clients List'!$A:$F,2,FALSE),"")</f>
        <v/>
      </c>
      <c r="F1066" s="1" t="str">
        <f>IF(OR(C1066="",NOT(ISNUMBER(SEARCH("Package",D1066)))),"",VLOOKUP(C1066,'Clients List'!$A:$F,4,FALSE)-SUMIFS($E$2:$E1066,$C$2:$C1066,C1066,$D$2:$D1066,"*Package*"))</f>
        <v/>
      </c>
      <c r="G1066" t="str">
        <f t="shared" si="36"/>
        <v/>
      </c>
      <c r="H1066" s="33">
        <f>IF(ISNUMBER(SEARCH("Group",D1066)),IF(G1066="",E1066,IFERROR(E1066/COUNTIF($G2:$G6000,G1066),E1066)),E1066)</f>
        <v>0</v>
      </c>
      <c r="I1066" s="1" t="str">
        <f>IFERROR(VLOOKUP(C1066,'Clients List'!A:F,6,FALSE),"")</f>
        <v/>
      </c>
    </row>
    <row r="1067" spans="4:9" x14ac:dyDescent="0.45">
      <c r="D1067" t="str">
        <f>IFERROR(VLOOKUP(C1067,'Clients List'!$A:$F,2,FALSE),"")</f>
        <v/>
      </c>
      <c r="F1067" s="1" t="str">
        <f>IF(OR(C1067="",NOT(ISNUMBER(SEARCH("Package",D1067)))),"",VLOOKUP(C1067,'Clients List'!$A:$F,4,FALSE)-SUMIFS($E$2:$E1067,$C$2:$C1067,C1067,$D$2:$D1067,"*Package*"))</f>
        <v/>
      </c>
      <c r="G1067" t="str">
        <f t="shared" si="36"/>
        <v/>
      </c>
      <c r="H1067" s="33">
        <f>IF(ISNUMBER(SEARCH("Group",D1067)),IF(G1067="",E1067,IFERROR(E1067/COUNTIF($G2:$G6000,G1067),E1067)),E1067)</f>
        <v>0</v>
      </c>
      <c r="I1067" s="1" t="str">
        <f>IFERROR(VLOOKUP(C1067,'Clients List'!A:F,6,FALSE),"")</f>
        <v/>
      </c>
    </row>
    <row r="1068" spans="4:9" x14ac:dyDescent="0.45">
      <c r="D1068" t="str">
        <f>IFERROR(VLOOKUP(C1068,'Clients List'!$A:$F,2,FALSE),"")</f>
        <v/>
      </c>
      <c r="F1068" s="1" t="str">
        <f>IF(OR(C1068="",NOT(ISNUMBER(SEARCH("Package",D1068)))),"",VLOOKUP(C1068,'Clients List'!$A:$F,4,FALSE)-SUMIFS($E$2:$E1068,$C$2:$C1068,C1068,$D$2:$D1068,"*Package*"))</f>
        <v/>
      </c>
      <c r="G1068" t="str">
        <f t="shared" ref="G1068:G1099" si="37">IF(ISNUMBER(SEARCH("Group",D1068)),IFERROR("GRP-"&amp;TEXT(IF(ISNUMBER(A1068),A1068,DATEVALUE(A1068)),"yyyymmdd"),""),"" )</f>
        <v/>
      </c>
      <c r="H1068" s="33">
        <f>IF(ISNUMBER(SEARCH("Group",D1068)),IF(G1068="",E1068,IFERROR(E1068/COUNTIF($G2:$G6000,G1068),E1068)),E1068)</f>
        <v>0</v>
      </c>
      <c r="I1068" s="1" t="str">
        <f>IFERROR(VLOOKUP(C1068,'Clients List'!A:F,6,FALSE),"")</f>
        <v/>
      </c>
    </row>
    <row r="1069" spans="4:9" x14ac:dyDescent="0.45">
      <c r="D1069" t="str">
        <f>IFERROR(VLOOKUP(C1069,'Clients List'!$A:$F,2,FALSE),"")</f>
        <v/>
      </c>
      <c r="F1069" s="1" t="str">
        <f>IF(OR(C1069="",NOT(ISNUMBER(SEARCH("Package",D1069)))),"",VLOOKUP(C1069,'Clients List'!$A:$F,4,FALSE)-SUMIFS($E$2:$E1069,$C$2:$C1069,C1069,$D$2:$D1069,"*Package*"))</f>
        <v/>
      </c>
      <c r="G1069" t="str">
        <f t="shared" si="37"/>
        <v/>
      </c>
      <c r="H1069" s="33">
        <f>IF(ISNUMBER(SEARCH("Group",D1069)),IF(G1069="",E1069,IFERROR(E1069/COUNTIF($G2:$G6000,G1069),E1069)),E1069)</f>
        <v>0</v>
      </c>
      <c r="I1069" s="1" t="str">
        <f>IFERROR(VLOOKUP(C1069,'Clients List'!A:F,6,FALSE),"")</f>
        <v/>
      </c>
    </row>
    <row r="1070" spans="4:9" x14ac:dyDescent="0.45">
      <c r="D1070" t="str">
        <f>IFERROR(VLOOKUP(C1070,'Clients List'!$A:$F,2,FALSE),"")</f>
        <v/>
      </c>
      <c r="F1070" s="1" t="str">
        <f>IF(OR(C1070="",NOT(ISNUMBER(SEARCH("Package",D1070)))),"",VLOOKUP(C1070,'Clients List'!$A:$F,4,FALSE)-SUMIFS($E$2:$E1070,$C$2:$C1070,C1070,$D$2:$D1070,"*Package*"))</f>
        <v/>
      </c>
      <c r="G1070" t="str">
        <f t="shared" si="37"/>
        <v/>
      </c>
      <c r="H1070" s="33">
        <f>IF(ISNUMBER(SEARCH("Group",D1070)),IF(G1070="",E1070,IFERROR(E1070/COUNTIF($G2:$G6000,G1070),E1070)),E1070)</f>
        <v>0</v>
      </c>
      <c r="I1070" s="1" t="str">
        <f>IFERROR(VLOOKUP(C1070,'Clients List'!A:F,6,FALSE),"")</f>
        <v/>
      </c>
    </row>
    <row r="1071" spans="4:9" x14ac:dyDescent="0.45">
      <c r="D1071" t="str">
        <f>IFERROR(VLOOKUP(C1071,'Clients List'!$A:$F,2,FALSE),"")</f>
        <v/>
      </c>
      <c r="F1071" s="1" t="str">
        <f>IF(OR(C1071="",NOT(ISNUMBER(SEARCH("Package",D1071)))),"",VLOOKUP(C1071,'Clients List'!$A:$F,4,FALSE)-SUMIFS($E$2:$E1071,$C$2:$C1071,C1071,$D$2:$D1071,"*Package*"))</f>
        <v/>
      </c>
      <c r="G1071" t="str">
        <f t="shared" si="37"/>
        <v/>
      </c>
      <c r="H1071" s="33">
        <f>IF(ISNUMBER(SEARCH("Group",D1071)),IF(G1071="",E1071,IFERROR(E1071/COUNTIF($G2:$G6000,G1071),E1071)),E1071)</f>
        <v>0</v>
      </c>
      <c r="I1071" s="1" t="str">
        <f>IFERROR(VLOOKUP(C1071,'Clients List'!A:F,6,FALSE),"")</f>
        <v/>
      </c>
    </row>
    <row r="1072" spans="4:9" x14ac:dyDescent="0.45">
      <c r="D1072" t="str">
        <f>IFERROR(VLOOKUP(C1072,'Clients List'!$A:$F,2,FALSE),"")</f>
        <v/>
      </c>
      <c r="F1072" s="1" t="str">
        <f>IF(OR(C1072="",NOT(ISNUMBER(SEARCH("Package",D1072)))),"",VLOOKUP(C1072,'Clients List'!$A:$F,4,FALSE)-SUMIFS($E$2:$E1072,$C$2:$C1072,C1072,$D$2:$D1072,"*Package*"))</f>
        <v/>
      </c>
      <c r="G1072" t="str">
        <f t="shared" si="37"/>
        <v/>
      </c>
      <c r="H1072" s="33">
        <f>IF(ISNUMBER(SEARCH("Group",D1072)),IF(G1072="",E1072,IFERROR(E1072/COUNTIF($G2:$G6000,G1072),E1072)),E1072)</f>
        <v>0</v>
      </c>
      <c r="I1072" s="1" t="str">
        <f>IFERROR(VLOOKUP(C1072,'Clients List'!A:F,6,FALSE),"")</f>
        <v/>
      </c>
    </row>
    <row r="1073" spans="4:9" x14ac:dyDescent="0.45">
      <c r="D1073" t="str">
        <f>IFERROR(VLOOKUP(C1073,'Clients List'!$A:$F,2,FALSE),"")</f>
        <v/>
      </c>
      <c r="F1073" s="1" t="str">
        <f>IF(OR(C1073="",NOT(ISNUMBER(SEARCH("Package",D1073)))),"",VLOOKUP(C1073,'Clients List'!$A:$F,4,FALSE)-SUMIFS($E$2:$E1073,$C$2:$C1073,C1073,$D$2:$D1073,"*Package*"))</f>
        <v/>
      </c>
      <c r="G1073" t="str">
        <f t="shared" si="37"/>
        <v/>
      </c>
      <c r="H1073" s="33">
        <f>IF(ISNUMBER(SEARCH("Group",D1073)),IF(G1073="",E1073,IFERROR(E1073/COUNTIF($G2:$G6000,G1073),E1073)),E1073)</f>
        <v>0</v>
      </c>
      <c r="I1073" s="1" t="str">
        <f>IFERROR(VLOOKUP(C1073,'Clients List'!A:F,6,FALSE),"")</f>
        <v/>
      </c>
    </row>
    <row r="1074" spans="4:9" x14ac:dyDescent="0.45">
      <c r="D1074" t="str">
        <f>IFERROR(VLOOKUP(C1074,'Clients List'!$A:$F,2,FALSE),"")</f>
        <v/>
      </c>
      <c r="F1074" s="1" t="str">
        <f>IF(OR(C1074="",NOT(ISNUMBER(SEARCH("Package",D1074)))),"",VLOOKUP(C1074,'Clients List'!$A:$F,4,FALSE)-SUMIFS($E$2:$E1074,$C$2:$C1074,C1074,$D$2:$D1074,"*Package*"))</f>
        <v/>
      </c>
      <c r="G1074" t="str">
        <f t="shared" si="37"/>
        <v/>
      </c>
      <c r="H1074" s="33">
        <f>IF(ISNUMBER(SEARCH("Group",D1074)),IF(G1074="",E1074,IFERROR(E1074/COUNTIF($G2:$G6000,G1074),E1074)),E1074)</f>
        <v>0</v>
      </c>
      <c r="I1074" s="1" t="str">
        <f>IFERROR(VLOOKUP(C1074,'Clients List'!A:F,6,FALSE),"")</f>
        <v/>
      </c>
    </row>
    <row r="1075" spans="4:9" x14ac:dyDescent="0.45">
      <c r="D1075" t="str">
        <f>IFERROR(VLOOKUP(C1075,'Clients List'!$A:$F,2,FALSE),"")</f>
        <v/>
      </c>
      <c r="F1075" s="1" t="str">
        <f>IF(OR(C1075="",NOT(ISNUMBER(SEARCH("Package",D1075)))),"",VLOOKUP(C1075,'Clients List'!$A:$F,4,FALSE)-SUMIFS($E$2:$E1075,$C$2:$C1075,C1075,$D$2:$D1075,"*Package*"))</f>
        <v/>
      </c>
      <c r="G1075" t="str">
        <f t="shared" si="37"/>
        <v/>
      </c>
      <c r="H1075" s="33">
        <f>IF(ISNUMBER(SEARCH("Group",D1075)),IF(G1075="",E1075,IFERROR(E1075/COUNTIF($G2:$G6000,G1075),E1075)),E1075)</f>
        <v>0</v>
      </c>
      <c r="I1075" s="1" t="str">
        <f>IFERROR(VLOOKUP(C1075,'Clients List'!A:F,6,FALSE),"")</f>
        <v/>
      </c>
    </row>
    <row r="1076" spans="4:9" x14ac:dyDescent="0.45">
      <c r="D1076" t="str">
        <f>IFERROR(VLOOKUP(C1076,'Clients List'!$A:$F,2,FALSE),"")</f>
        <v/>
      </c>
      <c r="F1076" s="1" t="str">
        <f>IF(OR(C1076="",NOT(ISNUMBER(SEARCH("Package",D1076)))),"",VLOOKUP(C1076,'Clients List'!$A:$F,4,FALSE)-SUMIFS($E$2:$E1076,$C$2:$C1076,C1076,$D$2:$D1076,"*Package*"))</f>
        <v/>
      </c>
      <c r="G1076" t="str">
        <f t="shared" si="37"/>
        <v/>
      </c>
      <c r="H1076" s="33">
        <f>IF(ISNUMBER(SEARCH("Group",D1076)),IF(G1076="",E1076,IFERROR(E1076/COUNTIF($G2:$G6000,G1076),E1076)),E1076)</f>
        <v>0</v>
      </c>
      <c r="I1076" s="1" t="str">
        <f>IFERROR(VLOOKUP(C1076,'Clients List'!A:F,6,FALSE),"")</f>
        <v/>
      </c>
    </row>
    <row r="1077" spans="4:9" x14ac:dyDescent="0.45">
      <c r="D1077" t="str">
        <f>IFERROR(VLOOKUP(C1077,'Clients List'!$A:$F,2,FALSE),"")</f>
        <v/>
      </c>
      <c r="F1077" s="1" t="str">
        <f>IF(OR(C1077="",NOT(ISNUMBER(SEARCH("Package",D1077)))),"",VLOOKUP(C1077,'Clients List'!$A:$F,4,FALSE)-SUMIFS($E$2:$E1077,$C$2:$C1077,C1077,$D$2:$D1077,"*Package*"))</f>
        <v/>
      </c>
      <c r="G1077" t="str">
        <f t="shared" si="37"/>
        <v/>
      </c>
      <c r="H1077" s="33">
        <f>IF(ISNUMBER(SEARCH("Group",D1077)),IF(G1077="",E1077,IFERROR(E1077/COUNTIF($G2:$G6000,G1077),E1077)),E1077)</f>
        <v>0</v>
      </c>
      <c r="I1077" s="1" t="str">
        <f>IFERROR(VLOOKUP(C1077,'Clients List'!A:F,6,FALSE),"")</f>
        <v/>
      </c>
    </row>
    <row r="1078" spans="4:9" x14ac:dyDescent="0.45">
      <c r="D1078" t="str">
        <f>IFERROR(VLOOKUP(C1078,'Clients List'!$A:$F,2,FALSE),"")</f>
        <v/>
      </c>
      <c r="F1078" s="1" t="str">
        <f>IF(OR(C1078="",NOT(ISNUMBER(SEARCH("Package",D1078)))),"",VLOOKUP(C1078,'Clients List'!$A:$F,4,FALSE)-SUMIFS($E$2:$E1078,$C$2:$C1078,C1078,$D$2:$D1078,"*Package*"))</f>
        <v/>
      </c>
      <c r="G1078" t="str">
        <f t="shared" si="37"/>
        <v/>
      </c>
      <c r="H1078" s="33">
        <f>IF(ISNUMBER(SEARCH("Group",D1078)),IF(G1078="",E1078,IFERROR(E1078/COUNTIF($G2:$G6000,G1078),E1078)),E1078)</f>
        <v>0</v>
      </c>
      <c r="I1078" s="1" t="str">
        <f>IFERROR(VLOOKUP(C1078,'Clients List'!A:F,6,FALSE),"")</f>
        <v/>
      </c>
    </row>
    <row r="1079" spans="4:9" x14ac:dyDescent="0.45">
      <c r="D1079" t="str">
        <f>IFERROR(VLOOKUP(C1079,'Clients List'!$A:$F,2,FALSE),"")</f>
        <v/>
      </c>
      <c r="F1079" s="1" t="str">
        <f>IF(OR(C1079="",NOT(ISNUMBER(SEARCH("Package",D1079)))),"",VLOOKUP(C1079,'Clients List'!$A:$F,4,FALSE)-SUMIFS($E$2:$E1079,$C$2:$C1079,C1079,$D$2:$D1079,"*Package*"))</f>
        <v/>
      </c>
      <c r="G1079" t="str">
        <f t="shared" si="37"/>
        <v/>
      </c>
      <c r="H1079" s="33">
        <f>IF(ISNUMBER(SEARCH("Group",D1079)),IF(G1079="",E1079,IFERROR(E1079/COUNTIF($G2:$G6000,G1079),E1079)),E1079)</f>
        <v>0</v>
      </c>
      <c r="I1079" s="1" t="str">
        <f>IFERROR(VLOOKUP(C1079,'Clients List'!A:F,6,FALSE),"")</f>
        <v/>
      </c>
    </row>
    <row r="1080" spans="4:9" x14ac:dyDescent="0.45">
      <c r="D1080" t="str">
        <f>IFERROR(VLOOKUP(C1080,'Clients List'!$A:$F,2,FALSE),"")</f>
        <v/>
      </c>
      <c r="F1080" s="1" t="str">
        <f>IF(OR(C1080="",NOT(ISNUMBER(SEARCH("Package",D1080)))),"",VLOOKUP(C1080,'Clients List'!$A:$F,4,FALSE)-SUMIFS($E$2:$E1080,$C$2:$C1080,C1080,$D$2:$D1080,"*Package*"))</f>
        <v/>
      </c>
      <c r="G1080" t="str">
        <f t="shared" si="37"/>
        <v/>
      </c>
      <c r="H1080" s="33">
        <f>IF(ISNUMBER(SEARCH("Group",D1080)),IF(G1080="",E1080,IFERROR(E1080/COUNTIF($G2:$G6000,G1080),E1080)),E1080)</f>
        <v>0</v>
      </c>
      <c r="I1080" s="1" t="str">
        <f>IFERROR(VLOOKUP(C1080,'Clients List'!A:F,6,FALSE),"")</f>
        <v/>
      </c>
    </row>
    <row r="1081" spans="4:9" x14ac:dyDescent="0.45">
      <c r="D1081" t="str">
        <f>IFERROR(VLOOKUP(C1081,'Clients List'!$A:$F,2,FALSE),"")</f>
        <v/>
      </c>
      <c r="F1081" s="1" t="str">
        <f>IF(OR(C1081="",NOT(ISNUMBER(SEARCH("Package",D1081)))),"",VLOOKUP(C1081,'Clients List'!$A:$F,4,FALSE)-SUMIFS($E$2:$E1081,$C$2:$C1081,C1081,$D$2:$D1081,"*Package*"))</f>
        <v/>
      </c>
      <c r="G1081" t="str">
        <f t="shared" si="37"/>
        <v/>
      </c>
      <c r="H1081" s="33">
        <f>IF(ISNUMBER(SEARCH("Group",D1081)),IF(G1081="",E1081,IFERROR(E1081/COUNTIF($G2:$G6000,G1081),E1081)),E1081)</f>
        <v>0</v>
      </c>
      <c r="I1081" s="1" t="str">
        <f>IFERROR(VLOOKUP(C1081,'Clients List'!A:F,6,FALSE),"")</f>
        <v/>
      </c>
    </row>
    <row r="1082" spans="4:9" x14ac:dyDescent="0.45">
      <c r="D1082" t="str">
        <f>IFERROR(VLOOKUP(C1082,'Clients List'!$A:$F,2,FALSE),"")</f>
        <v/>
      </c>
      <c r="F1082" s="1" t="str">
        <f>IF(OR(C1082="",NOT(ISNUMBER(SEARCH("Package",D1082)))),"",VLOOKUP(C1082,'Clients List'!$A:$F,4,FALSE)-SUMIFS($E$2:$E1082,$C$2:$C1082,C1082,$D$2:$D1082,"*Package*"))</f>
        <v/>
      </c>
      <c r="G1082" t="str">
        <f t="shared" si="37"/>
        <v/>
      </c>
      <c r="H1082" s="33">
        <f>IF(ISNUMBER(SEARCH("Group",D1082)),IF(G1082="",E1082,IFERROR(E1082/COUNTIF($G2:$G6000,G1082),E1082)),E1082)</f>
        <v>0</v>
      </c>
      <c r="I1082" s="1" t="str">
        <f>IFERROR(VLOOKUP(C1082,'Clients List'!A:F,6,FALSE),"")</f>
        <v/>
      </c>
    </row>
    <row r="1083" spans="4:9" x14ac:dyDescent="0.45">
      <c r="D1083" t="str">
        <f>IFERROR(VLOOKUP(C1083,'Clients List'!$A:$F,2,FALSE),"")</f>
        <v/>
      </c>
      <c r="F1083" s="1" t="str">
        <f>IF(OR(C1083="",NOT(ISNUMBER(SEARCH("Package",D1083)))),"",VLOOKUP(C1083,'Clients List'!$A:$F,4,FALSE)-SUMIFS($E$2:$E1083,$C$2:$C1083,C1083,$D$2:$D1083,"*Package*"))</f>
        <v/>
      </c>
      <c r="G1083" t="str">
        <f t="shared" si="37"/>
        <v/>
      </c>
      <c r="H1083" s="33">
        <f>IF(ISNUMBER(SEARCH("Group",D1083)),IF(G1083="",E1083,IFERROR(E1083/COUNTIF($G2:$G6000,G1083),E1083)),E1083)</f>
        <v>0</v>
      </c>
      <c r="I1083" s="1" t="str">
        <f>IFERROR(VLOOKUP(C1083,'Clients List'!A:F,6,FALSE),"")</f>
        <v/>
      </c>
    </row>
    <row r="1084" spans="4:9" x14ac:dyDescent="0.45">
      <c r="D1084" t="str">
        <f>IFERROR(VLOOKUP(C1084,'Clients List'!$A:$F,2,FALSE),"")</f>
        <v/>
      </c>
      <c r="F1084" s="1" t="str">
        <f>IF(OR(C1084="",NOT(ISNUMBER(SEARCH("Package",D1084)))),"",VLOOKUP(C1084,'Clients List'!$A:$F,4,FALSE)-SUMIFS($E$2:$E1084,$C$2:$C1084,C1084,$D$2:$D1084,"*Package*"))</f>
        <v/>
      </c>
      <c r="G1084" t="str">
        <f t="shared" si="37"/>
        <v/>
      </c>
      <c r="H1084" s="33">
        <f>IF(ISNUMBER(SEARCH("Group",D1084)),IF(G1084="",E1084,IFERROR(E1084/COUNTIF($G2:$G6000,G1084),E1084)),E1084)</f>
        <v>0</v>
      </c>
      <c r="I1084" s="1" t="str">
        <f>IFERROR(VLOOKUP(C1084,'Clients List'!A:F,6,FALSE),"")</f>
        <v/>
      </c>
    </row>
    <row r="1085" spans="4:9" x14ac:dyDescent="0.45">
      <c r="D1085" t="str">
        <f>IFERROR(VLOOKUP(C1085,'Clients List'!$A:$F,2,FALSE),"")</f>
        <v/>
      </c>
      <c r="F1085" s="1" t="str">
        <f>IF(OR(C1085="",NOT(ISNUMBER(SEARCH("Package",D1085)))),"",VLOOKUP(C1085,'Clients List'!$A:$F,4,FALSE)-SUMIFS($E$2:$E1085,$C$2:$C1085,C1085,$D$2:$D1085,"*Package*"))</f>
        <v/>
      </c>
      <c r="G1085" t="str">
        <f t="shared" si="37"/>
        <v/>
      </c>
      <c r="H1085" s="33">
        <f>IF(ISNUMBER(SEARCH("Group",D1085)),IF(G1085="",E1085,IFERROR(E1085/COUNTIF($G2:$G6000,G1085),E1085)),E1085)</f>
        <v>0</v>
      </c>
      <c r="I1085" s="1" t="str">
        <f>IFERROR(VLOOKUP(C1085,'Clients List'!A:F,6,FALSE),"")</f>
        <v/>
      </c>
    </row>
    <row r="1086" spans="4:9" x14ac:dyDescent="0.45">
      <c r="D1086" t="str">
        <f>IFERROR(VLOOKUP(C1086,'Clients List'!$A:$F,2,FALSE),"")</f>
        <v/>
      </c>
      <c r="F1086" s="1" t="str">
        <f>IF(OR(C1086="",NOT(ISNUMBER(SEARCH("Package",D1086)))),"",VLOOKUP(C1086,'Clients List'!$A:$F,4,FALSE)-SUMIFS($E$2:$E1086,$C$2:$C1086,C1086,$D$2:$D1086,"*Package*"))</f>
        <v/>
      </c>
      <c r="G1086" t="str">
        <f t="shared" si="37"/>
        <v/>
      </c>
      <c r="H1086" s="33">
        <f>IF(ISNUMBER(SEARCH("Group",D1086)),IF(G1086="",E1086,IFERROR(E1086/COUNTIF($G2:$G6000,G1086),E1086)),E1086)</f>
        <v>0</v>
      </c>
      <c r="I1086" s="1" t="str">
        <f>IFERROR(VLOOKUP(C1086,'Clients List'!A:F,6,FALSE),"")</f>
        <v/>
      </c>
    </row>
    <row r="1087" spans="4:9" x14ac:dyDescent="0.45">
      <c r="D1087" t="str">
        <f>IFERROR(VLOOKUP(C1087,'Clients List'!$A:$F,2,FALSE),"")</f>
        <v/>
      </c>
      <c r="F1087" s="1" t="str">
        <f>IF(OR(C1087="",NOT(ISNUMBER(SEARCH("Package",D1087)))),"",VLOOKUP(C1087,'Clients List'!$A:$F,4,FALSE)-SUMIFS($E$2:$E1087,$C$2:$C1087,C1087,$D$2:$D1087,"*Package*"))</f>
        <v/>
      </c>
      <c r="G1087" t="str">
        <f t="shared" si="37"/>
        <v/>
      </c>
      <c r="H1087" s="33">
        <f>IF(ISNUMBER(SEARCH("Group",D1087)),IF(G1087="",E1087,IFERROR(E1087/COUNTIF($G2:$G6000,G1087),E1087)),E1087)</f>
        <v>0</v>
      </c>
      <c r="I1087" s="1" t="str">
        <f>IFERROR(VLOOKUP(C1087,'Clients List'!A:F,6,FALSE),"")</f>
        <v/>
      </c>
    </row>
    <row r="1088" spans="4:9" x14ac:dyDescent="0.45">
      <c r="D1088" t="str">
        <f>IFERROR(VLOOKUP(C1088,'Clients List'!$A:$F,2,FALSE),"")</f>
        <v/>
      </c>
      <c r="F1088" s="1" t="str">
        <f>IF(OR(C1088="",NOT(ISNUMBER(SEARCH("Package",D1088)))),"",VLOOKUP(C1088,'Clients List'!$A:$F,4,FALSE)-SUMIFS($E$2:$E1088,$C$2:$C1088,C1088,$D$2:$D1088,"*Package*"))</f>
        <v/>
      </c>
      <c r="G1088" t="str">
        <f t="shared" si="37"/>
        <v/>
      </c>
      <c r="H1088" s="33">
        <f>IF(ISNUMBER(SEARCH("Group",D1088)),IF(G1088="",E1088,IFERROR(E1088/COUNTIF($G2:$G6000,G1088),E1088)),E1088)</f>
        <v>0</v>
      </c>
      <c r="I1088" s="1" t="str">
        <f>IFERROR(VLOOKUP(C1088,'Clients List'!A:F,6,FALSE),"")</f>
        <v/>
      </c>
    </row>
    <row r="1089" spans="4:9" x14ac:dyDescent="0.45">
      <c r="D1089" t="str">
        <f>IFERROR(VLOOKUP(C1089,'Clients List'!$A:$F,2,FALSE),"")</f>
        <v/>
      </c>
      <c r="F1089" s="1" t="str">
        <f>IF(OR(C1089="",NOT(ISNUMBER(SEARCH("Package",D1089)))),"",VLOOKUP(C1089,'Clients List'!$A:$F,4,FALSE)-SUMIFS($E$2:$E1089,$C$2:$C1089,C1089,$D$2:$D1089,"*Package*"))</f>
        <v/>
      </c>
      <c r="G1089" t="str">
        <f t="shared" si="37"/>
        <v/>
      </c>
      <c r="H1089" s="33">
        <f>IF(ISNUMBER(SEARCH("Group",D1089)),IF(G1089="",E1089,IFERROR(E1089/COUNTIF($G2:$G6000,G1089),E1089)),E1089)</f>
        <v>0</v>
      </c>
      <c r="I1089" s="1" t="str">
        <f>IFERROR(VLOOKUP(C1089,'Clients List'!A:F,6,FALSE),"")</f>
        <v/>
      </c>
    </row>
    <row r="1090" spans="4:9" x14ac:dyDescent="0.45">
      <c r="D1090" t="str">
        <f>IFERROR(VLOOKUP(C1090,'Clients List'!$A:$F,2,FALSE),"")</f>
        <v/>
      </c>
      <c r="F1090" s="1" t="str">
        <f>IF(OR(C1090="",NOT(ISNUMBER(SEARCH("Package",D1090)))),"",VLOOKUP(C1090,'Clients List'!$A:$F,4,FALSE)-SUMIFS($E$2:$E1090,$C$2:$C1090,C1090,$D$2:$D1090,"*Package*"))</f>
        <v/>
      </c>
      <c r="G1090" t="str">
        <f t="shared" si="37"/>
        <v/>
      </c>
      <c r="H1090" s="33">
        <f>IF(ISNUMBER(SEARCH("Group",D1090)),IF(G1090="",E1090,IFERROR(E1090/COUNTIF($G2:$G6000,G1090),E1090)),E1090)</f>
        <v>0</v>
      </c>
      <c r="I1090" s="1" t="str">
        <f>IFERROR(VLOOKUP(C1090,'Clients List'!A:F,6,FALSE),"")</f>
        <v/>
      </c>
    </row>
    <row r="1091" spans="4:9" x14ac:dyDescent="0.45">
      <c r="D1091" t="str">
        <f>IFERROR(VLOOKUP(C1091,'Clients List'!$A:$F,2,FALSE),"")</f>
        <v/>
      </c>
      <c r="F1091" s="1" t="str">
        <f>IF(OR(C1091="",NOT(ISNUMBER(SEARCH("Package",D1091)))),"",VLOOKUP(C1091,'Clients List'!$A:$F,4,FALSE)-SUMIFS($E$2:$E1091,$C$2:$C1091,C1091,$D$2:$D1091,"*Package*"))</f>
        <v/>
      </c>
      <c r="G1091" t="str">
        <f t="shared" si="37"/>
        <v/>
      </c>
      <c r="H1091" s="33">
        <f>IF(ISNUMBER(SEARCH("Group",D1091)),IF(G1091="",E1091,IFERROR(E1091/COUNTIF($G2:$G6000,G1091),E1091)),E1091)</f>
        <v>0</v>
      </c>
      <c r="I1091" s="1" t="str">
        <f>IFERROR(VLOOKUP(C1091,'Clients List'!A:F,6,FALSE),"")</f>
        <v/>
      </c>
    </row>
    <row r="1092" spans="4:9" x14ac:dyDescent="0.45">
      <c r="D1092" t="str">
        <f>IFERROR(VLOOKUP(C1092,'Clients List'!$A:$F,2,FALSE),"")</f>
        <v/>
      </c>
      <c r="F1092" s="1" t="str">
        <f>IF(OR(C1092="",NOT(ISNUMBER(SEARCH("Package",D1092)))),"",VLOOKUP(C1092,'Clients List'!$A:$F,4,FALSE)-SUMIFS($E$2:$E1092,$C$2:$C1092,C1092,$D$2:$D1092,"*Package*"))</f>
        <v/>
      </c>
      <c r="G1092" t="str">
        <f t="shared" si="37"/>
        <v/>
      </c>
      <c r="H1092" s="33">
        <f>IF(ISNUMBER(SEARCH("Group",D1092)),IF(G1092="",E1092,IFERROR(E1092/COUNTIF($G2:$G6000,G1092),E1092)),E1092)</f>
        <v>0</v>
      </c>
      <c r="I1092" s="1" t="str">
        <f>IFERROR(VLOOKUP(C1092,'Clients List'!A:F,6,FALSE),"")</f>
        <v/>
      </c>
    </row>
    <row r="1093" spans="4:9" x14ac:dyDescent="0.45">
      <c r="D1093" t="str">
        <f>IFERROR(VLOOKUP(C1093,'Clients List'!$A:$F,2,FALSE),"")</f>
        <v/>
      </c>
      <c r="F1093" s="1" t="str">
        <f>IF(OR(C1093="",NOT(ISNUMBER(SEARCH("Package",D1093)))),"",VLOOKUP(C1093,'Clients List'!$A:$F,4,FALSE)-SUMIFS($E$2:$E1093,$C$2:$C1093,C1093,$D$2:$D1093,"*Package*"))</f>
        <v/>
      </c>
      <c r="G1093" t="str">
        <f t="shared" si="37"/>
        <v/>
      </c>
      <c r="H1093" s="33">
        <f>IF(ISNUMBER(SEARCH("Group",D1093)),IF(G1093="",E1093,IFERROR(E1093/COUNTIF($G2:$G6000,G1093),E1093)),E1093)</f>
        <v>0</v>
      </c>
      <c r="I1093" s="1" t="str">
        <f>IFERROR(VLOOKUP(C1093,'Clients List'!A:F,6,FALSE),"")</f>
        <v/>
      </c>
    </row>
    <row r="1094" spans="4:9" x14ac:dyDescent="0.45">
      <c r="D1094" t="str">
        <f>IFERROR(VLOOKUP(C1094,'Clients List'!$A:$F,2,FALSE),"")</f>
        <v/>
      </c>
      <c r="F1094" s="1" t="str">
        <f>IF(OR(C1094="",NOT(ISNUMBER(SEARCH("Package",D1094)))),"",VLOOKUP(C1094,'Clients List'!$A:$F,4,FALSE)-SUMIFS($E$2:$E1094,$C$2:$C1094,C1094,$D$2:$D1094,"*Package*"))</f>
        <v/>
      </c>
      <c r="G1094" t="str">
        <f t="shared" si="37"/>
        <v/>
      </c>
      <c r="H1094" s="33">
        <f>IF(ISNUMBER(SEARCH("Group",D1094)),IF(G1094="",E1094,IFERROR(E1094/COUNTIF($G2:$G6000,G1094),E1094)),E1094)</f>
        <v>0</v>
      </c>
      <c r="I1094" s="1" t="str">
        <f>IFERROR(VLOOKUP(C1094,'Clients List'!A:F,6,FALSE),"")</f>
        <v/>
      </c>
    </row>
    <row r="1095" spans="4:9" x14ac:dyDescent="0.45">
      <c r="D1095" t="str">
        <f>IFERROR(VLOOKUP(C1095,'Clients List'!$A:$F,2,FALSE),"")</f>
        <v/>
      </c>
      <c r="F1095" s="1" t="str">
        <f>IF(OR(C1095="",NOT(ISNUMBER(SEARCH("Package",D1095)))),"",VLOOKUP(C1095,'Clients List'!$A:$F,4,FALSE)-SUMIFS($E$2:$E1095,$C$2:$C1095,C1095,$D$2:$D1095,"*Package*"))</f>
        <v/>
      </c>
      <c r="G1095" t="str">
        <f t="shared" si="37"/>
        <v/>
      </c>
      <c r="H1095" s="33">
        <f>IF(ISNUMBER(SEARCH("Group",D1095)),IF(G1095="",E1095,IFERROR(E1095/COUNTIF($G2:$G6000,G1095),E1095)),E1095)</f>
        <v>0</v>
      </c>
      <c r="I1095" s="1" t="str">
        <f>IFERROR(VLOOKUP(C1095,'Clients List'!A:F,6,FALSE),"")</f>
        <v/>
      </c>
    </row>
    <row r="1096" spans="4:9" x14ac:dyDescent="0.45">
      <c r="D1096" t="str">
        <f>IFERROR(VLOOKUP(C1096,'Clients List'!$A:$F,2,FALSE),"")</f>
        <v/>
      </c>
      <c r="F1096" s="1" t="str">
        <f>IF(OR(C1096="",NOT(ISNUMBER(SEARCH("Package",D1096)))),"",VLOOKUP(C1096,'Clients List'!$A:$F,4,FALSE)-SUMIFS($E$2:$E1096,$C$2:$C1096,C1096,$D$2:$D1096,"*Package*"))</f>
        <v/>
      </c>
      <c r="G1096" t="str">
        <f t="shared" si="37"/>
        <v/>
      </c>
      <c r="H1096" s="33">
        <f>IF(ISNUMBER(SEARCH("Group",D1096)),IF(G1096="",E1096,IFERROR(E1096/COUNTIF($G2:$G6000,G1096),E1096)),E1096)</f>
        <v>0</v>
      </c>
      <c r="I1096" s="1" t="str">
        <f>IFERROR(VLOOKUP(C1096,'Clients List'!A:F,6,FALSE),"")</f>
        <v/>
      </c>
    </row>
    <row r="1097" spans="4:9" x14ac:dyDescent="0.45">
      <c r="D1097" t="str">
        <f>IFERROR(VLOOKUP(C1097,'Clients List'!$A:$F,2,FALSE),"")</f>
        <v/>
      </c>
      <c r="F1097" s="1" t="str">
        <f>IF(OR(C1097="",NOT(ISNUMBER(SEARCH("Package",D1097)))),"",VLOOKUP(C1097,'Clients List'!$A:$F,4,FALSE)-SUMIFS($E$2:$E1097,$C$2:$C1097,C1097,$D$2:$D1097,"*Package*"))</f>
        <v/>
      </c>
      <c r="G1097" t="str">
        <f t="shared" si="37"/>
        <v/>
      </c>
      <c r="H1097" s="33">
        <f>IF(ISNUMBER(SEARCH("Group",D1097)),IF(G1097="",E1097,IFERROR(E1097/COUNTIF($G2:$G6000,G1097),E1097)),E1097)</f>
        <v>0</v>
      </c>
      <c r="I1097" s="1" t="str">
        <f>IFERROR(VLOOKUP(C1097,'Clients List'!A:F,6,FALSE),"")</f>
        <v/>
      </c>
    </row>
    <row r="1098" spans="4:9" x14ac:dyDescent="0.45">
      <c r="D1098" t="str">
        <f>IFERROR(VLOOKUP(C1098,'Clients List'!$A:$F,2,FALSE),"")</f>
        <v/>
      </c>
      <c r="F1098" s="1" t="str">
        <f>IF(OR(C1098="",NOT(ISNUMBER(SEARCH("Package",D1098)))),"",VLOOKUP(C1098,'Clients List'!$A:$F,4,FALSE)-SUMIFS($E$2:$E1098,$C$2:$C1098,C1098,$D$2:$D1098,"*Package*"))</f>
        <v/>
      </c>
      <c r="G1098" t="str">
        <f t="shared" si="37"/>
        <v/>
      </c>
      <c r="H1098" s="33">
        <f>IF(ISNUMBER(SEARCH("Group",D1098)),IF(G1098="",E1098,IFERROR(E1098/COUNTIF($G2:$G6000,G1098),E1098)),E1098)</f>
        <v>0</v>
      </c>
      <c r="I1098" s="1" t="str">
        <f>IFERROR(VLOOKUP(C1098,'Clients List'!A:F,6,FALSE),"")</f>
        <v/>
      </c>
    </row>
    <row r="1099" spans="4:9" x14ac:dyDescent="0.45">
      <c r="D1099" t="str">
        <f>IFERROR(VLOOKUP(C1099,'Clients List'!$A:$F,2,FALSE),"")</f>
        <v/>
      </c>
      <c r="F1099" s="1" t="str">
        <f>IF(OR(C1099="",NOT(ISNUMBER(SEARCH("Package",D1099)))),"",VLOOKUP(C1099,'Clients List'!$A:$F,4,FALSE)-SUMIFS($E$2:$E1099,$C$2:$C1099,C1099,$D$2:$D1099,"*Package*"))</f>
        <v/>
      </c>
      <c r="G1099" t="str">
        <f t="shared" si="37"/>
        <v/>
      </c>
      <c r="H1099" s="33">
        <f>IF(ISNUMBER(SEARCH("Group",D1099)),IF(G1099="",E1099,IFERROR(E1099/COUNTIF($G2:$G6000,G1099),E1099)),E1099)</f>
        <v>0</v>
      </c>
      <c r="I1099" s="1" t="str">
        <f>IFERROR(VLOOKUP(C1099,'Clients List'!A:F,6,FALSE),"")</f>
        <v/>
      </c>
    </row>
    <row r="1100" spans="4:9" x14ac:dyDescent="0.45">
      <c r="D1100" t="str">
        <f>IFERROR(VLOOKUP(C1100,'Clients List'!$A:$F,2,FALSE),"")</f>
        <v/>
      </c>
      <c r="F1100" s="1" t="str">
        <f>IF(OR(C1100="",NOT(ISNUMBER(SEARCH("Package",D1100)))),"",VLOOKUP(C1100,'Clients List'!$A:$F,4,FALSE)-SUMIFS($E$2:$E1100,$C$2:$C1100,C1100,$D$2:$D1100,"*Package*"))</f>
        <v/>
      </c>
      <c r="G1100" t="str">
        <f t="shared" ref="G1100:G1131" si="38">IF(ISNUMBER(SEARCH("Group",D1100)),IFERROR("GRP-"&amp;TEXT(IF(ISNUMBER(A1100),A1100,DATEVALUE(A1100)),"yyyymmdd"),""),"" )</f>
        <v/>
      </c>
      <c r="H1100" s="33">
        <f>IF(ISNUMBER(SEARCH("Group",D1100)),IF(G1100="",E1100,IFERROR(E1100/COUNTIF($G2:$G6000,G1100),E1100)),E1100)</f>
        <v>0</v>
      </c>
      <c r="I1100" s="1" t="str">
        <f>IFERROR(VLOOKUP(C1100,'Clients List'!A:F,6,FALSE),"")</f>
        <v/>
      </c>
    </row>
    <row r="1101" spans="4:9" x14ac:dyDescent="0.45">
      <c r="D1101" t="str">
        <f>IFERROR(VLOOKUP(C1101,'Clients List'!$A:$F,2,FALSE),"")</f>
        <v/>
      </c>
      <c r="F1101" s="1" t="str">
        <f>IF(OR(C1101="",NOT(ISNUMBER(SEARCH("Package",D1101)))),"",VLOOKUP(C1101,'Clients List'!$A:$F,4,FALSE)-SUMIFS($E$2:$E1101,$C$2:$C1101,C1101,$D$2:$D1101,"*Package*"))</f>
        <v/>
      </c>
      <c r="G1101" t="str">
        <f t="shared" si="38"/>
        <v/>
      </c>
      <c r="H1101" s="33">
        <f>IF(ISNUMBER(SEARCH("Group",D1101)),IF(G1101="",E1101,IFERROR(E1101/COUNTIF($G2:$G6000,G1101),E1101)),E1101)</f>
        <v>0</v>
      </c>
      <c r="I1101" s="1" t="str">
        <f>IFERROR(VLOOKUP(C1101,'Clients List'!A:F,6,FALSE),"")</f>
        <v/>
      </c>
    </row>
    <row r="1102" spans="4:9" x14ac:dyDescent="0.45">
      <c r="D1102" t="str">
        <f>IFERROR(VLOOKUP(C1102,'Clients List'!$A:$F,2,FALSE),"")</f>
        <v/>
      </c>
      <c r="F1102" s="1" t="str">
        <f>IF(OR(C1102="",NOT(ISNUMBER(SEARCH("Package",D1102)))),"",VLOOKUP(C1102,'Clients List'!$A:$F,4,FALSE)-SUMIFS($E$2:$E1102,$C$2:$C1102,C1102,$D$2:$D1102,"*Package*"))</f>
        <v/>
      </c>
      <c r="G1102" t="str">
        <f t="shared" si="38"/>
        <v/>
      </c>
      <c r="H1102" s="33">
        <f>IF(ISNUMBER(SEARCH("Group",D1102)),IF(G1102="",E1102,IFERROR(E1102/COUNTIF($G2:$G6000,G1102),E1102)),E1102)</f>
        <v>0</v>
      </c>
      <c r="I1102" s="1" t="str">
        <f>IFERROR(VLOOKUP(C1102,'Clients List'!A:F,6,FALSE),"")</f>
        <v/>
      </c>
    </row>
    <row r="1103" spans="4:9" x14ac:dyDescent="0.45">
      <c r="D1103" t="str">
        <f>IFERROR(VLOOKUP(C1103,'Clients List'!$A:$F,2,FALSE),"")</f>
        <v/>
      </c>
      <c r="F1103" s="1" t="str">
        <f>IF(OR(C1103="",NOT(ISNUMBER(SEARCH("Package",D1103)))),"",VLOOKUP(C1103,'Clients List'!$A:$F,4,FALSE)-SUMIFS($E$2:$E1103,$C$2:$C1103,C1103,$D$2:$D1103,"*Package*"))</f>
        <v/>
      </c>
      <c r="G1103" t="str">
        <f t="shared" si="38"/>
        <v/>
      </c>
      <c r="H1103" s="33">
        <f>IF(ISNUMBER(SEARCH("Group",D1103)),IF(G1103="",E1103,IFERROR(E1103/COUNTIF($G2:$G6000,G1103),E1103)),E1103)</f>
        <v>0</v>
      </c>
      <c r="I1103" s="1" t="str">
        <f>IFERROR(VLOOKUP(C1103,'Clients List'!A:F,6,FALSE),"")</f>
        <v/>
      </c>
    </row>
    <row r="1104" spans="4:9" x14ac:dyDescent="0.45">
      <c r="D1104" t="str">
        <f>IFERROR(VLOOKUP(C1104,'Clients List'!$A:$F,2,FALSE),"")</f>
        <v/>
      </c>
      <c r="F1104" s="1" t="str">
        <f>IF(OR(C1104="",NOT(ISNUMBER(SEARCH("Package",D1104)))),"",VLOOKUP(C1104,'Clients List'!$A:$F,4,FALSE)-SUMIFS($E$2:$E1104,$C$2:$C1104,C1104,$D$2:$D1104,"*Package*"))</f>
        <v/>
      </c>
      <c r="G1104" t="str">
        <f t="shared" si="38"/>
        <v/>
      </c>
      <c r="H1104" s="33">
        <f>IF(ISNUMBER(SEARCH("Group",D1104)),IF(G1104="",E1104,IFERROR(E1104/COUNTIF($G2:$G6000,G1104),E1104)),E1104)</f>
        <v>0</v>
      </c>
      <c r="I1104" s="1" t="str">
        <f>IFERROR(VLOOKUP(C1104,'Clients List'!A:F,6,FALSE),"")</f>
        <v/>
      </c>
    </row>
    <row r="1105" spans="4:9" x14ac:dyDescent="0.45">
      <c r="D1105" t="str">
        <f>IFERROR(VLOOKUP(C1105,'Clients List'!$A:$F,2,FALSE),"")</f>
        <v/>
      </c>
      <c r="F1105" s="1" t="str">
        <f>IF(OR(C1105="",NOT(ISNUMBER(SEARCH("Package",D1105)))),"",VLOOKUP(C1105,'Clients List'!$A:$F,4,FALSE)-SUMIFS($E$2:$E1105,$C$2:$C1105,C1105,$D$2:$D1105,"*Package*"))</f>
        <v/>
      </c>
      <c r="G1105" t="str">
        <f t="shared" si="38"/>
        <v/>
      </c>
      <c r="H1105" s="33">
        <f>IF(ISNUMBER(SEARCH("Group",D1105)),IF(G1105="",E1105,IFERROR(E1105/COUNTIF($G2:$G6000,G1105),E1105)),E1105)</f>
        <v>0</v>
      </c>
      <c r="I1105" s="1" t="str">
        <f>IFERROR(VLOOKUP(C1105,'Clients List'!A:F,6,FALSE),"")</f>
        <v/>
      </c>
    </row>
    <row r="1106" spans="4:9" x14ac:dyDescent="0.45">
      <c r="D1106" t="str">
        <f>IFERROR(VLOOKUP(C1106,'Clients List'!$A:$F,2,FALSE),"")</f>
        <v/>
      </c>
      <c r="F1106" s="1" t="str">
        <f>IF(OR(C1106="",NOT(ISNUMBER(SEARCH("Package",D1106)))),"",VLOOKUP(C1106,'Clients List'!$A:$F,4,FALSE)-SUMIFS($E$2:$E1106,$C$2:$C1106,C1106,$D$2:$D1106,"*Package*"))</f>
        <v/>
      </c>
      <c r="G1106" t="str">
        <f t="shared" si="38"/>
        <v/>
      </c>
      <c r="H1106" s="33">
        <f>IF(ISNUMBER(SEARCH("Group",D1106)),IF(G1106="",E1106,IFERROR(E1106/COUNTIF($G2:$G6000,G1106),E1106)),E1106)</f>
        <v>0</v>
      </c>
      <c r="I1106" s="1" t="str">
        <f>IFERROR(VLOOKUP(C1106,'Clients List'!A:F,6,FALSE),"")</f>
        <v/>
      </c>
    </row>
    <row r="1107" spans="4:9" x14ac:dyDescent="0.45">
      <c r="D1107" t="str">
        <f>IFERROR(VLOOKUP(C1107,'Clients List'!$A:$F,2,FALSE),"")</f>
        <v/>
      </c>
      <c r="F1107" s="1" t="str">
        <f>IF(OR(C1107="",NOT(ISNUMBER(SEARCH("Package",D1107)))),"",VLOOKUP(C1107,'Clients List'!$A:$F,4,FALSE)-SUMIFS($E$2:$E1107,$C$2:$C1107,C1107,$D$2:$D1107,"*Package*"))</f>
        <v/>
      </c>
      <c r="G1107" t="str">
        <f t="shared" si="38"/>
        <v/>
      </c>
      <c r="H1107" s="33">
        <f>IF(ISNUMBER(SEARCH("Group",D1107)),IF(G1107="",E1107,IFERROR(E1107/COUNTIF($G2:$G6000,G1107),E1107)),E1107)</f>
        <v>0</v>
      </c>
      <c r="I1107" s="1" t="str">
        <f>IFERROR(VLOOKUP(C1107,'Clients List'!A:F,6,FALSE),"")</f>
        <v/>
      </c>
    </row>
    <row r="1108" spans="4:9" x14ac:dyDescent="0.45">
      <c r="D1108" t="str">
        <f>IFERROR(VLOOKUP(C1108,'Clients List'!$A:$F,2,FALSE),"")</f>
        <v/>
      </c>
      <c r="F1108" s="1" t="str">
        <f>IF(OR(C1108="",NOT(ISNUMBER(SEARCH("Package",D1108)))),"",VLOOKUP(C1108,'Clients List'!$A:$F,4,FALSE)-SUMIFS($E$2:$E1108,$C$2:$C1108,C1108,$D$2:$D1108,"*Package*"))</f>
        <v/>
      </c>
      <c r="G1108" t="str">
        <f t="shared" si="38"/>
        <v/>
      </c>
      <c r="H1108" s="33">
        <f>IF(ISNUMBER(SEARCH("Group",D1108)),IF(G1108="",E1108,IFERROR(E1108/COUNTIF($G2:$G6000,G1108),E1108)),E1108)</f>
        <v>0</v>
      </c>
      <c r="I1108" s="1" t="str">
        <f>IFERROR(VLOOKUP(C1108,'Clients List'!A:F,6,FALSE),"")</f>
        <v/>
      </c>
    </row>
    <row r="1109" spans="4:9" x14ac:dyDescent="0.45">
      <c r="D1109" t="str">
        <f>IFERROR(VLOOKUP(C1109,'Clients List'!$A:$F,2,FALSE),"")</f>
        <v/>
      </c>
      <c r="F1109" s="1" t="str">
        <f>IF(OR(C1109="",NOT(ISNUMBER(SEARCH("Package",D1109)))),"",VLOOKUP(C1109,'Clients List'!$A:$F,4,FALSE)-SUMIFS($E$2:$E1109,$C$2:$C1109,C1109,$D$2:$D1109,"*Package*"))</f>
        <v/>
      </c>
      <c r="G1109" t="str">
        <f t="shared" si="38"/>
        <v/>
      </c>
      <c r="H1109" s="33">
        <f>IF(ISNUMBER(SEARCH("Group",D1109)),IF(G1109="",E1109,IFERROR(E1109/COUNTIF($G2:$G6000,G1109),E1109)),E1109)</f>
        <v>0</v>
      </c>
      <c r="I1109" s="1" t="str">
        <f>IFERROR(VLOOKUP(C1109,'Clients List'!A:F,6,FALSE),"")</f>
        <v/>
      </c>
    </row>
    <row r="1110" spans="4:9" x14ac:dyDescent="0.45">
      <c r="D1110" t="str">
        <f>IFERROR(VLOOKUP(C1110,'Clients List'!$A:$F,2,FALSE),"")</f>
        <v/>
      </c>
      <c r="F1110" s="1" t="str">
        <f>IF(OR(C1110="",NOT(ISNUMBER(SEARCH("Package",D1110)))),"",VLOOKUP(C1110,'Clients List'!$A:$F,4,FALSE)-SUMIFS($E$2:$E1110,$C$2:$C1110,C1110,$D$2:$D1110,"*Package*"))</f>
        <v/>
      </c>
      <c r="G1110" t="str">
        <f t="shared" si="38"/>
        <v/>
      </c>
      <c r="H1110" s="33">
        <f>IF(ISNUMBER(SEARCH("Group",D1110)),IF(G1110="",E1110,IFERROR(E1110/COUNTIF($G2:$G6000,G1110),E1110)),E1110)</f>
        <v>0</v>
      </c>
      <c r="I1110" s="1" t="str">
        <f>IFERROR(VLOOKUP(C1110,'Clients List'!A:F,6,FALSE),"")</f>
        <v/>
      </c>
    </row>
    <row r="1111" spans="4:9" x14ac:dyDescent="0.45">
      <c r="D1111" t="str">
        <f>IFERROR(VLOOKUP(C1111,'Clients List'!$A:$F,2,FALSE),"")</f>
        <v/>
      </c>
      <c r="F1111" s="1" t="str">
        <f>IF(OR(C1111="",NOT(ISNUMBER(SEARCH("Package",D1111)))),"",VLOOKUP(C1111,'Clients List'!$A:$F,4,FALSE)-SUMIFS($E$2:$E1111,$C$2:$C1111,C1111,$D$2:$D1111,"*Package*"))</f>
        <v/>
      </c>
      <c r="G1111" t="str">
        <f t="shared" si="38"/>
        <v/>
      </c>
      <c r="H1111" s="33">
        <f>IF(ISNUMBER(SEARCH("Group",D1111)),IF(G1111="",E1111,IFERROR(E1111/COUNTIF($G2:$G6000,G1111),E1111)),E1111)</f>
        <v>0</v>
      </c>
      <c r="I1111" s="1" t="str">
        <f>IFERROR(VLOOKUP(C1111,'Clients List'!A:F,6,FALSE),"")</f>
        <v/>
      </c>
    </row>
    <row r="1112" spans="4:9" x14ac:dyDescent="0.45">
      <c r="D1112" t="str">
        <f>IFERROR(VLOOKUP(C1112,'Clients List'!$A:$F,2,FALSE),"")</f>
        <v/>
      </c>
      <c r="F1112" s="1" t="str">
        <f>IF(OR(C1112="",NOT(ISNUMBER(SEARCH("Package",D1112)))),"",VLOOKUP(C1112,'Clients List'!$A:$F,4,FALSE)-SUMIFS($E$2:$E1112,$C$2:$C1112,C1112,$D$2:$D1112,"*Package*"))</f>
        <v/>
      </c>
      <c r="G1112" t="str">
        <f t="shared" si="38"/>
        <v/>
      </c>
      <c r="H1112" s="33">
        <f>IF(ISNUMBER(SEARCH("Group",D1112)),IF(G1112="",E1112,IFERROR(E1112/COUNTIF($G2:$G6000,G1112),E1112)),E1112)</f>
        <v>0</v>
      </c>
      <c r="I1112" s="1" t="str">
        <f>IFERROR(VLOOKUP(C1112,'Clients List'!A:F,6,FALSE),"")</f>
        <v/>
      </c>
    </row>
    <row r="1113" spans="4:9" x14ac:dyDescent="0.45">
      <c r="D1113" t="str">
        <f>IFERROR(VLOOKUP(C1113,'Clients List'!$A:$F,2,FALSE),"")</f>
        <v/>
      </c>
      <c r="F1113" s="1" t="str">
        <f>IF(OR(C1113="",NOT(ISNUMBER(SEARCH("Package",D1113)))),"",VLOOKUP(C1113,'Clients List'!$A:$F,4,FALSE)-SUMIFS($E$2:$E1113,$C$2:$C1113,C1113,$D$2:$D1113,"*Package*"))</f>
        <v/>
      </c>
      <c r="G1113" t="str">
        <f t="shared" si="38"/>
        <v/>
      </c>
      <c r="H1113" s="33">
        <f>IF(ISNUMBER(SEARCH("Group",D1113)),IF(G1113="",E1113,IFERROR(E1113/COUNTIF($G2:$G6000,G1113),E1113)),E1113)</f>
        <v>0</v>
      </c>
      <c r="I1113" s="1" t="str">
        <f>IFERROR(VLOOKUP(C1113,'Clients List'!A:F,6,FALSE),"")</f>
        <v/>
      </c>
    </row>
    <row r="1114" spans="4:9" x14ac:dyDescent="0.45">
      <c r="D1114" t="str">
        <f>IFERROR(VLOOKUP(C1114,'Clients List'!$A:$F,2,FALSE),"")</f>
        <v/>
      </c>
      <c r="F1114" s="1" t="str">
        <f>IF(OR(C1114="",NOT(ISNUMBER(SEARCH("Package",D1114)))),"",VLOOKUP(C1114,'Clients List'!$A:$F,4,FALSE)-SUMIFS($E$2:$E1114,$C$2:$C1114,C1114,$D$2:$D1114,"*Package*"))</f>
        <v/>
      </c>
      <c r="G1114" t="str">
        <f t="shared" si="38"/>
        <v/>
      </c>
      <c r="H1114" s="33">
        <f>IF(ISNUMBER(SEARCH("Group",D1114)),IF(G1114="",E1114,IFERROR(E1114/COUNTIF($G2:$G6000,G1114),E1114)),E1114)</f>
        <v>0</v>
      </c>
      <c r="I1114" s="1" t="str">
        <f>IFERROR(VLOOKUP(C1114,'Clients List'!A:F,6,FALSE),"")</f>
        <v/>
      </c>
    </row>
    <row r="1115" spans="4:9" x14ac:dyDescent="0.45">
      <c r="D1115" t="str">
        <f>IFERROR(VLOOKUP(C1115,'Clients List'!$A:$F,2,FALSE),"")</f>
        <v/>
      </c>
      <c r="F1115" s="1" t="str">
        <f>IF(OR(C1115="",NOT(ISNUMBER(SEARCH("Package",D1115)))),"",VLOOKUP(C1115,'Clients List'!$A:$F,4,FALSE)-SUMIFS($E$2:$E1115,$C$2:$C1115,C1115,$D$2:$D1115,"*Package*"))</f>
        <v/>
      </c>
      <c r="G1115" t="str">
        <f t="shared" si="38"/>
        <v/>
      </c>
      <c r="H1115" s="33">
        <f>IF(ISNUMBER(SEARCH("Group",D1115)),IF(G1115="",E1115,IFERROR(E1115/COUNTIF($G2:$G6000,G1115),E1115)),E1115)</f>
        <v>0</v>
      </c>
      <c r="I1115" s="1" t="str">
        <f>IFERROR(VLOOKUP(C1115,'Clients List'!A:F,6,FALSE),"")</f>
        <v/>
      </c>
    </row>
    <row r="1116" spans="4:9" x14ac:dyDescent="0.45">
      <c r="D1116" t="str">
        <f>IFERROR(VLOOKUP(C1116,'Clients List'!$A:$F,2,FALSE),"")</f>
        <v/>
      </c>
      <c r="F1116" s="1" t="str">
        <f>IF(OR(C1116="",NOT(ISNUMBER(SEARCH("Package",D1116)))),"",VLOOKUP(C1116,'Clients List'!$A:$F,4,FALSE)-SUMIFS($E$2:$E1116,$C$2:$C1116,C1116,$D$2:$D1116,"*Package*"))</f>
        <v/>
      </c>
      <c r="G1116" t="str">
        <f t="shared" si="38"/>
        <v/>
      </c>
      <c r="H1116" s="33">
        <f>IF(ISNUMBER(SEARCH("Group",D1116)),IF(G1116="",E1116,IFERROR(E1116/COUNTIF($G2:$G6000,G1116),E1116)),E1116)</f>
        <v>0</v>
      </c>
      <c r="I1116" s="1" t="str">
        <f>IFERROR(VLOOKUP(C1116,'Clients List'!A:F,6,FALSE),"")</f>
        <v/>
      </c>
    </row>
    <row r="1117" spans="4:9" x14ac:dyDescent="0.45">
      <c r="D1117" t="str">
        <f>IFERROR(VLOOKUP(C1117,'Clients List'!$A:$F,2,FALSE),"")</f>
        <v/>
      </c>
      <c r="F1117" s="1" t="str">
        <f>IF(OR(C1117="",NOT(ISNUMBER(SEARCH("Package",D1117)))),"",VLOOKUP(C1117,'Clients List'!$A:$F,4,FALSE)-SUMIFS($E$2:$E1117,$C$2:$C1117,C1117,$D$2:$D1117,"*Package*"))</f>
        <v/>
      </c>
      <c r="G1117" t="str">
        <f t="shared" si="38"/>
        <v/>
      </c>
      <c r="H1117" s="33">
        <f>IF(ISNUMBER(SEARCH("Group",D1117)),IF(G1117="",E1117,IFERROR(E1117/COUNTIF($G2:$G6000,G1117),E1117)),E1117)</f>
        <v>0</v>
      </c>
      <c r="I1117" s="1" t="str">
        <f>IFERROR(VLOOKUP(C1117,'Clients List'!A:F,6,FALSE),"")</f>
        <v/>
      </c>
    </row>
    <row r="1118" spans="4:9" x14ac:dyDescent="0.45">
      <c r="D1118" t="str">
        <f>IFERROR(VLOOKUP(C1118,'Clients List'!$A:$F,2,FALSE),"")</f>
        <v/>
      </c>
      <c r="F1118" s="1" t="str">
        <f>IF(OR(C1118="",NOT(ISNUMBER(SEARCH("Package",D1118)))),"",VLOOKUP(C1118,'Clients List'!$A:$F,4,FALSE)-SUMIFS($E$2:$E1118,$C$2:$C1118,C1118,$D$2:$D1118,"*Package*"))</f>
        <v/>
      </c>
      <c r="G1118" t="str">
        <f t="shared" si="38"/>
        <v/>
      </c>
      <c r="H1118" s="33">
        <f>IF(ISNUMBER(SEARCH("Group",D1118)),IF(G1118="",E1118,IFERROR(E1118/COUNTIF($G2:$G6000,G1118),E1118)),E1118)</f>
        <v>0</v>
      </c>
      <c r="I1118" s="1" t="str">
        <f>IFERROR(VLOOKUP(C1118,'Clients List'!A:F,6,FALSE),"")</f>
        <v/>
      </c>
    </row>
    <row r="1119" spans="4:9" x14ac:dyDescent="0.45">
      <c r="D1119" t="str">
        <f>IFERROR(VLOOKUP(C1119,'Clients List'!$A:$F,2,FALSE),"")</f>
        <v/>
      </c>
      <c r="F1119" s="1" t="str">
        <f>IF(OR(C1119="",NOT(ISNUMBER(SEARCH("Package",D1119)))),"",VLOOKUP(C1119,'Clients List'!$A:$F,4,FALSE)-SUMIFS($E$2:$E1119,$C$2:$C1119,C1119,$D$2:$D1119,"*Package*"))</f>
        <v/>
      </c>
      <c r="G1119" t="str">
        <f t="shared" si="38"/>
        <v/>
      </c>
      <c r="H1119" s="33">
        <f>IF(ISNUMBER(SEARCH("Group",D1119)),IF(G1119="",E1119,IFERROR(E1119/COUNTIF($G2:$G6000,G1119),E1119)),E1119)</f>
        <v>0</v>
      </c>
      <c r="I1119" s="1" t="str">
        <f>IFERROR(VLOOKUP(C1119,'Clients List'!A:F,6,FALSE),"")</f>
        <v/>
      </c>
    </row>
    <row r="1120" spans="4:9" x14ac:dyDescent="0.45">
      <c r="D1120" t="str">
        <f>IFERROR(VLOOKUP(C1120,'Clients List'!$A:$F,2,FALSE),"")</f>
        <v/>
      </c>
      <c r="F1120" s="1" t="str">
        <f>IF(OR(C1120="",NOT(ISNUMBER(SEARCH("Package",D1120)))),"",VLOOKUP(C1120,'Clients List'!$A:$F,4,FALSE)-SUMIFS($E$2:$E1120,$C$2:$C1120,C1120,$D$2:$D1120,"*Package*"))</f>
        <v/>
      </c>
      <c r="G1120" t="str">
        <f t="shared" si="38"/>
        <v/>
      </c>
      <c r="H1120" s="33">
        <f>IF(ISNUMBER(SEARCH("Group",D1120)),IF(G1120="",E1120,IFERROR(E1120/COUNTIF($G2:$G6000,G1120),E1120)),E1120)</f>
        <v>0</v>
      </c>
      <c r="I1120" s="1" t="str">
        <f>IFERROR(VLOOKUP(C1120,'Clients List'!A:F,6,FALSE),"")</f>
        <v/>
      </c>
    </row>
    <row r="1121" spans="4:9" x14ac:dyDescent="0.45">
      <c r="D1121" t="str">
        <f>IFERROR(VLOOKUP(C1121,'Clients List'!$A:$F,2,FALSE),"")</f>
        <v/>
      </c>
      <c r="F1121" s="1" t="str">
        <f>IF(OR(C1121="",NOT(ISNUMBER(SEARCH("Package",D1121)))),"",VLOOKUP(C1121,'Clients List'!$A:$F,4,FALSE)-SUMIFS($E$2:$E1121,$C$2:$C1121,C1121,$D$2:$D1121,"*Package*"))</f>
        <v/>
      </c>
      <c r="G1121" t="str">
        <f t="shared" si="38"/>
        <v/>
      </c>
      <c r="H1121" s="33">
        <f>IF(ISNUMBER(SEARCH("Group",D1121)),IF(G1121="",E1121,IFERROR(E1121/COUNTIF($G2:$G6000,G1121),E1121)),E1121)</f>
        <v>0</v>
      </c>
      <c r="I1121" s="1" t="str">
        <f>IFERROR(VLOOKUP(C1121,'Clients List'!A:F,6,FALSE),"")</f>
        <v/>
      </c>
    </row>
    <row r="1122" spans="4:9" x14ac:dyDescent="0.45">
      <c r="D1122" t="str">
        <f>IFERROR(VLOOKUP(C1122,'Clients List'!$A:$F,2,FALSE),"")</f>
        <v/>
      </c>
      <c r="F1122" s="1" t="str">
        <f>IF(OR(C1122="",NOT(ISNUMBER(SEARCH("Package",D1122)))),"",VLOOKUP(C1122,'Clients List'!$A:$F,4,FALSE)-SUMIFS($E$2:$E1122,$C$2:$C1122,C1122,$D$2:$D1122,"*Package*"))</f>
        <v/>
      </c>
      <c r="G1122" t="str">
        <f t="shared" si="38"/>
        <v/>
      </c>
      <c r="H1122" s="33">
        <f>IF(ISNUMBER(SEARCH("Group",D1122)),IF(G1122="",E1122,IFERROR(E1122/COUNTIF($G2:$G6000,G1122),E1122)),E1122)</f>
        <v>0</v>
      </c>
      <c r="I1122" s="1" t="str">
        <f>IFERROR(VLOOKUP(C1122,'Clients List'!A:F,6,FALSE),"")</f>
        <v/>
      </c>
    </row>
    <row r="1123" spans="4:9" x14ac:dyDescent="0.45">
      <c r="D1123" t="str">
        <f>IFERROR(VLOOKUP(C1123,'Clients List'!$A:$F,2,FALSE),"")</f>
        <v/>
      </c>
      <c r="F1123" s="1" t="str">
        <f>IF(OR(C1123="",NOT(ISNUMBER(SEARCH("Package",D1123)))),"",VLOOKUP(C1123,'Clients List'!$A:$F,4,FALSE)-SUMIFS($E$2:$E1123,$C$2:$C1123,C1123,$D$2:$D1123,"*Package*"))</f>
        <v/>
      </c>
      <c r="G1123" t="str">
        <f t="shared" si="38"/>
        <v/>
      </c>
      <c r="H1123" s="33">
        <f>IF(ISNUMBER(SEARCH("Group",D1123)),IF(G1123="",E1123,IFERROR(E1123/COUNTIF($G2:$G6000,G1123),E1123)),E1123)</f>
        <v>0</v>
      </c>
      <c r="I1123" s="1" t="str">
        <f>IFERROR(VLOOKUP(C1123,'Clients List'!A:F,6,FALSE),"")</f>
        <v/>
      </c>
    </row>
    <row r="1124" spans="4:9" x14ac:dyDescent="0.45">
      <c r="D1124" t="str">
        <f>IFERROR(VLOOKUP(C1124,'Clients List'!$A:$F,2,FALSE),"")</f>
        <v/>
      </c>
      <c r="F1124" s="1" t="str">
        <f>IF(OR(C1124="",NOT(ISNUMBER(SEARCH("Package",D1124)))),"",VLOOKUP(C1124,'Clients List'!$A:$F,4,FALSE)-SUMIFS($E$2:$E1124,$C$2:$C1124,C1124,$D$2:$D1124,"*Package*"))</f>
        <v/>
      </c>
      <c r="G1124" t="str">
        <f t="shared" si="38"/>
        <v/>
      </c>
      <c r="H1124" s="33">
        <f>IF(ISNUMBER(SEARCH("Group",D1124)),IF(G1124="",E1124,IFERROR(E1124/COUNTIF($G2:$G6000,G1124),E1124)),E1124)</f>
        <v>0</v>
      </c>
      <c r="I1124" s="1" t="str">
        <f>IFERROR(VLOOKUP(C1124,'Clients List'!A:F,6,FALSE),"")</f>
        <v/>
      </c>
    </row>
    <row r="1125" spans="4:9" x14ac:dyDescent="0.45">
      <c r="D1125" t="str">
        <f>IFERROR(VLOOKUP(C1125,'Clients List'!$A:$F,2,FALSE),"")</f>
        <v/>
      </c>
      <c r="F1125" s="1" t="str">
        <f>IF(OR(C1125="",NOT(ISNUMBER(SEARCH("Package",D1125)))),"",VLOOKUP(C1125,'Clients List'!$A:$F,4,FALSE)-SUMIFS($E$2:$E1125,$C$2:$C1125,C1125,$D$2:$D1125,"*Package*"))</f>
        <v/>
      </c>
      <c r="G1125" t="str">
        <f t="shared" si="38"/>
        <v/>
      </c>
      <c r="H1125" s="33">
        <f>IF(ISNUMBER(SEARCH("Group",D1125)),IF(G1125="",E1125,IFERROR(E1125/COUNTIF($G2:$G6000,G1125),E1125)),E1125)</f>
        <v>0</v>
      </c>
      <c r="I1125" s="1" t="str">
        <f>IFERROR(VLOOKUP(C1125,'Clients List'!A:F,6,FALSE),"")</f>
        <v/>
      </c>
    </row>
    <row r="1126" spans="4:9" x14ac:dyDescent="0.45">
      <c r="D1126" t="str">
        <f>IFERROR(VLOOKUP(C1126,'Clients List'!$A:$F,2,FALSE),"")</f>
        <v/>
      </c>
      <c r="F1126" s="1" t="str">
        <f>IF(OR(C1126="",NOT(ISNUMBER(SEARCH("Package",D1126)))),"",VLOOKUP(C1126,'Clients List'!$A:$F,4,FALSE)-SUMIFS($E$2:$E1126,$C$2:$C1126,C1126,$D$2:$D1126,"*Package*"))</f>
        <v/>
      </c>
      <c r="G1126" t="str">
        <f t="shared" si="38"/>
        <v/>
      </c>
      <c r="H1126" s="33">
        <f>IF(ISNUMBER(SEARCH("Group",D1126)),IF(G1126="",E1126,IFERROR(E1126/COUNTIF($G2:$G6000,G1126),E1126)),E1126)</f>
        <v>0</v>
      </c>
      <c r="I1126" s="1" t="str">
        <f>IFERROR(VLOOKUP(C1126,'Clients List'!A:F,6,FALSE),"")</f>
        <v/>
      </c>
    </row>
    <row r="1127" spans="4:9" x14ac:dyDescent="0.45">
      <c r="D1127" t="str">
        <f>IFERROR(VLOOKUP(C1127,'Clients List'!$A:$F,2,FALSE),"")</f>
        <v/>
      </c>
      <c r="F1127" s="1" t="str">
        <f>IF(OR(C1127="",NOT(ISNUMBER(SEARCH("Package",D1127)))),"",VLOOKUP(C1127,'Clients List'!$A:$F,4,FALSE)-SUMIFS($E$2:$E1127,$C$2:$C1127,C1127,$D$2:$D1127,"*Package*"))</f>
        <v/>
      </c>
      <c r="G1127" t="str">
        <f t="shared" si="38"/>
        <v/>
      </c>
      <c r="H1127" s="33">
        <f>IF(ISNUMBER(SEARCH("Group",D1127)),IF(G1127="",E1127,IFERROR(E1127/COUNTIF($G2:$G6000,G1127),E1127)),E1127)</f>
        <v>0</v>
      </c>
      <c r="I1127" s="1" t="str">
        <f>IFERROR(VLOOKUP(C1127,'Clients List'!A:F,6,FALSE),"")</f>
        <v/>
      </c>
    </row>
    <row r="1128" spans="4:9" x14ac:dyDescent="0.45">
      <c r="D1128" t="str">
        <f>IFERROR(VLOOKUP(C1128,'Clients List'!$A:$F,2,FALSE),"")</f>
        <v/>
      </c>
      <c r="F1128" s="1" t="str">
        <f>IF(OR(C1128="",NOT(ISNUMBER(SEARCH("Package",D1128)))),"",VLOOKUP(C1128,'Clients List'!$A:$F,4,FALSE)-SUMIFS($E$2:$E1128,$C$2:$C1128,C1128,$D$2:$D1128,"*Package*"))</f>
        <v/>
      </c>
      <c r="G1128" t="str">
        <f t="shared" si="38"/>
        <v/>
      </c>
      <c r="H1128" s="33">
        <f>IF(ISNUMBER(SEARCH("Group",D1128)),IF(G1128="",E1128,IFERROR(E1128/COUNTIF($G2:$G6000,G1128),E1128)),E1128)</f>
        <v>0</v>
      </c>
      <c r="I1128" s="1" t="str">
        <f>IFERROR(VLOOKUP(C1128,'Clients List'!A:F,6,FALSE),"")</f>
        <v/>
      </c>
    </row>
    <row r="1129" spans="4:9" x14ac:dyDescent="0.45">
      <c r="D1129" t="str">
        <f>IFERROR(VLOOKUP(C1129,'Clients List'!$A:$F,2,FALSE),"")</f>
        <v/>
      </c>
      <c r="F1129" s="1" t="str">
        <f>IF(OR(C1129="",NOT(ISNUMBER(SEARCH("Package",D1129)))),"",VLOOKUP(C1129,'Clients List'!$A:$F,4,FALSE)-SUMIFS($E$2:$E1129,$C$2:$C1129,C1129,$D$2:$D1129,"*Package*"))</f>
        <v/>
      </c>
      <c r="G1129" t="str">
        <f t="shared" si="38"/>
        <v/>
      </c>
      <c r="H1129" s="33">
        <f>IF(ISNUMBER(SEARCH("Group",D1129)),IF(G1129="",E1129,IFERROR(E1129/COUNTIF($G2:$G6000,G1129),E1129)),E1129)</f>
        <v>0</v>
      </c>
      <c r="I1129" s="1" t="str">
        <f>IFERROR(VLOOKUP(C1129,'Clients List'!A:F,6,FALSE),"")</f>
        <v/>
      </c>
    </row>
    <row r="1130" spans="4:9" x14ac:dyDescent="0.45">
      <c r="D1130" t="str">
        <f>IFERROR(VLOOKUP(C1130,'Clients List'!$A:$F,2,FALSE),"")</f>
        <v/>
      </c>
      <c r="F1130" s="1" t="str">
        <f>IF(OR(C1130="",NOT(ISNUMBER(SEARCH("Package",D1130)))),"",VLOOKUP(C1130,'Clients List'!$A:$F,4,FALSE)-SUMIFS($E$2:$E1130,$C$2:$C1130,C1130,$D$2:$D1130,"*Package*"))</f>
        <v/>
      </c>
      <c r="G1130" t="str">
        <f t="shared" si="38"/>
        <v/>
      </c>
      <c r="H1130" s="33">
        <f>IF(ISNUMBER(SEARCH("Group",D1130)),IF(G1130="",E1130,IFERROR(E1130/COUNTIF($G2:$G6000,G1130),E1130)),E1130)</f>
        <v>0</v>
      </c>
      <c r="I1130" s="1" t="str">
        <f>IFERROR(VLOOKUP(C1130,'Clients List'!A:F,6,FALSE),"")</f>
        <v/>
      </c>
    </row>
    <row r="1131" spans="4:9" x14ac:dyDescent="0.45">
      <c r="D1131" t="str">
        <f>IFERROR(VLOOKUP(C1131,'Clients List'!$A:$F,2,FALSE),"")</f>
        <v/>
      </c>
      <c r="F1131" s="1" t="str">
        <f>IF(OR(C1131="",NOT(ISNUMBER(SEARCH("Package",D1131)))),"",VLOOKUP(C1131,'Clients List'!$A:$F,4,FALSE)-SUMIFS($E$2:$E1131,$C$2:$C1131,C1131,$D$2:$D1131,"*Package*"))</f>
        <v/>
      </c>
      <c r="G1131" t="str">
        <f t="shared" si="38"/>
        <v/>
      </c>
      <c r="H1131" s="33">
        <f>IF(ISNUMBER(SEARCH("Group",D1131)),IF(G1131="",E1131,IFERROR(E1131/COUNTIF($G2:$G6000,G1131),E1131)),E1131)</f>
        <v>0</v>
      </c>
      <c r="I1131" s="1" t="str">
        <f>IFERROR(VLOOKUP(C1131,'Clients List'!A:F,6,FALSE),"")</f>
        <v/>
      </c>
    </row>
    <row r="1132" spans="4:9" x14ac:dyDescent="0.45">
      <c r="D1132" t="str">
        <f>IFERROR(VLOOKUP(C1132,'Clients List'!$A:$F,2,FALSE),"")</f>
        <v/>
      </c>
      <c r="F1132" s="1" t="str">
        <f>IF(OR(C1132="",NOT(ISNUMBER(SEARCH("Package",D1132)))),"",VLOOKUP(C1132,'Clients List'!$A:$F,4,FALSE)-SUMIFS($E$2:$E1132,$C$2:$C1132,C1132,$D$2:$D1132,"*Package*"))</f>
        <v/>
      </c>
      <c r="G1132" t="str">
        <f t="shared" ref="G1132:G1143" si="39">IF(ISNUMBER(SEARCH("Group",D1132)),IFERROR("GRP-"&amp;TEXT(IF(ISNUMBER(A1132),A1132,DATEVALUE(A1132)),"yyyymmdd"),""),"" )</f>
        <v/>
      </c>
      <c r="H1132" s="33">
        <f>IF(ISNUMBER(SEARCH("Group",D1132)),IF(G1132="",E1132,IFERROR(E1132/COUNTIF($G2:$G6000,G1132),E1132)),E1132)</f>
        <v>0</v>
      </c>
      <c r="I1132" s="1" t="str">
        <f>IFERROR(VLOOKUP(C1132,'Clients List'!A:F,6,FALSE),"")</f>
        <v/>
      </c>
    </row>
    <row r="1133" spans="4:9" x14ac:dyDescent="0.45">
      <c r="D1133" t="str">
        <f>IFERROR(VLOOKUP(C1133,'Clients List'!$A:$F,2,FALSE),"")</f>
        <v/>
      </c>
      <c r="F1133" s="1" t="str">
        <f>IF(OR(C1133="",NOT(ISNUMBER(SEARCH("Package",D1133)))),"",VLOOKUP(C1133,'Clients List'!$A:$F,4,FALSE)-SUMIFS($E$2:$E1133,$C$2:$C1133,C1133,$D$2:$D1133,"*Package*"))</f>
        <v/>
      </c>
      <c r="G1133" t="str">
        <f t="shared" si="39"/>
        <v/>
      </c>
      <c r="H1133" s="33">
        <f>IF(ISNUMBER(SEARCH("Group",D1133)),IF(G1133="",E1133,IFERROR(E1133/COUNTIF($G2:$G6000,G1133),E1133)),E1133)</f>
        <v>0</v>
      </c>
      <c r="I1133" s="1" t="str">
        <f>IFERROR(VLOOKUP(C1133,'Clients List'!A:F,6,FALSE),"")</f>
        <v/>
      </c>
    </row>
    <row r="1134" spans="4:9" x14ac:dyDescent="0.45">
      <c r="D1134" t="str">
        <f>IFERROR(VLOOKUP(C1134,'Clients List'!$A:$F,2,FALSE),"")</f>
        <v/>
      </c>
      <c r="F1134" s="1" t="str">
        <f>IF(OR(C1134="",NOT(ISNUMBER(SEARCH("Package",D1134)))),"",VLOOKUP(C1134,'Clients List'!$A:$F,4,FALSE)-SUMIFS($E$2:$E1134,$C$2:$C1134,C1134,$D$2:$D1134,"*Package*"))</f>
        <v/>
      </c>
      <c r="G1134" t="str">
        <f t="shared" si="39"/>
        <v/>
      </c>
      <c r="H1134" s="33">
        <f>IF(ISNUMBER(SEARCH("Group",D1134)),IF(G1134="",E1134,IFERROR(E1134/COUNTIF($G2:$G6000,G1134),E1134)),E1134)</f>
        <v>0</v>
      </c>
      <c r="I1134" s="1" t="str">
        <f>IFERROR(VLOOKUP(C1134,'Clients List'!A:F,6,FALSE),"")</f>
        <v/>
      </c>
    </row>
    <row r="1135" spans="4:9" x14ac:dyDescent="0.45">
      <c r="D1135" t="str">
        <f>IFERROR(VLOOKUP(C1135,'Clients List'!$A:$F,2,FALSE),"")</f>
        <v/>
      </c>
      <c r="F1135" s="1" t="str">
        <f>IF(OR(C1135="",NOT(ISNUMBER(SEARCH("Package",D1135)))),"",VLOOKUP(C1135,'Clients List'!$A:$F,4,FALSE)-SUMIFS($E$2:$E1135,$C$2:$C1135,C1135,$D$2:$D1135,"*Package*"))</f>
        <v/>
      </c>
      <c r="G1135" t="str">
        <f t="shared" si="39"/>
        <v/>
      </c>
      <c r="H1135" s="33">
        <f>IF(ISNUMBER(SEARCH("Group",D1135)),IF(G1135="",E1135,IFERROR(E1135/COUNTIF($G2:$G6000,G1135),E1135)),E1135)</f>
        <v>0</v>
      </c>
      <c r="I1135" s="1" t="str">
        <f>IFERROR(VLOOKUP(C1135,'Clients List'!A:F,6,FALSE),"")</f>
        <v/>
      </c>
    </row>
    <row r="1136" spans="4:9" x14ac:dyDescent="0.45">
      <c r="D1136" t="str">
        <f>IFERROR(VLOOKUP(C1136,'Clients List'!$A:$F,2,FALSE),"")</f>
        <v/>
      </c>
      <c r="F1136" s="1" t="str">
        <f>IF(OR(C1136="",NOT(ISNUMBER(SEARCH("Package",D1136)))),"",VLOOKUP(C1136,'Clients List'!$A:$F,4,FALSE)-SUMIFS($E$2:$E1136,$C$2:$C1136,C1136,$D$2:$D1136,"*Package*"))</f>
        <v/>
      </c>
      <c r="G1136" t="str">
        <f t="shared" si="39"/>
        <v/>
      </c>
      <c r="H1136" s="33">
        <f>IF(ISNUMBER(SEARCH("Group",D1136)),IF(G1136="",E1136,IFERROR(E1136/COUNTIF($G2:$G6000,G1136),E1136)),E1136)</f>
        <v>0</v>
      </c>
      <c r="I1136" s="1" t="str">
        <f>IFERROR(VLOOKUP(C1136,'Clients List'!A:F,6,FALSE),"")</f>
        <v/>
      </c>
    </row>
    <row r="1137" spans="1:9" x14ac:dyDescent="0.45">
      <c r="D1137" t="str">
        <f>IFERROR(VLOOKUP(C1137,'Clients List'!$A:$F,2,FALSE),"")</f>
        <v/>
      </c>
      <c r="F1137" s="1" t="str">
        <f>IF(OR(C1137="",NOT(ISNUMBER(SEARCH("Package",D1137)))),"",VLOOKUP(C1137,'Clients List'!$A:$F,4,FALSE)-SUMIFS($E$2:$E1137,$C$2:$C1137,C1137,$D$2:$D1137,"*Package*"))</f>
        <v/>
      </c>
      <c r="G1137" t="str">
        <f t="shared" si="39"/>
        <v/>
      </c>
      <c r="H1137" s="33">
        <f>IF(ISNUMBER(SEARCH("Group",D1137)),IF(G1137="",E1137,IFERROR(E1137/COUNTIF($G2:$G6000,G1137),E1137)),E1137)</f>
        <v>0</v>
      </c>
      <c r="I1137" s="1" t="str">
        <f>IFERROR(VLOOKUP(C1137,'Clients List'!A:F,6,FALSE),"")</f>
        <v/>
      </c>
    </row>
    <row r="1138" spans="1:9" x14ac:dyDescent="0.45">
      <c r="D1138" t="str">
        <f>IFERROR(VLOOKUP(C1138,'Clients List'!$A:$F,2,FALSE),"")</f>
        <v/>
      </c>
      <c r="F1138" s="1" t="str">
        <f>IF(OR(C1138="",NOT(ISNUMBER(SEARCH("Package",D1138)))),"",VLOOKUP(C1138,'Clients List'!$A:$F,4,FALSE)-SUMIFS($E$2:$E1138,$C$2:$C1138,C1138,$D$2:$D1138,"*Package*"))</f>
        <v/>
      </c>
      <c r="G1138" t="str">
        <f t="shared" si="39"/>
        <v/>
      </c>
      <c r="H1138" s="33">
        <f>IF(ISNUMBER(SEARCH("Group",D1138)),IF(G1138="",E1138,IFERROR(E1138/COUNTIF($G2:$G6000,G1138),E1138)),E1138)</f>
        <v>0</v>
      </c>
      <c r="I1138" s="1" t="str">
        <f>IFERROR(VLOOKUP(C1138,'Clients List'!A:F,6,FALSE),"")</f>
        <v/>
      </c>
    </row>
    <row r="1139" spans="1:9" x14ac:dyDescent="0.45">
      <c r="D1139" t="str">
        <f>IFERROR(VLOOKUP(C1139,'Clients List'!$A:$F,2,FALSE),"")</f>
        <v/>
      </c>
      <c r="F1139" s="1" t="str">
        <f>IF(OR(C1139="",NOT(ISNUMBER(SEARCH("Package",D1139)))),"",VLOOKUP(C1139,'Clients List'!$A:$F,4,FALSE)-SUMIFS($E$2:$E1139,$C$2:$C1139,C1139,$D$2:$D1139,"*Package*"))</f>
        <v/>
      </c>
      <c r="G1139" t="str">
        <f t="shared" si="39"/>
        <v/>
      </c>
      <c r="H1139" s="33">
        <f>IF(ISNUMBER(SEARCH("Group",D1139)),IF(G1139="",E1139,IFERROR(E1139/COUNTIF($G2:$G6000,G1139),E1139)),E1139)</f>
        <v>0</v>
      </c>
      <c r="I1139" s="1" t="str">
        <f>IFERROR(VLOOKUP(C1139,'Clients List'!A:F,6,FALSE),"")</f>
        <v/>
      </c>
    </row>
    <row r="1140" spans="1:9" x14ac:dyDescent="0.45">
      <c r="D1140" t="str">
        <f>IFERROR(VLOOKUP(C1140,'Clients List'!$A:$F,2,FALSE),"")</f>
        <v/>
      </c>
      <c r="F1140" s="1" t="str">
        <f>IF(OR(C1140="",NOT(ISNUMBER(SEARCH("Package",D1140)))),"",VLOOKUP(C1140,'Clients List'!$A:$F,4,FALSE)-SUMIFS($E$2:$E1140,$C$2:$C1140,C1140,$D$2:$D1140,"*Package*"))</f>
        <v/>
      </c>
      <c r="G1140" t="str">
        <f t="shared" si="39"/>
        <v/>
      </c>
      <c r="H1140" s="33">
        <f>IF(ISNUMBER(SEARCH("Group",D1140)),IF(G1140="",E1140,IFERROR(E1140/COUNTIF($G2:$G6000,G1140),E1140)),E1140)</f>
        <v>0</v>
      </c>
      <c r="I1140" s="1" t="str">
        <f>IFERROR(VLOOKUP(C1140,'Clients List'!A:F,6,FALSE),"")</f>
        <v/>
      </c>
    </row>
    <row r="1141" spans="1:9" x14ac:dyDescent="0.45">
      <c r="D1141" t="str">
        <f>IFERROR(VLOOKUP(C1141,'Clients List'!$A:$F,2,FALSE),"")</f>
        <v/>
      </c>
      <c r="F1141" s="1" t="str">
        <f>IF(OR(C1141="",NOT(ISNUMBER(SEARCH("Package",D1141)))),"",VLOOKUP(C1141,'Clients List'!$A:$F,4,FALSE)-SUMIFS($E$2:$E1141,$C$2:$C1141,C1141,$D$2:$D1141,"*Package*"))</f>
        <v/>
      </c>
      <c r="G1141" t="str">
        <f t="shared" si="39"/>
        <v/>
      </c>
      <c r="H1141" s="33">
        <f>IF(ISNUMBER(SEARCH("Group",D1141)),IF(G1141="",E1141,IFERROR(E1141/COUNTIF($G2:$G6000,G1141),E1141)),E1141)</f>
        <v>0</v>
      </c>
      <c r="I1141" s="1" t="str">
        <f>IFERROR(VLOOKUP(C1141,'Clients List'!A:F,6,FALSE),"")</f>
        <v/>
      </c>
    </row>
    <row r="1142" spans="1:9" x14ac:dyDescent="0.45">
      <c r="D1142" t="str">
        <f>IFERROR(VLOOKUP(C1142,'Clients List'!$A:$F,2,FALSE),"")</f>
        <v/>
      </c>
      <c r="F1142" s="1" t="str">
        <f>IF(OR(C1142="",NOT(ISNUMBER(SEARCH("Package",D1142)))),"",VLOOKUP(C1142,'Clients List'!$A:$F,4,FALSE)-SUMIFS($E$2:$E1142,$C$2:$C1142,C1142,$D$2:$D1142,"*Package*"))</f>
        <v/>
      </c>
      <c r="G1142" t="str">
        <f t="shared" si="39"/>
        <v/>
      </c>
      <c r="H1142" s="33">
        <f>IF(ISNUMBER(SEARCH("Group",D1142)),IF(G1142="",E1142,IFERROR(E1142/COUNTIF($G2:$G6000,G1142),E1142)),E1142)</f>
        <v>0</v>
      </c>
      <c r="I1142" s="1" t="str">
        <f>IFERROR(VLOOKUP(C1142,'Clients List'!A:F,6,FALSE),"")</f>
        <v/>
      </c>
    </row>
    <row r="1143" spans="1:9" x14ac:dyDescent="0.45">
      <c r="D1143" t="str">
        <f>IFERROR(VLOOKUP(C1143,'Clients List'!$A:$F,2,FALSE),"")</f>
        <v/>
      </c>
      <c r="F1143" s="1" t="str">
        <f>IF(OR(C1143="",NOT(ISNUMBER(SEARCH("Package",D1143)))),"",VLOOKUP(C1143,'Clients List'!$A:$F,4,FALSE)-SUMIFS($E$2:$E1143,$C$2:$C1143,C1143,$D$2:$D1143,"*Package*"))</f>
        <v/>
      </c>
      <c r="G1143" t="str">
        <f t="shared" si="39"/>
        <v/>
      </c>
      <c r="H1143" s="33">
        <f>IF(ISNUMBER(SEARCH("Group",D1143)),IF(G1143="",E1143,IFERROR(E1143/COUNTIF($G2:$G6000,G1143),E1143)),E1143)</f>
        <v>0</v>
      </c>
      <c r="I1143" s="1" t="str">
        <f>IFERROR(VLOOKUP(C1143,'Clients List'!A:F,6,FALSE),"")</f>
        <v/>
      </c>
    </row>
    <row r="1144" spans="1:9" x14ac:dyDescent="0.45">
      <c r="A1144" s="8"/>
      <c r="C1144" s="9"/>
      <c r="D1144" s="10" t="str">
        <f>IFERROR(VLOOKUP(C1144,'Clients List'!$A:$F,2,FALSE),"")</f>
        <v/>
      </c>
      <c r="E1144" s="21">
        <f>SUM(E1004:E1143)</f>
        <v>0</v>
      </c>
      <c r="F1144" s="1" t="str">
        <f>IF(OR(C1144="",NOT(ISNUMBER(SEARCH("Package",D1144)))),"",VLOOKUP(C1144,'Clients List'!$A:$F,4,FALSE)-SUMIFS($E$2:$E1144,$C$2:$C1144,C1144,$D$2:$D1144,"*Package*"))</f>
        <v/>
      </c>
      <c r="H1144" s="33">
        <f>SUM(H1004:H1143)</f>
        <v>0</v>
      </c>
      <c r="I1144" s="11" t="str">
        <f>IFERROR(VLOOKUP(C1144,'Clients List'!A:F,6,FALSE),"")</f>
        <v/>
      </c>
    </row>
    <row r="1145" spans="1:9" x14ac:dyDescent="0.45">
      <c r="D1145" t="str">
        <f>IFERROR(VLOOKUP(C1145,'Clients List'!$A:$F,2,FALSE),"")</f>
        <v/>
      </c>
      <c r="F1145" s="1" t="str">
        <f>IF(OR(C1145="",NOT(ISNUMBER(SEARCH("Package",D1145)))),"",VLOOKUP(C1145,'Clients List'!$A:$F,4,FALSE)-SUMIFS($E$2:$E1145,$C$2:$C1145,C1145,$D$2:$D1145,"*Package*"))</f>
        <v/>
      </c>
      <c r="G1145" t="str">
        <f>IF(ISNUMBER(SEARCH("Group",D1145)),IFERROR("GRP-"&amp;TEXT(IF(ISNUMBER(A1145),A1145,DATEVALUE(A1145)),"yyyymmdd"),""),"" )</f>
        <v/>
      </c>
      <c r="H1145" s="33">
        <f>IF(ISNUMBER(SEARCH("Group",D1145)),IF(G1145="",E1145,IFERROR(E1145/COUNTIF($G2:$G6000,G1145),E1145)),E1145)</f>
        <v>0</v>
      </c>
      <c r="I1145" s="1" t="str">
        <f>IFERROR(VLOOKUP(C1145,'Clients List'!A:F,6,FALSE),"")</f>
        <v/>
      </c>
    </row>
    <row r="1146" spans="1:9" x14ac:dyDescent="0.45">
      <c r="A1146" s="14" t="s">
        <v>23</v>
      </c>
      <c r="D1146" t="str">
        <f>IFERROR(VLOOKUP(C1146,'Clients List'!$A:$F,2,FALSE),"")</f>
        <v/>
      </c>
      <c r="F1146" s="1" t="str">
        <f>IF(OR(C1146="",NOT(ISNUMBER(SEARCH("Package",D1146)))),"",VLOOKUP(C1146,'Clients List'!$A:$F,4,FALSE)-SUMIFS($E$2:$E1146,$C$2:$C1146,C1146,$D$2:$D1146,"*Package*"))</f>
        <v/>
      </c>
      <c r="H1146" s="33"/>
      <c r="I1146" s="1" t="str">
        <f>IFERROR(VLOOKUP(C1146,'Clients List'!A:F,6,FALSE),"")</f>
        <v/>
      </c>
    </row>
    <row r="1147" spans="1:9" x14ac:dyDescent="0.45">
      <c r="D1147" t="str">
        <f>IFERROR(VLOOKUP(C1147,'Clients List'!$A:$F,2,FALSE),"")</f>
        <v/>
      </c>
      <c r="F1147" s="1" t="str">
        <f>IF(OR(C1147="",NOT(ISNUMBER(SEARCH("Package",D1147)))),"",VLOOKUP(C1147,'Clients List'!$A:$F,4,FALSE)-SUMIFS($E$2:$E1147,$C$2:$C1147,C1147,$D$2:$D1147,"*Package*"))</f>
        <v/>
      </c>
      <c r="G1147" t="str">
        <f t="shared" ref="G1147:G1178" si="40">IF(ISNUMBER(SEARCH("Group",D1147)),IFERROR("GRP-"&amp;TEXT(IF(ISNUMBER(A1147),A1147,DATEVALUE(A1147)),"yyyymmdd"),""),"" )</f>
        <v/>
      </c>
      <c r="H1147" s="33">
        <f>IF(ISNUMBER(SEARCH("Group",D1147)),IF(G1147="",E1147,IFERROR(E1147/COUNTIF($G2:$G6000,G1147),E1147)),E1147)</f>
        <v>0</v>
      </c>
      <c r="I1147" s="1" t="str">
        <f>IFERROR(VLOOKUP(C1147,'Clients List'!A:F,6,FALSE),"")</f>
        <v/>
      </c>
    </row>
    <row r="1148" spans="1:9" x14ac:dyDescent="0.45">
      <c r="D1148" t="str">
        <f>IFERROR(VLOOKUP(C1148,'Clients List'!$A:$F,2,FALSE),"")</f>
        <v/>
      </c>
      <c r="F1148" s="1" t="str">
        <f>IF(OR(C1148="",NOT(ISNUMBER(SEARCH("Package",D1148)))),"",VLOOKUP(C1148,'Clients List'!$A:$F,4,FALSE)-SUMIFS($E$2:$E1148,$C$2:$C1148,C1148,$D$2:$D1148,"*Package*"))</f>
        <v/>
      </c>
      <c r="G1148" t="str">
        <f t="shared" si="40"/>
        <v/>
      </c>
      <c r="H1148" s="33">
        <f>IF(ISNUMBER(SEARCH("Group",D1148)),IF(G1148="",E1148,IFERROR(E1148/COUNTIF($G2:$G6000,G1148),E1148)),E1148)</f>
        <v>0</v>
      </c>
      <c r="I1148" s="1" t="str">
        <f>IFERROR(VLOOKUP(C1148,'Clients List'!A:F,6,FALSE),"")</f>
        <v/>
      </c>
    </row>
    <row r="1149" spans="1:9" x14ac:dyDescent="0.45">
      <c r="D1149" t="str">
        <f>IFERROR(VLOOKUP(C1149,'Clients List'!$A:$F,2,FALSE),"")</f>
        <v/>
      </c>
      <c r="F1149" s="1" t="str">
        <f>IF(OR(C1149="",NOT(ISNUMBER(SEARCH("Package",D1149)))),"",VLOOKUP(C1149,'Clients List'!$A:$F,4,FALSE)-SUMIFS($E$2:$E1149,$C$2:$C1149,C1149,$D$2:$D1149,"*Package*"))</f>
        <v/>
      </c>
      <c r="G1149" t="str">
        <f t="shared" si="40"/>
        <v/>
      </c>
      <c r="H1149" s="33">
        <f>IF(ISNUMBER(SEARCH("Group",D1149)),IF(G1149="",E1149,IFERROR(E1149/COUNTIF($G2:$G6000,G1149),E1149)),E1149)</f>
        <v>0</v>
      </c>
      <c r="I1149" s="1" t="str">
        <f>IFERROR(VLOOKUP(C1149,'Clients List'!A:F,6,FALSE),"")</f>
        <v/>
      </c>
    </row>
    <row r="1150" spans="1:9" x14ac:dyDescent="0.45">
      <c r="D1150" t="str">
        <f>IFERROR(VLOOKUP(C1150,'Clients List'!$A:$F,2,FALSE),"")</f>
        <v/>
      </c>
      <c r="F1150" s="1" t="str">
        <f>IF(OR(C1150="",NOT(ISNUMBER(SEARCH("Package",D1150)))),"",VLOOKUP(C1150,'Clients List'!$A:$F,4,FALSE)-SUMIFS($E$2:$E1150,$C$2:$C1150,C1150,$D$2:$D1150,"*Package*"))</f>
        <v/>
      </c>
      <c r="G1150" t="str">
        <f t="shared" si="40"/>
        <v/>
      </c>
      <c r="H1150" s="33">
        <f>IF(ISNUMBER(SEARCH("Group",D1150)),IF(G1150="",E1150,IFERROR(E1150/COUNTIF($G2:$G6000,G1150),E1150)),E1150)</f>
        <v>0</v>
      </c>
      <c r="I1150" s="1" t="str">
        <f>IFERROR(VLOOKUP(C1150,'Clients List'!A:F,6,FALSE),"")</f>
        <v/>
      </c>
    </row>
    <row r="1151" spans="1:9" x14ac:dyDescent="0.45">
      <c r="D1151" t="str">
        <f>IFERROR(VLOOKUP(C1151,'Clients List'!$A:$F,2,FALSE),"")</f>
        <v/>
      </c>
      <c r="F1151" s="1" t="str">
        <f>IF(OR(C1151="",NOT(ISNUMBER(SEARCH("Package",D1151)))),"",VLOOKUP(C1151,'Clients List'!$A:$F,4,FALSE)-SUMIFS($E$2:$E1151,$C$2:$C1151,C1151,$D$2:$D1151,"*Package*"))</f>
        <v/>
      </c>
      <c r="G1151" t="str">
        <f t="shared" si="40"/>
        <v/>
      </c>
      <c r="H1151" s="33">
        <f>IF(ISNUMBER(SEARCH("Group",D1151)),IF(G1151="",E1151,IFERROR(E1151/COUNTIF($G2:$G6000,G1151),E1151)),E1151)</f>
        <v>0</v>
      </c>
      <c r="I1151" s="1" t="str">
        <f>IFERROR(VLOOKUP(C1151,'Clients List'!A:F,6,FALSE),"")</f>
        <v/>
      </c>
    </row>
    <row r="1152" spans="1:9" x14ac:dyDescent="0.45">
      <c r="D1152" t="str">
        <f>IFERROR(VLOOKUP(C1152,'Clients List'!$A:$F,2,FALSE),"")</f>
        <v/>
      </c>
      <c r="F1152" s="1" t="str">
        <f>IF(OR(C1152="",NOT(ISNUMBER(SEARCH("Package",D1152)))),"",VLOOKUP(C1152,'Clients List'!$A:$F,4,FALSE)-SUMIFS($E$2:$E1152,$C$2:$C1152,C1152,$D$2:$D1152,"*Package*"))</f>
        <v/>
      </c>
      <c r="G1152" t="str">
        <f t="shared" si="40"/>
        <v/>
      </c>
      <c r="H1152" s="33">
        <f>IF(ISNUMBER(SEARCH("Group",D1152)),IF(G1152="",E1152,IFERROR(E1152/COUNTIF($G2:$G6000,G1152),E1152)),E1152)</f>
        <v>0</v>
      </c>
      <c r="I1152" s="1" t="str">
        <f>IFERROR(VLOOKUP(C1152,'Clients List'!A:F,6,FALSE),"")</f>
        <v/>
      </c>
    </row>
    <row r="1153" spans="4:9" x14ac:dyDescent="0.45">
      <c r="D1153" t="str">
        <f>IFERROR(VLOOKUP(C1153,'Clients List'!$A:$F,2,FALSE),"")</f>
        <v/>
      </c>
      <c r="F1153" s="1" t="str">
        <f>IF(OR(C1153="",NOT(ISNUMBER(SEARCH("Package",D1153)))),"",VLOOKUP(C1153,'Clients List'!$A:$F,4,FALSE)-SUMIFS($E$2:$E1153,$C$2:$C1153,C1153,$D$2:$D1153,"*Package*"))</f>
        <v/>
      </c>
      <c r="G1153" t="str">
        <f t="shared" si="40"/>
        <v/>
      </c>
      <c r="H1153" s="33">
        <f>IF(ISNUMBER(SEARCH("Group",D1153)),IF(G1153="",E1153,IFERROR(E1153/COUNTIF($G2:$G6000,G1153),E1153)),E1153)</f>
        <v>0</v>
      </c>
      <c r="I1153" s="1" t="str">
        <f>IFERROR(VLOOKUP(C1153,'Clients List'!A:F,6,FALSE),"")</f>
        <v/>
      </c>
    </row>
    <row r="1154" spans="4:9" x14ac:dyDescent="0.45">
      <c r="D1154" t="str">
        <f>IFERROR(VLOOKUP(C1154,'Clients List'!$A:$F,2,FALSE),"")</f>
        <v/>
      </c>
      <c r="F1154" s="1" t="str">
        <f>IF(OR(C1154="",NOT(ISNUMBER(SEARCH("Package",D1154)))),"",VLOOKUP(C1154,'Clients List'!$A:$F,4,FALSE)-SUMIFS($E$2:$E1154,$C$2:$C1154,C1154,$D$2:$D1154,"*Package*"))</f>
        <v/>
      </c>
      <c r="G1154" t="str">
        <f t="shared" si="40"/>
        <v/>
      </c>
      <c r="H1154" s="33">
        <f>IF(ISNUMBER(SEARCH("Group",D1154)),IF(G1154="",E1154,IFERROR(E1154/COUNTIF($G2:$G6000,G1154),E1154)),E1154)</f>
        <v>0</v>
      </c>
      <c r="I1154" s="1" t="str">
        <f>IFERROR(VLOOKUP(C1154,'Clients List'!A:F,6,FALSE),"")</f>
        <v/>
      </c>
    </row>
    <row r="1155" spans="4:9" x14ac:dyDescent="0.45">
      <c r="D1155" t="str">
        <f>IFERROR(VLOOKUP(C1155,'Clients List'!$A:$F,2,FALSE),"")</f>
        <v/>
      </c>
      <c r="F1155" s="1" t="str">
        <f>IF(OR(C1155="",NOT(ISNUMBER(SEARCH("Package",D1155)))),"",VLOOKUP(C1155,'Clients List'!$A:$F,4,FALSE)-SUMIFS($E$2:$E1155,$C$2:$C1155,C1155,$D$2:$D1155,"*Package*"))</f>
        <v/>
      </c>
      <c r="G1155" t="str">
        <f t="shared" si="40"/>
        <v/>
      </c>
      <c r="H1155" s="33">
        <f>IF(ISNUMBER(SEARCH("Group",D1155)),IF(G1155="",E1155,IFERROR(E1155/COUNTIF($G2:$G6000,G1155),E1155)),E1155)</f>
        <v>0</v>
      </c>
      <c r="I1155" s="1" t="str">
        <f>IFERROR(VLOOKUP(C1155,'Clients List'!A:F,6,FALSE),"")</f>
        <v/>
      </c>
    </row>
    <row r="1156" spans="4:9" x14ac:dyDescent="0.45">
      <c r="D1156" t="str">
        <f>IFERROR(VLOOKUP(C1156,'Clients List'!$A:$F,2,FALSE),"")</f>
        <v/>
      </c>
      <c r="F1156" s="1" t="str">
        <f>IF(OR(C1156="",NOT(ISNUMBER(SEARCH("Package",D1156)))),"",VLOOKUP(C1156,'Clients List'!$A:$F,4,FALSE)-SUMIFS($E$2:$E1156,$C$2:$C1156,C1156,$D$2:$D1156,"*Package*"))</f>
        <v/>
      </c>
      <c r="G1156" t="str">
        <f t="shared" si="40"/>
        <v/>
      </c>
      <c r="H1156" s="33">
        <f>IF(ISNUMBER(SEARCH("Group",D1156)),IF(G1156="",E1156,IFERROR(E1156/COUNTIF($G2:$G6000,G1156),E1156)),E1156)</f>
        <v>0</v>
      </c>
      <c r="I1156" s="1" t="str">
        <f>IFERROR(VLOOKUP(C1156,'Clients List'!A:F,6,FALSE),"")</f>
        <v/>
      </c>
    </row>
    <row r="1157" spans="4:9" x14ac:dyDescent="0.45">
      <c r="D1157" t="str">
        <f>IFERROR(VLOOKUP(C1157,'Clients List'!$A:$F,2,FALSE),"")</f>
        <v/>
      </c>
      <c r="F1157" s="1" t="str">
        <f>IF(OR(C1157="",NOT(ISNUMBER(SEARCH("Package",D1157)))),"",VLOOKUP(C1157,'Clients List'!$A:$F,4,FALSE)-SUMIFS($E$2:$E1157,$C$2:$C1157,C1157,$D$2:$D1157,"*Package*"))</f>
        <v/>
      </c>
      <c r="G1157" t="str">
        <f t="shared" si="40"/>
        <v/>
      </c>
      <c r="H1157" s="33">
        <f>IF(ISNUMBER(SEARCH("Group",D1157)),IF(G1157="",E1157,IFERROR(E1157/COUNTIF($G2:$G6000,G1157),E1157)),E1157)</f>
        <v>0</v>
      </c>
      <c r="I1157" s="1" t="str">
        <f>IFERROR(VLOOKUP(C1157,'Clients List'!A:F,6,FALSE),"")</f>
        <v/>
      </c>
    </row>
    <row r="1158" spans="4:9" x14ac:dyDescent="0.45">
      <c r="D1158" t="str">
        <f>IFERROR(VLOOKUP(C1158,'Clients List'!$A:$F,2,FALSE),"")</f>
        <v/>
      </c>
      <c r="F1158" s="1" t="str">
        <f>IF(OR(C1158="",NOT(ISNUMBER(SEARCH("Package",D1158)))),"",VLOOKUP(C1158,'Clients List'!$A:$F,4,FALSE)-SUMIFS($E$2:$E1158,$C$2:$C1158,C1158,$D$2:$D1158,"*Package*"))</f>
        <v/>
      </c>
      <c r="G1158" t="str">
        <f t="shared" si="40"/>
        <v/>
      </c>
      <c r="H1158" s="33">
        <f>IF(ISNUMBER(SEARCH("Group",D1158)),IF(G1158="",E1158,IFERROR(E1158/COUNTIF($G2:$G6000,G1158),E1158)),E1158)</f>
        <v>0</v>
      </c>
      <c r="I1158" s="1" t="str">
        <f>IFERROR(VLOOKUP(C1158,'Clients List'!A:F,6,FALSE),"")</f>
        <v/>
      </c>
    </row>
    <row r="1159" spans="4:9" x14ac:dyDescent="0.45">
      <c r="D1159" t="str">
        <f>IFERROR(VLOOKUP(C1159,'Clients List'!$A:$F,2,FALSE),"")</f>
        <v/>
      </c>
      <c r="F1159" s="1" t="str">
        <f>IF(OR(C1159="",NOT(ISNUMBER(SEARCH("Package",D1159)))),"",VLOOKUP(C1159,'Clients List'!$A:$F,4,FALSE)-SUMIFS($E$2:$E1159,$C$2:$C1159,C1159,$D$2:$D1159,"*Package*"))</f>
        <v/>
      </c>
      <c r="G1159" t="str">
        <f t="shared" si="40"/>
        <v/>
      </c>
      <c r="H1159" s="33">
        <f>IF(ISNUMBER(SEARCH("Group",D1159)),IF(G1159="",E1159,IFERROR(E1159/COUNTIF($G2:$G6000,G1159),E1159)),E1159)</f>
        <v>0</v>
      </c>
      <c r="I1159" s="1" t="str">
        <f>IFERROR(VLOOKUP(C1159,'Clients List'!A:F,6,FALSE),"")</f>
        <v/>
      </c>
    </row>
    <row r="1160" spans="4:9" x14ac:dyDescent="0.45">
      <c r="D1160" t="str">
        <f>IFERROR(VLOOKUP(C1160,'Clients List'!$A:$F,2,FALSE),"")</f>
        <v/>
      </c>
      <c r="F1160" s="1" t="str">
        <f>IF(OR(C1160="",NOT(ISNUMBER(SEARCH("Package",D1160)))),"",VLOOKUP(C1160,'Clients List'!$A:$F,4,FALSE)-SUMIFS($E$2:$E1160,$C$2:$C1160,C1160,$D$2:$D1160,"*Package*"))</f>
        <v/>
      </c>
      <c r="G1160" t="str">
        <f t="shared" si="40"/>
        <v/>
      </c>
      <c r="H1160" s="33">
        <f>IF(ISNUMBER(SEARCH("Group",D1160)),IF(G1160="",E1160,IFERROR(E1160/COUNTIF($G2:$G6000,G1160),E1160)),E1160)</f>
        <v>0</v>
      </c>
      <c r="I1160" s="1" t="str">
        <f>IFERROR(VLOOKUP(C1160,'Clients List'!A:F,6,FALSE),"")</f>
        <v/>
      </c>
    </row>
    <row r="1161" spans="4:9" x14ac:dyDescent="0.45">
      <c r="D1161" t="str">
        <f>IFERROR(VLOOKUP(C1161,'Clients List'!$A:$F,2,FALSE),"")</f>
        <v/>
      </c>
      <c r="F1161" s="1" t="str">
        <f>IF(OR(C1161="",NOT(ISNUMBER(SEARCH("Package",D1161)))),"",VLOOKUP(C1161,'Clients List'!$A:$F,4,FALSE)-SUMIFS($E$2:$E1161,$C$2:$C1161,C1161,$D$2:$D1161,"*Package*"))</f>
        <v/>
      </c>
      <c r="G1161" t="str">
        <f t="shared" si="40"/>
        <v/>
      </c>
      <c r="H1161" s="33">
        <f>IF(ISNUMBER(SEARCH("Group",D1161)),IF(G1161="",E1161,IFERROR(E1161/COUNTIF($G2:$G6000,G1161),E1161)),E1161)</f>
        <v>0</v>
      </c>
      <c r="I1161" s="1" t="str">
        <f>IFERROR(VLOOKUP(C1161,'Clients List'!A:F,6,FALSE),"")</f>
        <v/>
      </c>
    </row>
    <row r="1162" spans="4:9" x14ac:dyDescent="0.45">
      <c r="D1162" t="str">
        <f>IFERROR(VLOOKUP(C1162,'Clients List'!$A:$F,2,FALSE),"")</f>
        <v/>
      </c>
      <c r="F1162" s="1" t="str">
        <f>IF(OR(C1162="",NOT(ISNUMBER(SEARCH("Package",D1162)))),"",VLOOKUP(C1162,'Clients List'!$A:$F,4,FALSE)-SUMIFS($E$2:$E1162,$C$2:$C1162,C1162,$D$2:$D1162,"*Package*"))</f>
        <v/>
      </c>
      <c r="G1162" t="str">
        <f t="shared" si="40"/>
        <v/>
      </c>
      <c r="H1162" s="33">
        <f>IF(ISNUMBER(SEARCH("Group",D1162)),IF(G1162="",E1162,IFERROR(E1162/COUNTIF($G2:$G6000,G1162),E1162)),E1162)</f>
        <v>0</v>
      </c>
      <c r="I1162" s="1" t="str">
        <f>IFERROR(VLOOKUP(C1162,'Clients List'!A:F,6,FALSE),"")</f>
        <v/>
      </c>
    </row>
    <row r="1163" spans="4:9" x14ac:dyDescent="0.45">
      <c r="D1163" t="str">
        <f>IFERROR(VLOOKUP(C1163,'Clients List'!$A:$F,2,FALSE),"")</f>
        <v/>
      </c>
      <c r="F1163" s="1" t="str">
        <f>IF(OR(C1163="",NOT(ISNUMBER(SEARCH("Package",D1163)))),"",VLOOKUP(C1163,'Clients List'!$A:$F,4,FALSE)-SUMIFS($E$2:$E1163,$C$2:$C1163,C1163,$D$2:$D1163,"*Package*"))</f>
        <v/>
      </c>
      <c r="G1163" t="str">
        <f t="shared" si="40"/>
        <v/>
      </c>
      <c r="H1163" s="33">
        <f>IF(ISNUMBER(SEARCH("Group",D1163)),IF(G1163="",E1163,IFERROR(E1163/COUNTIF($G2:$G6000,G1163),E1163)),E1163)</f>
        <v>0</v>
      </c>
      <c r="I1163" s="1" t="str">
        <f>IFERROR(VLOOKUP(C1163,'Clients List'!A:F,6,FALSE),"")</f>
        <v/>
      </c>
    </row>
    <row r="1164" spans="4:9" x14ac:dyDescent="0.45">
      <c r="D1164" t="str">
        <f>IFERROR(VLOOKUP(C1164,'Clients List'!$A:$F,2,FALSE),"")</f>
        <v/>
      </c>
      <c r="F1164" s="1" t="str">
        <f>IF(OR(C1164="",NOT(ISNUMBER(SEARCH("Package",D1164)))),"",VLOOKUP(C1164,'Clients List'!$A:$F,4,FALSE)-SUMIFS($E$2:$E1164,$C$2:$C1164,C1164,$D$2:$D1164,"*Package*"))</f>
        <v/>
      </c>
      <c r="G1164" t="str">
        <f t="shared" si="40"/>
        <v/>
      </c>
      <c r="H1164" s="33">
        <f>IF(ISNUMBER(SEARCH("Group",D1164)),IF(G1164="",E1164,IFERROR(E1164/COUNTIF($G2:$G6000,G1164),E1164)),E1164)</f>
        <v>0</v>
      </c>
      <c r="I1164" s="1" t="str">
        <f>IFERROR(VLOOKUP(C1164,'Clients List'!A:F,6,FALSE),"")</f>
        <v/>
      </c>
    </row>
    <row r="1165" spans="4:9" x14ac:dyDescent="0.45">
      <c r="D1165" t="str">
        <f>IFERROR(VLOOKUP(C1165,'Clients List'!$A:$F,2,FALSE),"")</f>
        <v/>
      </c>
      <c r="F1165" s="1" t="str">
        <f>IF(OR(C1165="",NOT(ISNUMBER(SEARCH("Package",D1165)))),"",VLOOKUP(C1165,'Clients List'!$A:$F,4,FALSE)-SUMIFS($E$2:$E1165,$C$2:$C1165,C1165,$D$2:$D1165,"*Package*"))</f>
        <v/>
      </c>
      <c r="G1165" t="str">
        <f t="shared" si="40"/>
        <v/>
      </c>
      <c r="H1165" s="33">
        <f>IF(ISNUMBER(SEARCH("Group",D1165)),IF(G1165="",E1165,IFERROR(E1165/COUNTIF($G2:$G6000,G1165),E1165)),E1165)</f>
        <v>0</v>
      </c>
      <c r="I1165" s="1" t="str">
        <f>IFERROR(VLOOKUP(C1165,'Clients List'!A:F,6,FALSE),"")</f>
        <v/>
      </c>
    </row>
    <row r="1166" spans="4:9" x14ac:dyDescent="0.45">
      <c r="D1166" t="str">
        <f>IFERROR(VLOOKUP(C1166,'Clients List'!$A:$F,2,FALSE),"")</f>
        <v/>
      </c>
      <c r="F1166" s="1" t="str">
        <f>IF(OR(C1166="",NOT(ISNUMBER(SEARCH("Package",D1166)))),"",VLOOKUP(C1166,'Clients List'!$A:$F,4,FALSE)-SUMIFS($E$2:$E1166,$C$2:$C1166,C1166,$D$2:$D1166,"*Package*"))</f>
        <v/>
      </c>
      <c r="G1166" t="str">
        <f t="shared" si="40"/>
        <v/>
      </c>
      <c r="H1166" s="33">
        <f>IF(ISNUMBER(SEARCH("Group",D1166)),IF(G1166="",E1166,IFERROR(E1166/COUNTIF($G2:$G6000,G1166),E1166)),E1166)</f>
        <v>0</v>
      </c>
      <c r="I1166" s="1" t="str">
        <f>IFERROR(VLOOKUP(C1166,'Clients List'!A:F,6,FALSE),"")</f>
        <v/>
      </c>
    </row>
    <row r="1167" spans="4:9" x14ac:dyDescent="0.45">
      <c r="D1167" t="str">
        <f>IFERROR(VLOOKUP(C1167,'Clients List'!$A:$F,2,FALSE),"")</f>
        <v/>
      </c>
      <c r="F1167" s="1" t="str">
        <f>IF(OR(C1167="",NOT(ISNUMBER(SEARCH("Package",D1167)))),"",VLOOKUP(C1167,'Clients List'!$A:$F,4,FALSE)-SUMIFS($E$2:$E1167,$C$2:$C1167,C1167,$D$2:$D1167,"*Package*"))</f>
        <v/>
      </c>
      <c r="G1167" t="str">
        <f t="shared" si="40"/>
        <v/>
      </c>
      <c r="H1167" s="33">
        <f>IF(ISNUMBER(SEARCH("Group",D1167)),IF(G1167="",E1167,IFERROR(E1167/COUNTIF($G2:$G6000,G1167),E1167)),E1167)</f>
        <v>0</v>
      </c>
      <c r="I1167" s="1" t="str">
        <f>IFERROR(VLOOKUP(C1167,'Clients List'!A:F,6,FALSE),"")</f>
        <v/>
      </c>
    </row>
    <row r="1168" spans="4:9" x14ac:dyDescent="0.45">
      <c r="D1168" t="str">
        <f>IFERROR(VLOOKUP(C1168,'Clients List'!$A:$F,2,FALSE),"")</f>
        <v/>
      </c>
      <c r="F1168" s="1" t="str">
        <f>IF(OR(C1168="",NOT(ISNUMBER(SEARCH("Package",D1168)))),"",VLOOKUP(C1168,'Clients List'!$A:$F,4,FALSE)-SUMIFS($E$2:$E1168,$C$2:$C1168,C1168,$D$2:$D1168,"*Package*"))</f>
        <v/>
      </c>
      <c r="G1168" t="str">
        <f t="shared" si="40"/>
        <v/>
      </c>
      <c r="H1168" s="33">
        <f>IF(ISNUMBER(SEARCH("Group",D1168)),IF(G1168="",E1168,IFERROR(E1168/COUNTIF($G2:$G6000,G1168),E1168)),E1168)</f>
        <v>0</v>
      </c>
      <c r="I1168" s="1" t="str">
        <f>IFERROR(VLOOKUP(C1168,'Clients List'!A:F,6,FALSE),"")</f>
        <v/>
      </c>
    </row>
    <row r="1169" spans="4:9" x14ac:dyDescent="0.45">
      <c r="D1169" t="str">
        <f>IFERROR(VLOOKUP(C1169,'Clients List'!$A:$F,2,FALSE),"")</f>
        <v/>
      </c>
      <c r="F1169" s="1" t="str">
        <f>IF(OR(C1169="",NOT(ISNUMBER(SEARCH("Package",D1169)))),"",VLOOKUP(C1169,'Clients List'!$A:$F,4,FALSE)-SUMIFS($E$2:$E1169,$C$2:$C1169,C1169,$D$2:$D1169,"*Package*"))</f>
        <v/>
      </c>
      <c r="G1169" t="str">
        <f t="shared" si="40"/>
        <v/>
      </c>
      <c r="H1169" s="33">
        <f>IF(ISNUMBER(SEARCH("Group",D1169)),IF(G1169="",E1169,IFERROR(E1169/COUNTIF($G2:$G6000,G1169),E1169)),E1169)</f>
        <v>0</v>
      </c>
      <c r="I1169" s="1" t="str">
        <f>IFERROR(VLOOKUP(C1169,'Clients List'!A:F,6,FALSE),"")</f>
        <v/>
      </c>
    </row>
    <row r="1170" spans="4:9" x14ac:dyDescent="0.45">
      <c r="D1170" t="str">
        <f>IFERROR(VLOOKUP(C1170,'Clients List'!$A:$F,2,FALSE),"")</f>
        <v/>
      </c>
      <c r="F1170" s="1" t="str">
        <f>IF(OR(C1170="",NOT(ISNUMBER(SEARCH("Package",D1170)))),"",VLOOKUP(C1170,'Clients List'!$A:$F,4,FALSE)-SUMIFS($E$2:$E1170,$C$2:$C1170,C1170,$D$2:$D1170,"*Package*"))</f>
        <v/>
      </c>
      <c r="G1170" t="str">
        <f t="shared" si="40"/>
        <v/>
      </c>
      <c r="H1170" s="33">
        <f>IF(ISNUMBER(SEARCH("Group",D1170)),IF(G1170="",E1170,IFERROR(E1170/COUNTIF($G2:$G6000,G1170),E1170)),E1170)</f>
        <v>0</v>
      </c>
      <c r="I1170" s="1" t="str">
        <f>IFERROR(VLOOKUP(C1170,'Clients List'!A:F,6,FALSE),"")</f>
        <v/>
      </c>
    </row>
    <row r="1171" spans="4:9" x14ac:dyDescent="0.45">
      <c r="D1171" t="str">
        <f>IFERROR(VLOOKUP(C1171,'Clients List'!$A:$F,2,FALSE),"")</f>
        <v/>
      </c>
      <c r="F1171" s="1" t="str">
        <f>IF(OR(C1171="",NOT(ISNUMBER(SEARCH("Package",D1171)))),"",VLOOKUP(C1171,'Clients List'!$A:$F,4,FALSE)-SUMIFS($E$2:$E1171,$C$2:$C1171,C1171,$D$2:$D1171,"*Package*"))</f>
        <v/>
      </c>
      <c r="G1171" t="str">
        <f t="shared" si="40"/>
        <v/>
      </c>
      <c r="H1171" s="33">
        <f>IF(ISNUMBER(SEARCH("Group",D1171)),IF(G1171="",E1171,IFERROR(E1171/COUNTIF($G2:$G6000,G1171),E1171)),E1171)</f>
        <v>0</v>
      </c>
      <c r="I1171" s="1" t="str">
        <f>IFERROR(VLOOKUP(C1171,'Clients List'!A:F,6,FALSE),"")</f>
        <v/>
      </c>
    </row>
    <row r="1172" spans="4:9" x14ac:dyDescent="0.45">
      <c r="D1172" t="str">
        <f>IFERROR(VLOOKUP(C1172,'Clients List'!$A:$F,2,FALSE),"")</f>
        <v/>
      </c>
      <c r="F1172" s="1" t="str">
        <f>IF(OR(C1172="",NOT(ISNUMBER(SEARCH("Package",D1172)))),"",VLOOKUP(C1172,'Clients List'!$A:$F,4,FALSE)-SUMIFS($E$2:$E1172,$C$2:$C1172,C1172,$D$2:$D1172,"*Package*"))</f>
        <v/>
      </c>
      <c r="G1172" t="str">
        <f t="shared" si="40"/>
        <v/>
      </c>
      <c r="H1172" s="33">
        <f>IF(ISNUMBER(SEARCH("Group",D1172)),IF(G1172="",E1172,IFERROR(E1172/COUNTIF($G2:$G6000,G1172),E1172)),E1172)</f>
        <v>0</v>
      </c>
      <c r="I1172" s="1" t="str">
        <f>IFERROR(VLOOKUP(C1172,'Clients List'!A:F,6,FALSE),"")</f>
        <v/>
      </c>
    </row>
    <row r="1173" spans="4:9" x14ac:dyDescent="0.45">
      <c r="D1173" t="str">
        <f>IFERROR(VLOOKUP(C1173,'Clients List'!$A:$F,2,FALSE),"")</f>
        <v/>
      </c>
      <c r="F1173" s="1" t="str">
        <f>IF(OR(C1173="",NOT(ISNUMBER(SEARCH("Package",D1173)))),"",VLOOKUP(C1173,'Clients List'!$A:$F,4,FALSE)-SUMIFS($E$2:$E1173,$C$2:$C1173,C1173,$D$2:$D1173,"*Package*"))</f>
        <v/>
      </c>
      <c r="G1173" t="str">
        <f t="shared" si="40"/>
        <v/>
      </c>
      <c r="H1173" s="33">
        <f>IF(ISNUMBER(SEARCH("Group",D1173)),IF(G1173="",E1173,IFERROR(E1173/COUNTIF($G2:$G6000,G1173),E1173)),E1173)</f>
        <v>0</v>
      </c>
      <c r="I1173" s="1" t="str">
        <f>IFERROR(VLOOKUP(C1173,'Clients List'!A:F,6,FALSE),"")</f>
        <v/>
      </c>
    </row>
    <row r="1174" spans="4:9" x14ac:dyDescent="0.45">
      <c r="D1174" t="str">
        <f>IFERROR(VLOOKUP(C1174,'Clients List'!$A:$F,2,FALSE),"")</f>
        <v/>
      </c>
      <c r="F1174" s="1" t="str">
        <f>IF(OR(C1174="",NOT(ISNUMBER(SEARCH("Package",D1174)))),"",VLOOKUP(C1174,'Clients List'!$A:$F,4,FALSE)-SUMIFS($E$2:$E1174,$C$2:$C1174,C1174,$D$2:$D1174,"*Package*"))</f>
        <v/>
      </c>
      <c r="G1174" t="str">
        <f t="shared" si="40"/>
        <v/>
      </c>
      <c r="H1174" s="33">
        <f>IF(ISNUMBER(SEARCH("Group",D1174)),IF(G1174="",E1174,IFERROR(E1174/COUNTIF($G2:$G6000,G1174),E1174)),E1174)</f>
        <v>0</v>
      </c>
      <c r="I1174" s="1" t="str">
        <f>IFERROR(VLOOKUP(C1174,'Clients List'!A:F,6,FALSE),"")</f>
        <v/>
      </c>
    </row>
    <row r="1175" spans="4:9" x14ac:dyDescent="0.45">
      <c r="D1175" t="str">
        <f>IFERROR(VLOOKUP(C1175,'Clients List'!$A:$F,2,FALSE),"")</f>
        <v/>
      </c>
      <c r="F1175" s="1" t="str">
        <f>IF(OR(C1175="",NOT(ISNUMBER(SEARCH("Package",D1175)))),"",VLOOKUP(C1175,'Clients List'!$A:$F,4,FALSE)-SUMIFS($E$2:$E1175,$C$2:$C1175,C1175,$D$2:$D1175,"*Package*"))</f>
        <v/>
      </c>
      <c r="G1175" t="str">
        <f t="shared" si="40"/>
        <v/>
      </c>
      <c r="H1175" s="33">
        <f>IF(ISNUMBER(SEARCH("Group",D1175)),IF(G1175="",E1175,IFERROR(E1175/COUNTIF($G2:$G6000,G1175),E1175)),E1175)</f>
        <v>0</v>
      </c>
      <c r="I1175" s="1" t="str">
        <f>IFERROR(VLOOKUP(C1175,'Clients List'!A:F,6,FALSE),"")</f>
        <v/>
      </c>
    </row>
    <row r="1176" spans="4:9" x14ac:dyDescent="0.45">
      <c r="D1176" t="str">
        <f>IFERROR(VLOOKUP(C1176,'Clients List'!$A:$F,2,FALSE),"")</f>
        <v/>
      </c>
      <c r="F1176" s="1" t="str">
        <f>IF(OR(C1176="",NOT(ISNUMBER(SEARCH("Package",D1176)))),"",VLOOKUP(C1176,'Clients List'!$A:$F,4,FALSE)-SUMIFS($E$2:$E1176,$C$2:$C1176,C1176,$D$2:$D1176,"*Package*"))</f>
        <v/>
      </c>
      <c r="G1176" t="str">
        <f t="shared" si="40"/>
        <v/>
      </c>
      <c r="H1176" s="33">
        <f>IF(ISNUMBER(SEARCH("Group",D1176)),IF(G1176="",E1176,IFERROR(E1176/COUNTIF($G2:$G6000,G1176),E1176)),E1176)</f>
        <v>0</v>
      </c>
      <c r="I1176" s="1" t="str">
        <f>IFERROR(VLOOKUP(C1176,'Clients List'!A:F,6,FALSE),"")</f>
        <v/>
      </c>
    </row>
    <row r="1177" spans="4:9" x14ac:dyDescent="0.45">
      <c r="D1177" t="str">
        <f>IFERROR(VLOOKUP(C1177,'Clients List'!$A:$F,2,FALSE),"")</f>
        <v/>
      </c>
      <c r="F1177" s="1" t="str">
        <f>IF(OR(C1177="",NOT(ISNUMBER(SEARCH("Package",D1177)))),"",VLOOKUP(C1177,'Clients List'!$A:$F,4,FALSE)-SUMIFS($E$2:$E1177,$C$2:$C1177,C1177,$D$2:$D1177,"*Package*"))</f>
        <v/>
      </c>
      <c r="G1177" t="str">
        <f t="shared" si="40"/>
        <v/>
      </c>
      <c r="H1177" s="33">
        <f>IF(ISNUMBER(SEARCH("Group",D1177)),IF(G1177="",E1177,IFERROR(E1177/COUNTIF($G2:$G6000,G1177),E1177)),E1177)</f>
        <v>0</v>
      </c>
      <c r="I1177" s="1" t="str">
        <f>IFERROR(VLOOKUP(C1177,'Clients List'!A:F,6,FALSE),"")</f>
        <v/>
      </c>
    </row>
    <row r="1178" spans="4:9" x14ac:dyDescent="0.45">
      <c r="D1178" t="str">
        <f>IFERROR(VLOOKUP(C1178,'Clients List'!$A:$F,2,FALSE),"")</f>
        <v/>
      </c>
      <c r="F1178" s="1" t="str">
        <f>IF(OR(C1178="",NOT(ISNUMBER(SEARCH("Package",D1178)))),"",VLOOKUP(C1178,'Clients List'!$A:$F,4,FALSE)-SUMIFS($E$2:$E1178,$C$2:$C1178,C1178,$D$2:$D1178,"*Package*"))</f>
        <v/>
      </c>
      <c r="G1178" t="str">
        <f t="shared" si="40"/>
        <v/>
      </c>
      <c r="H1178" s="33">
        <f>IF(ISNUMBER(SEARCH("Group",D1178)),IF(G1178="",E1178,IFERROR(E1178/COUNTIF($G2:$G6000,G1178),E1178)),E1178)</f>
        <v>0</v>
      </c>
      <c r="I1178" s="1" t="str">
        <f>IFERROR(VLOOKUP(C1178,'Clients List'!A:F,6,FALSE),"")</f>
        <v/>
      </c>
    </row>
    <row r="1179" spans="4:9" x14ac:dyDescent="0.45">
      <c r="D1179" t="str">
        <f>IFERROR(VLOOKUP(C1179,'Clients List'!$A:$F,2,FALSE),"")</f>
        <v/>
      </c>
      <c r="F1179" s="1" t="str">
        <f>IF(OR(C1179="",NOT(ISNUMBER(SEARCH("Package",D1179)))),"",VLOOKUP(C1179,'Clients List'!$A:$F,4,FALSE)-SUMIFS($E$2:$E1179,$C$2:$C1179,C1179,$D$2:$D1179,"*Package*"))</f>
        <v/>
      </c>
      <c r="G1179" t="str">
        <f t="shared" ref="G1179:G1210" si="41">IF(ISNUMBER(SEARCH("Group",D1179)),IFERROR("GRP-"&amp;TEXT(IF(ISNUMBER(A1179),A1179,DATEVALUE(A1179)),"yyyymmdd"),""),"" )</f>
        <v/>
      </c>
      <c r="H1179" s="33">
        <f>IF(ISNUMBER(SEARCH("Group",D1179)),IF(G1179="",E1179,IFERROR(E1179/COUNTIF($G2:$G6000,G1179),E1179)),E1179)</f>
        <v>0</v>
      </c>
      <c r="I1179" s="1" t="str">
        <f>IFERROR(VLOOKUP(C1179,'Clients List'!A:F,6,FALSE),"")</f>
        <v/>
      </c>
    </row>
    <row r="1180" spans="4:9" x14ac:dyDescent="0.45">
      <c r="D1180" t="str">
        <f>IFERROR(VLOOKUP(C1180,'Clients List'!$A:$F,2,FALSE),"")</f>
        <v/>
      </c>
      <c r="F1180" s="1" t="str">
        <f>IF(OR(C1180="",NOT(ISNUMBER(SEARCH("Package",D1180)))),"",VLOOKUP(C1180,'Clients List'!$A:$F,4,FALSE)-SUMIFS($E$2:$E1180,$C$2:$C1180,C1180,$D$2:$D1180,"*Package*"))</f>
        <v/>
      </c>
      <c r="G1180" t="str">
        <f t="shared" si="41"/>
        <v/>
      </c>
      <c r="H1180" s="33">
        <f>IF(ISNUMBER(SEARCH("Group",D1180)),IF(G1180="",E1180,IFERROR(E1180/COUNTIF($G2:$G6000,G1180),E1180)),E1180)</f>
        <v>0</v>
      </c>
      <c r="I1180" s="1" t="str">
        <f>IFERROR(VLOOKUP(C1180,'Clients List'!A:F,6,FALSE),"")</f>
        <v/>
      </c>
    </row>
    <row r="1181" spans="4:9" x14ac:dyDescent="0.45">
      <c r="D1181" t="str">
        <f>IFERROR(VLOOKUP(C1181,'Clients List'!$A:$F,2,FALSE),"")</f>
        <v/>
      </c>
      <c r="F1181" s="1" t="str">
        <f>IF(OR(C1181="",NOT(ISNUMBER(SEARCH("Package",D1181)))),"",VLOOKUP(C1181,'Clients List'!$A:$F,4,FALSE)-SUMIFS($E$2:$E1181,$C$2:$C1181,C1181,$D$2:$D1181,"*Package*"))</f>
        <v/>
      </c>
      <c r="G1181" t="str">
        <f t="shared" si="41"/>
        <v/>
      </c>
      <c r="H1181" s="33">
        <f>IF(ISNUMBER(SEARCH("Group",D1181)),IF(G1181="",E1181,IFERROR(E1181/COUNTIF($G2:$G6000,G1181),E1181)),E1181)</f>
        <v>0</v>
      </c>
      <c r="I1181" s="1" t="str">
        <f>IFERROR(VLOOKUP(C1181,'Clients List'!A:F,6,FALSE),"")</f>
        <v/>
      </c>
    </row>
    <row r="1182" spans="4:9" x14ac:dyDescent="0.45">
      <c r="D1182" t="str">
        <f>IFERROR(VLOOKUP(C1182,'Clients List'!$A:$F,2,FALSE),"")</f>
        <v/>
      </c>
      <c r="F1182" s="1" t="str">
        <f>IF(OR(C1182="",NOT(ISNUMBER(SEARCH("Package",D1182)))),"",VLOOKUP(C1182,'Clients List'!$A:$F,4,FALSE)-SUMIFS($E$2:$E1182,$C$2:$C1182,C1182,$D$2:$D1182,"*Package*"))</f>
        <v/>
      </c>
      <c r="G1182" t="str">
        <f t="shared" si="41"/>
        <v/>
      </c>
      <c r="H1182" s="33">
        <f>IF(ISNUMBER(SEARCH("Group",D1182)),IF(G1182="",E1182,IFERROR(E1182/COUNTIF($G2:$G6000,G1182),E1182)),E1182)</f>
        <v>0</v>
      </c>
      <c r="I1182" s="1" t="str">
        <f>IFERROR(VLOOKUP(C1182,'Clients List'!A:F,6,FALSE),"")</f>
        <v/>
      </c>
    </row>
    <row r="1183" spans="4:9" x14ac:dyDescent="0.45">
      <c r="D1183" t="str">
        <f>IFERROR(VLOOKUP(C1183,'Clients List'!$A:$F,2,FALSE),"")</f>
        <v/>
      </c>
      <c r="F1183" s="1" t="str">
        <f>IF(OR(C1183="",NOT(ISNUMBER(SEARCH("Package",D1183)))),"",VLOOKUP(C1183,'Clients List'!$A:$F,4,FALSE)-SUMIFS($E$2:$E1183,$C$2:$C1183,C1183,$D$2:$D1183,"*Package*"))</f>
        <v/>
      </c>
      <c r="G1183" t="str">
        <f t="shared" si="41"/>
        <v/>
      </c>
      <c r="H1183" s="33">
        <f>IF(ISNUMBER(SEARCH("Group",D1183)),IF(G1183="",E1183,IFERROR(E1183/COUNTIF($G2:$G6000,G1183),E1183)),E1183)</f>
        <v>0</v>
      </c>
      <c r="I1183" s="1" t="str">
        <f>IFERROR(VLOOKUP(C1183,'Clients List'!A:F,6,FALSE),"")</f>
        <v/>
      </c>
    </row>
    <row r="1184" spans="4:9" x14ac:dyDescent="0.45">
      <c r="D1184" t="str">
        <f>IFERROR(VLOOKUP(C1184,'Clients List'!$A:$F,2,FALSE),"")</f>
        <v/>
      </c>
      <c r="F1184" s="1" t="str">
        <f>IF(OR(C1184="",NOT(ISNUMBER(SEARCH("Package",D1184)))),"",VLOOKUP(C1184,'Clients List'!$A:$F,4,FALSE)-SUMIFS($E$2:$E1184,$C$2:$C1184,C1184,$D$2:$D1184,"*Package*"))</f>
        <v/>
      </c>
      <c r="G1184" t="str">
        <f t="shared" si="41"/>
        <v/>
      </c>
      <c r="H1184" s="33">
        <f>IF(ISNUMBER(SEARCH("Group",D1184)),IF(G1184="",E1184,IFERROR(E1184/COUNTIF($G2:$G6000,G1184),E1184)),E1184)</f>
        <v>0</v>
      </c>
      <c r="I1184" s="1" t="str">
        <f>IFERROR(VLOOKUP(C1184,'Clients List'!A:F,6,FALSE),"")</f>
        <v/>
      </c>
    </row>
    <row r="1185" spans="4:9" x14ac:dyDescent="0.45">
      <c r="D1185" t="str">
        <f>IFERROR(VLOOKUP(C1185,'Clients List'!$A:$F,2,FALSE),"")</f>
        <v/>
      </c>
      <c r="F1185" s="1" t="str">
        <f>IF(OR(C1185="",NOT(ISNUMBER(SEARCH("Package",D1185)))),"",VLOOKUP(C1185,'Clients List'!$A:$F,4,FALSE)-SUMIFS($E$2:$E1185,$C$2:$C1185,C1185,$D$2:$D1185,"*Package*"))</f>
        <v/>
      </c>
      <c r="G1185" t="str">
        <f t="shared" si="41"/>
        <v/>
      </c>
      <c r="H1185" s="33">
        <f>IF(ISNUMBER(SEARCH("Group",D1185)),IF(G1185="",E1185,IFERROR(E1185/COUNTIF($G2:$G6000,G1185),E1185)),E1185)</f>
        <v>0</v>
      </c>
      <c r="I1185" s="1" t="str">
        <f>IFERROR(VLOOKUP(C1185,'Clients List'!A:F,6,FALSE),"")</f>
        <v/>
      </c>
    </row>
    <row r="1186" spans="4:9" x14ac:dyDescent="0.45">
      <c r="D1186" t="str">
        <f>IFERROR(VLOOKUP(C1186,'Clients List'!$A:$F,2,FALSE),"")</f>
        <v/>
      </c>
      <c r="F1186" s="1" t="str">
        <f>IF(OR(C1186="",NOT(ISNUMBER(SEARCH("Package",D1186)))),"",VLOOKUP(C1186,'Clients List'!$A:$F,4,FALSE)-SUMIFS($E$2:$E1186,$C$2:$C1186,C1186,$D$2:$D1186,"*Package*"))</f>
        <v/>
      </c>
      <c r="G1186" t="str">
        <f t="shared" si="41"/>
        <v/>
      </c>
      <c r="H1186" s="33">
        <f>IF(ISNUMBER(SEARCH("Group",D1186)),IF(G1186="",E1186,IFERROR(E1186/COUNTIF($G2:$G6000,G1186),E1186)),E1186)</f>
        <v>0</v>
      </c>
      <c r="I1186" s="1" t="str">
        <f>IFERROR(VLOOKUP(C1186,'Clients List'!A:F,6,FALSE),"")</f>
        <v/>
      </c>
    </row>
    <row r="1187" spans="4:9" x14ac:dyDescent="0.45">
      <c r="D1187" t="str">
        <f>IFERROR(VLOOKUP(C1187,'Clients List'!$A:$F,2,FALSE),"")</f>
        <v/>
      </c>
      <c r="F1187" s="1" t="str">
        <f>IF(OR(C1187="",NOT(ISNUMBER(SEARCH("Package",D1187)))),"",VLOOKUP(C1187,'Clients List'!$A:$F,4,FALSE)-SUMIFS($E$2:$E1187,$C$2:$C1187,C1187,$D$2:$D1187,"*Package*"))</f>
        <v/>
      </c>
      <c r="G1187" t="str">
        <f t="shared" si="41"/>
        <v/>
      </c>
      <c r="H1187" s="33">
        <f>IF(ISNUMBER(SEARCH("Group",D1187)),IF(G1187="",E1187,IFERROR(E1187/COUNTIF($G2:$G6000,G1187),E1187)),E1187)</f>
        <v>0</v>
      </c>
      <c r="I1187" s="1" t="str">
        <f>IFERROR(VLOOKUP(C1187,'Clients List'!A:F,6,FALSE),"")</f>
        <v/>
      </c>
    </row>
    <row r="1188" spans="4:9" x14ac:dyDescent="0.45">
      <c r="D1188" t="str">
        <f>IFERROR(VLOOKUP(C1188,'Clients List'!$A:$F,2,FALSE),"")</f>
        <v/>
      </c>
      <c r="F1188" s="1" t="str">
        <f>IF(OR(C1188="",NOT(ISNUMBER(SEARCH("Package",D1188)))),"",VLOOKUP(C1188,'Clients List'!$A:$F,4,FALSE)-SUMIFS($E$2:$E1188,$C$2:$C1188,C1188,$D$2:$D1188,"*Package*"))</f>
        <v/>
      </c>
      <c r="G1188" t="str">
        <f t="shared" si="41"/>
        <v/>
      </c>
      <c r="H1188" s="33">
        <f>IF(ISNUMBER(SEARCH("Group",D1188)),IF(G1188="",E1188,IFERROR(E1188/COUNTIF($G2:$G6000,G1188),E1188)),E1188)</f>
        <v>0</v>
      </c>
      <c r="I1188" s="1" t="str">
        <f>IFERROR(VLOOKUP(C1188,'Clients List'!A:F,6,FALSE),"")</f>
        <v/>
      </c>
    </row>
    <row r="1189" spans="4:9" x14ac:dyDescent="0.45">
      <c r="D1189" t="str">
        <f>IFERROR(VLOOKUP(C1189,'Clients List'!$A:$F,2,FALSE),"")</f>
        <v/>
      </c>
      <c r="F1189" s="1" t="str">
        <f>IF(OR(C1189="",NOT(ISNUMBER(SEARCH("Package",D1189)))),"",VLOOKUP(C1189,'Clients List'!$A:$F,4,FALSE)-SUMIFS($E$2:$E1189,$C$2:$C1189,C1189,$D$2:$D1189,"*Package*"))</f>
        <v/>
      </c>
      <c r="G1189" t="str">
        <f t="shared" si="41"/>
        <v/>
      </c>
      <c r="H1189" s="33">
        <f>IF(ISNUMBER(SEARCH("Group",D1189)),IF(G1189="",E1189,IFERROR(E1189/COUNTIF($G2:$G6000,G1189),E1189)),E1189)</f>
        <v>0</v>
      </c>
      <c r="I1189" s="1" t="str">
        <f>IFERROR(VLOOKUP(C1189,'Clients List'!A:F,6,FALSE),"")</f>
        <v/>
      </c>
    </row>
    <row r="1190" spans="4:9" x14ac:dyDescent="0.45">
      <c r="D1190" t="str">
        <f>IFERROR(VLOOKUP(C1190,'Clients List'!$A:$F,2,FALSE),"")</f>
        <v/>
      </c>
      <c r="F1190" s="1" t="str">
        <f>IF(OR(C1190="",NOT(ISNUMBER(SEARCH("Package",D1190)))),"",VLOOKUP(C1190,'Clients List'!$A:$F,4,FALSE)-SUMIFS($E$2:$E1190,$C$2:$C1190,C1190,$D$2:$D1190,"*Package*"))</f>
        <v/>
      </c>
      <c r="G1190" t="str">
        <f t="shared" si="41"/>
        <v/>
      </c>
      <c r="H1190" s="33">
        <f>IF(ISNUMBER(SEARCH("Group",D1190)),IF(G1190="",E1190,IFERROR(E1190/COUNTIF($G2:$G6000,G1190),E1190)),E1190)</f>
        <v>0</v>
      </c>
      <c r="I1190" s="1" t="str">
        <f>IFERROR(VLOOKUP(C1190,'Clients List'!A:F,6,FALSE),"")</f>
        <v/>
      </c>
    </row>
    <row r="1191" spans="4:9" x14ac:dyDescent="0.45">
      <c r="D1191" t="str">
        <f>IFERROR(VLOOKUP(C1191,'Clients List'!$A:$F,2,FALSE),"")</f>
        <v/>
      </c>
      <c r="F1191" s="1" t="str">
        <f>IF(OR(C1191="",NOT(ISNUMBER(SEARCH("Package",D1191)))),"",VLOOKUP(C1191,'Clients List'!$A:$F,4,FALSE)-SUMIFS($E$2:$E1191,$C$2:$C1191,C1191,$D$2:$D1191,"*Package*"))</f>
        <v/>
      </c>
      <c r="G1191" t="str">
        <f t="shared" si="41"/>
        <v/>
      </c>
      <c r="H1191" s="33">
        <f>IF(ISNUMBER(SEARCH("Group",D1191)),IF(G1191="",E1191,IFERROR(E1191/COUNTIF($G2:$G6000,G1191),E1191)),E1191)</f>
        <v>0</v>
      </c>
      <c r="I1191" s="1" t="str">
        <f>IFERROR(VLOOKUP(C1191,'Clients List'!A:F,6,FALSE),"")</f>
        <v/>
      </c>
    </row>
    <row r="1192" spans="4:9" x14ac:dyDescent="0.45">
      <c r="D1192" t="str">
        <f>IFERROR(VLOOKUP(C1192,'Clients List'!$A:$F,2,FALSE),"")</f>
        <v/>
      </c>
      <c r="F1192" s="1" t="str">
        <f>IF(OR(C1192="",NOT(ISNUMBER(SEARCH("Package",D1192)))),"",VLOOKUP(C1192,'Clients List'!$A:$F,4,FALSE)-SUMIFS($E$2:$E1192,$C$2:$C1192,C1192,$D$2:$D1192,"*Package*"))</f>
        <v/>
      </c>
      <c r="G1192" t="str">
        <f t="shared" si="41"/>
        <v/>
      </c>
      <c r="H1192" s="33">
        <f>IF(ISNUMBER(SEARCH("Group",D1192)),IF(G1192="",E1192,IFERROR(E1192/COUNTIF($G2:$G6000,G1192),E1192)),E1192)</f>
        <v>0</v>
      </c>
      <c r="I1192" s="1" t="str">
        <f>IFERROR(VLOOKUP(C1192,'Clients List'!A:F,6,FALSE),"")</f>
        <v/>
      </c>
    </row>
    <row r="1193" spans="4:9" x14ac:dyDescent="0.45">
      <c r="D1193" t="str">
        <f>IFERROR(VLOOKUP(C1193,'Clients List'!$A:$F,2,FALSE),"")</f>
        <v/>
      </c>
      <c r="F1193" s="1" t="str">
        <f>IF(OR(C1193="",NOT(ISNUMBER(SEARCH("Package",D1193)))),"",VLOOKUP(C1193,'Clients List'!$A:$F,4,FALSE)-SUMIFS($E$2:$E1193,$C$2:$C1193,C1193,$D$2:$D1193,"*Package*"))</f>
        <v/>
      </c>
      <c r="G1193" t="str">
        <f t="shared" si="41"/>
        <v/>
      </c>
      <c r="H1193" s="33">
        <f>IF(ISNUMBER(SEARCH("Group",D1193)),IF(G1193="",E1193,IFERROR(E1193/COUNTIF($G2:$G6000,G1193),E1193)),E1193)</f>
        <v>0</v>
      </c>
      <c r="I1193" s="1" t="str">
        <f>IFERROR(VLOOKUP(C1193,'Clients List'!A:F,6,FALSE),"")</f>
        <v/>
      </c>
    </row>
    <row r="1194" spans="4:9" x14ac:dyDescent="0.45">
      <c r="D1194" t="str">
        <f>IFERROR(VLOOKUP(C1194,'Clients List'!$A:$F,2,FALSE),"")</f>
        <v/>
      </c>
      <c r="F1194" s="1" t="str">
        <f>IF(OR(C1194="",NOT(ISNUMBER(SEARCH("Package",D1194)))),"",VLOOKUP(C1194,'Clients List'!$A:$F,4,FALSE)-SUMIFS($E$2:$E1194,$C$2:$C1194,C1194,$D$2:$D1194,"*Package*"))</f>
        <v/>
      </c>
      <c r="G1194" t="str">
        <f t="shared" si="41"/>
        <v/>
      </c>
      <c r="H1194" s="33">
        <f>IF(ISNUMBER(SEARCH("Group",D1194)),IF(G1194="",E1194,IFERROR(E1194/COUNTIF($G2:$G6000,G1194),E1194)),E1194)</f>
        <v>0</v>
      </c>
      <c r="I1194" s="1" t="str">
        <f>IFERROR(VLOOKUP(C1194,'Clients List'!A:F,6,FALSE),"")</f>
        <v/>
      </c>
    </row>
    <row r="1195" spans="4:9" x14ac:dyDescent="0.45">
      <c r="D1195" t="str">
        <f>IFERROR(VLOOKUP(C1195,'Clients List'!$A:$F,2,FALSE),"")</f>
        <v/>
      </c>
      <c r="F1195" s="1" t="str">
        <f>IF(OR(C1195="",NOT(ISNUMBER(SEARCH("Package",D1195)))),"",VLOOKUP(C1195,'Clients List'!$A:$F,4,FALSE)-SUMIFS($E$2:$E1195,$C$2:$C1195,C1195,$D$2:$D1195,"*Package*"))</f>
        <v/>
      </c>
      <c r="G1195" t="str">
        <f t="shared" si="41"/>
        <v/>
      </c>
      <c r="H1195" s="33">
        <f>IF(ISNUMBER(SEARCH("Group",D1195)),IF(G1195="",E1195,IFERROR(E1195/COUNTIF($G2:$G6000,G1195),E1195)),E1195)</f>
        <v>0</v>
      </c>
      <c r="I1195" s="1" t="str">
        <f>IFERROR(VLOOKUP(C1195,'Clients List'!A:F,6,FALSE),"")</f>
        <v/>
      </c>
    </row>
    <row r="1196" spans="4:9" x14ac:dyDescent="0.45">
      <c r="D1196" t="str">
        <f>IFERROR(VLOOKUP(C1196,'Clients List'!$A:$F,2,FALSE),"")</f>
        <v/>
      </c>
      <c r="F1196" s="1" t="str">
        <f>IF(OR(C1196="",NOT(ISNUMBER(SEARCH("Package",D1196)))),"",VLOOKUP(C1196,'Clients List'!$A:$F,4,FALSE)-SUMIFS($E$2:$E1196,$C$2:$C1196,C1196,$D$2:$D1196,"*Package*"))</f>
        <v/>
      </c>
      <c r="G1196" t="str">
        <f t="shared" si="41"/>
        <v/>
      </c>
      <c r="H1196" s="33">
        <f>IF(ISNUMBER(SEARCH("Group",D1196)),IF(G1196="",E1196,IFERROR(E1196/COUNTIF($G2:$G6000,G1196),E1196)),E1196)</f>
        <v>0</v>
      </c>
      <c r="I1196" s="1" t="str">
        <f>IFERROR(VLOOKUP(C1196,'Clients List'!A:F,6,FALSE),"")</f>
        <v/>
      </c>
    </row>
    <row r="1197" spans="4:9" x14ac:dyDescent="0.45">
      <c r="D1197" t="str">
        <f>IFERROR(VLOOKUP(C1197,'Clients List'!$A:$F,2,FALSE),"")</f>
        <v/>
      </c>
      <c r="F1197" s="1" t="str">
        <f>IF(OR(C1197="",NOT(ISNUMBER(SEARCH("Package",D1197)))),"",VLOOKUP(C1197,'Clients List'!$A:$F,4,FALSE)-SUMIFS($E$2:$E1197,$C$2:$C1197,C1197,$D$2:$D1197,"*Package*"))</f>
        <v/>
      </c>
      <c r="G1197" t="str">
        <f t="shared" si="41"/>
        <v/>
      </c>
      <c r="H1197" s="33">
        <f>IF(ISNUMBER(SEARCH("Group",D1197)),IF(G1197="",E1197,IFERROR(E1197/COUNTIF($G2:$G6000,G1197),E1197)),E1197)</f>
        <v>0</v>
      </c>
      <c r="I1197" s="1" t="str">
        <f>IFERROR(VLOOKUP(C1197,'Clients List'!A:F,6,FALSE),"")</f>
        <v/>
      </c>
    </row>
    <row r="1198" spans="4:9" x14ac:dyDescent="0.45">
      <c r="D1198" t="str">
        <f>IFERROR(VLOOKUP(C1198,'Clients List'!$A:$F,2,FALSE),"")</f>
        <v/>
      </c>
      <c r="F1198" s="1" t="str">
        <f>IF(OR(C1198="",NOT(ISNUMBER(SEARCH("Package",D1198)))),"",VLOOKUP(C1198,'Clients List'!$A:$F,4,FALSE)-SUMIFS($E$2:$E1198,$C$2:$C1198,C1198,$D$2:$D1198,"*Package*"))</f>
        <v/>
      </c>
      <c r="G1198" t="str">
        <f t="shared" si="41"/>
        <v/>
      </c>
      <c r="H1198" s="33">
        <f>IF(ISNUMBER(SEARCH("Group",D1198)),IF(G1198="",E1198,IFERROR(E1198/COUNTIF($G2:$G6000,G1198),E1198)),E1198)</f>
        <v>0</v>
      </c>
      <c r="I1198" s="1" t="str">
        <f>IFERROR(VLOOKUP(C1198,'Clients List'!A:F,6,FALSE),"")</f>
        <v/>
      </c>
    </row>
    <row r="1199" spans="4:9" x14ac:dyDescent="0.45">
      <c r="D1199" t="str">
        <f>IFERROR(VLOOKUP(C1199,'Clients List'!$A:$F,2,FALSE),"")</f>
        <v/>
      </c>
      <c r="F1199" s="1" t="str">
        <f>IF(OR(C1199="",NOT(ISNUMBER(SEARCH("Package",D1199)))),"",VLOOKUP(C1199,'Clients List'!$A:$F,4,FALSE)-SUMIFS($E$2:$E1199,$C$2:$C1199,C1199,$D$2:$D1199,"*Package*"))</f>
        <v/>
      </c>
      <c r="G1199" t="str">
        <f t="shared" si="41"/>
        <v/>
      </c>
      <c r="H1199" s="33">
        <f>IF(ISNUMBER(SEARCH("Group",D1199)),IF(G1199="",E1199,IFERROR(E1199/COUNTIF($G2:$G6000,G1199),E1199)),E1199)</f>
        <v>0</v>
      </c>
      <c r="I1199" s="1" t="str">
        <f>IFERROR(VLOOKUP(C1199,'Clients List'!A:F,6,FALSE),"")</f>
        <v/>
      </c>
    </row>
    <row r="1200" spans="4:9" x14ac:dyDescent="0.45">
      <c r="D1200" t="str">
        <f>IFERROR(VLOOKUP(C1200,'Clients List'!$A:$F,2,FALSE),"")</f>
        <v/>
      </c>
      <c r="F1200" s="1" t="str">
        <f>IF(OR(C1200="",NOT(ISNUMBER(SEARCH("Package",D1200)))),"",VLOOKUP(C1200,'Clients List'!$A:$F,4,FALSE)-SUMIFS($E$2:$E1200,$C$2:$C1200,C1200,$D$2:$D1200,"*Package*"))</f>
        <v/>
      </c>
      <c r="G1200" t="str">
        <f t="shared" si="41"/>
        <v/>
      </c>
      <c r="H1200" s="33">
        <f>IF(ISNUMBER(SEARCH("Group",D1200)),IF(G1200="",E1200,IFERROR(E1200/COUNTIF($G2:$G6000,G1200),E1200)),E1200)</f>
        <v>0</v>
      </c>
      <c r="I1200" s="1" t="str">
        <f>IFERROR(VLOOKUP(C1200,'Clients List'!A:F,6,FALSE),"")</f>
        <v/>
      </c>
    </row>
    <row r="1201" spans="4:9" x14ac:dyDescent="0.45">
      <c r="D1201" t="str">
        <f>IFERROR(VLOOKUP(C1201,'Clients List'!$A:$F,2,FALSE),"")</f>
        <v/>
      </c>
      <c r="F1201" s="1" t="str">
        <f>IF(OR(C1201="",NOT(ISNUMBER(SEARCH("Package",D1201)))),"",VLOOKUP(C1201,'Clients List'!$A:$F,4,FALSE)-SUMIFS($E$2:$E1201,$C$2:$C1201,C1201,$D$2:$D1201,"*Package*"))</f>
        <v/>
      </c>
      <c r="G1201" t="str">
        <f t="shared" si="41"/>
        <v/>
      </c>
      <c r="H1201" s="33">
        <f>IF(ISNUMBER(SEARCH("Group",D1201)),IF(G1201="",E1201,IFERROR(E1201/COUNTIF($G2:$G6000,G1201),E1201)),E1201)</f>
        <v>0</v>
      </c>
      <c r="I1201" s="1" t="str">
        <f>IFERROR(VLOOKUP(C1201,'Clients List'!A:F,6,FALSE),"")</f>
        <v/>
      </c>
    </row>
    <row r="1202" spans="4:9" x14ac:dyDescent="0.45">
      <c r="D1202" t="str">
        <f>IFERROR(VLOOKUP(C1202,'Clients List'!$A:$F,2,FALSE),"")</f>
        <v/>
      </c>
      <c r="F1202" s="1" t="str">
        <f>IF(OR(C1202="",NOT(ISNUMBER(SEARCH("Package",D1202)))),"",VLOOKUP(C1202,'Clients List'!$A:$F,4,FALSE)-SUMIFS($E$2:$E1202,$C$2:$C1202,C1202,$D$2:$D1202,"*Package*"))</f>
        <v/>
      </c>
      <c r="G1202" t="str">
        <f t="shared" si="41"/>
        <v/>
      </c>
      <c r="H1202" s="33">
        <f>IF(ISNUMBER(SEARCH("Group",D1202)),IF(G1202="",E1202,IFERROR(E1202/COUNTIF($G2:$G6000,G1202),E1202)),E1202)</f>
        <v>0</v>
      </c>
      <c r="I1202" s="1" t="str">
        <f>IFERROR(VLOOKUP(C1202,'Clients List'!A:F,6,FALSE),"")</f>
        <v/>
      </c>
    </row>
    <row r="1203" spans="4:9" x14ac:dyDescent="0.45">
      <c r="D1203" t="str">
        <f>IFERROR(VLOOKUP(C1203,'Clients List'!$A:$F,2,FALSE),"")</f>
        <v/>
      </c>
      <c r="F1203" s="1" t="str">
        <f>IF(OR(C1203="",NOT(ISNUMBER(SEARCH("Package",D1203)))),"",VLOOKUP(C1203,'Clients List'!$A:$F,4,FALSE)-SUMIFS($E$2:$E1203,$C$2:$C1203,C1203,$D$2:$D1203,"*Package*"))</f>
        <v/>
      </c>
      <c r="G1203" t="str">
        <f t="shared" si="41"/>
        <v/>
      </c>
      <c r="H1203" s="33">
        <f>IF(ISNUMBER(SEARCH("Group",D1203)),IF(G1203="",E1203,IFERROR(E1203/COUNTIF($G2:$G6000,G1203),E1203)),E1203)</f>
        <v>0</v>
      </c>
      <c r="I1203" s="1" t="str">
        <f>IFERROR(VLOOKUP(C1203,'Clients List'!A:F,6,FALSE),"")</f>
        <v/>
      </c>
    </row>
    <row r="1204" spans="4:9" x14ac:dyDescent="0.45">
      <c r="D1204" t="str">
        <f>IFERROR(VLOOKUP(C1204,'Clients List'!$A:$F,2,FALSE),"")</f>
        <v/>
      </c>
      <c r="F1204" s="1" t="str">
        <f>IF(OR(C1204="",NOT(ISNUMBER(SEARCH("Package",D1204)))),"",VLOOKUP(C1204,'Clients List'!$A:$F,4,FALSE)-SUMIFS($E$2:$E1204,$C$2:$C1204,C1204,$D$2:$D1204,"*Package*"))</f>
        <v/>
      </c>
      <c r="G1204" t="str">
        <f t="shared" si="41"/>
        <v/>
      </c>
      <c r="H1204" s="33">
        <f>IF(ISNUMBER(SEARCH("Group",D1204)),IF(G1204="",E1204,IFERROR(E1204/COUNTIF($G2:$G6000,G1204),E1204)),E1204)</f>
        <v>0</v>
      </c>
      <c r="I1204" s="1" t="str">
        <f>IFERROR(VLOOKUP(C1204,'Clients List'!A:F,6,FALSE),"")</f>
        <v/>
      </c>
    </row>
    <row r="1205" spans="4:9" x14ac:dyDescent="0.45">
      <c r="D1205" t="str">
        <f>IFERROR(VLOOKUP(C1205,'Clients List'!$A:$F,2,FALSE),"")</f>
        <v/>
      </c>
      <c r="F1205" s="1" t="str">
        <f>IF(OR(C1205="",NOT(ISNUMBER(SEARCH("Package",D1205)))),"",VLOOKUP(C1205,'Clients List'!$A:$F,4,FALSE)-SUMIFS($E$2:$E1205,$C$2:$C1205,C1205,$D$2:$D1205,"*Package*"))</f>
        <v/>
      </c>
      <c r="G1205" t="str">
        <f t="shared" si="41"/>
        <v/>
      </c>
      <c r="H1205" s="33">
        <f>IF(ISNUMBER(SEARCH("Group",D1205)),IF(G1205="",E1205,IFERROR(E1205/COUNTIF($G2:$G6000,G1205),E1205)),E1205)</f>
        <v>0</v>
      </c>
      <c r="I1205" s="1" t="str">
        <f>IFERROR(VLOOKUP(C1205,'Clients List'!A:F,6,FALSE),"")</f>
        <v/>
      </c>
    </row>
    <row r="1206" spans="4:9" x14ac:dyDescent="0.45">
      <c r="D1206" t="str">
        <f>IFERROR(VLOOKUP(C1206,'Clients List'!$A:$F,2,FALSE),"")</f>
        <v/>
      </c>
      <c r="F1206" s="1" t="str">
        <f>IF(OR(C1206="",NOT(ISNUMBER(SEARCH("Package",D1206)))),"",VLOOKUP(C1206,'Clients List'!$A:$F,4,FALSE)-SUMIFS($E$2:$E1206,$C$2:$C1206,C1206,$D$2:$D1206,"*Package*"))</f>
        <v/>
      </c>
      <c r="G1206" t="str">
        <f t="shared" si="41"/>
        <v/>
      </c>
      <c r="H1206" s="33">
        <f>IF(ISNUMBER(SEARCH("Group",D1206)),IF(G1206="",E1206,IFERROR(E1206/COUNTIF($G2:$G6000,G1206),E1206)),E1206)</f>
        <v>0</v>
      </c>
      <c r="I1206" s="1" t="str">
        <f>IFERROR(VLOOKUP(C1206,'Clients List'!A:F,6,FALSE),"")</f>
        <v/>
      </c>
    </row>
    <row r="1207" spans="4:9" x14ac:dyDescent="0.45">
      <c r="D1207" t="str">
        <f>IFERROR(VLOOKUP(C1207,'Clients List'!$A:$F,2,FALSE),"")</f>
        <v/>
      </c>
      <c r="F1207" s="1" t="str">
        <f>IF(OR(C1207="",NOT(ISNUMBER(SEARCH("Package",D1207)))),"",VLOOKUP(C1207,'Clients List'!$A:$F,4,FALSE)-SUMIFS($E$2:$E1207,$C$2:$C1207,C1207,$D$2:$D1207,"*Package*"))</f>
        <v/>
      </c>
      <c r="G1207" t="str">
        <f t="shared" si="41"/>
        <v/>
      </c>
      <c r="H1207" s="33">
        <f>IF(ISNUMBER(SEARCH("Group",D1207)),IF(G1207="",E1207,IFERROR(E1207/COUNTIF($G2:$G6000,G1207),E1207)),E1207)</f>
        <v>0</v>
      </c>
      <c r="I1207" s="1" t="str">
        <f>IFERROR(VLOOKUP(C1207,'Clients List'!A:F,6,FALSE),"")</f>
        <v/>
      </c>
    </row>
    <row r="1208" spans="4:9" x14ac:dyDescent="0.45">
      <c r="D1208" t="str">
        <f>IFERROR(VLOOKUP(C1208,'Clients List'!$A:$F,2,FALSE),"")</f>
        <v/>
      </c>
      <c r="F1208" s="1" t="str">
        <f>IF(OR(C1208="",NOT(ISNUMBER(SEARCH("Package",D1208)))),"",VLOOKUP(C1208,'Clients List'!$A:$F,4,FALSE)-SUMIFS($E$2:$E1208,$C$2:$C1208,C1208,$D$2:$D1208,"*Package*"))</f>
        <v/>
      </c>
      <c r="G1208" t="str">
        <f t="shared" si="41"/>
        <v/>
      </c>
      <c r="H1208" s="33">
        <f>IF(ISNUMBER(SEARCH("Group",D1208)),IF(G1208="",E1208,IFERROR(E1208/COUNTIF($G2:$G6000,G1208),E1208)),E1208)</f>
        <v>0</v>
      </c>
      <c r="I1208" s="1" t="str">
        <f>IFERROR(VLOOKUP(C1208,'Clients List'!A:F,6,FALSE),"")</f>
        <v/>
      </c>
    </row>
    <row r="1209" spans="4:9" x14ac:dyDescent="0.45">
      <c r="D1209" t="str">
        <f>IFERROR(VLOOKUP(C1209,'Clients List'!$A:$F,2,FALSE),"")</f>
        <v/>
      </c>
      <c r="F1209" s="1" t="str">
        <f>IF(OR(C1209="",NOT(ISNUMBER(SEARCH("Package",D1209)))),"",VLOOKUP(C1209,'Clients List'!$A:$F,4,FALSE)-SUMIFS($E$2:$E1209,$C$2:$C1209,C1209,$D$2:$D1209,"*Package*"))</f>
        <v/>
      </c>
      <c r="G1209" t="str">
        <f t="shared" si="41"/>
        <v/>
      </c>
      <c r="H1209" s="33">
        <f>IF(ISNUMBER(SEARCH("Group",D1209)),IF(G1209="",E1209,IFERROR(E1209/COUNTIF($G2:$G6000,G1209),E1209)),E1209)</f>
        <v>0</v>
      </c>
      <c r="I1209" s="1" t="str">
        <f>IFERROR(VLOOKUP(C1209,'Clients List'!A:F,6,FALSE),"")</f>
        <v/>
      </c>
    </row>
    <row r="1210" spans="4:9" x14ac:dyDescent="0.45">
      <c r="D1210" t="str">
        <f>IFERROR(VLOOKUP(C1210,'Clients List'!$A:$F,2,FALSE),"")</f>
        <v/>
      </c>
      <c r="F1210" s="1" t="str">
        <f>IF(OR(C1210="",NOT(ISNUMBER(SEARCH("Package",D1210)))),"",VLOOKUP(C1210,'Clients List'!$A:$F,4,FALSE)-SUMIFS($E$2:$E1210,$C$2:$C1210,C1210,$D$2:$D1210,"*Package*"))</f>
        <v/>
      </c>
      <c r="G1210" t="str">
        <f t="shared" si="41"/>
        <v/>
      </c>
      <c r="H1210" s="33">
        <f>IF(ISNUMBER(SEARCH("Group",D1210)),IF(G1210="",E1210,IFERROR(E1210/COUNTIF($G2:$G6000,G1210),E1210)),E1210)</f>
        <v>0</v>
      </c>
      <c r="I1210" s="1" t="str">
        <f>IFERROR(VLOOKUP(C1210,'Clients List'!A:F,6,FALSE),"")</f>
        <v/>
      </c>
    </row>
    <row r="1211" spans="4:9" x14ac:dyDescent="0.45">
      <c r="D1211" t="str">
        <f>IFERROR(VLOOKUP(C1211,'Clients List'!$A:$F,2,FALSE),"")</f>
        <v/>
      </c>
      <c r="F1211" s="1" t="str">
        <f>IF(OR(C1211="",NOT(ISNUMBER(SEARCH("Package",D1211)))),"",VLOOKUP(C1211,'Clients List'!$A:$F,4,FALSE)-SUMIFS($E$2:$E1211,$C$2:$C1211,C1211,$D$2:$D1211,"*Package*"))</f>
        <v/>
      </c>
      <c r="G1211" t="str">
        <f t="shared" ref="G1211:G1242" si="42">IF(ISNUMBER(SEARCH("Group",D1211)),IFERROR("GRP-"&amp;TEXT(IF(ISNUMBER(A1211),A1211,DATEVALUE(A1211)),"yyyymmdd"),""),"" )</f>
        <v/>
      </c>
      <c r="H1211" s="33">
        <f>IF(ISNUMBER(SEARCH("Group",D1211)),IF(G1211="",E1211,IFERROR(E1211/COUNTIF($G2:$G6000,G1211),E1211)),E1211)</f>
        <v>0</v>
      </c>
      <c r="I1211" s="1" t="str">
        <f>IFERROR(VLOOKUP(C1211,'Clients List'!A:F,6,FALSE),"")</f>
        <v/>
      </c>
    </row>
    <row r="1212" spans="4:9" x14ac:dyDescent="0.45">
      <c r="D1212" t="str">
        <f>IFERROR(VLOOKUP(C1212,'Clients List'!$A:$F,2,FALSE),"")</f>
        <v/>
      </c>
      <c r="F1212" s="1" t="str">
        <f>IF(OR(C1212="",NOT(ISNUMBER(SEARCH("Package",D1212)))),"",VLOOKUP(C1212,'Clients List'!$A:$F,4,FALSE)-SUMIFS($E$2:$E1212,$C$2:$C1212,C1212,$D$2:$D1212,"*Package*"))</f>
        <v/>
      </c>
      <c r="G1212" t="str">
        <f t="shared" si="42"/>
        <v/>
      </c>
      <c r="H1212" s="33">
        <f>IF(ISNUMBER(SEARCH("Group",D1212)),IF(G1212="",E1212,IFERROR(E1212/COUNTIF($G2:$G6000,G1212),E1212)),E1212)</f>
        <v>0</v>
      </c>
      <c r="I1212" s="1" t="str">
        <f>IFERROR(VLOOKUP(C1212,'Clients List'!A:F,6,FALSE),"")</f>
        <v/>
      </c>
    </row>
    <row r="1213" spans="4:9" x14ac:dyDescent="0.45">
      <c r="D1213" t="str">
        <f>IFERROR(VLOOKUP(C1213,'Clients List'!$A:$F,2,FALSE),"")</f>
        <v/>
      </c>
      <c r="F1213" s="1" t="str">
        <f>IF(OR(C1213="",NOT(ISNUMBER(SEARCH("Package",D1213)))),"",VLOOKUP(C1213,'Clients List'!$A:$F,4,FALSE)-SUMIFS($E$2:$E1213,$C$2:$C1213,C1213,$D$2:$D1213,"*Package*"))</f>
        <v/>
      </c>
      <c r="G1213" t="str">
        <f t="shared" si="42"/>
        <v/>
      </c>
      <c r="H1213" s="33">
        <f>IF(ISNUMBER(SEARCH("Group",D1213)),IF(G1213="",E1213,IFERROR(E1213/COUNTIF($G2:$G6000,G1213),E1213)),E1213)</f>
        <v>0</v>
      </c>
      <c r="I1213" s="1" t="str">
        <f>IFERROR(VLOOKUP(C1213,'Clients List'!A:F,6,FALSE),"")</f>
        <v/>
      </c>
    </row>
    <row r="1214" spans="4:9" x14ac:dyDescent="0.45">
      <c r="D1214" t="str">
        <f>IFERROR(VLOOKUP(C1214,'Clients List'!$A:$F,2,FALSE),"")</f>
        <v/>
      </c>
      <c r="F1214" s="1" t="str">
        <f>IF(OR(C1214="",NOT(ISNUMBER(SEARCH("Package",D1214)))),"",VLOOKUP(C1214,'Clients List'!$A:$F,4,FALSE)-SUMIFS($E$2:$E1214,$C$2:$C1214,C1214,$D$2:$D1214,"*Package*"))</f>
        <v/>
      </c>
      <c r="G1214" t="str">
        <f t="shared" si="42"/>
        <v/>
      </c>
      <c r="H1214" s="33">
        <f>IF(ISNUMBER(SEARCH("Group",D1214)),IF(G1214="",E1214,IFERROR(E1214/COUNTIF($G2:$G6000,G1214),E1214)),E1214)</f>
        <v>0</v>
      </c>
      <c r="I1214" s="1" t="str">
        <f>IFERROR(VLOOKUP(C1214,'Clients List'!A:F,6,FALSE),"")</f>
        <v/>
      </c>
    </row>
    <row r="1215" spans="4:9" x14ac:dyDescent="0.45">
      <c r="D1215" t="str">
        <f>IFERROR(VLOOKUP(C1215,'Clients List'!$A:$F,2,FALSE),"")</f>
        <v/>
      </c>
      <c r="F1215" s="1" t="str">
        <f>IF(OR(C1215="",NOT(ISNUMBER(SEARCH("Package",D1215)))),"",VLOOKUP(C1215,'Clients List'!$A:$F,4,FALSE)-SUMIFS($E$2:$E1215,$C$2:$C1215,C1215,$D$2:$D1215,"*Package*"))</f>
        <v/>
      </c>
      <c r="G1215" t="str">
        <f t="shared" si="42"/>
        <v/>
      </c>
      <c r="H1215" s="33">
        <f>IF(ISNUMBER(SEARCH("Group",D1215)),IF(G1215="",E1215,IFERROR(E1215/COUNTIF($G2:$G6000,G1215),E1215)),E1215)</f>
        <v>0</v>
      </c>
      <c r="I1215" s="1" t="str">
        <f>IFERROR(VLOOKUP(C1215,'Clients List'!A:F,6,FALSE),"")</f>
        <v/>
      </c>
    </row>
    <row r="1216" spans="4:9" x14ac:dyDescent="0.45">
      <c r="D1216" t="str">
        <f>IFERROR(VLOOKUP(C1216,'Clients List'!$A:$F,2,FALSE),"")</f>
        <v/>
      </c>
      <c r="F1216" s="1" t="str">
        <f>IF(OR(C1216="",NOT(ISNUMBER(SEARCH("Package",D1216)))),"",VLOOKUP(C1216,'Clients List'!$A:$F,4,FALSE)-SUMIFS($E$2:$E1216,$C$2:$C1216,C1216,$D$2:$D1216,"*Package*"))</f>
        <v/>
      </c>
      <c r="G1216" t="str">
        <f t="shared" si="42"/>
        <v/>
      </c>
      <c r="H1216" s="33">
        <f>IF(ISNUMBER(SEARCH("Group",D1216)),IF(G1216="",E1216,IFERROR(E1216/COUNTIF($G2:$G6000,G1216),E1216)),E1216)</f>
        <v>0</v>
      </c>
      <c r="I1216" s="1" t="str">
        <f>IFERROR(VLOOKUP(C1216,'Clients List'!A:F,6,FALSE),"")</f>
        <v/>
      </c>
    </row>
    <row r="1217" spans="4:9" x14ac:dyDescent="0.45">
      <c r="D1217" t="str">
        <f>IFERROR(VLOOKUP(C1217,'Clients List'!$A:$F,2,FALSE),"")</f>
        <v/>
      </c>
      <c r="F1217" s="1" t="str">
        <f>IF(OR(C1217="",NOT(ISNUMBER(SEARCH("Package",D1217)))),"",VLOOKUP(C1217,'Clients List'!$A:$F,4,FALSE)-SUMIFS($E$2:$E1217,$C$2:$C1217,C1217,$D$2:$D1217,"*Package*"))</f>
        <v/>
      </c>
      <c r="G1217" t="str">
        <f t="shared" si="42"/>
        <v/>
      </c>
      <c r="H1217" s="33">
        <f>IF(ISNUMBER(SEARCH("Group",D1217)),IF(G1217="",E1217,IFERROR(E1217/COUNTIF($G2:$G6000,G1217),E1217)),E1217)</f>
        <v>0</v>
      </c>
      <c r="I1217" s="1" t="str">
        <f>IFERROR(VLOOKUP(C1217,'Clients List'!A:F,6,FALSE),"")</f>
        <v/>
      </c>
    </row>
    <row r="1218" spans="4:9" x14ac:dyDescent="0.45">
      <c r="D1218" t="str">
        <f>IFERROR(VLOOKUP(C1218,'Clients List'!$A:$F,2,FALSE),"")</f>
        <v/>
      </c>
      <c r="F1218" s="1" t="str">
        <f>IF(OR(C1218="",NOT(ISNUMBER(SEARCH("Package",D1218)))),"",VLOOKUP(C1218,'Clients List'!$A:$F,4,FALSE)-SUMIFS($E$2:$E1218,$C$2:$C1218,C1218,$D$2:$D1218,"*Package*"))</f>
        <v/>
      </c>
      <c r="G1218" t="str">
        <f t="shared" si="42"/>
        <v/>
      </c>
      <c r="H1218" s="33">
        <f>IF(ISNUMBER(SEARCH("Group",D1218)),IF(G1218="",E1218,IFERROR(E1218/COUNTIF($G2:$G6000,G1218),E1218)),E1218)</f>
        <v>0</v>
      </c>
      <c r="I1218" s="1" t="str">
        <f>IFERROR(VLOOKUP(C1218,'Clients List'!A:F,6,FALSE),"")</f>
        <v/>
      </c>
    </row>
    <row r="1219" spans="4:9" x14ac:dyDescent="0.45">
      <c r="D1219" t="str">
        <f>IFERROR(VLOOKUP(C1219,'Clients List'!$A:$F,2,FALSE),"")</f>
        <v/>
      </c>
      <c r="F1219" s="1" t="str">
        <f>IF(OR(C1219="",NOT(ISNUMBER(SEARCH("Package",D1219)))),"",VLOOKUP(C1219,'Clients List'!$A:$F,4,FALSE)-SUMIFS($E$2:$E1219,$C$2:$C1219,C1219,$D$2:$D1219,"*Package*"))</f>
        <v/>
      </c>
      <c r="G1219" t="str">
        <f t="shared" si="42"/>
        <v/>
      </c>
      <c r="H1219" s="33">
        <f>IF(ISNUMBER(SEARCH("Group",D1219)),IF(G1219="",E1219,IFERROR(E1219/COUNTIF($G2:$G6000,G1219),E1219)),E1219)</f>
        <v>0</v>
      </c>
      <c r="I1219" s="1" t="str">
        <f>IFERROR(VLOOKUP(C1219,'Clients List'!A:F,6,FALSE),"")</f>
        <v/>
      </c>
    </row>
    <row r="1220" spans="4:9" x14ac:dyDescent="0.45">
      <c r="D1220" t="str">
        <f>IFERROR(VLOOKUP(C1220,'Clients List'!$A:$F,2,FALSE),"")</f>
        <v/>
      </c>
      <c r="F1220" s="1" t="str">
        <f>IF(OR(C1220="",NOT(ISNUMBER(SEARCH("Package",D1220)))),"",VLOOKUP(C1220,'Clients List'!$A:$F,4,FALSE)-SUMIFS($E$2:$E1220,$C$2:$C1220,C1220,$D$2:$D1220,"*Package*"))</f>
        <v/>
      </c>
      <c r="G1220" t="str">
        <f t="shared" si="42"/>
        <v/>
      </c>
      <c r="H1220" s="33">
        <f>IF(ISNUMBER(SEARCH("Group",D1220)),IF(G1220="",E1220,IFERROR(E1220/COUNTIF($G2:$G6000,G1220),E1220)),E1220)</f>
        <v>0</v>
      </c>
      <c r="I1220" s="1" t="str">
        <f>IFERROR(VLOOKUP(C1220,'Clients List'!A:F,6,FALSE),"")</f>
        <v/>
      </c>
    </row>
    <row r="1221" spans="4:9" x14ac:dyDescent="0.45">
      <c r="D1221" t="str">
        <f>IFERROR(VLOOKUP(C1221,'Clients List'!$A:$F,2,FALSE),"")</f>
        <v/>
      </c>
      <c r="F1221" s="1" t="str">
        <f>IF(OR(C1221="",NOT(ISNUMBER(SEARCH("Package",D1221)))),"",VLOOKUP(C1221,'Clients List'!$A:$F,4,FALSE)-SUMIFS($E$2:$E1221,$C$2:$C1221,C1221,$D$2:$D1221,"*Package*"))</f>
        <v/>
      </c>
      <c r="G1221" t="str">
        <f t="shared" si="42"/>
        <v/>
      </c>
      <c r="H1221" s="33">
        <f>IF(ISNUMBER(SEARCH("Group",D1221)),IF(G1221="",E1221,IFERROR(E1221/COUNTIF($G2:$G6000,G1221),E1221)),E1221)</f>
        <v>0</v>
      </c>
      <c r="I1221" s="1" t="str">
        <f>IFERROR(VLOOKUP(C1221,'Clients List'!A:F,6,FALSE),"")</f>
        <v/>
      </c>
    </row>
    <row r="1222" spans="4:9" x14ac:dyDescent="0.45">
      <c r="D1222" t="str">
        <f>IFERROR(VLOOKUP(C1222,'Clients List'!$A:$F,2,FALSE),"")</f>
        <v/>
      </c>
      <c r="F1222" s="1" t="str">
        <f>IF(OR(C1222="",NOT(ISNUMBER(SEARCH("Package",D1222)))),"",VLOOKUP(C1222,'Clients List'!$A:$F,4,FALSE)-SUMIFS($E$2:$E1222,$C$2:$C1222,C1222,$D$2:$D1222,"*Package*"))</f>
        <v/>
      </c>
      <c r="G1222" t="str">
        <f t="shared" si="42"/>
        <v/>
      </c>
      <c r="H1222" s="33">
        <f>IF(ISNUMBER(SEARCH("Group",D1222)),IF(G1222="",E1222,IFERROR(E1222/COUNTIF($G2:$G6000,G1222),E1222)),E1222)</f>
        <v>0</v>
      </c>
      <c r="I1222" s="1" t="str">
        <f>IFERROR(VLOOKUP(C1222,'Clients List'!A:F,6,FALSE),"")</f>
        <v/>
      </c>
    </row>
    <row r="1223" spans="4:9" x14ac:dyDescent="0.45">
      <c r="D1223" t="str">
        <f>IFERROR(VLOOKUP(C1223,'Clients List'!$A:$F,2,FALSE),"")</f>
        <v/>
      </c>
      <c r="F1223" s="1" t="str">
        <f>IF(OR(C1223="",NOT(ISNUMBER(SEARCH("Package",D1223)))),"",VLOOKUP(C1223,'Clients List'!$A:$F,4,FALSE)-SUMIFS($E$2:$E1223,$C$2:$C1223,C1223,$D$2:$D1223,"*Package*"))</f>
        <v/>
      </c>
      <c r="G1223" t="str">
        <f t="shared" si="42"/>
        <v/>
      </c>
      <c r="H1223" s="33">
        <f>IF(ISNUMBER(SEARCH("Group",D1223)),IF(G1223="",E1223,IFERROR(E1223/COUNTIF($G2:$G6000,G1223),E1223)),E1223)</f>
        <v>0</v>
      </c>
      <c r="I1223" s="1" t="str">
        <f>IFERROR(VLOOKUP(C1223,'Clients List'!A:F,6,FALSE),"")</f>
        <v/>
      </c>
    </row>
    <row r="1224" spans="4:9" x14ac:dyDescent="0.45">
      <c r="D1224" t="str">
        <f>IFERROR(VLOOKUP(C1224,'Clients List'!$A:$F,2,FALSE),"")</f>
        <v/>
      </c>
      <c r="F1224" s="1" t="str">
        <f>IF(OR(C1224="",NOT(ISNUMBER(SEARCH("Package",D1224)))),"",VLOOKUP(C1224,'Clients List'!$A:$F,4,FALSE)-SUMIFS($E$2:$E1224,$C$2:$C1224,C1224,$D$2:$D1224,"*Package*"))</f>
        <v/>
      </c>
      <c r="G1224" t="str">
        <f t="shared" si="42"/>
        <v/>
      </c>
      <c r="H1224" s="33">
        <f>IF(ISNUMBER(SEARCH("Group",D1224)),IF(G1224="",E1224,IFERROR(E1224/COUNTIF($G2:$G6000,G1224),E1224)),E1224)</f>
        <v>0</v>
      </c>
      <c r="I1224" s="1" t="str">
        <f>IFERROR(VLOOKUP(C1224,'Clients List'!A:F,6,FALSE),"")</f>
        <v/>
      </c>
    </row>
    <row r="1225" spans="4:9" x14ac:dyDescent="0.45">
      <c r="D1225" t="str">
        <f>IFERROR(VLOOKUP(C1225,'Clients List'!$A:$F,2,FALSE),"")</f>
        <v/>
      </c>
      <c r="F1225" s="1" t="str">
        <f>IF(OR(C1225="",NOT(ISNUMBER(SEARCH("Package",D1225)))),"",VLOOKUP(C1225,'Clients List'!$A:$F,4,FALSE)-SUMIFS($E$2:$E1225,$C$2:$C1225,C1225,$D$2:$D1225,"*Package*"))</f>
        <v/>
      </c>
      <c r="G1225" t="str">
        <f t="shared" si="42"/>
        <v/>
      </c>
      <c r="H1225" s="33">
        <f>IF(ISNUMBER(SEARCH("Group",D1225)),IF(G1225="",E1225,IFERROR(E1225/COUNTIF($G2:$G6000,G1225),E1225)),E1225)</f>
        <v>0</v>
      </c>
      <c r="I1225" s="1" t="str">
        <f>IFERROR(VLOOKUP(C1225,'Clients List'!A:F,6,FALSE),"")</f>
        <v/>
      </c>
    </row>
    <row r="1226" spans="4:9" x14ac:dyDescent="0.45">
      <c r="D1226" t="str">
        <f>IFERROR(VLOOKUP(C1226,'Clients List'!$A:$F,2,FALSE),"")</f>
        <v/>
      </c>
      <c r="F1226" s="1" t="str">
        <f>IF(OR(C1226="",NOT(ISNUMBER(SEARCH("Package",D1226)))),"",VLOOKUP(C1226,'Clients List'!$A:$F,4,FALSE)-SUMIFS($E$2:$E1226,$C$2:$C1226,C1226,$D$2:$D1226,"*Package*"))</f>
        <v/>
      </c>
      <c r="G1226" t="str">
        <f t="shared" si="42"/>
        <v/>
      </c>
      <c r="H1226" s="33">
        <f>IF(ISNUMBER(SEARCH("Group",D1226)),IF(G1226="",E1226,IFERROR(E1226/COUNTIF($G2:$G6000,G1226),E1226)),E1226)</f>
        <v>0</v>
      </c>
      <c r="I1226" s="1" t="str">
        <f>IFERROR(VLOOKUP(C1226,'Clients List'!A:F,6,FALSE),"")</f>
        <v/>
      </c>
    </row>
    <row r="1227" spans="4:9" x14ac:dyDescent="0.45">
      <c r="D1227" t="str">
        <f>IFERROR(VLOOKUP(C1227,'Clients List'!$A:$F,2,FALSE),"")</f>
        <v/>
      </c>
      <c r="F1227" s="1" t="str">
        <f>IF(OR(C1227="",NOT(ISNUMBER(SEARCH("Package",D1227)))),"",VLOOKUP(C1227,'Clients List'!$A:$F,4,FALSE)-SUMIFS($E$2:$E1227,$C$2:$C1227,C1227,$D$2:$D1227,"*Package*"))</f>
        <v/>
      </c>
      <c r="G1227" t="str">
        <f t="shared" si="42"/>
        <v/>
      </c>
      <c r="H1227" s="33">
        <f>IF(ISNUMBER(SEARCH("Group",D1227)),IF(G1227="",E1227,IFERROR(E1227/COUNTIF($G2:$G6000,G1227),E1227)),E1227)</f>
        <v>0</v>
      </c>
      <c r="I1227" s="1" t="str">
        <f>IFERROR(VLOOKUP(C1227,'Clients List'!A:F,6,FALSE),"")</f>
        <v/>
      </c>
    </row>
    <row r="1228" spans="4:9" x14ac:dyDescent="0.45">
      <c r="D1228" t="str">
        <f>IFERROR(VLOOKUP(C1228,'Clients List'!$A:$F,2,FALSE),"")</f>
        <v/>
      </c>
      <c r="F1228" s="1" t="str">
        <f>IF(OR(C1228="",NOT(ISNUMBER(SEARCH("Package",D1228)))),"",VLOOKUP(C1228,'Clients List'!$A:$F,4,FALSE)-SUMIFS($E$2:$E1228,$C$2:$C1228,C1228,$D$2:$D1228,"*Package*"))</f>
        <v/>
      </c>
      <c r="G1228" t="str">
        <f t="shared" si="42"/>
        <v/>
      </c>
      <c r="H1228" s="33">
        <f>IF(ISNUMBER(SEARCH("Group",D1228)),IF(G1228="",E1228,IFERROR(E1228/COUNTIF($G2:$G6000,G1228),E1228)),E1228)</f>
        <v>0</v>
      </c>
      <c r="I1228" s="1" t="str">
        <f>IFERROR(VLOOKUP(C1228,'Clients List'!A:F,6,FALSE),"")</f>
        <v/>
      </c>
    </row>
    <row r="1229" spans="4:9" x14ac:dyDescent="0.45">
      <c r="D1229" t="str">
        <f>IFERROR(VLOOKUP(C1229,'Clients List'!$A:$F,2,FALSE),"")</f>
        <v/>
      </c>
      <c r="F1229" s="1" t="str">
        <f>IF(OR(C1229="",NOT(ISNUMBER(SEARCH("Package",D1229)))),"",VLOOKUP(C1229,'Clients List'!$A:$F,4,FALSE)-SUMIFS($E$2:$E1229,$C$2:$C1229,C1229,$D$2:$D1229,"*Package*"))</f>
        <v/>
      </c>
      <c r="G1229" t="str">
        <f t="shared" si="42"/>
        <v/>
      </c>
      <c r="H1229" s="33">
        <f>IF(ISNUMBER(SEARCH("Group",D1229)),IF(G1229="",E1229,IFERROR(E1229/COUNTIF($G2:$G6000,G1229),E1229)),E1229)</f>
        <v>0</v>
      </c>
      <c r="I1229" s="1" t="str">
        <f>IFERROR(VLOOKUP(C1229,'Clients List'!A:F,6,FALSE),"")</f>
        <v/>
      </c>
    </row>
    <row r="1230" spans="4:9" x14ac:dyDescent="0.45">
      <c r="D1230" t="str">
        <f>IFERROR(VLOOKUP(C1230,'Clients List'!$A:$F,2,FALSE),"")</f>
        <v/>
      </c>
      <c r="F1230" s="1" t="str">
        <f>IF(OR(C1230="",NOT(ISNUMBER(SEARCH("Package",D1230)))),"",VLOOKUP(C1230,'Clients List'!$A:$F,4,FALSE)-SUMIFS($E$2:$E1230,$C$2:$C1230,C1230,$D$2:$D1230,"*Package*"))</f>
        <v/>
      </c>
      <c r="G1230" t="str">
        <f t="shared" si="42"/>
        <v/>
      </c>
      <c r="H1230" s="33">
        <f>IF(ISNUMBER(SEARCH("Group",D1230)),IF(G1230="",E1230,IFERROR(E1230/COUNTIF($G2:$G6000,G1230),E1230)),E1230)</f>
        <v>0</v>
      </c>
      <c r="I1230" s="1" t="str">
        <f>IFERROR(VLOOKUP(C1230,'Clients List'!A:F,6,FALSE),"")</f>
        <v/>
      </c>
    </row>
    <row r="1231" spans="4:9" x14ac:dyDescent="0.45">
      <c r="D1231" t="str">
        <f>IFERROR(VLOOKUP(C1231,'Clients List'!$A:$F,2,FALSE),"")</f>
        <v/>
      </c>
      <c r="F1231" s="1" t="str">
        <f>IF(OR(C1231="",NOT(ISNUMBER(SEARCH("Package",D1231)))),"",VLOOKUP(C1231,'Clients List'!$A:$F,4,FALSE)-SUMIFS($E$2:$E1231,$C$2:$C1231,C1231,$D$2:$D1231,"*Package*"))</f>
        <v/>
      </c>
      <c r="G1231" t="str">
        <f t="shared" si="42"/>
        <v/>
      </c>
      <c r="H1231" s="33">
        <f>IF(ISNUMBER(SEARCH("Group",D1231)),IF(G1231="",E1231,IFERROR(E1231/COUNTIF($G2:$G6000,G1231),E1231)),E1231)</f>
        <v>0</v>
      </c>
      <c r="I1231" s="1" t="str">
        <f>IFERROR(VLOOKUP(C1231,'Clients List'!A:F,6,FALSE),"")</f>
        <v/>
      </c>
    </row>
    <row r="1232" spans="4:9" x14ac:dyDescent="0.45">
      <c r="D1232" t="str">
        <f>IFERROR(VLOOKUP(C1232,'Clients List'!$A:$F,2,FALSE),"")</f>
        <v/>
      </c>
      <c r="F1232" s="1" t="str">
        <f>IF(OR(C1232="",NOT(ISNUMBER(SEARCH("Package",D1232)))),"",VLOOKUP(C1232,'Clients List'!$A:$F,4,FALSE)-SUMIFS($E$2:$E1232,$C$2:$C1232,C1232,$D$2:$D1232,"*Package*"))</f>
        <v/>
      </c>
      <c r="G1232" t="str">
        <f t="shared" si="42"/>
        <v/>
      </c>
      <c r="H1232" s="33">
        <f>IF(ISNUMBER(SEARCH("Group",D1232)),IF(G1232="",E1232,IFERROR(E1232/COUNTIF($G2:$G6000,G1232),E1232)),E1232)</f>
        <v>0</v>
      </c>
      <c r="I1232" s="1" t="str">
        <f>IFERROR(VLOOKUP(C1232,'Clients List'!A:F,6,FALSE),"")</f>
        <v/>
      </c>
    </row>
    <row r="1233" spans="4:9" x14ac:dyDescent="0.45">
      <c r="D1233" t="str">
        <f>IFERROR(VLOOKUP(C1233,'Clients List'!$A:$F,2,FALSE),"")</f>
        <v/>
      </c>
      <c r="F1233" s="1" t="str">
        <f>IF(OR(C1233="",NOT(ISNUMBER(SEARCH("Package",D1233)))),"",VLOOKUP(C1233,'Clients List'!$A:$F,4,FALSE)-SUMIFS($E$2:$E1233,$C$2:$C1233,C1233,$D$2:$D1233,"*Package*"))</f>
        <v/>
      </c>
      <c r="G1233" t="str">
        <f t="shared" si="42"/>
        <v/>
      </c>
      <c r="H1233" s="33">
        <f>IF(ISNUMBER(SEARCH("Group",D1233)),IF(G1233="",E1233,IFERROR(E1233/COUNTIF($G2:$G6000,G1233),E1233)),E1233)</f>
        <v>0</v>
      </c>
      <c r="I1233" s="1" t="str">
        <f>IFERROR(VLOOKUP(C1233,'Clients List'!A:F,6,FALSE),"")</f>
        <v/>
      </c>
    </row>
    <row r="1234" spans="4:9" x14ac:dyDescent="0.45">
      <c r="D1234" t="str">
        <f>IFERROR(VLOOKUP(C1234,'Clients List'!$A:$F,2,FALSE),"")</f>
        <v/>
      </c>
      <c r="F1234" s="1" t="str">
        <f>IF(OR(C1234="",NOT(ISNUMBER(SEARCH("Package",D1234)))),"",VLOOKUP(C1234,'Clients List'!$A:$F,4,FALSE)-SUMIFS($E$2:$E1234,$C$2:$C1234,C1234,$D$2:$D1234,"*Package*"))</f>
        <v/>
      </c>
      <c r="G1234" t="str">
        <f t="shared" si="42"/>
        <v/>
      </c>
      <c r="H1234" s="33">
        <f>IF(ISNUMBER(SEARCH("Group",D1234)),IF(G1234="",E1234,IFERROR(E1234/COUNTIF($G2:$G6000,G1234),E1234)),E1234)</f>
        <v>0</v>
      </c>
      <c r="I1234" s="1" t="str">
        <f>IFERROR(VLOOKUP(C1234,'Clients List'!A:F,6,FALSE),"")</f>
        <v/>
      </c>
    </row>
    <row r="1235" spans="4:9" x14ac:dyDescent="0.45">
      <c r="D1235" t="str">
        <f>IFERROR(VLOOKUP(C1235,'Clients List'!$A:$F,2,FALSE),"")</f>
        <v/>
      </c>
      <c r="F1235" s="1" t="str">
        <f>IF(OR(C1235="",NOT(ISNUMBER(SEARCH("Package",D1235)))),"",VLOOKUP(C1235,'Clients List'!$A:$F,4,FALSE)-SUMIFS($E$2:$E1235,$C$2:$C1235,C1235,$D$2:$D1235,"*Package*"))</f>
        <v/>
      </c>
      <c r="G1235" t="str">
        <f t="shared" si="42"/>
        <v/>
      </c>
      <c r="H1235" s="33">
        <f>IF(ISNUMBER(SEARCH("Group",D1235)),IF(G1235="",E1235,IFERROR(E1235/COUNTIF($G2:$G6000,G1235),E1235)),E1235)</f>
        <v>0</v>
      </c>
      <c r="I1235" s="1" t="str">
        <f>IFERROR(VLOOKUP(C1235,'Clients List'!A:F,6,FALSE),"")</f>
        <v/>
      </c>
    </row>
    <row r="1236" spans="4:9" x14ac:dyDescent="0.45">
      <c r="D1236" t="str">
        <f>IFERROR(VLOOKUP(C1236,'Clients List'!$A:$F,2,FALSE),"")</f>
        <v/>
      </c>
      <c r="F1236" s="1" t="str">
        <f>IF(OR(C1236="",NOT(ISNUMBER(SEARCH("Package",D1236)))),"",VLOOKUP(C1236,'Clients List'!$A:$F,4,FALSE)-SUMIFS($E$2:$E1236,$C$2:$C1236,C1236,$D$2:$D1236,"*Package*"))</f>
        <v/>
      </c>
      <c r="G1236" t="str">
        <f t="shared" si="42"/>
        <v/>
      </c>
      <c r="H1236" s="33">
        <f>IF(ISNUMBER(SEARCH("Group",D1236)),IF(G1236="",E1236,IFERROR(E1236/COUNTIF($G2:$G6000,G1236),E1236)),E1236)</f>
        <v>0</v>
      </c>
      <c r="I1236" s="1" t="str">
        <f>IFERROR(VLOOKUP(C1236,'Clients List'!A:F,6,FALSE),"")</f>
        <v/>
      </c>
    </row>
    <row r="1237" spans="4:9" x14ac:dyDescent="0.45">
      <c r="D1237" t="str">
        <f>IFERROR(VLOOKUP(C1237,'Clients List'!$A:$F,2,FALSE),"")</f>
        <v/>
      </c>
      <c r="F1237" s="1" t="str">
        <f>IF(OR(C1237="",NOT(ISNUMBER(SEARCH("Package",D1237)))),"",VLOOKUP(C1237,'Clients List'!$A:$F,4,FALSE)-SUMIFS($E$2:$E1237,$C$2:$C1237,C1237,$D$2:$D1237,"*Package*"))</f>
        <v/>
      </c>
      <c r="G1237" t="str">
        <f t="shared" si="42"/>
        <v/>
      </c>
      <c r="H1237" s="33">
        <f>IF(ISNUMBER(SEARCH("Group",D1237)),IF(G1237="",E1237,IFERROR(E1237/COUNTIF($G2:$G6000,G1237),E1237)),E1237)</f>
        <v>0</v>
      </c>
      <c r="I1237" s="1" t="str">
        <f>IFERROR(VLOOKUP(C1237,'Clients List'!A:F,6,FALSE),"")</f>
        <v/>
      </c>
    </row>
    <row r="1238" spans="4:9" x14ac:dyDescent="0.45">
      <c r="D1238" t="str">
        <f>IFERROR(VLOOKUP(C1238,'Clients List'!$A:$F,2,FALSE),"")</f>
        <v/>
      </c>
      <c r="F1238" s="1" t="str">
        <f>IF(OR(C1238="",NOT(ISNUMBER(SEARCH("Package",D1238)))),"",VLOOKUP(C1238,'Clients List'!$A:$F,4,FALSE)-SUMIFS($E$2:$E1238,$C$2:$C1238,C1238,$D$2:$D1238,"*Package*"))</f>
        <v/>
      </c>
      <c r="G1238" t="str">
        <f t="shared" si="42"/>
        <v/>
      </c>
      <c r="H1238" s="33">
        <f>IF(ISNUMBER(SEARCH("Group",D1238)),IF(G1238="",E1238,IFERROR(E1238/COUNTIF($G2:$G6000,G1238),E1238)),E1238)</f>
        <v>0</v>
      </c>
      <c r="I1238" s="1" t="str">
        <f>IFERROR(VLOOKUP(C1238,'Clients List'!A:F,6,FALSE),"")</f>
        <v/>
      </c>
    </row>
    <row r="1239" spans="4:9" x14ac:dyDescent="0.45">
      <c r="D1239" t="str">
        <f>IFERROR(VLOOKUP(C1239,'Clients List'!$A:$F,2,FALSE),"")</f>
        <v/>
      </c>
      <c r="F1239" s="1" t="str">
        <f>IF(OR(C1239="",NOT(ISNUMBER(SEARCH("Package",D1239)))),"",VLOOKUP(C1239,'Clients List'!$A:$F,4,FALSE)-SUMIFS($E$2:$E1239,$C$2:$C1239,C1239,$D$2:$D1239,"*Package*"))</f>
        <v/>
      </c>
      <c r="G1239" t="str">
        <f t="shared" si="42"/>
        <v/>
      </c>
      <c r="H1239" s="33">
        <f>IF(ISNUMBER(SEARCH("Group",D1239)),IF(G1239="",E1239,IFERROR(E1239/COUNTIF($G2:$G6000,G1239),E1239)),E1239)</f>
        <v>0</v>
      </c>
      <c r="I1239" s="1" t="str">
        <f>IFERROR(VLOOKUP(C1239,'Clients List'!A:F,6,FALSE),"")</f>
        <v/>
      </c>
    </row>
    <row r="1240" spans="4:9" x14ac:dyDescent="0.45">
      <c r="D1240" t="str">
        <f>IFERROR(VLOOKUP(C1240,'Clients List'!$A:$F,2,FALSE),"")</f>
        <v/>
      </c>
      <c r="F1240" s="1" t="str">
        <f>IF(OR(C1240="",NOT(ISNUMBER(SEARCH("Package",D1240)))),"",VLOOKUP(C1240,'Clients List'!$A:$F,4,FALSE)-SUMIFS($E$2:$E1240,$C$2:$C1240,C1240,$D$2:$D1240,"*Package*"))</f>
        <v/>
      </c>
      <c r="G1240" t="str">
        <f t="shared" si="42"/>
        <v/>
      </c>
      <c r="H1240" s="33">
        <f>IF(ISNUMBER(SEARCH("Group",D1240)),IF(G1240="",E1240,IFERROR(E1240/COUNTIF($G2:$G6000,G1240),E1240)),E1240)</f>
        <v>0</v>
      </c>
      <c r="I1240" s="1" t="str">
        <f>IFERROR(VLOOKUP(C1240,'Clients List'!A:F,6,FALSE),"")</f>
        <v/>
      </c>
    </row>
    <row r="1241" spans="4:9" x14ac:dyDescent="0.45">
      <c r="D1241" t="str">
        <f>IFERROR(VLOOKUP(C1241,'Clients List'!$A:$F,2,FALSE),"")</f>
        <v/>
      </c>
      <c r="F1241" s="1" t="str">
        <f>IF(OR(C1241="",NOT(ISNUMBER(SEARCH("Package",D1241)))),"",VLOOKUP(C1241,'Clients List'!$A:$F,4,FALSE)-SUMIFS($E$2:$E1241,$C$2:$C1241,C1241,$D$2:$D1241,"*Package*"))</f>
        <v/>
      </c>
      <c r="G1241" t="str">
        <f t="shared" si="42"/>
        <v/>
      </c>
      <c r="H1241" s="33">
        <f>IF(ISNUMBER(SEARCH("Group",D1241)),IF(G1241="",E1241,IFERROR(E1241/COUNTIF($G2:$G6000,G1241),E1241)),E1241)</f>
        <v>0</v>
      </c>
      <c r="I1241" s="1" t="str">
        <f>IFERROR(VLOOKUP(C1241,'Clients List'!A:F,6,FALSE),"")</f>
        <v/>
      </c>
    </row>
    <row r="1242" spans="4:9" x14ac:dyDescent="0.45">
      <c r="D1242" t="str">
        <f>IFERROR(VLOOKUP(C1242,'Clients List'!$A:$F,2,FALSE),"")</f>
        <v/>
      </c>
      <c r="F1242" s="1" t="str">
        <f>IF(OR(C1242="",NOT(ISNUMBER(SEARCH("Package",D1242)))),"",VLOOKUP(C1242,'Clients List'!$A:$F,4,FALSE)-SUMIFS($E$2:$E1242,$C$2:$C1242,C1242,$D$2:$D1242,"*Package*"))</f>
        <v/>
      </c>
      <c r="G1242" t="str">
        <f t="shared" si="42"/>
        <v/>
      </c>
      <c r="H1242" s="33">
        <f>IF(ISNUMBER(SEARCH("Group",D1242)),IF(G1242="",E1242,IFERROR(E1242/COUNTIF($G2:$G6000,G1242),E1242)),E1242)</f>
        <v>0</v>
      </c>
      <c r="I1242" s="1" t="str">
        <f>IFERROR(VLOOKUP(C1242,'Clients List'!A:F,6,FALSE),"")</f>
        <v/>
      </c>
    </row>
    <row r="1243" spans="4:9" x14ac:dyDescent="0.45">
      <c r="D1243" t="str">
        <f>IFERROR(VLOOKUP(C1243,'Clients List'!$A:$F,2,FALSE),"")</f>
        <v/>
      </c>
      <c r="F1243" s="1" t="str">
        <f>IF(OR(C1243="",NOT(ISNUMBER(SEARCH("Package",D1243)))),"",VLOOKUP(C1243,'Clients List'!$A:$F,4,FALSE)-SUMIFS($E$2:$E1243,$C$2:$C1243,C1243,$D$2:$D1243,"*Package*"))</f>
        <v/>
      </c>
      <c r="G1243" t="str">
        <f t="shared" ref="G1243:G1274" si="43">IF(ISNUMBER(SEARCH("Group",D1243)),IFERROR("GRP-"&amp;TEXT(IF(ISNUMBER(A1243),A1243,DATEVALUE(A1243)),"yyyymmdd"),""),"" )</f>
        <v/>
      </c>
      <c r="H1243" s="33">
        <f>IF(ISNUMBER(SEARCH("Group",D1243)),IF(G1243="",E1243,IFERROR(E1243/COUNTIF($G2:$G6000,G1243),E1243)),E1243)</f>
        <v>0</v>
      </c>
      <c r="I1243" s="1" t="str">
        <f>IFERROR(VLOOKUP(C1243,'Clients List'!A:F,6,FALSE),"")</f>
        <v/>
      </c>
    </row>
    <row r="1244" spans="4:9" x14ac:dyDescent="0.45">
      <c r="D1244" t="str">
        <f>IFERROR(VLOOKUP(C1244,'Clients List'!$A:$F,2,FALSE),"")</f>
        <v/>
      </c>
      <c r="F1244" s="1" t="str">
        <f>IF(OR(C1244="",NOT(ISNUMBER(SEARCH("Package",D1244)))),"",VLOOKUP(C1244,'Clients List'!$A:$F,4,FALSE)-SUMIFS($E$2:$E1244,$C$2:$C1244,C1244,$D$2:$D1244,"*Package*"))</f>
        <v/>
      </c>
      <c r="G1244" t="str">
        <f t="shared" si="43"/>
        <v/>
      </c>
      <c r="H1244" s="33">
        <f>IF(ISNUMBER(SEARCH("Group",D1244)),IF(G1244="",E1244,IFERROR(E1244/COUNTIF($G2:$G6000,G1244),E1244)),E1244)</f>
        <v>0</v>
      </c>
      <c r="I1244" s="1" t="str">
        <f>IFERROR(VLOOKUP(C1244,'Clients List'!A:F,6,FALSE),"")</f>
        <v/>
      </c>
    </row>
    <row r="1245" spans="4:9" x14ac:dyDescent="0.45">
      <c r="D1245" t="str">
        <f>IFERROR(VLOOKUP(C1245,'Clients List'!$A:$F,2,FALSE),"")</f>
        <v/>
      </c>
      <c r="F1245" s="1" t="str">
        <f>IF(OR(C1245="",NOT(ISNUMBER(SEARCH("Package",D1245)))),"",VLOOKUP(C1245,'Clients List'!$A:$F,4,FALSE)-SUMIFS($E$2:$E1245,$C$2:$C1245,C1245,$D$2:$D1245,"*Package*"))</f>
        <v/>
      </c>
      <c r="G1245" t="str">
        <f t="shared" si="43"/>
        <v/>
      </c>
      <c r="H1245" s="33">
        <f>IF(ISNUMBER(SEARCH("Group",D1245)),IF(G1245="",E1245,IFERROR(E1245/COUNTIF($G2:$G6000,G1245),E1245)),E1245)</f>
        <v>0</v>
      </c>
      <c r="I1245" s="1" t="str">
        <f>IFERROR(VLOOKUP(C1245,'Clients List'!A:F,6,FALSE),"")</f>
        <v/>
      </c>
    </row>
    <row r="1246" spans="4:9" x14ac:dyDescent="0.45">
      <c r="D1246" t="str">
        <f>IFERROR(VLOOKUP(C1246,'Clients List'!$A:$F,2,FALSE),"")</f>
        <v/>
      </c>
      <c r="F1246" s="1" t="str">
        <f>IF(OR(C1246="",NOT(ISNUMBER(SEARCH("Package",D1246)))),"",VLOOKUP(C1246,'Clients List'!$A:$F,4,FALSE)-SUMIFS($E$2:$E1246,$C$2:$C1246,C1246,$D$2:$D1246,"*Package*"))</f>
        <v/>
      </c>
      <c r="G1246" t="str">
        <f t="shared" si="43"/>
        <v/>
      </c>
      <c r="H1246" s="33">
        <f>IF(ISNUMBER(SEARCH("Group",D1246)),IF(G1246="",E1246,IFERROR(E1246/COUNTIF($G2:$G6000,G1246),E1246)),E1246)</f>
        <v>0</v>
      </c>
      <c r="I1246" s="1" t="str">
        <f>IFERROR(VLOOKUP(C1246,'Clients List'!A:F,6,FALSE),"")</f>
        <v/>
      </c>
    </row>
    <row r="1247" spans="4:9" x14ac:dyDescent="0.45">
      <c r="D1247" t="str">
        <f>IFERROR(VLOOKUP(C1247,'Clients List'!$A:$F,2,FALSE),"")</f>
        <v/>
      </c>
      <c r="F1247" s="1" t="str">
        <f>IF(OR(C1247="",NOT(ISNUMBER(SEARCH("Package",D1247)))),"",VLOOKUP(C1247,'Clients List'!$A:$F,4,FALSE)-SUMIFS($E$2:$E1247,$C$2:$C1247,C1247,$D$2:$D1247,"*Package*"))</f>
        <v/>
      </c>
      <c r="G1247" t="str">
        <f t="shared" si="43"/>
        <v/>
      </c>
      <c r="H1247" s="33">
        <f>IF(ISNUMBER(SEARCH("Group",D1247)),IF(G1247="",E1247,IFERROR(E1247/COUNTIF($G2:$G6000,G1247),E1247)),E1247)</f>
        <v>0</v>
      </c>
      <c r="I1247" s="1" t="str">
        <f>IFERROR(VLOOKUP(C1247,'Clients List'!A:F,6,FALSE),"")</f>
        <v/>
      </c>
    </row>
    <row r="1248" spans="4:9" x14ac:dyDescent="0.45">
      <c r="D1248" t="str">
        <f>IFERROR(VLOOKUP(C1248,'Clients List'!$A:$F,2,FALSE),"")</f>
        <v/>
      </c>
      <c r="F1248" s="1" t="str">
        <f>IF(OR(C1248="",NOT(ISNUMBER(SEARCH("Package",D1248)))),"",VLOOKUP(C1248,'Clients List'!$A:$F,4,FALSE)-SUMIFS($E$2:$E1248,$C$2:$C1248,C1248,$D$2:$D1248,"*Package*"))</f>
        <v/>
      </c>
      <c r="G1248" t="str">
        <f t="shared" si="43"/>
        <v/>
      </c>
      <c r="H1248" s="33">
        <f>IF(ISNUMBER(SEARCH("Group",D1248)),IF(G1248="",E1248,IFERROR(E1248/COUNTIF($G2:$G6000,G1248),E1248)),E1248)</f>
        <v>0</v>
      </c>
      <c r="I1248" s="1" t="str">
        <f>IFERROR(VLOOKUP(C1248,'Clients List'!A:F,6,FALSE),"")</f>
        <v/>
      </c>
    </row>
    <row r="1249" spans="4:9" x14ac:dyDescent="0.45">
      <c r="D1249" t="str">
        <f>IFERROR(VLOOKUP(C1249,'Clients List'!$A:$F,2,FALSE),"")</f>
        <v/>
      </c>
      <c r="F1249" s="1" t="str">
        <f>IF(OR(C1249="",NOT(ISNUMBER(SEARCH("Package",D1249)))),"",VLOOKUP(C1249,'Clients List'!$A:$F,4,FALSE)-SUMIFS($E$2:$E1249,$C$2:$C1249,C1249,$D$2:$D1249,"*Package*"))</f>
        <v/>
      </c>
      <c r="G1249" t="str">
        <f t="shared" si="43"/>
        <v/>
      </c>
      <c r="H1249" s="33">
        <f>IF(ISNUMBER(SEARCH("Group",D1249)),IF(G1249="",E1249,IFERROR(E1249/COUNTIF($G2:$G6000,G1249),E1249)),E1249)</f>
        <v>0</v>
      </c>
      <c r="I1249" s="1" t="str">
        <f>IFERROR(VLOOKUP(C1249,'Clients List'!A:F,6,FALSE),"")</f>
        <v/>
      </c>
    </row>
    <row r="1250" spans="4:9" x14ac:dyDescent="0.45">
      <c r="D1250" t="str">
        <f>IFERROR(VLOOKUP(C1250,'Clients List'!$A:$F,2,FALSE),"")</f>
        <v/>
      </c>
      <c r="F1250" s="1" t="str">
        <f>IF(OR(C1250="",NOT(ISNUMBER(SEARCH("Package",D1250)))),"",VLOOKUP(C1250,'Clients List'!$A:$F,4,FALSE)-SUMIFS($E$2:$E1250,$C$2:$C1250,C1250,$D$2:$D1250,"*Package*"))</f>
        <v/>
      </c>
      <c r="G1250" t="str">
        <f t="shared" si="43"/>
        <v/>
      </c>
      <c r="H1250" s="33">
        <f>IF(ISNUMBER(SEARCH("Group",D1250)),IF(G1250="",E1250,IFERROR(E1250/COUNTIF($G2:$G6000,G1250),E1250)),E1250)</f>
        <v>0</v>
      </c>
      <c r="I1250" s="1" t="str">
        <f>IFERROR(VLOOKUP(C1250,'Clients List'!A:F,6,FALSE),"")</f>
        <v/>
      </c>
    </row>
    <row r="1251" spans="4:9" x14ac:dyDescent="0.45">
      <c r="D1251" t="str">
        <f>IFERROR(VLOOKUP(C1251,'Clients List'!$A:$F,2,FALSE),"")</f>
        <v/>
      </c>
      <c r="F1251" s="1" t="str">
        <f>IF(OR(C1251="",NOT(ISNUMBER(SEARCH("Package",D1251)))),"",VLOOKUP(C1251,'Clients List'!$A:$F,4,FALSE)-SUMIFS($E$2:$E1251,$C$2:$C1251,C1251,$D$2:$D1251,"*Package*"))</f>
        <v/>
      </c>
      <c r="G1251" t="str">
        <f t="shared" si="43"/>
        <v/>
      </c>
      <c r="H1251" s="33">
        <f>IF(ISNUMBER(SEARCH("Group",D1251)),IF(G1251="",E1251,IFERROR(E1251/COUNTIF($G2:$G6000,G1251),E1251)),E1251)</f>
        <v>0</v>
      </c>
      <c r="I1251" s="1" t="str">
        <f>IFERROR(VLOOKUP(C1251,'Clients List'!A:F,6,FALSE),"")</f>
        <v/>
      </c>
    </row>
    <row r="1252" spans="4:9" x14ac:dyDescent="0.45">
      <c r="D1252" t="str">
        <f>IFERROR(VLOOKUP(C1252,'Clients List'!$A:$F,2,FALSE),"")</f>
        <v/>
      </c>
      <c r="F1252" s="1" t="str">
        <f>IF(OR(C1252="",NOT(ISNUMBER(SEARCH("Package",D1252)))),"",VLOOKUP(C1252,'Clients List'!$A:$F,4,FALSE)-SUMIFS($E$2:$E1252,$C$2:$C1252,C1252,$D$2:$D1252,"*Package*"))</f>
        <v/>
      </c>
      <c r="G1252" t="str">
        <f t="shared" si="43"/>
        <v/>
      </c>
      <c r="H1252" s="33">
        <f>IF(ISNUMBER(SEARCH("Group",D1252)),IF(G1252="",E1252,IFERROR(E1252/COUNTIF($G2:$G6000,G1252),E1252)),E1252)</f>
        <v>0</v>
      </c>
      <c r="I1252" s="1" t="str">
        <f>IFERROR(VLOOKUP(C1252,'Clients List'!A:F,6,FALSE),"")</f>
        <v/>
      </c>
    </row>
    <row r="1253" spans="4:9" x14ac:dyDescent="0.45">
      <c r="D1253" t="str">
        <f>IFERROR(VLOOKUP(C1253,'Clients List'!$A:$F,2,FALSE),"")</f>
        <v/>
      </c>
      <c r="F1253" s="1" t="str">
        <f>IF(OR(C1253="",NOT(ISNUMBER(SEARCH("Package",D1253)))),"",VLOOKUP(C1253,'Clients List'!$A:$F,4,FALSE)-SUMIFS($E$2:$E1253,$C$2:$C1253,C1253,$D$2:$D1253,"*Package*"))</f>
        <v/>
      </c>
      <c r="G1253" t="str">
        <f t="shared" si="43"/>
        <v/>
      </c>
      <c r="H1253" s="33">
        <f>IF(ISNUMBER(SEARCH("Group",D1253)),IF(G1253="",E1253,IFERROR(E1253/COUNTIF($G2:$G6000,G1253),E1253)),E1253)</f>
        <v>0</v>
      </c>
      <c r="I1253" s="1" t="str">
        <f>IFERROR(VLOOKUP(C1253,'Clients List'!A:F,6,FALSE),"")</f>
        <v/>
      </c>
    </row>
    <row r="1254" spans="4:9" x14ac:dyDescent="0.45">
      <c r="D1254" t="str">
        <f>IFERROR(VLOOKUP(C1254,'Clients List'!$A:$F,2,FALSE),"")</f>
        <v/>
      </c>
      <c r="F1254" s="1" t="str">
        <f>IF(OR(C1254="",NOT(ISNUMBER(SEARCH("Package",D1254)))),"",VLOOKUP(C1254,'Clients List'!$A:$F,4,FALSE)-SUMIFS($E$2:$E1254,$C$2:$C1254,C1254,$D$2:$D1254,"*Package*"))</f>
        <v/>
      </c>
      <c r="G1254" t="str">
        <f t="shared" si="43"/>
        <v/>
      </c>
      <c r="H1254" s="33">
        <f>IF(ISNUMBER(SEARCH("Group",D1254)),IF(G1254="",E1254,IFERROR(E1254/COUNTIF($G2:$G6000,G1254),E1254)),E1254)</f>
        <v>0</v>
      </c>
      <c r="I1254" s="1" t="str">
        <f>IFERROR(VLOOKUP(C1254,'Clients List'!A:F,6,FALSE),"")</f>
        <v/>
      </c>
    </row>
    <row r="1255" spans="4:9" x14ac:dyDescent="0.45">
      <c r="D1255" t="str">
        <f>IFERROR(VLOOKUP(C1255,'Clients List'!$A:$F,2,FALSE),"")</f>
        <v/>
      </c>
      <c r="F1255" s="1" t="str">
        <f>IF(OR(C1255="",NOT(ISNUMBER(SEARCH("Package",D1255)))),"",VLOOKUP(C1255,'Clients List'!$A:$F,4,FALSE)-SUMIFS($E$2:$E1255,$C$2:$C1255,C1255,$D$2:$D1255,"*Package*"))</f>
        <v/>
      </c>
      <c r="G1255" t="str">
        <f t="shared" si="43"/>
        <v/>
      </c>
      <c r="H1255" s="33">
        <f>IF(ISNUMBER(SEARCH("Group",D1255)),IF(G1255="",E1255,IFERROR(E1255/COUNTIF($G2:$G6000,G1255),E1255)),E1255)</f>
        <v>0</v>
      </c>
      <c r="I1255" s="1" t="str">
        <f>IFERROR(VLOOKUP(C1255,'Clients List'!A:F,6,FALSE),"")</f>
        <v/>
      </c>
    </row>
    <row r="1256" spans="4:9" x14ac:dyDescent="0.45">
      <c r="D1256" t="str">
        <f>IFERROR(VLOOKUP(C1256,'Clients List'!$A:$F,2,FALSE),"")</f>
        <v/>
      </c>
      <c r="F1256" s="1" t="str">
        <f>IF(OR(C1256="",NOT(ISNUMBER(SEARCH("Package",D1256)))),"",VLOOKUP(C1256,'Clients List'!$A:$F,4,FALSE)-SUMIFS($E$2:$E1256,$C$2:$C1256,C1256,$D$2:$D1256,"*Package*"))</f>
        <v/>
      </c>
      <c r="G1256" t="str">
        <f t="shared" si="43"/>
        <v/>
      </c>
      <c r="H1256" s="33">
        <f>IF(ISNUMBER(SEARCH("Group",D1256)),IF(G1256="",E1256,IFERROR(E1256/COUNTIF($G2:$G6000,G1256),E1256)),E1256)</f>
        <v>0</v>
      </c>
      <c r="I1256" s="1" t="str">
        <f>IFERROR(VLOOKUP(C1256,'Clients List'!A:F,6,FALSE),"")</f>
        <v/>
      </c>
    </row>
    <row r="1257" spans="4:9" x14ac:dyDescent="0.45">
      <c r="D1257" t="str">
        <f>IFERROR(VLOOKUP(C1257,'Clients List'!$A:$F,2,FALSE),"")</f>
        <v/>
      </c>
      <c r="F1257" s="1" t="str">
        <f>IF(OR(C1257="",NOT(ISNUMBER(SEARCH("Package",D1257)))),"",VLOOKUP(C1257,'Clients List'!$A:$F,4,FALSE)-SUMIFS($E$2:$E1257,$C$2:$C1257,C1257,$D$2:$D1257,"*Package*"))</f>
        <v/>
      </c>
      <c r="G1257" t="str">
        <f t="shared" si="43"/>
        <v/>
      </c>
      <c r="H1257" s="33">
        <f>IF(ISNUMBER(SEARCH("Group",D1257)),IF(G1257="",E1257,IFERROR(E1257/COUNTIF($G2:$G6000,G1257),E1257)),E1257)</f>
        <v>0</v>
      </c>
      <c r="I1257" s="1" t="str">
        <f>IFERROR(VLOOKUP(C1257,'Clients List'!A:F,6,FALSE),"")</f>
        <v/>
      </c>
    </row>
    <row r="1258" spans="4:9" x14ac:dyDescent="0.45">
      <c r="D1258" t="str">
        <f>IFERROR(VLOOKUP(C1258,'Clients List'!$A:$F,2,FALSE),"")</f>
        <v/>
      </c>
      <c r="F1258" s="1" t="str">
        <f>IF(OR(C1258="",NOT(ISNUMBER(SEARCH("Package",D1258)))),"",VLOOKUP(C1258,'Clients List'!$A:$F,4,FALSE)-SUMIFS($E$2:$E1258,$C$2:$C1258,C1258,$D$2:$D1258,"*Package*"))</f>
        <v/>
      </c>
      <c r="G1258" t="str">
        <f t="shared" si="43"/>
        <v/>
      </c>
      <c r="H1258" s="33">
        <f>IF(ISNUMBER(SEARCH("Group",D1258)),IF(G1258="",E1258,IFERROR(E1258/COUNTIF($G2:$G6000,G1258),E1258)),E1258)</f>
        <v>0</v>
      </c>
      <c r="I1258" s="1" t="str">
        <f>IFERROR(VLOOKUP(C1258,'Clients List'!A:F,6,FALSE),"")</f>
        <v/>
      </c>
    </row>
    <row r="1259" spans="4:9" x14ac:dyDescent="0.45">
      <c r="D1259" t="str">
        <f>IFERROR(VLOOKUP(C1259,'Clients List'!$A:$F,2,FALSE),"")</f>
        <v/>
      </c>
      <c r="F1259" s="1" t="str">
        <f>IF(OR(C1259="",NOT(ISNUMBER(SEARCH("Package",D1259)))),"",VLOOKUP(C1259,'Clients List'!$A:$F,4,FALSE)-SUMIFS($E$2:$E1259,$C$2:$C1259,C1259,$D$2:$D1259,"*Package*"))</f>
        <v/>
      </c>
      <c r="G1259" t="str">
        <f t="shared" si="43"/>
        <v/>
      </c>
      <c r="H1259" s="33">
        <f>IF(ISNUMBER(SEARCH("Group",D1259)),IF(G1259="",E1259,IFERROR(E1259/COUNTIF($G2:$G6000,G1259),E1259)),E1259)</f>
        <v>0</v>
      </c>
      <c r="I1259" s="1" t="str">
        <f>IFERROR(VLOOKUP(C1259,'Clients List'!A:F,6,FALSE),"")</f>
        <v/>
      </c>
    </row>
    <row r="1260" spans="4:9" x14ac:dyDescent="0.45">
      <c r="D1260" t="str">
        <f>IFERROR(VLOOKUP(C1260,'Clients List'!$A:$F,2,FALSE),"")</f>
        <v/>
      </c>
      <c r="F1260" s="1" t="str">
        <f>IF(OR(C1260="",NOT(ISNUMBER(SEARCH("Package",D1260)))),"",VLOOKUP(C1260,'Clients List'!$A:$F,4,FALSE)-SUMIFS($E$2:$E1260,$C$2:$C1260,C1260,$D$2:$D1260,"*Package*"))</f>
        <v/>
      </c>
      <c r="G1260" t="str">
        <f t="shared" si="43"/>
        <v/>
      </c>
      <c r="H1260" s="33">
        <f>IF(ISNUMBER(SEARCH("Group",D1260)),IF(G1260="",E1260,IFERROR(E1260/COUNTIF($G2:$G6000,G1260),E1260)),E1260)</f>
        <v>0</v>
      </c>
      <c r="I1260" s="1" t="str">
        <f>IFERROR(VLOOKUP(C1260,'Clients List'!A:F,6,FALSE),"")</f>
        <v/>
      </c>
    </row>
    <row r="1261" spans="4:9" x14ac:dyDescent="0.45">
      <c r="D1261" t="str">
        <f>IFERROR(VLOOKUP(C1261,'Clients List'!$A:$F,2,FALSE),"")</f>
        <v/>
      </c>
      <c r="F1261" s="1" t="str">
        <f>IF(OR(C1261="",NOT(ISNUMBER(SEARCH("Package",D1261)))),"",VLOOKUP(C1261,'Clients List'!$A:$F,4,FALSE)-SUMIFS($E$2:$E1261,$C$2:$C1261,C1261,$D$2:$D1261,"*Package*"))</f>
        <v/>
      </c>
      <c r="G1261" t="str">
        <f t="shared" si="43"/>
        <v/>
      </c>
      <c r="H1261" s="33">
        <f>IF(ISNUMBER(SEARCH("Group",D1261)),IF(G1261="",E1261,IFERROR(E1261/COUNTIF($G2:$G6000,G1261),E1261)),E1261)</f>
        <v>0</v>
      </c>
      <c r="I1261" s="1" t="str">
        <f>IFERROR(VLOOKUP(C1261,'Clients List'!A:F,6,FALSE),"")</f>
        <v/>
      </c>
    </row>
    <row r="1262" spans="4:9" x14ac:dyDescent="0.45">
      <c r="D1262" t="str">
        <f>IFERROR(VLOOKUP(C1262,'Clients List'!$A:$F,2,FALSE),"")</f>
        <v/>
      </c>
      <c r="F1262" s="1" t="str">
        <f>IF(OR(C1262="",NOT(ISNUMBER(SEARCH("Package",D1262)))),"",VLOOKUP(C1262,'Clients List'!$A:$F,4,FALSE)-SUMIFS($E$2:$E1262,$C$2:$C1262,C1262,$D$2:$D1262,"*Package*"))</f>
        <v/>
      </c>
      <c r="G1262" t="str">
        <f t="shared" si="43"/>
        <v/>
      </c>
      <c r="H1262" s="33">
        <f>IF(ISNUMBER(SEARCH("Group",D1262)),IF(G1262="",E1262,IFERROR(E1262/COUNTIF($G2:$G6000,G1262),E1262)),E1262)</f>
        <v>0</v>
      </c>
      <c r="I1262" s="1" t="str">
        <f>IFERROR(VLOOKUP(C1262,'Clients List'!A:F,6,FALSE),"")</f>
        <v/>
      </c>
    </row>
    <row r="1263" spans="4:9" x14ac:dyDescent="0.45">
      <c r="D1263" t="str">
        <f>IFERROR(VLOOKUP(C1263,'Clients List'!$A:$F,2,FALSE),"")</f>
        <v/>
      </c>
      <c r="F1263" s="1" t="str">
        <f>IF(OR(C1263="",NOT(ISNUMBER(SEARCH("Package",D1263)))),"",VLOOKUP(C1263,'Clients List'!$A:$F,4,FALSE)-SUMIFS($E$2:$E1263,$C$2:$C1263,C1263,$D$2:$D1263,"*Package*"))</f>
        <v/>
      </c>
      <c r="G1263" t="str">
        <f t="shared" si="43"/>
        <v/>
      </c>
      <c r="H1263" s="33">
        <f>IF(ISNUMBER(SEARCH("Group",D1263)),IF(G1263="",E1263,IFERROR(E1263/COUNTIF($G2:$G6000,G1263),E1263)),E1263)</f>
        <v>0</v>
      </c>
      <c r="I1263" s="1" t="str">
        <f>IFERROR(VLOOKUP(C1263,'Clients List'!A:F,6,FALSE),"")</f>
        <v/>
      </c>
    </row>
    <row r="1264" spans="4:9" x14ac:dyDescent="0.45">
      <c r="D1264" t="str">
        <f>IFERROR(VLOOKUP(C1264,'Clients List'!$A:$F,2,FALSE),"")</f>
        <v/>
      </c>
      <c r="F1264" s="1" t="str">
        <f>IF(OR(C1264="",NOT(ISNUMBER(SEARCH("Package",D1264)))),"",VLOOKUP(C1264,'Clients List'!$A:$F,4,FALSE)-SUMIFS($E$2:$E1264,$C$2:$C1264,C1264,$D$2:$D1264,"*Package*"))</f>
        <v/>
      </c>
      <c r="G1264" t="str">
        <f t="shared" si="43"/>
        <v/>
      </c>
      <c r="H1264" s="33">
        <f>IF(ISNUMBER(SEARCH("Group",D1264)),IF(G1264="",E1264,IFERROR(E1264/COUNTIF($G2:$G6000,G1264),E1264)),E1264)</f>
        <v>0</v>
      </c>
      <c r="I1264" s="1" t="str">
        <f>IFERROR(VLOOKUP(C1264,'Clients List'!A:F,6,FALSE),"")</f>
        <v/>
      </c>
    </row>
    <row r="1265" spans="4:9" x14ac:dyDescent="0.45">
      <c r="D1265" t="str">
        <f>IFERROR(VLOOKUP(C1265,'Clients List'!$A:$F,2,FALSE),"")</f>
        <v/>
      </c>
      <c r="F1265" s="1" t="str">
        <f>IF(OR(C1265="",NOT(ISNUMBER(SEARCH("Package",D1265)))),"",VLOOKUP(C1265,'Clients List'!$A:$F,4,FALSE)-SUMIFS($E$2:$E1265,$C$2:$C1265,C1265,$D$2:$D1265,"*Package*"))</f>
        <v/>
      </c>
      <c r="G1265" t="str">
        <f t="shared" si="43"/>
        <v/>
      </c>
      <c r="H1265" s="33">
        <f>IF(ISNUMBER(SEARCH("Group",D1265)),IF(G1265="",E1265,IFERROR(E1265/COUNTIF($G2:$G6000,G1265),E1265)),E1265)</f>
        <v>0</v>
      </c>
      <c r="I1265" s="1" t="str">
        <f>IFERROR(VLOOKUP(C1265,'Clients List'!A:F,6,FALSE),"")</f>
        <v/>
      </c>
    </row>
    <row r="1266" spans="4:9" x14ac:dyDescent="0.45">
      <c r="D1266" t="str">
        <f>IFERROR(VLOOKUP(C1266,'Clients List'!$A:$F,2,FALSE),"")</f>
        <v/>
      </c>
      <c r="F1266" s="1" t="str">
        <f>IF(OR(C1266="",NOT(ISNUMBER(SEARCH("Package",D1266)))),"",VLOOKUP(C1266,'Clients List'!$A:$F,4,FALSE)-SUMIFS($E$2:$E1266,$C$2:$C1266,C1266,$D$2:$D1266,"*Package*"))</f>
        <v/>
      </c>
      <c r="G1266" t="str">
        <f t="shared" si="43"/>
        <v/>
      </c>
      <c r="H1266" s="33">
        <f>IF(ISNUMBER(SEARCH("Group",D1266)),IF(G1266="",E1266,IFERROR(E1266/COUNTIF($G2:$G6000,G1266),E1266)),E1266)</f>
        <v>0</v>
      </c>
      <c r="I1266" s="1" t="str">
        <f>IFERROR(VLOOKUP(C1266,'Clients List'!A:F,6,FALSE),"")</f>
        <v/>
      </c>
    </row>
    <row r="1267" spans="4:9" x14ac:dyDescent="0.45">
      <c r="D1267" t="str">
        <f>IFERROR(VLOOKUP(C1267,'Clients List'!$A:$F,2,FALSE),"")</f>
        <v/>
      </c>
      <c r="F1267" s="1" t="str">
        <f>IF(OR(C1267="",NOT(ISNUMBER(SEARCH("Package",D1267)))),"",VLOOKUP(C1267,'Clients List'!$A:$F,4,FALSE)-SUMIFS($E$2:$E1267,$C$2:$C1267,C1267,$D$2:$D1267,"*Package*"))</f>
        <v/>
      </c>
      <c r="G1267" t="str">
        <f t="shared" si="43"/>
        <v/>
      </c>
      <c r="H1267" s="33">
        <f>IF(ISNUMBER(SEARCH("Group",D1267)),IF(G1267="",E1267,IFERROR(E1267/COUNTIF($G2:$G6000,G1267),E1267)),E1267)</f>
        <v>0</v>
      </c>
      <c r="I1267" s="1" t="str">
        <f>IFERROR(VLOOKUP(C1267,'Clients List'!A:F,6,FALSE),"")</f>
        <v/>
      </c>
    </row>
    <row r="1268" spans="4:9" x14ac:dyDescent="0.45">
      <c r="D1268" t="str">
        <f>IFERROR(VLOOKUP(C1268,'Clients List'!$A:$F,2,FALSE),"")</f>
        <v/>
      </c>
      <c r="F1268" s="1" t="str">
        <f>IF(OR(C1268="",NOT(ISNUMBER(SEARCH("Package",D1268)))),"",VLOOKUP(C1268,'Clients List'!$A:$F,4,FALSE)-SUMIFS($E$2:$E1268,$C$2:$C1268,C1268,$D$2:$D1268,"*Package*"))</f>
        <v/>
      </c>
      <c r="G1268" t="str">
        <f t="shared" si="43"/>
        <v/>
      </c>
      <c r="H1268" s="33">
        <f>IF(ISNUMBER(SEARCH("Group",D1268)),IF(G1268="",E1268,IFERROR(E1268/COUNTIF($G2:$G6000,G1268),E1268)),E1268)</f>
        <v>0</v>
      </c>
      <c r="I1268" s="1" t="str">
        <f>IFERROR(VLOOKUP(C1268,'Clients List'!A:F,6,FALSE),"")</f>
        <v/>
      </c>
    </row>
    <row r="1269" spans="4:9" x14ac:dyDescent="0.45">
      <c r="D1269" t="str">
        <f>IFERROR(VLOOKUP(C1269,'Clients List'!$A:$F,2,FALSE),"")</f>
        <v/>
      </c>
      <c r="F1269" s="1" t="str">
        <f>IF(OR(C1269="",NOT(ISNUMBER(SEARCH("Package",D1269)))),"",VLOOKUP(C1269,'Clients List'!$A:$F,4,FALSE)-SUMIFS($E$2:$E1269,$C$2:$C1269,C1269,$D$2:$D1269,"*Package*"))</f>
        <v/>
      </c>
      <c r="G1269" t="str">
        <f t="shared" si="43"/>
        <v/>
      </c>
      <c r="H1269" s="33">
        <f>IF(ISNUMBER(SEARCH("Group",D1269)),IF(G1269="",E1269,IFERROR(E1269/COUNTIF($G2:$G6000,G1269),E1269)),E1269)</f>
        <v>0</v>
      </c>
      <c r="I1269" s="1" t="str">
        <f>IFERROR(VLOOKUP(C1269,'Clients List'!A:F,6,FALSE),"")</f>
        <v/>
      </c>
    </row>
    <row r="1270" spans="4:9" x14ac:dyDescent="0.45">
      <c r="D1270" t="str">
        <f>IFERROR(VLOOKUP(C1270,'Clients List'!$A:$F,2,FALSE),"")</f>
        <v/>
      </c>
      <c r="F1270" s="1" t="str">
        <f>IF(OR(C1270="",NOT(ISNUMBER(SEARCH("Package",D1270)))),"",VLOOKUP(C1270,'Clients List'!$A:$F,4,FALSE)-SUMIFS($E$2:$E1270,$C$2:$C1270,C1270,$D$2:$D1270,"*Package*"))</f>
        <v/>
      </c>
      <c r="G1270" t="str">
        <f t="shared" si="43"/>
        <v/>
      </c>
      <c r="H1270" s="33">
        <f>IF(ISNUMBER(SEARCH("Group",D1270)),IF(G1270="",E1270,IFERROR(E1270/COUNTIF($G2:$G6000,G1270),E1270)),E1270)</f>
        <v>0</v>
      </c>
      <c r="I1270" s="1" t="str">
        <f>IFERROR(VLOOKUP(C1270,'Clients List'!A:F,6,FALSE),"")</f>
        <v/>
      </c>
    </row>
    <row r="1271" spans="4:9" x14ac:dyDescent="0.45">
      <c r="D1271" t="str">
        <f>IFERROR(VLOOKUP(C1271,'Clients List'!$A:$F,2,FALSE),"")</f>
        <v/>
      </c>
      <c r="F1271" s="1" t="str">
        <f>IF(OR(C1271="",NOT(ISNUMBER(SEARCH("Package",D1271)))),"",VLOOKUP(C1271,'Clients List'!$A:$F,4,FALSE)-SUMIFS($E$2:$E1271,$C$2:$C1271,C1271,$D$2:$D1271,"*Package*"))</f>
        <v/>
      </c>
      <c r="G1271" t="str">
        <f t="shared" si="43"/>
        <v/>
      </c>
      <c r="H1271" s="33">
        <f>IF(ISNUMBER(SEARCH("Group",D1271)),IF(G1271="",E1271,IFERROR(E1271/COUNTIF($G2:$G6000,G1271),E1271)),E1271)</f>
        <v>0</v>
      </c>
      <c r="I1271" s="1" t="str">
        <f>IFERROR(VLOOKUP(C1271,'Clients List'!A:F,6,FALSE),"")</f>
        <v/>
      </c>
    </row>
    <row r="1272" spans="4:9" x14ac:dyDescent="0.45">
      <c r="D1272" t="str">
        <f>IFERROR(VLOOKUP(C1272,'Clients List'!$A:$F,2,FALSE),"")</f>
        <v/>
      </c>
      <c r="F1272" s="1" t="str">
        <f>IF(OR(C1272="",NOT(ISNUMBER(SEARCH("Package",D1272)))),"",VLOOKUP(C1272,'Clients List'!$A:$F,4,FALSE)-SUMIFS($E$2:$E1272,$C$2:$C1272,C1272,$D$2:$D1272,"*Package*"))</f>
        <v/>
      </c>
      <c r="G1272" t="str">
        <f t="shared" si="43"/>
        <v/>
      </c>
      <c r="H1272" s="33">
        <f>IF(ISNUMBER(SEARCH("Group",D1272)),IF(G1272="",E1272,IFERROR(E1272/COUNTIF($G2:$G6000,G1272),E1272)),E1272)</f>
        <v>0</v>
      </c>
      <c r="I1272" s="1" t="str">
        <f>IFERROR(VLOOKUP(C1272,'Clients List'!A:F,6,FALSE),"")</f>
        <v/>
      </c>
    </row>
    <row r="1273" spans="4:9" x14ac:dyDescent="0.45">
      <c r="D1273" t="str">
        <f>IFERROR(VLOOKUP(C1273,'Clients List'!$A:$F,2,FALSE),"")</f>
        <v/>
      </c>
      <c r="F1273" s="1" t="str">
        <f>IF(OR(C1273="",NOT(ISNUMBER(SEARCH("Package",D1273)))),"",VLOOKUP(C1273,'Clients List'!$A:$F,4,FALSE)-SUMIFS($E$2:$E1273,$C$2:$C1273,C1273,$D$2:$D1273,"*Package*"))</f>
        <v/>
      </c>
      <c r="G1273" t="str">
        <f t="shared" si="43"/>
        <v/>
      </c>
      <c r="H1273" s="33">
        <f>IF(ISNUMBER(SEARCH("Group",D1273)),IF(G1273="",E1273,IFERROR(E1273/COUNTIF($G2:$G6000,G1273),E1273)),E1273)</f>
        <v>0</v>
      </c>
      <c r="I1273" s="1" t="str">
        <f>IFERROR(VLOOKUP(C1273,'Clients List'!A:F,6,FALSE),"")</f>
        <v/>
      </c>
    </row>
    <row r="1274" spans="4:9" x14ac:dyDescent="0.45">
      <c r="D1274" t="str">
        <f>IFERROR(VLOOKUP(C1274,'Clients List'!$A:$F,2,FALSE),"")</f>
        <v/>
      </c>
      <c r="F1274" s="1" t="str">
        <f>IF(OR(C1274="",NOT(ISNUMBER(SEARCH("Package",D1274)))),"",VLOOKUP(C1274,'Clients List'!$A:$F,4,FALSE)-SUMIFS($E$2:$E1274,$C$2:$C1274,C1274,$D$2:$D1274,"*Package*"))</f>
        <v/>
      </c>
      <c r="G1274" t="str">
        <f t="shared" si="43"/>
        <v/>
      </c>
      <c r="H1274" s="33">
        <f>IF(ISNUMBER(SEARCH("Group",D1274)),IF(G1274="",E1274,IFERROR(E1274/COUNTIF($G2:$G6000,G1274),E1274)),E1274)</f>
        <v>0</v>
      </c>
      <c r="I1274" s="1" t="str">
        <f>IFERROR(VLOOKUP(C1274,'Clients List'!A:F,6,FALSE),"")</f>
        <v/>
      </c>
    </row>
    <row r="1275" spans="4:9" x14ac:dyDescent="0.45">
      <c r="D1275" t="str">
        <f>IFERROR(VLOOKUP(C1275,'Clients List'!$A:$F,2,FALSE),"")</f>
        <v/>
      </c>
      <c r="F1275" s="1" t="str">
        <f>IF(OR(C1275="",NOT(ISNUMBER(SEARCH("Package",D1275)))),"",VLOOKUP(C1275,'Clients List'!$A:$F,4,FALSE)-SUMIFS($E$2:$E1275,$C$2:$C1275,C1275,$D$2:$D1275,"*Package*"))</f>
        <v/>
      </c>
      <c r="G1275" t="str">
        <f t="shared" ref="G1275:G1286" si="44">IF(ISNUMBER(SEARCH("Group",D1275)),IFERROR("GRP-"&amp;TEXT(IF(ISNUMBER(A1275),A1275,DATEVALUE(A1275)),"yyyymmdd"),""),"" )</f>
        <v/>
      </c>
      <c r="H1275" s="33">
        <f>IF(ISNUMBER(SEARCH("Group",D1275)),IF(G1275="",E1275,IFERROR(E1275/COUNTIF($G2:$G6000,G1275),E1275)),E1275)</f>
        <v>0</v>
      </c>
      <c r="I1275" s="1" t="str">
        <f>IFERROR(VLOOKUP(C1275,'Clients List'!A:F,6,FALSE),"")</f>
        <v/>
      </c>
    </row>
    <row r="1276" spans="4:9" x14ac:dyDescent="0.45">
      <c r="D1276" t="str">
        <f>IFERROR(VLOOKUP(C1276,'Clients List'!$A:$F,2,FALSE),"")</f>
        <v/>
      </c>
      <c r="F1276" s="1" t="str">
        <f>IF(OR(C1276="",NOT(ISNUMBER(SEARCH("Package",D1276)))),"",VLOOKUP(C1276,'Clients List'!$A:$F,4,FALSE)-SUMIFS($E$2:$E1276,$C$2:$C1276,C1276,$D$2:$D1276,"*Package*"))</f>
        <v/>
      </c>
      <c r="G1276" t="str">
        <f t="shared" si="44"/>
        <v/>
      </c>
      <c r="H1276" s="33">
        <f>IF(ISNUMBER(SEARCH("Group",D1276)),IF(G1276="",E1276,IFERROR(E1276/COUNTIF($G2:$G6000,G1276),E1276)),E1276)</f>
        <v>0</v>
      </c>
      <c r="I1276" s="1" t="str">
        <f>IFERROR(VLOOKUP(C1276,'Clients List'!A:F,6,FALSE),"")</f>
        <v/>
      </c>
    </row>
    <row r="1277" spans="4:9" x14ac:dyDescent="0.45">
      <c r="D1277" t="str">
        <f>IFERROR(VLOOKUP(C1277,'Clients List'!$A:$F,2,FALSE),"")</f>
        <v/>
      </c>
      <c r="F1277" s="1" t="str">
        <f>IF(OR(C1277="",NOT(ISNUMBER(SEARCH("Package",D1277)))),"",VLOOKUP(C1277,'Clients List'!$A:$F,4,FALSE)-SUMIFS($E$2:$E1277,$C$2:$C1277,C1277,$D$2:$D1277,"*Package*"))</f>
        <v/>
      </c>
      <c r="G1277" t="str">
        <f t="shared" si="44"/>
        <v/>
      </c>
      <c r="H1277" s="33">
        <f>IF(ISNUMBER(SEARCH("Group",D1277)),IF(G1277="",E1277,IFERROR(E1277/COUNTIF($G2:$G6000,G1277),E1277)),E1277)</f>
        <v>0</v>
      </c>
      <c r="I1277" s="1" t="str">
        <f>IFERROR(VLOOKUP(C1277,'Clients List'!A:F,6,FALSE),"")</f>
        <v/>
      </c>
    </row>
    <row r="1278" spans="4:9" x14ac:dyDescent="0.45">
      <c r="D1278" t="str">
        <f>IFERROR(VLOOKUP(C1278,'Clients List'!$A:$F,2,FALSE),"")</f>
        <v/>
      </c>
      <c r="F1278" s="1" t="str">
        <f>IF(OR(C1278="",NOT(ISNUMBER(SEARCH("Package",D1278)))),"",VLOOKUP(C1278,'Clients List'!$A:$F,4,FALSE)-SUMIFS($E$2:$E1278,$C$2:$C1278,C1278,$D$2:$D1278,"*Package*"))</f>
        <v/>
      </c>
      <c r="G1278" t="str">
        <f t="shared" si="44"/>
        <v/>
      </c>
      <c r="H1278" s="33">
        <f>IF(ISNUMBER(SEARCH("Group",D1278)),IF(G1278="",E1278,IFERROR(E1278/COUNTIF($G2:$G6000,G1278),E1278)),E1278)</f>
        <v>0</v>
      </c>
      <c r="I1278" s="1" t="str">
        <f>IFERROR(VLOOKUP(C1278,'Clients List'!A:F,6,FALSE),"")</f>
        <v/>
      </c>
    </row>
    <row r="1279" spans="4:9" x14ac:dyDescent="0.45">
      <c r="D1279" t="str">
        <f>IFERROR(VLOOKUP(C1279,'Clients List'!$A:$F,2,FALSE),"")</f>
        <v/>
      </c>
      <c r="F1279" s="1" t="str">
        <f>IF(OR(C1279="",NOT(ISNUMBER(SEARCH("Package",D1279)))),"",VLOOKUP(C1279,'Clients List'!$A:$F,4,FALSE)-SUMIFS($E$2:$E1279,$C$2:$C1279,C1279,$D$2:$D1279,"*Package*"))</f>
        <v/>
      </c>
      <c r="G1279" t="str">
        <f t="shared" si="44"/>
        <v/>
      </c>
      <c r="H1279" s="33">
        <f>IF(ISNUMBER(SEARCH("Group",D1279)),IF(G1279="",E1279,IFERROR(E1279/COUNTIF($G2:$G6000,G1279),E1279)),E1279)</f>
        <v>0</v>
      </c>
      <c r="I1279" s="1" t="str">
        <f>IFERROR(VLOOKUP(C1279,'Clients List'!A:F,6,FALSE),"")</f>
        <v/>
      </c>
    </row>
    <row r="1280" spans="4:9" x14ac:dyDescent="0.45">
      <c r="D1280" t="str">
        <f>IFERROR(VLOOKUP(C1280,'Clients List'!$A:$F,2,FALSE),"")</f>
        <v/>
      </c>
      <c r="F1280" s="1" t="str">
        <f>IF(OR(C1280="",NOT(ISNUMBER(SEARCH("Package",D1280)))),"",VLOOKUP(C1280,'Clients List'!$A:$F,4,FALSE)-SUMIFS($E$2:$E1280,$C$2:$C1280,C1280,$D$2:$D1280,"*Package*"))</f>
        <v/>
      </c>
      <c r="G1280" t="str">
        <f t="shared" si="44"/>
        <v/>
      </c>
      <c r="H1280" s="33">
        <f>IF(ISNUMBER(SEARCH("Group",D1280)),IF(G1280="",E1280,IFERROR(E1280/COUNTIF($G2:$G6000,G1280),E1280)),E1280)</f>
        <v>0</v>
      </c>
      <c r="I1280" s="1" t="str">
        <f>IFERROR(VLOOKUP(C1280,'Clients List'!A:F,6,FALSE),"")</f>
        <v/>
      </c>
    </row>
    <row r="1281" spans="1:9" x14ac:dyDescent="0.45">
      <c r="D1281" t="str">
        <f>IFERROR(VLOOKUP(C1281,'Clients List'!$A:$F,2,FALSE),"")</f>
        <v/>
      </c>
      <c r="F1281" s="1" t="str">
        <f>IF(OR(C1281="",NOT(ISNUMBER(SEARCH("Package",D1281)))),"",VLOOKUP(C1281,'Clients List'!$A:$F,4,FALSE)-SUMIFS($E$2:$E1281,$C$2:$C1281,C1281,$D$2:$D1281,"*Package*"))</f>
        <v/>
      </c>
      <c r="G1281" t="str">
        <f t="shared" si="44"/>
        <v/>
      </c>
      <c r="H1281" s="33">
        <f>IF(ISNUMBER(SEARCH("Group",D1281)),IF(G1281="",E1281,IFERROR(E1281/COUNTIF($G2:$G6000,G1281),E1281)),E1281)</f>
        <v>0</v>
      </c>
      <c r="I1281" s="1" t="str">
        <f>IFERROR(VLOOKUP(C1281,'Clients List'!A:F,6,FALSE),"")</f>
        <v/>
      </c>
    </row>
    <row r="1282" spans="1:9" x14ac:dyDescent="0.45">
      <c r="D1282" t="str">
        <f>IFERROR(VLOOKUP(C1282,'Clients List'!$A:$F,2,FALSE),"")</f>
        <v/>
      </c>
      <c r="F1282" s="1" t="str">
        <f>IF(OR(C1282="",NOT(ISNUMBER(SEARCH("Package",D1282)))),"",VLOOKUP(C1282,'Clients List'!$A:$F,4,FALSE)-SUMIFS($E$2:$E1282,$C$2:$C1282,C1282,$D$2:$D1282,"*Package*"))</f>
        <v/>
      </c>
      <c r="G1282" t="str">
        <f t="shared" si="44"/>
        <v/>
      </c>
      <c r="H1282" s="33">
        <f>IF(ISNUMBER(SEARCH("Group",D1282)),IF(G1282="",E1282,IFERROR(E1282/COUNTIF($G2:$G6000,G1282),E1282)),E1282)</f>
        <v>0</v>
      </c>
      <c r="I1282" s="1" t="str">
        <f>IFERROR(VLOOKUP(C1282,'Clients List'!A:F,6,FALSE),"")</f>
        <v/>
      </c>
    </row>
    <row r="1283" spans="1:9" x14ac:dyDescent="0.45">
      <c r="D1283" t="str">
        <f>IFERROR(VLOOKUP(C1283,'Clients List'!$A:$F,2,FALSE),"")</f>
        <v/>
      </c>
      <c r="F1283" s="1" t="str">
        <f>IF(OR(C1283="",NOT(ISNUMBER(SEARCH("Package",D1283)))),"",VLOOKUP(C1283,'Clients List'!$A:$F,4,FALSE)-SUMIFS($E$2:$E1283,$C$2:$C1283,C1283,$D$2:$D1283,"*Package*"))</f>
        <v/>
      </c>
      <c r="G1283" t="str">
        <f t="shared" si="44"/>
        <v/>
      </c>
      <c r="H1283" s="33">
        <f>IF(ISNUMBER(SEARCH("Group",D1283)),IF(G1283="",E1283,IFERROR(E1283/COUNTIF($G2:$G6000,G1283),E1283)),E1283)</f>
        <v>0</v>
      </c>
      <c r="I1283" s="1" t="str">
        <f>IFERROR(VLOOKUP(C1283,'Clients List'!A:F,6,FALSE),"")</f>
        <v/>
      </c>
    </row>
    <row r="1284" spans="1:9" x14ac:dyDescent="0.45">
      <c r="D1284" t="str">
        <f>IFERROR(VLOOKUP(C1284,'Clients List'!$A:$F,2,FALSE),"")</f>
        <v/>
      </c>
      <c r="F1284" s="1" t="str">
        <f>IF(OR(C1284="",NOT(ISNUMBER(SEARCH("Package",D1284)))),"",VLOOKUP(C1284,'Clients List'!$A:$F,4,FALSE)-SUMIFS($E$2:$E1284,$C$2:$C1284,C1284,$D$2:$D1284,"*Package*"))</f>
        <v/>
      </c>
      <c r="G1284" t="str">
        <f t="shared" si="44"/>
        <v/>
      </c>
      <c r="H1284" s="33">
        <f>IF(ISNUMBER(SEARCH("Group",D1284)),IF(G1284="",E1284,IFERROR(E1284/COUNTIF($G2:$G6000,G1284),E1284)),E1284)</f>
        <v>0</v>
      </c>
      <c r="I1284" s="1" t="str">
        <f>IFERROR(VLOOKUP(C1284,'Clients List'!A:F,6,FALSE),"")</f>
        <v/>
      </c>
    </row>
    <row r="1285" spans="1:9" x14ac:dyDescent="0.45">
      <c r="D1285" t="str">
        <f>IFERROR(VLOOKUP(C1285,'Clients List'!$A:$F,2,FALSE),"")</f>
        <v/>
      </c>
      <c r="F1285" s="1" t="str">
        <f>IF(OR(C1285="",NOT(ISNUMBER(SEARCH("Package",D1285)))),"",VLOOKUP(C1285,'Clients List'!$A:$F,4,FALSE)-SUMIFS($E$2:$E1285,$C$2:$C1285,C1285,$D$2:$D1285,"*Package*"))</f>
        <v/>
      </c>
      <c r="G1285" t="str">
        <f t="shared" si="44"/>
        <v/>
      </c>
      <c r="H1285" s="33">
        <f>IF(ISNUMBER(SEARCH("Group",D1285)),IF(G1285="",E1285,IFERROR(E1285/COUNTIF($G2:$G6000,G1285),E1285)),E1285)</f>
        <v>0</v>
      </c>
      <c r="I1285" s="1" t="str">
        <f>IFERROR(VLOOKUP(C1285,'Clients List'!A:F,6,FALSE),"")</f>
        <v/>
      </c>
    </row>
    <row r="1286" spans="1:9" x14ac:dyDescent="0.45">
      <c r="D1286" t="str">
        <f>IFERROR(VLOOKUP(C1286,'Clients List'!$A:$F,2,FALSE),"")</f>
        <v/>
      </c>
      <c r="F1286" s="1" t="str">
        <f>IF(OR(C1286="",NOT(ISNUMBER(SEARCH("Package",D1286)))),"",VLOOKUP(C1286,'Clients List'!$A:$F,4,FALSE)-SUMIFS($E$2:$E1286,$C$2:$C1286,C1286,$D$2:$D1286,"*Package*"))</f>
        <v/>
      </c>
      <c r="G1286" t="str">
        <f t="shared" si="44"/>
        <v/>
      </c>
      <c r="H1286" s="33">
        <f>IF(ISNUMBER(SEARCH("Group",D1286)),IF(G1286="",E1286,IFERROR(E1286/COUNTIF($G2:$G6000,G1286),E1286)),E1286)</f>
        <v>0</v>
      </c>
      <c r="I1286" s="1" t="str">
        <f>IFERROR(VLOOKUP(C1286,'Clients List'!A:F,6,FALSE),"")</f>
        <v/>
      </c>
    </row>
    <row r="1287" spans="1:9" x14ac:dyDescent="0.45">
      <c r="A1287" s="8"/>
      <c r="C1287" s="9"/>
      <c r="D1287" s="10" t="str">
        <f>IFERROR(VLOOKUP(C1287,'Clients List'!$A:$F,2,FALSE),"")</f>
        <v/>
      </c>
      <c r="E1287" s="21">
        <f>SUM(E1147:E1286)</f>
        <v>0</v>
      </c>
      <c r="F1287" s="1" t="str">
        <f>IF(OR(C1287="",NOT(ISNUMBER(SEARCH("Package",D1287)))),"",VLOOKUP(C1287,'Clients List'!$A:$F,4,FALSE)-SUMIFS($E$2:$E1287,$C$2:$C1287,C1287,$D$2:$D1287,"*Package*"))</f>
        <v/>
      </c>
      <c r="H1287" s="33">
        <f>SUM(H1147:H1286)</f>
        <v>0</v>
      </c>
      <c r="I1287" s="11" t="str">
        <f>IFERROR(VLOOKUP(C1287,'Clients List'!A:F,6,FALSE),"")</f>
        <v/>
      </c>
    </row>
    <row r="1288" spans="1:9" x14ac:dyDescent="0.45">
      <c r="D1288" t="str">
        <f>IFERROR(VLOOKUP(C1288,'Clients List'!$A:$F,2,FALSE),"")</f>
        <v/>
      </c>
      <c r="F1288" s="1" t="str">
        <f>IF(OR(C1288="",NOT(ISNUMBER(SEARCH("Package",D1288)))),"",VLOOKUP(C1288,'Clients List'!$A:$F,4,FALSE)-SUMIFS($E$2:$E1288,$C$2:$C1288,C1288,$D$2:$D1288,"*Package*"))</f>
        <v/>
      </c>
      <c r="G1288" t="str">
        <f>IF(ISNUMBER(SEARCH("Group",D1288)),IFERROR("GRP-"&amp;TEXT(IF(ISNUMBER(A1288),A1288,DATEVALUE(A1288)),"yyyymmdd"),""),"" )</f>
        <v/>
      </c>
      <c r="H1288" s="33">
        <f>IF(ISNUMBER(SEARCH("Group",D1288)),IF(G1288="",E1288,IFERROR(E1288/COUNTIF($G2:$G6000,G1288),E1288)),E1288)</f>
        <v>0</v>
      </c>
      <c r="I1288" s="1" t="str">
        <f>IFERROR(VLOOKUP(C1288,'Clients List'!A:F,6,FALSE),"")</f>
        <v/>
      </c>
    </row>
    <row r="1289" spans="1:9" x14ac:dyDescent="0.45">
      <c r="A1289" s="14" t="s">
        <v>24</v>
      </c>
      <c r="D1289" t="str">
        <f>IFERROR(VLOOKUP(C1289,'Clients List'!$A:$F,2,FALSE),"")</f>
        <v/>
      </c>
      <c r="F1289" s="1" t="str">
        <f>IF(OR(C1289="",NOT(ISNUMBER(SEARCH("Package",D1289)))),"",VLOOKUP(C1289,'Clients List'!$A:$F,4,FALSE)-SUMIFS($E$2:$E1289,$C$2:$C1289,C1289,$D$2:$D1289,"*Package*"))</f>
        <v/>
      </c>
      <c r="H1289" s="33"/>
      <c r="I1289" s="1" t="str">
        <f>IFERROR(VLOOKUP(C1289,'Clients List'!A:F,6,FALSE),"")</f>
        <v/>
      </c>
    </row>
    <row r="1290" spans="1:9" x14ac:dyDescent="0.45">
      <c r="D1290" t="str">
        <f>IFERROR(VLOOKUP(C1290,'Clients List'!$A:$F,2,FALSE),"")</f>
        <v/>
      </c>
      <c r="F1290" s="1" t="str">
        <f>IF(OR(C1290="",NOT(ISNUMBER(SEARCH("Package",D1290)))),"",VLOOKUP(C1290,'Clients List'!$A:$F,4,FALSE)-SUMIFS($E$2:$E1290,$C$2:$C1290,C1290,$D$2:$D1290,"*Package*"))</f>
        <v/>
      </c>
      <c r="G1290" t="str">
        <f t="shared" ref="G1290:G1321" si="45">IF(ISNUMBER(SEARCH("Group",D1290)),IFERROR("GRP-"&amp;TEXT(IF(ISNUMBER(A1290),A1290,DATEVALUE(A1290)),"yyyymmdd"),""),"" )</f>
        <v/>
      </c>
      <c r="H1290" s="33">
        <f>IF(ISNUMBER(SEARCH("Group",D1290)),IF(G1290="",E1290,IFERROR(E1290/COUNTIF($G2:$G6000,G1290),E1290)),E1290)</f>
        <v>0</v>
      </c>
      <c r="I1290" s="1" t="str">
        <f>IFERROR(VLOOKUP(C1290,'Clients List'!A:F,6,FALSE),"")</f>
        <v/>
      </c>
    </row>
    <row r="1291" spans="1:9" x14ac:dyDescent="0.45">
      <c r="D1291" t="str">
        <f>IFERROR(VLOOKUP(C1291,'Clients List'!$A:$F,2,FALSE),"")</f>
        <v/>
      </c>
      <c r="F1291" s="1" t="str">
        <f>IF(OR(C1291="",NOT(ISNUMBER(SEARCH("Package",D1291)))),"",VLOOKUP(C1291,'Clients List'!$A:$F,4,FALSE)-SUMIFS($E$2:$E1291,$C$2:$C1291,C1291,$D$2:$D1291,"*Package*"))</f>
        <v/>
      </c>
      <c r="G1291" t="str">
        <f t="shared" si="45"/>
        <v/>
      </c>
      <c r="H1291" s="33">
        <f>IF(ISNUMBER(SEARCH("Group",D1291)),IF(G1291="",E1291,IFERROR(E1291/COUNTIF($G2:$G6000,G1291),E1291)),E1291)</f>
        <v>0</v>
      </c>
      <c r="I1291" s="1" t="str">
        <f>IFERROR(VLOOKUP(C1291,'Clients List'!A:F,6,FALSE),"")</f>
        <v/>
      </c>
    </row>
    <row r="1292" spans="1:9" x14ac:dyDescent="0.45">
      <c r="D1292" t="str">
        <f>IFERROR(VLOOKUP(C1292,'Clients List'!$A:$F,2,FALSE),"")</f>
        <v/>
      </c>
      <c r="F1292" s="1" t="str">
        <f>IF(OR(C1292="",NOT(ISNUMBER(SEARCH("Package",D1292)))),"",VLOOKUP(C1292,'Clients List'!$A:$F,4,FALSE)-SUMIFS($E$2:$E1292,$C$2:$C1292,C1292,$D$2:$D1292,"*Package*"))</f>
        <v/>
      </c>
      <c r="G1292" t="str">
        <f t="shared" si="45"/>
        <v/>
      </c>
      <c r="H1292" s="33">
        <f>IF(ISNUMBER(SEARCH("Group",D1292)),IF(G1292="",E1292,IFERROR(E1292/COUNTIF($G2:$G6000,G1292),E1292)),E1292)</f>
        <v>0</v>
      </c>
      <c r="I1292" s="1" t="str">
        <f>IFERROR(VLOOKUP(C1292,'Clients List'!A:F,6,FALSE),"")</f>
        <v/>
      </c>
    </row>
    <row r="1293" spans="1:9" x14ac:dyDescent="0.45">
      <c r="D1293" t="str">
        <f>IFERROR(VLOOKUP(C1293,'Clients List'!$A:$F,2,FALSE),"")</f>
        <v/>
      </c>
      <c r="F1293" s="1" t="str">
        <f>IF(OR(C1293="",NOT(ISNUMBER(SEARCH("Package",D1293)))),"",VLOOKUP(C1293,'Clients List'!$A:$F,4,FALSE)-SUMIFS($E$2:$E1293,$C$2:$C1293,C1293,$D$2:$D1293,"*Package*"))</f>
        <v/>
      </c>
      <c r="G1293" t="str">
        <f t="shared" si="45"/>
        <v/>
      </c>
      <c r="H1293" s="33">
        <f>IF(ISNUMBER(SEARCH("Group",D1293)),IF(G1293="",E1293,IFERROR(E1293/COUNTIF($G2:$G6000,G1293),E1293)),E1293)</f>
        <v>0</v>
      </c>
      <c r="I1293" s="1" t="str">
        <f>IFERROR(VLOOKUP(C1293,'Clients List'!A:F,6,FALSE),"")</f>
        <v/>
      </c>
    </row>
    <row r="1294" spans="1:9" x14ac:dyDescent="0.45">
      <c r="D1294" t="str">
        <f>IFERROR(VLOOKUP(C1294,'Clients List'!$A:$F,2,FALSE),"")</f>
        <v/>
      </c>
      <c r="F1294" s="1" t="str">
        <f>IF(OR(C1294="",NOT(ISNUMBER(SEARCH("Package",D1294)))),"",VLOOKUP(C1294,'Clients List'!$A:$F,4,FALSE)-SUMIFS($E$2:$E1294,$C$2:$C1294,C1294,$D$2:$D1294,"*Package*"))</f>
        <v/>
      </c>
      <c r="G1294" t="str">
        <f t="shared" si="45"/>
        <v/>
      </c>
      <c r="H1294" s="33">
        <f>IF(ISNUMBER(SEARCH("Group",D1294)),IF(G1294="",E1294,IFERROR(E1294/COUNTIF($G2:$G6000,G1294),E1294)),E1294)</f>
        <v>0</v>
      </c>
      <c r="I1294" s="1" t="str">
        <f>IFERROR(VLOOKUP(C1294,'Clients List'!A:F,6,FALSE),"")</f>
        <v/>
      </c>
    </row>
    <row r="1295" spans="1:9" x14ac:dyDescent="0.45">
      <c r="D1295" t="str">
        <f>IFERROR(VLOOKUP(C1295,'Clients List'!$A:$F,2,FALSE),"")</f>
        <v/>
      </c>
      <c r="F1295" s="1" t="str">
        <f>IF(OR(C1295="",NOT(ISNUMBER(SEARCH("Package",D1295)))),"",VLOOKUP(C1295,'Clients List'!$A:$F,4,FALSE)-SUMIFS($E$2:$E1295,$C$2:$C1295,C1295,$D$2:$D1295,"*Package*"))</f>
        <v/>
      </c>
      <c r="G1295" t="str">
        <f t="shared" si="45"/>
        <v/>
      </c>
      <c r="H1295" s="33">
        <f>IF(ISNUMBER(SEARCH("Group",D1295)),IF(G1295="",E1295,IFERROR(E1295/COUNTIF($G2:$G6000,G1295),E1295)),E1295)</f>
        <v>0</v>
      </c>
      <c r="I1295" s="1" t="str">
        <f>IFERROR(VLOOKUP(C1295,'Clients List'!A:F,6,FALSE),"")</f>
        <v/>
      </c>
    </row>
    <row r="1296" spans="1:9" x14ac:dyDescent="0.45">
      <c r="D1296" t="str">
        <f>IFERROR(VLOOKUP(C1296,'Clients List'!$A:$F,2,FALSE),"")</f>
        <v/>
      </c>
      <c r="F1296" s="1" t="str">
        <f>IF(OR(C1296="",NOT(ISNUMBER(SEARCH("Package",D1296)))),"",VLOOKUP(C1296,'Clients List'!$A:$F,4,FALSE)-SUMIFS($E$2:$E1296,$C$2:$C1296,C1296,$D$2:$D1296,"*Package*"))</f>
        <v/>
      </c>
      <c r="G1296" t="str">
        <f t="shared" si="45"/>
        <v/>
      </c>
      <c r="H1296" s="33">
        <f>IF(ISNUMBER(SEARCH("Group",D1296)),IF(G1296="",E1296,IFERROR(E1296/COUNTIF($G2:$G6000,G1296),E1296)),E1296)</f>
        <v>0</v>
      </c>
      <c r="I1296" s="1" t="str">
        <f>IFERROR(VLOOKUP(C1296,'Clients List'!A:F,6,FALSE),"")</f>
        <v/>
      </c>
    </row>
    <row r="1297" spans="4:9" x14ac:dyDescent="0.45">
      <c r="D1297" t="str">
        <f>IFERROR(VLOOKUP(C1297,'Clients List'!$A:$F,2,FALSE),"")</f>
        <v/>
      </c>
      <c r="F1297" s="1" t="str">
        <f>IF(OR(C1297="",NOT(ISNUMBER(SEARCH("Package",D1297)))),"",VLOOKUP(C1297,'Clients List'!$A:$F,4,FALSE)-SUMIFS($E$2:$E1297,$C$2:$C1297,C1297,$D$2:$D1297,"*Package*"))</f>
        <v/>
      </c>
      <c r="G1297" t="str">
        <f t="shared" si="45"/>
        <v/>
      </c>
      <c r="H1297" s="33">
        <f>IF(ISNUMBER(SEARCH("Group",D1297)),IF(G1297="",E1297,IFERROR(E1297/COUNTIF($G2:$G6000,G1297),E1297)),E1297)</f>
        <v>0</v>
      </c>
      <c r="I1297" s="1" t="str">
        <f>IFERROR(VLOOKUP(C1297,'Clients List'!A:F,6,FALSE),"")</f>
        <v/>
      </c>
    </row>
    <row r="1298" spans="4:9" x14ac:dyDescent="0.45">
      <c r="D1298" t="str">
        <f>IFERROR(VLOOKUP(C1298,'Clients List'!$A:$F,2,FALSE),"")</f>
        <v/>
      </c>
      <c r="F1298" s="1" t="str">
        <f>IF(OR(C1298="",NOT(ISNUMBER(SEARCH("Package",D1298)))),"",VLOOKUP(C1298,'Clients List'!$A:$F,4,FALSE)-SUMIFS($E$2:$E1298,$C$2:$C1298,C1298,$D$2:$D1298,"*Package*"))</f>
        <v/>
      </c>
      <c r="G1298" t="str">
        <f t="shared" si="45"/>
        <v/>
      </c>
      <c r="H1298" s="33">
        <f>IF(ISNUMBER(SEARCH("Group",D1298)),IF(G1298="",E1298,IFERROR(E1298/COUNTIF($G2:$G6000,G1298),E1298)),E1298)</f>
        <v>0</v>
      </c>
      <c r="I1298" s="1" t="str">
        <f>IFERROR(VLOOKUP(C1298,'Clients List'!A:F,6,FALSE),"")</f>
        <v/>
      </c>
    </row>
    <row r="1299" spans="4:9" x14ac:dyDescent="0.45">
      <c r="D1299" t="str">
        <f>IFERROR(VLOOKUP(C1299,'Clients List'!$A:$F,2,FALSE),"")</f>
        <v/>
      </c>
      <c r="F1299" s="1" t="str">
        <f>IF(OR(C1299="",NOT(ISNUMBER(SEARCH("Package",D1299)))),"",VLOOKUP(C1299,'Clients List'!$A:$F,4,FALSE)-SUMIFS($E$2:$E1299,$C$2:$C1299,C1299,$D$2:$D1299,"*Package*"))</f>
        <v/>
      </c>
      <c r="G1299" t="str">
        <f t="shared" si="45"/>
        <v/>
      </c>
      <c r="H1299" s="33">
        <f>IF(ISNUMBER(SEARCH("Group",D1299)),IF(G1299="",E1299,IFERROR(E1299/COUNTIF($G2:$G6000,G1299),E1299)),E1299)</f>
        <v>0</v>
      </c>
      <c r="I1299" s="1" t="str">
        <f>IFERROR(VLOOKUP(C1299,'Clients List'!A:F,6,FALSE),"")</f>
        <v/>
      </c>
    </row>
    <row r="1300" spans="4:9" x14ac:dyDescent="0.45">
      <c r="D1300" t="str">
        <f>IFERROR(VLOOKUP(C1300,'Clients List'!$A:$F,2,FALSE),"")</f>
        <v/>
      </c>
      <c r="F1300" s="1" t="str">
        <f>IF(OR(C1300="",NOT(ISNUMBER(SEARCH("Package",D1300)))),"",VLOOKUP(C1300,'Clients List'!$A:$F,4,FALSE)-SUMIFS($E$2:$E1300,$C$2:$C1300,C1300,$D$2:$D1300,"*Package*"))</f>
        <v/>
      </c>
      <c r="G1300" t="str">
        <f t="shared" si="45"/>
        <v/>
      </c>
      <c r="H1300" s="33">
        <f>IF(ISNUMBER(SEARCH("Group",D1300)),IF(G1300="",E1300,IFERROR(E1300/COUNTIF($G2:$G6000,G1300),E1300)),E1300)</f>
        <v>0</v>
      </c>
      <c r="I1300" s="1" t="str">
        <f>IFERROR(VLOOKUP(C1300,'Clients List'!A:F,6,FALSE),"")</f>
        <v/>
      </c>
    </row>
    <row r="1301" spans="4:9" x14ac:dyDescent="0.45">
      <c r="D1301" t="str">
        <f>IFERROR(VLOOKUP(C1301,'Clients List'!$A:$F,2,FALSE),"")</f>
        <v/>
      </c>
      <c r="F1301" s="1" t="str">
        <f>IF(OR(C1301="",NOT(ISNUMBER(SEARCH("Package",D1301)))),"",VLOOKUP(C1301,'Clients List'!$A:$F,4,FALSE)-SUMIFS($E$2:$E1301,$C$2:$C1301,C1301,$D$2:$D1301,"*Package*"))</f>
        <v/>
      </c>
      <c r="G1301" t="str">
        <f t="shared" si="45"/>
        <v/>
      </c>
      <c r="H1301" s="33">
        <f>IF(ISNUMBER(SEARCH("Group",D1301)),IF(G1301="",E1301,IFERROR(E1301/COUNTIF($G2:$G6000,G1301),E1301)),E1301)</f>
        <v>0</v>
      </c>
      <c r="I1301" s="1" t="str">
        <f>IFERROR(VLOOKUP(C1301,'Clients List'!A:F,6,FALSE),"")</f>
        <v/>
      </c>
    </row>
    <row r="1302" spans="4:9" x14ac:dyDescent="0.45">
      <c r="D1302" t="str">
        <f>IFERROR(VLOOKUP(C1302,'Clients List'!$A:$F,2,FALSE),"")</f>
        <v/>
      </c>
      <c r="F1302" s="1" t="str">
        <f>IF(OR(C1302="",NOT(ISNUMBER(SEARCH("Package",D1302)))),"",VLOOKUP(C1302,'Clients List'!$A:$F,4,FALSE)-SUMIFS($E$2:$E1302,$C$2:$C1302,C1302,$D$2:$D1302,"*Package*"))</f>
        <v/>
      </c>
      <c r="G1302" t="str">
        <f t="shared" si="45"/>
        <v/>
      </c>
      <c r="H1302" s="33">
        <f>IF(ISNUMBER(SEARCH("Group",D1302)),IF(G1302="",E1302,IFERROR(E1302/COUNTIF($G2:$G6000,G1302),E1302)),E1302)</f>
        <v>0</v>
      </c>
      <c r="I1302" s="1" t="str">
        <f>IFERROR(VLOOKUP(C1302,'Clients List'!A:F,6,FALSE),"")</f>
        <v/>
      </c>
    </row>
    <row r="1303" spans="4:9" x14ac:dyDescent="0.45">
      <c r="D1303" t="str">
        <f>IFERROR(VLOOKUP(C1303,'Clients List'!$A:$F,2,FALSE),"")</f>
        <v/>
      </c>
      <c r="F1303" s="1" t="str">
        <f>IF(OR(C1303="",NOT(ISNUMBER(SEARCH("Package",D1303)))),"",VLOOKUP(C1303,'Clients List'!$A:$F,4,FALSE)-SUMIFS($E$2:$E1303,$C$2:$C1303,C1303,$D$2:$D1303,"*Package*"))</f>
        <v/>
      </c>
      <c r="G1303" t="str">
        <f t="shared" si="45"/>
        <v/>
      </c>
      <c r="H1303" s="33">
        <f>IF(ISNUMBER(SEARCH("Group",D1303)),IF(G1303="",E1303,IFERROR(E1303/COUNTIF($G2:$G6000,G1303),E1303)),E1303)</f>
        <v>0</v>
      </c>
      <c r="I1303" s="1" t="str">
        <f>IFERROR(VLOOKUP(C1303,'Clients List'!A:F,6,FALSE),"")</f>
        <v/>
      </c>
    </row>
    <row r="1304" spans="4:9" x14ac:dyDescent="0.45">
      <c r="D1304" t="str">
        <f>IFERROR(VLOOKUP(C1304,'Clients List'!$A:$F,2,FALSE),"")</f>
        <v/>
      </c>
      <c r="F1304" s="1" t="str">
        <f>IF(OR(C1304="",NOT(ISNUMBER(SEARCH("Package",D1304)))),"",VLOOKUP(C1304,'Clients List'!$A:$F,4,FALSE)-SUMIFS($E$2:$E1304,$C$2:$C1304,C1304,$D$2:$D1304,"*Package*"))</f>
        <v/>
      </c>
      <c r="G1304" t="str">
        <f t="shared" si="45"/>
        <v/>
      </c>
      <c r="H1304" s="33">
        <f>IF(ISNUMBER(SEARCH("Group",D1304)),IF(G1304="",E1304,IFERROR(E1304/COUNTIF($G2:$G6000,G1304),E1304)),E1304)</f>
        <v>0</v>
      </c>
      <c r="I1304" s="1" t="str">
        <f>IFERROR(VLOOKUP(C1304,'Clients List'!A:F,6,FALSE),"")</f>
        <v/>
      </c>
    </row>
    <row r="1305" spans="4:9" x14ac:dyDescent="0.45">
      <c r="D1305" t="str">
        <f>IFERROR(VLOOKUP(C1305,'Clients List'!$A:$F,2,FALSE),"")</f>
        <v/>
      </c>
      <c r="F1305" s="1" t="str">
        <f>IF(OR(C1305="",NOT(ISNUMBER(SEARCH("Package",D1305)))),"",VLOOKUP(C1305,'Clients List'!$A:$F,4,FALSE)-SUMIFS($E$2:$E1305,$C$2:$C1305,C1305,$D$2:$D1305,"*Package*"))</f>
        <v/>
      </c>
      <c r="G1305" t="str">
        <f t="shared" si="45"/>
        <v/>
      </c>
      <c r="H1305" s="33">
        <f>IF(ISNUMBER(SEARCH("Group",D1305)),IF(G1305="",E1305,IFERROR(E1305/COUNTIF($G2:$G6000,G1305),E1305)),E1305)</f>
        <v>0</v>
      </c>
      <c r="I1305" s="1" t="str">
        <f>IFERROR(VLOOKUP(C1305,'Clients List'!A:F,6,FALSE),"")</f>
        <v/>
      </c>
    </row>
    <row r="1306" spans="4:9" x14ac:dyDescent="0.45">
      <c r="D1306" t="str">
        <f>IFERROR(VLOOKUP(C1306,'Clients List'!$A:$F,2,FALSE),"")</f>
        <v/>
      </c>
      <c r="F1306" s="1" t="str">
        <f>IF(OR(C1306="",NOT(ISNUMBER(SEARCH("Package",D1306)))),"",VLOOKUP(C1306,'Clients List'!$A:$F,4,FALSE)-SUMIFS($E$2:$E1306,$C$2:$C1306,C1306,$D$2:$D1306,"*Package*"))</f>
        <v/>
      </c>
      <c r="G1306" t="str">
        <f t="shared" si="45"/>
        <v/>
      </c>
      <c r="H1306" s="33">
        <f>IF(ISNUMBER(SEARCH("Group",D1306)),IF(G1306="",E1306,IFERROR(E1306/COUNTIF($G2:$G6000,G1306),E1306)),E1306)</f>
        <v>0</v>
      </c>
      <c r="I1306" s="1" t="str">
        <f>IFERROR(VLOOKUP(C1306,'Clients List'!A:F,6,FALSE),"")</f>
        <v/>
      </c>
    </row>
    <row r="1307" spans="4:9" x14ac:dyDescent="0.45">
      <c r="D1307" t="str">
        <f>IFERROR(VLOOKUP(C1307,'Clients List'!$A:$F,2,FALSE),"")</f>
        <v/>
      </c>
      <c r="F1307" s="1" t="str">
        <f>IF(OR(C1307="",NOT(ISNUMBER(SEARCH("Package",D1307)))),"",VLOOKUP(C1307,'Clients List'!$A:$F,4,FALSE)-SUMIFS($E$2:$E1307,$C$2:$C1307,C1307,$D$2:$D1307,"*Package*"))</f>
        <v/>
      </c>
      <c r="G1307" t="str">
        <f t="shared" si="45"/>
        <v/>
      </c>
      <c r="H1307" s="33">
        <f>IF(ISNUMBER(SEARCH("Group",D1307)),IF(G1307="",E1307,IFERROR(E1307/COUNTIF($G2:$G6000,G1307),E1307)),E1307)</f>
        <v>0</v>
      </c>
      <c r="I1307" s="1" t="str">
        <f>IFERROR(VLOOKUP(C1307,'Clients List'!A:F,6,FALSE),"")</f>
        <v/>
      </c>
    </row>
    <row r="1308" spans="4:9" x14ac:dyDescent="0.45">
      <c r="D1308" t="str">
        <f>IFERROR(VLOOKUP(C1308,'Clients List'!$A:$F,2,FALSE),"")</f>
        <v/>
      </c>
      <c r="F1308" s="1" t="str">
        <f>IF(OR(C1308="",NOT(ISNUMBER(SEARCH("Package",D1308)))),"",VLOOKUP(C1308,'Clients List'!$A:$F,4,FALSE)-SUMIFS($E$2:$E1308,$C$2:$C1308,C1308,$D$2:$D1308,"*Package*"))</f>
        <v/>
      </c>
      <c r="G1308" t="str">
        <f t="shared" si="45"/>
        <v/>
      </c>
      <c r="H1308" s="33">
        <f>IF(ISNUMBER(SEARCH("Group",D1308)),IF(G1308="",E1308,IFERROR(E1308/COUNTIF($G2:$G6000,G1308),E1308)),E1308)</f>
        <v>0</v>
      </c>
      <c r="I1308" s="1" t="str">
        <f>IFERROR(VLOOKUP(C1308,'Clients List'!A:F,6,FALSE),"")</f>
        <v/>
      </c>
    </row>
    <row r="1309" spans="4:9" x14ac:dyDescent="0.45">
      <c r="D1309" t="str">
        <f>IFERROR(VLOOKUP(C1309,'Clients List'!$A:$F,2,FALSE),"")</f>
        <v/>
      </c>
      <c r="F1309" s="1" t="str">
        <f>IF(OR(C1309="",NOT(ISNUMBER(SEARCH("Package",D1309)))),"",VLOOKUP(C1309,'Clients List'!$A:$F,4,FALSE)-SUMIFS($E$2:$E1309,$C$2:$C1309,C1309,$D$2:$D1309,"*Package*"))</f>
        <v/>
      </c>
      <c r="G1309" t="str">
        <f t="shared" si="45"/>
        <v/>
      </c>
      <c r="H1309" s="33">
        <f>IF(ISNUMBER(SEARCH("Group",D1309)),IF(G1309="",E1309,IFERROR(E1309/COUNTIF($G2:$G6000,G1309),E1309)),E1309)</f>
        <v>0</v>
      </c>
      <c r="I1309" s="1" t="str">
        <f>IFERROR(VLOOKUP(C1309,'Clients List'!A:F,6,FALSE),"")</f>
        <v/>
      </c>
    </row>
    <row r="1310" spans="4:9" x14ac:dyDescent="0.45">
      <c r="D1310" t="str">
        <f>IFERROR(VLOOKUP(C1310,'Clients List'!$A:$F,2,FALSE),"")</f>
        <v/>
      </c>
      <c r="F1310" s="1" t="str">
        <f>IF(OR(C1310="",NOT(ISNUMBER(SEARCH("Package",D1310)))),"",VLOOKUP(C1310,'Clients List'!$A:$F,4,FALSE)-SUMIFS($E$2:$E1310,$C$2:$C1310,C1310,$D$2:$D1310,"*Package*"))</f>
        <v/>
      </c>
      <c r="G1310" t="str">
        <f t="shared" si="45"/>
        <v/>
      </c>
      <c r="H1310" s="33">
        <f>IF(ISNUMBER(SEARCH("Group",D1310)),IF(G1310="",E1310,IFERROR(E1310/COUNTIF($G2:$G6000,G1310),E1310)),E1310)</f>
        <v>0</v>
      </c>
      <c r="I1310" s="1" t="str">
        <f>IFERROR(VLOOKUP(C1310,'Clients List'!A:F,6,FALSE),"")</f>
        <v/>
      </c>
    </row>
    <row r="1311" spans="4:9" x14ac:dyDescent="0.45">
      <c r="D1311" t="str">
        <f>IFERROR(VLOOKUP(C1311,'Clients List'!$A:$F,2,FALSE),"")</f>
        <v/>
      </c>
      <c r="F1311" s="1" t="str">
        <f>IF(OR(C1311="",NOT(ISNUMBER(SEARCH("Package",D1311)))),"",VLOOKUP(C1311,'Clients List'!$A:$F,4,FALSE)-SUMIFS($E$2:$E1311,$C$2:$C1311,C1311,$D$2:$D1311,"*Package*"))</f>
        <v/>
      </c>
      <c r="G1311" t="str">
        <f t="shared" si="45"/>
        <v/>
      </c>
      <c r="H1311" s="33">
        <f>IF(ISNUMBER(SEARCH("Group",D1311)),IF(G1311="",E1311,IFERROR(E1311/COUNTIF($G2:$G6000,G1311),E1311)),E1311)</f>
        <v>0</v>
      </c>
      <c r="I1311" s="1" t="str">
        <f>IFERROR(VLOOKUP(C1311,'Clients List'!A:F,6,FALSE),"")</f>
        <v/>
      </c>
    </row>
    <row r="1312" spans="4:9" x14ac:dyDescent="0.45">
      <c r="D1312" t="str">
        <f>IFERROR(VLOOKUP(C1312,'Clients List'!$A:$F,2,FALSE),"")</f>
        <v/>
      </c>
      <c r="F1312" s="1" t="str">
        <f>IF(OR(C1312="",NOT(ISNUMBER(SEARCH("Package",D1312)))),"",VLOOKUP(C1312,'Clients List'!$A:$F,4,FALSE)-SUMIFS($E$2:$E1312,$C$2:$C1312,C1312,$D$2:$D1312,"*Package*"))</f>
        <v/>
      </c>
      <c r="G1312" t="str">
        <f t="shared" si="45"/>
        <v/>
      </c>
      <c r="H1312" s="33">
        <f>IF(ISNUMBER(SEARCH("Group",D1312)),IF(G1312="",E1312,IFERROR(E1312/COUNTIF($G2:$G6000,G1312),E1312)),E1312)</f>
        <v>0</v>
      </c>
      <c r="I1312" s="1" t="str">
        <f>IFERROR(VLOOKUP(C1312,'Clients List'!A:F,6,FALSE),"")</f>
        <v/>
      </c>
    </row>
    <row r="1313" spans="4:9" x14ac:dyDescent="0.45">
      <c r="D1313" t="str">
        <f>IFERROR(VLOOKUP(C1313,'Clients List'!$A:$F,2,FALSE),"")</f>
        <v/>
      </c>
      <c r="F1313" s="1" t="str">
        <f>IF(OR(C1313="",NOT(ISNUMBER(SEARCH("Package",D1313)))),"",VLOOKUP(C1313,'Clients List'!$A:$F,4,FALSE)-SUMIFS($E$2:$E1313,$C$2:$C1313,C1313,$D$2:$D1313,"*Package*"))</f>
        <v/>
      </c>
      <c r="G1313" t="str">
        <f t="shared" si="45"/>
        <v/>
      </c>
      <c r="H1313" s="33">
        <f>IF(ISNUMBER(SEARCH("Group",D1313)),IF(G1313="",E1313,IFERROR(E1313/COUNTIF($G2:$G6000,G1313),E1313)),E1313)</f>
        <v>0</v>
      </c>
      <c r="I1313" s="1" t="str">
        <f>IFERROR(VLOOKUP(C1313,'Clients List'!A:F,6,FALSE),"")</f>
        <v/>
      </c>
    </row>
    <row r="1314" spans="4:9" x14ac:dyDescent="0.45">
      <c r="D1314" t="str">
        <f>IFERROR(VLOOKUP(C1314,'Clients List'!$A:$F,2,FALSE),"")</f>
        <v/>
      </c>
      <c r="F1314" s="1" t="str">
        <f>IF(OR(C1314="",NOT(ISNUMBER(SEARCH("Package",D1314)))),"",VLOOKUP(C1314,'Clients List'!$A:$F,4,FALSE)-SUMIFS($E$2:$E1314,$C$2:$C1314,C1314,$D$2:$D1314,"*Package*"))</f>
        <v/>
      </c>
      <c r="G1314" t="str">
        <f t="shared" si="45"/>
        <v/>
      </c>
      <c r="H1314" s="33">
        <f>IF(ISNUMBER(SEARCH("Group",D1314)),IF(G1314="",E1314,IFERROR(E1314/COUNTIF($G2:$G6000,G1314),E1314)),E1314)</f>
        <v>0</v>
      </c>
      <c r="I1314" s="1" t="str">
        <f>IFERROR(VLOOKUP(C1314,'Clients List'!A:F,6,FALSE),"")</f>
        <v/>
      </c>
    </row>
    <row r="1315" spans="4:9" x14ac:dyDescent="0.45">
      <c r="D1315" t="str">
        <f>IFERROR(VLOOKUP(C1315,'Clients List'!$A:$F,2,FALSE),"")</f>
        <v/>
      </c>
      <c r="F1315" s="1" t="str">
        <f>IF(OR(C1315="",NOT(ISNUMBER(SEARCH("Package",D1315)))),"",VLOOKUP(C1315,'Clients List'!$A:$F,4,FALSE)-SUMIFS($E$2:$E1315,$C$2:$C1315,C1315,$D$2:$D1315,"*Package*"))</f>
        <v/>
      </c>
      <c r="G1315" t="str">
        <f t="shared" si="45"/>
        <v/>
      </c>
      <c r="H1315" s="33">
        <f>IF(ISNUMBER(SEARCH("Group",D1315)),IF(G1315="",E1315,IFERROR(E1315/COUNTIF($G2:$G6000,G1315),E1315)),E1315)</f>
        <v>0</v>
      </c>
      <c r="I1315" s="1" t="str">
        <f>IFERROR(VLOOKUP(C1315,'Clients List'!A:F,6,FALSE),"")</f>
        <v/>
      </c>
    </row>
    <row r="1316" spans="4:9" x14ac:dyDescent="0.45">
      <c r="D1316" t="str">
        <f>IFERROR(VLOOKUP(C1316,'Clients List'!$A:$F,2,FALSE),"")</f>
        <v/>
      </c>
      <c r="F1316" s="1" t="str">
        <f>IF(OR(C1316="",NOT(ISNUMBER(SEARCH("Package",D1316)))),"",VLOOKUP(C1316,'Clients List'!$A:$F,4,FALSE)-SUMIFS($E$2:$E1316,$C$2:$C1316,C1316,$D$2:$D1316,"*Package*"))</f>
        <v/>
      </c>
      <c r="G1316" t="str">
        <f t="shared" si="45"/>
        <v/>
      </c>
      <c r="H1316" s="33">
        <f>IF(ISNUMBER(SEARCH("Group",D1316)),IF(G1316="",E1316,IFERROR(E1316/COUNTIF($G2:$G6000,G1316),E1316)),E1316)</f>
        <v>0</v>
      </c>
      <c r="I1316" s="1" t="str">
        <f>IFERROR(VLOOKUP(C1316,'Clients List'!A:F,6,FALSE),"")</f>
        <v/>
      </c>
    </row>
    <row r="1317" spans="4:9" x14ac:dyDescent="0.45">
      <c r="D1317" t="str">
        <f>IFERROR(VLOOKUP(C1317,'Clients List'!$A:$F,2,FALSE),"")</f>
        <v/>
      </c>
      <c r="F1317" s="1" t="str">
        <f>IF(OR(C1317="",NOT(ISNUMBER(SEARCH("Package",D1317)))),"",VLOOKUP(C1317,'Clients List'!$A:$F,4,FALSE)-SUMIFS($E$2:$E1317,$C$2:$C1317,C1317,$D$2:$D1317,"*Package*"))</f>
        <v/>
      </c>
      <c r="G1317" t="str">
        <f t="shared" si="45"/>
        <v/>
      </c>
      <c r="H1317" s="33">
        <f>IF(ISNUMBER(SEARCH("Group",D1317)),IF(G1317="",E1317,IFERROR(E1317/COUNTIF($G2:$G6000,G1317),E1317)),E1317)</f>
        <v>0</v>
      </c>
      <c r="I1317" s="1" t="str">
        <f>IFERROR(VLOOKUP(C1317,'Clients List'!A:F,6,FALSE),"")</f>
        <v/>
      </c>
    </row>
    <row r="1318" spans="4:9" x14ac:dyDescent="0.45">
      <c r="D1318" t="str">
        <f>IFERROR(VLOOKUP(C1318,'Clients List'!$A:$F,2,FALSE),"")</f>
        <v/>
      </c>
      <c r="F1318" s="1" t="str">
        <f>IF(OR(C1318="",NOT(ISNUMBER(SEARCH("Package",D1318)))),"",VLOOKUP(C1318,'Clients List'!$A:$F,4,FALSE)-SUMIFS($E$2:$E1318,$C$2:$C1318,C1318,$D$2:$D1318,"*Package*"))</f>
        <v/>
      </c>
      <c r="G1318" t="str">
        <f t="shared" si="45"/>
        <v/>
      </c>
      <c r="H1318" s="33">
        <f>IF(ISNUMBER(SEARCH("Group",D1318)),IF(G1318="",E1318,IFERROR(E1318/COUNTIF($G2:$G6000,G1318),E1318)),E1318)</f>
        <v>0</v>
      </c>
      <c r="I1318" s="1" t="str">
        <f>IFERROR(VLOOKUP(C1318,'Clients List'!A:F,6,FALSE),"")</f>
        <v/>
      </c>
    </row>
    <row r="1319" spans="4:9" x14ac:dyDescent="0.45">
      <c r="D1319" t="str">
        <f>IFERROR(VLOOKUP(C1319,'Clients List'!$A:$F,2,FALSE),"")</f>
        <v/>
      </c>
      <c r="F1319" s="1" t="str">
        <f>IF(OR(C1319="",NOT(ISNUMBER(SEARCH("Package",D1319)))),"",VLOOKUP(C1319,'Clients List'!$A:$F,4,FALSE)-SUMIFS($E$2:$E1319,$C$2:$C1319,C1319,$D$2:$D1319,"*Package*"))</f>
        <v/>
      </c>
      <c r="G1319" t="str">
        <f t="shared" si="45"/>
        <v/>
      </c>
      <c r="H1319" s="33">
        <f>IF(ISNUMBER(SEARCH("Group",D1319)),IF(G1319="",E1319,IFERROR(E1319/COUNTIF($G2:$G6000,G1319),E1319)),E1319)</f>
        <v>0</v>
      </c>
      <c r="I1319" s="1" t="str">
        <f>IFERROR(VLOOKUP(C1319,'Clients List'!A:F,6,FALSE),"")</f>
        <v/>
      </c>
    </row>
    <row r="1320" spans="4:9" x14ac:dyDescent="0.45">
      <c r="D1320" t="str">
        <f>IFERROR(VLOOKUP(C1320,'Clients List'!$A:$F,2,FALSE),"")</f>
        <v/>
      </c>
      <c r="F1320" s="1" t="str">
        <f>IF(OR(C1320="",NOT(ISNUMBER(SEARCH("Package",D1320)))),"",VLOOKUP(C1320,'Clients List'!$A:$F,4,FALSE)-SUMIFS($E$2:$E1320,$C$2:$C1320,C1320,$D$2:$D1320,"*Package*"))</f>
        <v/>
      </c>
      <c r="G1320" t="str">
        <f t="shared" si="45"/>
        <v/>
      </c>
      <c r="H1320" s="33">
        <f>IF(ISNUMBER(SEARCH("Group",D1320)),IF(G1320="",E1320,IFERROR(E1320/COUNTIF($G2:$G6000,G1320),E1320)),E1320)</f>
        <v>0</v>
      </c>
      <c r="I1320" s="1" t="str">
        <f>IFERROR(VLOOKUP(C1320,'Clients List'!A:F,6,FALSE),"")</f>
        <v/>
      </c>
    </row>
    <row r="1321" spans="4:9" x14ac:dyDescent="0.45">
      <c r="D1321" t="str">
        <f>IFERROR(VLOOKUP(C1321,'Clients List'!$A:$F,2,FALSE),"")</f>
        <v/>
      </c>
      <c r="F1321" s="1" t="str">
        <f>IF(OR(C1321="",NOT(ISNUMBER(SEARCH("Package",D1321)))),"",VLOOKUP(C1321,'Clients List'!$A:$F,4,FALSE)-SUMIFS($E$2:$E1321,$C$2:$C1321,C1321,$D$2:$D1321,"*Package*"))</f>
        <v/>
      </c>
      <c r="G1321" t="str">
        <f t="shared" si="45"/>
        <v/>
      </c>
      <c r="H1321" s="33">
        <f>IF(ISNUMBER(SEARCH("Group",D1321)),IF(G1321="",E1321,IFERROR(E1321/COUNTIF($G2:$G6000,G1321),E1321)),E1321)</f>
        <v>0</v>
      </c>
      <c r="I1321" s="1" t="str">
        <f>IFERROR(VLOOKUP(C1321,'Clients List'!A:F,6,FALSE),"")</f>
        <v/>
      </c>
    </row>
    <row r="1322" spans="4:9" x14ac:dyDescent="0.45">
      <c r="D1322" t="str">
        <f>IFERROR(VLOOKUP(C1322,'Clients List'!$A:$F,2,FALSE),"")</f>
        <v/>
      </c>
      <c r="F1322" s="1" t="str">
        <f>IF(OR(C1322="",NOT(ISNUMBER(SEARCH("Package",D1322)))),"",VLOOKUP(C1322,'Clients List'!$A:$F,4,FALSE)-SUMIFS($E$2:$E1322,$C$2:$C1322,C1322,$D$2:$D1322,"*Package*"))</f>
        <v/>
      </c>
      <c r="G1322" t="str">
        <f t="shared" ref="G1322:G1353" si="46">IF(ISNUMBER(SEARCH("Group",D1322)),IFERROR("GRP-"&amp;TEXT(IF(ISNUMBER(A1322),A1322,DATEVALUE(A1322)),"yyyymmdd"),""),"" )</f>
        <v/>
      </c>
      <c r="H1322" s="33">
        <f>IF(ISNUMBER(SEARCH("Group",D1322)),IF(G1322="",E1322,IFERROR(E1322/COUNTIF($G2:$G6000,G1322),E1322)),E1322)</f>
        <v>0</v>
      </c>
      <c r="I1322" s="1" t="str">
        <f>IFERROR(VLOOKUP(C1322,'Clients List'!A:F,6,FALSE),"")</f>
        <v/>
      </c>
    </row>
    <row r="1323" spans="4:9" x14ac:dyDescent="0.45">
      <c r="D1323" t="str">
        <f>IFERROR(VLOOKUP(C1323,'Clients List'!$A:$F,2,FALSE),"")</f>
        <v/>
      </c>
      <c r="F1323" s="1" t="str">
        <f>IF(OR(C1323="",NOT(ISNUMBER(SEARCH("Package",D1323)))),"",VLOOKUP(C1323,'Clients List'!$A:$F,4,FALSE)-SUMIFS($E$2:$E1323,$C$2:$C1323,C1323,$D$2:$D1323,"*Package*"))</f>
        <v/>
      </c>
      <c r="G1323" t="str">
        <f t="shared" si="46"/>
        <v/>
      </c>
      <c r="H1323" s="33">
        <f>IF(ISNUMBER(SEARCH("Group",D1323)),IF(G1323="",E1323,IFERROR(E1323/COUNTIF($G2:$G6000,G1323),E1323)),E1323)</f>
        <v>0</v>
      </c>
      <c r="I1323" s="1" t="str">
        <f>IFERROR(VLOOKUP(C1323,'Clients List'!A:F,6,FALSE),"")</f>
        <v/>
      </c>
    </row>
    <row r="1324" spans="4:9" x14ac:dyDescent="0.45">
      <c r="D1324" t="str">
        <f>IFERROR(VLOOKUP(C1324,'Clients List'!$A:$F,2,FALSE),"")</f>
        <v/>
      </c>
      <c r="F1324" s="1" t="str">
        <f>IF(OR(C1324="",NOT(ISNUMBER(SEARCH("Package",D1324)))),"",VLOOKUP(C1324,'Clients List'!$A:$F,4,FALSE)-SUMIFS($E$2:$E1324,$C$2:$C1324,C1324,$D$2:$D1324,"*Package*"))</f>
        <v/>
      </c>
      <c r="G1324" t="str">
        <f t="shared" si="46"/>
        <v/>
      </c>
      <c r="H1324" s="33">
        <f>IF(ISNUMBER(SEARCH("Group",D1324)),IF(G1324="",E1324,IFERROR(E1324/COUNTIF($G2:$G6000,G1324),E1324)),E1324)</f>
        <v>0</v>
      </c>
      <c r="I1324" s="1" t="str">
        <f>IFERROR(VLOOKUP(C1324,'Clients List'!A:F,6,FALSE),"")</f>
        <v/>
      </c>
    </row>
    <row r="1325" spans="4:9" x14ac:dyDescent="0.45">
      <c r="D1325" t="str">
        <f>IFERROR(VLOOKUP(C1325,'Clients List'!$A:$F,2,FALSE),"")</f>
        <v/>
      </c>
      <c r="F1325" s="1" t="str">
        <f>IF(OR(C1325="",NOT(ISNUMBER(SEARCH("Package",D1325)))),"",VLOOKUP(C1325,'Clients List'!$A:$F,4,FALSE)-SUMIFS($E$2:$E1325,$C$2:$C1325,C1325,$D$2:$D1325,"*Package*"))</f>
        <v/>
      </c>
      <c r="G1325" t="str">
        <f t="shared" si="46"/>
        <v/>
      </c>
      <c r="H1325" s="33">
        <f>IF(ISNUMBER(SEARCH("Group",D1325)),IF(G1325="",E1325,IFERROR(E1325/COUNTIF($G2:$G6000,G1325),E1325)),E1325)</f>
        <v>0</v>
      </c>
      <c r="I1325" s="1" t="str">
        <f>IFERROR(VLOOKUP(C1325,'Clients List'!A:F,6,FALSE),"")</f>
        <v/>
      </c>
    </row>
    <row r="1326" spans="4:9" x14ac:dyDescent="0.45">
      <c r="D1326" t="str">
        <f>IFERROR(VLOOKUP(C1326,'Clients List'!$A:$F,2,FALSE),"")</f>
        <v/>
      </c>
      <c r="F1326" s="1" t="str">
        <f>IF(OR(C1326="",NOT(ISNUMBER(SEARCH("Package",D1326)))),"",VLOOKUP(C1326,'Clients List'!$A:$F,4,FALSE)-SUMIFS($E$2:$E1326,$C$2:$C1326,C1326,$D$2:$D1326,"*Package*"))</f>
        <v/>
      </c>
      <c r="G1326" t="str">
        <f t="shared" si="46"/>
        <v/>
      </c>
      <c r="H1326" s="33">
        <f>IF(ISNUMBER(SEARCH("Group",D1326)),IF(G1326="",E1326,IFERROR(E1326/COUNTIF($G2:$G6000,G1326),E1326)),E1326)</f>
        <v>0</v>
      </c>
      <c r="I1326" s="1" t="str">
        <f>IFERROR(VLOOKUP(C1326,'Clients List'!A:F,6,FALSE),"")</f>
        <v/>
      </c>
    </row>
    <row r="1327" spans="4:9" x14ac:dyDescent="0.45">
      <c r="D1327" t="str">
        <f>IFERROR(VLOOKUP(C1327,'Clients List'!$A:$F,2,FALSE),"")</f>
        <v/>
      </c>
      <c r="F1327" s="1" t="str">
        <f>IF(OR(C1327="",NOT(ISNUMBER(SEARCH("Package",D1327)))),"",VLOOKUP(C1327,'Clients List'!$A:$F,4,FALSE)-SUMIFS($E$2:$E1327,$C$2:$C1327,C1327,$D$2:$D1327,"*Package*"))</f>
        <v/>
      </c>
      <c r="G1327" t="str">
        <f t="shared" si="46"/>
        <v/>
      </c>
      <c r="H1327" s="33">
        <f>IF(ISNUMBER(SEARCH("Group",D1327)),IF(G1327="",E1327,IFERROR(E1327/COUNTIF($G2:$G6000,G1327),E1327)),E1327)</f>
        <v>0</v>
      </c>
      <c r="I1327" s="1" t="str">
        <f>IFERROR(VLOOKUP(C1327,'Clients List'!A:F,6,FALSE),"")</f>
        <v/>
      </c>
    </row>
    <row r="1328" spans="4:9" x14ac:dyDescent="0.45">
      <c r="D1328" t="str">
        <f>IFERROR(VLOOKUP(C1328,'Clients List'!$A:$F,2,FALSE),"")</f>
        <v/>
      </c>
      <c r="F1328" s="1" t="str">
        <f>IF(OR(C1328="",NOT(ISNUMBER(SEARCH("Package",D1328)))),"",VLOOKUP(C1328,'Clients List'!$A:$F,4,FALSE)-SUMIFS($E$2:$E1328,$C$2:$C1328,C1328,$D$2:$D1328,"*Package*"))</f>
        <v/>
      </c>
      <c r="G1328" t="str">
        <f t="shared" si="46"/>
        <v/>
      </c>
      <c r="H1328" s="33">
        <f>IF(ISNUMBER(SEARCH("Group",D1328)),IF(G1328="",E1328,IFERROR(E1328/COUNTIF($G2:$G6000,G1328),E1328)),E1328)</f>
        <v>0</v>
      </c>
      <c r="I1328" s="1" t="str">
        <f>IFERROR(VLOOKUP(C1328,'Clients List'!A:F,6,FALSE),"")</f>
        <v/>
      </c>
    </row>
    <row r="1329" spans="4:9" x14ac:dyDescent="0.45">
      <c r="D1329" t="str">
        <f>IFERROR(VLOOKUP(C1329,'Clients List'!$A:$F,2,FALSE),"")</f>
        <v/>
      </c>
      <c r="F1329" s="1" t="str">
        <f>IF(OR(C1329="",NOT(ISNUMBER(SEARCH("Package",D1329)))),"",VLOOKUP(C1329,'Clients List'!$A:$F,4,FALSE)-SUMIFS($E$2:$E1329,$C$2:$C1329,C1329,$D$2:$D1329,"*Package*"))</f>
        <v/>
      </c>
      <c r="G1329" t="str">
        <f t="shared" si="46"/>
        <v/>
      </c>
      <c r="H1329" s="33">
        <f>IF(ISNUMBER(SEARCH("Group",D1329)),IF(G1329="",E1329,IFERROR(E1329/COUNTIF($G2:$G6000,G1329),E1329)),E1329)</f>
        <v>0</v>
      </c>
      <c r="I1329" s="1" t="str">
        <f>IFERROR(VLOOKUP(C1329,'Clients List'!A:F,6,FALSE),"")</f>
        <v/>
      </c>
    </row>
    <row r="1330" spans="4:9" x14ac:dyDescent="0.45">
      <c r="D1330" t="str">
        <f>IFERROR(VLOOKUP(C1330,'Clients List'!$A:$F,2,FALSE),"")</f>
        <v/>
      </c>
      <c r="F1330" s="1" t="str">
        <f>IF(OR(C1330="",NOT(ISNUMBER(SEARCH("Package",D1330)))),"",VLOOKUP(C1330,'Clients List'!$A:$F,4,FALSE)-SUMIFS($E$2:$E1330,$C$2:$C1330,C1330,$D$2:$D1330,"*Package*"))</f>
        <v/>
      </c>
      <c r="G1330" t="str">
        <f t="shared" si="46"/>
        <v/>
      </c>
      <c r="H1330" s="33">
        <f>IF(ISNUMBER(SEARCH("Group",D1330)),IF(G1330="",E1330,IFERROR(E1330/COUNTIF($G2:$G6000,G1330),E1330)),E1330)</f>
        <v>0</v>
      </c>
      <c r="I1330" s="1" t="str">
        <f>IFERROR(VLOOKUP(C1330,'Clients List'!A:F,6,FALSE),"")</f>
        <v/>
      </c>
    </row>
    <row r="1331" spans="4:9" x14ac:dyDescent="0.45">
      <c r="D1331" t="str">
        <f>IFERROR(VLOOKUP(C1331,'Clients List'!$A:$F,2,FALSE),"")</f>
        <v/>
      </c>
      <c r="F1331" s="1" t="str">
        <f>IF(OR(C1331="",NOT(ISNUMBER(SEARCH("Package",D1331)))),"",VLOOKUP(C1331,'Clients List'!$A:$F,4,FALSE)-SUMIFS($E$2:$E1331,$C$2:$C1331,C1331,$D$2:$D1331,"*Package*"))</f>
        <v/>
      </c>
      <c r="G1331" t="str">
        <f t="shared" si="46"/>
        <v/>
      </c>
      <c r="H1331" s="33">
        <f>IF(ISNUMBER(SEARCH("Group",D1331)),IF(G1331="",E1331,IFERROR(E1331/COUNTIF($G2:$G6000,G1331),E1331)),E1331)</f>
        <v>0</v>
      </c>
      <c r="I1331" s="1" t="str">
        <f>IFERROR(VLOOKUP(C1331,'Clients List'!A:F,6,FALSE),"")</f>
        <v/>
      </c>
    </row>
    <row r="1332" spans="4:9" x14ac:dyDescent="0.45">
      <c r="D1332" t="str">
        <f>IFERROR(VLOOKUP(C1332,'Clients List'!$A:$F,2,FALSE),"")</f>
        <v/>
      </c>
      <c r="F1332" s="1" t="str">
        <f>IF(OR(C1332="",NOT(ISNUMBER(SEARCH("Package",D1332)))),"",VLOOKUP(C1332,'Clients List'!$A:$F,4,FALSE)-SUMIFS($E$2:$E1332,$C$2:$C1332,C1332,$D$2:$D1332,"*Package*"))</f>
        <v/>
      </c>
      <c r="G1332" t="str">
        <f t="shared" si="46"/>
        <v/>
      </c>
      <c r="H1332" s="33">
        <f>IF(ISNUMBER(SEARCH("Group",D1332)),IF(G1332="",E1332,IFERROR(E1332/COUNTIF($G2:$G6000,G1332),E1332)),E1332)</f>
        <v>0</v>
      </c>
      <c r="I1332" s="1" t="str">
        <f>IFERROR(VLOOKUP(C1332,'Clients List'!A:F,6,FALSE),"")</f>
        <v/>
      </c>
    </row>
    <row r="1333" spans="4:9" x14ac:dyDescent="0.45">
      <c r="D1333" t="str">
        <f>IFERROR(VLOOKUP(C1333,'Clients List'!$A:$F,2,FALSE),"")</f>
        <v/>
      </c>
      <c r="F1333" s="1" t="str">
        <f>IF(OR(C1333="",NOT(ISNUMBER(SEARCH("Package",D1333)))),"",VLOOKUP(C1333,'Clients List'!$A:$F,4,FALSE)-SUMIFS($E$2:$E1333,$C$2:$C1333,C1333,$D$2:$D1333,"*Package*"))</f>
        <v/>
      </c>
      <c r="G1333" t="str">
        <f t="shared" si="46"/>
        <v/>
      </c>
      <c r="H1333" s="33">
        <f>IF(ISNUMBER(SEARCH("Group",D1333)),IF(G1333="",E1333,IFERROR(E1333/COUNTIF($G2:$G6000,G1333),E1333)),E1333)</f>
        <v>0</v>
      </c>
      <c r="I1333" s="1" t="str">
        <f>IFERROR(VLOOKUP(C1333,'Clients List'!A:F,6,FALSE),"")</f>
        <v/>
      </c>
    </row>
    <row r="1334" spans="4:9" x14ac:dyDescent="0.45">
      <c r="D1334" t="str">
        <f>IFERROR(VLOOKUP(C1334,'Clients List'!$A:$F,2,FALSE),"")</f>
        <v/>
      </c>
      <c r="F1334" s="1" t="str">
        <f>IF(OR(C1334="",NOT(ISNUMBER(SEARCH("Package",D1334)))),"",VLOOKUP(C1334,'Clients List'!$A:$F,4,FALSE)-SUMIFS($E$2:$E1334,$C$2:$C1334,C1334,$D$2:$D1334,"*Package*"))</f>
        <v/>
      </c>
      <c r="G1334" t="str">
        <f t="shared" si="46"/>
        <v/>
      </c>
      <c r="H1334" s="33">
        <f>IF(ISNUMBER(SEARCH("Group",D1334)),IF(G1334="",E1334,IFERROR(E1334/COUNTIF($G2:$G6000,G1334),E1334)),E1334)</f>
        <v>0</v>
      </c>
      <c r="I1334" s="1" t="str">
        <f>IFERROR(VLOOKUP(C1334,'Clients List'!A:F,6,FALSE),"")</f>
        <v/>
      </c>
    </row>
    <row r="1335" spans="4:9" x14ac:dyDescent="0.45">
      <c r="D1335" t="str">
        <f>IFERROR(VLOOKUP(C1335,'Clients List'!$A:$F,2,FALSE),"")</f>
        <v/>
      </c>
      <c r="F1335" s="1" t="str">
        <f>IF(OR(C1335="",NOT(ISNUMBER(SEARCH("Package",D1335)))),"",VLOOKUP(C1335,'Clients List'!$A:$F,4,FALSE)-SUMIFS($E$2:$E1335,$C$2:$C1335,C1335,$D$2:$D1335,"*Package*"))</f>
        <v/>
      </c>
      <c r="G1335" t="str">
        <f t="shared" si="46"/>
        <v/>
      </c>
      <c r="H1335" s="33">
        <f>IF(ISNUMBER(SEARCH("Group",D1335)),IF(G1335="",E1335,IFERROR(E1335/COUNTIF($G2:$G6000,G1335),E1335)),E1335)</f>
        <v>0</v>
      </c>
      <c r="I1335" s="1" t="str">
        <f>IFERROR(VLOOKUP(C1335,'Clients List'!A:F,6,FALSE),"")</f>
        <v/>
      </c>
    </row>
    <row r="1336" spans="4:9" x14ac:dyDescent="0.45">
      <c r="D1336" t="str">
        <f>IFERROR(VLOOKUP(C1336,'Clients List'!$A:$F,2,FALSE),"")</f>
        <v/>
      </c>
      <c r="F1336" s="1" t="str">
        <f>IF(OR(C1336="",NOT(ISNUMBER(SEARCH("Package",D1336)))),"",VLOOKUP(C1336,'Clients List'!$A:$F,4,FALSE)-SUMIFS($E$2:$E1336,$C$2:$C1336,C1336,$D$2:$D1336,"*Package*"))</f>
        <v/>
      </c>
      <c r="G1336" t="str">
        <f t="shared" si="46"/>
        <v/>
      </c>
      <c r="H1336" s="33">
        <f>IF(ISNUMBER(SEARCH("Group",D1336)),IF(G1336="",E1336,IFERROR(E1336/COUNTIF($G2:$G6000,G1336),E1336)),E1336)</f>
        <v>0</v>
      </c>
      <c r="I1336" s="1" t="str">
        <f>IFERROR(VLOOKUP(C1336,'Clients List'!A:F,6,FALSE),"")</f>
        <v/>
      </c>
    </row>
    <row r="1337" spans="4:9" x14ac:dyDescent="0.45">
      <c r="D1337" t="str">
        <f>IFERROR(VLOOKUP(C1337,'Clients List'!$A:$F,2,FALSE),"")</f>
        <v/>
      </c>
      <c r="F1337" s="1" t="str">
        <f>IF(OR(C1337="",NOT(ISNUMBER(SEARCH("Package",D1337)))),"",VLOOKUP(C1337,'Clients List'!$A:$F,4,FALSE)-SUMIFS($E$2:$E1337,$C$2:$C1337,C1337,$D$2:$D1337,"*Package*"))</f>
        <v/>
      </c>
      <c r="G1337" t="str">
        <f t="shared" si="46"/>
        <v/>
      </c>
      <c r="H1337" s="33">
        <f>IF(ISNUMBER(SEARCH("Group",D1337)),IF(G1337="",E1337,IFERROR(E1337/COUNTIF($G2:$G6000,G1337),E1337)),E1337)</f>
        <v>0</v>
      </c>
      <c r="I1337" s="1" t="str">
        <f>IFERROR(VLOOKUP(C1337,'Clients List'!A:F,6,FALSE),"")</f>
        <v/>
      </c>
    </row>
    <row r="1338" spans="4:9" x14ac:dyDescent="0.45">
      <c r="D1338" t="str">
        <f>IFERROR(VLOOKUP(C1338,'Clients List'!$A:$F,2,FALSE),"")</f>
        <v/>
      </c>
      <c r="F1338" s="1" t="str">
        <f>IF(OR(C1338="",NOT(ISNUMBER(SEARCH("Package",D1338)))),"",VLOOKUP(C1338,'Clients List'!$A:$F,4,FALSE)-SUMIFS($E$2:$E1338,$C$2:$C1338,C1338,$D$2:$D1338,"*Package*"))</f>
        <v/>
      </c>
      <c r="G1338" t="str">
        <f t="shared" si="46"/>
        <v/>
      </c>
      <c r="H1338" s="33">
        <f>IF(ISNUMBER(SEARCH("Group",D1338)),IF(G1338="",E1338,IFERROR(E1338/COUNTIF($G2:$G6000,G1338),E1338)),E1338)</f>
        <v>0</v>
      </c>
      <c r="I1338" s="1" t="str">
        <f>IFERROR(VLOOKUP(C1338,'Clients List'!A:F,6,FALSE),"")</f>
        <v/>
      </c>
    </row>
    <row r="1339" spans="4:9" x14ac:dyDescent="0.45">
      <c r="D1339" t="str">
        <f>IFERROR(VLOOKUP(C1339,'Clients List'!$A:$F,2,FALSE),"")</f>
        <v/>
      </c>
      <c r="F1339" s="1" t="str">
        <f>IF(OR(C1339="",NOT(ISNUMBER(SEARCH("Package",D1339)))),"",VLOOKUP(C1339,'Clients List'!$A:$F,4,FALSE)-SUMIFS($E$2:$E1339,$C$2:$C1339,C1339,$D$2:$D1339,"*Package*"))</f>
        <v/>
      </c>
      <c r="G1339" t="str">
        <f t="shared" si="46"/>
        <v/>
      </c>
      <c r="H1339" s="33">
        <f>IF(ISNUMBER(SEARCH("Group",D1339)),IF(G1339="",E1339,IFERROR(E1339/COUNTIF($G2:$G6000,G1339),E1339)),E1339)</f>
        <v>0</v>
      </c>
      <c r="I1339" s="1" t="str">
        <f>IFERROR(VLOOKUP(C1339,'Clients List'!A:F,6,FALSE),"")</f>
        <v/>
      </c>
    </row>
    <row r="1340" spans="4:9" x14ac:dyDescent="0.45">
      <c r="D1340" t="str">
        <f>IFERROR(VLOOKUP(C1340,'Clients List'!$A:$F,2,FALSE),"")</f>
        <v/>
      </c>
      <c r="F1340" s="1" t="str">
        <f>IF(OR(C1340="",NOT(ISNUMBER(SEARCH("Package",D1340)))),"",VLOOKUP(C1340,'Clients List'!$A:$F,4,FALSE)-SUMIFS($E$2:$E1340,$C$2:$C1340,C1340,$D$2:$D1340,"*Package*"))</f>
        <v/>
      </c>
      <c r="G1340" t="str">
        <f t="shared" si="46"/>
        <v/>
      </c>
      <c r="H1340" s="33">
        <f>IF(ISNUMBER(SEARCH("Group",D1340)),IF(G1340="",E1340,IFERROR(E1340/COUNTIF($G2:$G6000,G1340),E1340)),E1340)</f>
        <v>0</v>
      </c>
      <c r="I1340" s="1" t="str">
        <f>IFERROR(VLOOKUP(C1340,'Clients List'!A:F,6,FALSE),"")</f>
        <v/>
      </c>
    </row>
    <row r="1341" spans="4:9" x14ac:dyDescent="0.45">
      <c r="D1341" t="str">
        <f>IFERROR(VLOOKUP(C1341,'Clients List'!$A:$F,2,FALSE),"")</f>
        <v/>
      </c>
      <c r="F1341" s="1" t="str">
        <f>IF(OR(C1341="",NOT(ISNUMBER(SEARCH("Package",D1341)))),"",VLOOKUP(C1341,'Clients List'!$A:$F,4,FALSE)-SUMIFS($E$2:$E1341,$C$2:$C1341,C1341,$D$2:$D1341,"*Package*"))</f>
        <v/>
      </c>
      <c r="G1341" t="str">
        <f t="shared" si="46"/>
        <v/>
      </c>
      <c r="H1341" s="33">
        <f>IF(ISNUMBER(SEARCH("Group",D1341)),IF(G1341="",E1341,IFERROR(E1341/COUNTIF($G2:$G6000,G1341),E1341)),E1341)</f>
        <v>0</v>
      </c>
      <c r="I1341" s="1" t="str">
        <f>IFERROR(VLOOKUP(C1341,'Clients List'!A:F,6,FALSE),"")</f>
        <v/>
      </c>
    </row>
    <row r="1342" spans="4:9" x14ac:dyDescent="0.45">
      <c r="D1342" t="str">
        <f>IFERROR(VLOOKUP(C1342,'Clients List'!$A:$F,2,FALSE),"")</f>
        <v/>
      </c>
      <c r="F1342" s="1" t="str">
        <f>IF(OR(C1342="",NOT(ISNUMBER(SEARCH("Package",D1342)))),"",VLOOKUP(C1342,'Clients List'!$A:$F,4,FALSE)-SUMIFS($E$2:$E1342,$C$2:$C1342,C1342,$D$2:$D1342,"*Package*"))</f>
        <v/>
      </c>
      <c r="G1342" t="str">
        <f t="shared" si="46"/>
        <v/>
      </c>
      <c r="H1342" s="33">
        <f>IF(ISNUMBER(SEARCH("Group",D1342)),IF(G1342="",E1342,IFERROR(E1342/COUNTIF($G2:$G6000,G1342),E1342)),E1342)</f>
        <v>0</v>
      </c>
      <c r="I1342" s="1" t="str">
        <f>IFERROR(VLOOKUP(C1342,'Clients List'!A:F,6,FALSE),"")</f>
        <v/>
      </c>
    </row>
    <row r="1343" spans="4:9" x14ac:dyDescent="0.45">
      <c r="D1343" t="str">
        <f>IFERROR(VLOOKUP(C1343,'Clients List'!$A:$F,2,FALSE),"")</f>
        <v/>
      </c>
      <c r="F1343" s="1" t="str">
        <f>IF(OR(C1343="",NOT(ISNUMBER(SEARCH("Package",D1343)))),"",VLOOKUP(C1343,'Clients List'!$A:$F,4,FALSE)-SUMIFS($E$2:$E1343,$C$2:$C1343,C1343,$D$2:$D1343,"*Package*"))</f>
        <v/>
      </c>
      <c r="G1343" t="str">
        <f t="shared" si="46"/>
        <v/>
      </c>
      <c r="H1343" s="33">
        <f>IF(ISNUMBER(SEARCH("Group",D1343)),IF(G1343="",E1343,IFERROR(E1343/COUNTIF($G2:$G6000,G1343),E1343)),E1343)</f>
        <v>0</v>
      </c>
      <c r="I1343" s="1" t="str">
        <f>IFERROR(VLOOKUP(C1343,'Clients List'!A:F,6,FALSE),"")</f>
        <v/>
      </c>
    </row>
    <row r="1344" spans="4:9" x14ac:dyDescent="0.45">
      <c r="D1344" t="str">
        <f>IFERROR(VLOOKUP(C1344,'Clients List'!$A:$F,2,FALSE),"")</f>
        <v/>
      </c>
      <c r="F1344" s="1" t="str">
        <f>IF(OR(C1344="",NOT(ISNUMBER(SEARCH("Package",D1344)))),"",VLOOKUP(C1344,'Clients List'!$A:$F,4,FALSE)-SUMIFS($E$2:$E1344,$C$2:$C1344,C1344,$D$2:$D1344,"*Package*"))</f>
        <v/>
      </c>
      <c r="G1344" t="str">
        <f t="shared" si="46"/>
        <v/>
      </c>
      <c r="H1344" s="33">
        <f>IF(ISNUMBER(SEARCH("Group",D1344)),IF(G1344="",E1344,IFERROR(E1344/COUNTIF($G2:$G6000,G1344),E1344)),E1344)</f>
        <v>0</v>
      </c>
      <c r="I1344" s="1" t="str">
        <f>IFERROR(VLOOKUP(C1344,'Clients List'!A:F,6,FALSE),"")</f>
        <v/>
      </c>
    </row>
    <row r="1345" spans="4:9" x14ac:dyDescent="0.45">
      <c r="D1345" t="str">
        <f>IFERROR(VLOOKUP(C1345,'Clients List'!$A:$F,2,FALSE),"")</f>
        <v/>
      </c>
      <c r="F1345" s="1" t="str">
        <f>IF(OR(C1345="",NOT(ISNUMBER(SEARCH("Package",D1345)))),"",VLOOKUP(C1345,'Clients List'!$A:$F,4,FALSE)-SUMIFS($E$2:$E1345,$C$2:$C1345,C1345,$D$2:$D1345,"*Package*"))</f>
        <v/>
      </c>
      <c r="G1345" t="str">
        <f t="shared" si="46"/>
        <v/>
      </c>
      <c r="H1345" s="33">
        <f>IF(ISNUMBER(SEARCH("Group",D1345)),IF(G1345="",E1345,IFERROR(E1345/COUNTIF($G2:$G6000,G1345),E1345)),E1345)</f>
        <v>0</v>
      </c>
      <c r="I1345" s="1" t="str">
        <f>IFERROR(VLOOKUP(C1345,'Clients List'!A:F,6,FALSE),"")</f>
        <v/>
      </c>
    </row>
    <row r="1346" spans="4:9" x14ac:dyDescent="0.45">
      <c r="D1346" t="str">
        <f>IFERROR(VLOOKUP(C1346,'Clients List'!$A:$F,2,FALSE),"")</f>
        <v/>
      </c>
      <c r="F1346" s="1" t="str">
        <f>IF(OR(C1346="",NOT(ISNUMBER(SEARCH("Package",D1346)))),"",VLOOKUP(C1346,'Clients List'!$A:$F,4,FALSE)-SUMIFS($E$2:$E1346,$C$2:$C1346,C1346,$D$2:$D1346,"*Package*"))</f>
        <v/>
      </c>
      <c r="G1346" t="str">
        <f t="shared" si="46"/>
        <v/>
      </c>
      <c r="H1346" s="33">
        <f>IF(ISNUMBER(SEARCH("Group",D1346)),IF(G1346="",E1346,IFERROR(E1346/COUNTIF($G2:$G6000,G1346),E1346)),E1346)</f>
        <v>0</v>
      </c>
      <c r="I1346" s="1" t="str">
        <f>IFERROR(VLOOKUP(C1346,'Clients List'!A:F,6,FALSE),"")</f>
        <v/>
      </c>
    </row>
    <row r="1347" spans="4:9" x14ac:dyDescent="0.45">
      <c r="D1347" t="str">
        <f>IFERROR(VLOOKUP(C1347,'Clients List'!$A:$F,2,FALSE),"")</f>
        <v/>
      </c>
      <c r="F1347" s="1" t="str">
        <f>IF(OR(C1347="",NOT(ISNUMBER(SEARCH("Package",D1347)))),"",VLOOKUP(C1347,'Clients List'!$A:$F,4,FALSE)-SUMIFS($E$2:$E1347,$C$2:$C1347,C1347,$D$2:$D1347,"*Package*"))</f>
        <v/>
      </c>
      <c r="G1347" t="str">
        <f t="shared" si="46"/>
        <v/>
      </c>
      <c r="H1347" s="33">
        <f>IF(ISNUMBER(SEARCH("Group",D1347)),IF(G1347="",E1347,IFERROR(E1347/COUNTIF($G2:$G6000,G1347),E1347)),E1347)</f>
        <v>0</v>
      </c>
      <c r="I1347" s="1" t="str">
        <f>IFERROR(VLOOKUP(C1347,'Clients List'!A:F,6,FALSE),"")</f>
        <v/>
      </c>
    </row>
    <row r="1348" spans="4:9" x14ac:dyDescent="0.45">
      <c r="D1348" t="str">
        <f>IFERROR(VLOOKUP(C1348,'Clients List'!$A:$F,2,FALSE),"")</f>
        <v/>
      </c>
      <c r="F1348" s="1" t="str">
        <f>IF(OR(C1348="",NOT(ISNUMBER(SEARCH("Package",D1348)))),"",VLOOKUP(C1348,'Clients List'!$A:$F,4,FALSE)-SUMIFS($E$2:$E1348,$C$2:$C1348,C1348,$D$2:$D1348,"*Package*"))</f>
        <v/>
      </c>
      <c r="G1348" t="str">
        <f t="shared" si="46"/>
        <v/>
      </c>
      <c r="H1348" s="33">
        <f>IF(ISNUMBER(SEARCH("Group",D1348)),IF(G1348="",E1348,IFERROR(E1348/COUNTIF($G2:$G6000,G1348),E1348)),E1348)</f>
        <v>0</v>
      </c>
      <c r="I1348" s="1" t="str">
        <f>IFERROR(VLOOKUP(C1348,'Clients List'!A:F,6,FALSE),"")</f>
        <v/>
      </c>
    </row>
    <row r="1349" spans="4:9" x14ac:dyDescent="0.45">
      <c r="D1349" t="str">
        <f>IFERROR(VLOOKUP(C1349,'Clients List'!$A:$F,2,FALSE),"")</f>
        <v/>
      </c>
      <c r="F1349" s="1" t="str">
        <f>IF(OR(C1349="",NOT(ISNUMBER(SEARCH("Package",D1349)))),"",VLOOKUP(C1349,'Clients List'!$A:$F,4,FALSE)-SUMIFS($E$2:$E1349,$C$2:$C1349,C1349,$D$2:$D1349,"*Package*"))</f>
        <v/>
      </c>
      <c r="G1349" t="str">
        <f t="shared" si="46"/>
        <v/>
      </c>
      <c r="H1349" s="33">
        <f>IF(ISNUMBER(SEARCH("Group",D1349)),IF(G1349="",E1349,IFERROR(E1349/COUNTIF($G2:$G6000,G1349),E1349)),E1349)</f>
        <v>0</v>
      </c>
      <c r="I1349" s="1" t="str">
        <f>IFERROR(VLOOKUP(C1349,'Clients List'!A:F,6,FALSE),"")</f>
        <v/>
      </c>
    </row>
    <row r="1350" spans="4:9" x14ac:dyDescent="0.45">
      <c r="D1350" t="str">
        <f>IFERROR(VLOOKUP(C1350,'Clients List'!$A:$F,2,FALSE),"")</f>
        <v/>
      </c>
      <c r="F1350" s="1" t="str">
        <f>IF(OR(C1350="",NOT(ISNUMBER(SEARCH("Package",D1350)))),"",VLOOKUP(C1350,'Clients List'!$A:$F,4,FALSE)-SUMIFS($E$2:$E1350,$C$2:$C1350,C1350,$D$2:$D1350,"*Package*"))</f>
        <v/>
      </c>
      <c r="G1350" t="str">
        <f t="shared" si="46"/>
        <v/>
      </c>
      <c r="H1350" s="33">
        <f>IF(ISNUMBER(SEARCH("Group",D1350)),IF(G1350="",E1350,IFERROR(E1350/COUNTIF($G2:$G6000,G1350),E1350)),E1350)</f>
        <v>0</v>
      </c>
      <c r="I1350" s="1" t="str">
        <f>IFERROR(VLOOKUP(C1350,'Clients List'!A:F,6,FALSE),"")</f>
        <v/>
      </c>
    </row>
    <row r="1351" spans="4:9" x14ac:dyDescent="0.45">
      <c r="D1351" t="str">
        <f>IFERROR(VLOOKUP(C1351,'Clients List'!$A:$F,2,FALSE),"")</f>
        <v/>
      </c>
      <c r="F1351" s="1" t="str">
        <f>IF(OR(C1351="",NOT(ISNUMBER(SEARCH("Package",D1351)))),"",VLOOKUP(C1351,'Clients List'!$A:$F,4,FALSE)-SUMIFS($E$2:$E1351,$C$2:$C1351,C1351,$D$2:$D1351,"*Package*"))</f>
        <v/>
      </c>
      <c r="G1351" t="str">
        <f t="shared" si="46"/>
        <v/>
      </c>
      <c r="H1351" s="33">
        <f>IF(ISNUMBER(SEARCH("Group",D1351)),IF(G1351="",E1351,IFERROR(E1351/COUNTIF($G2:$G6000,G1351),E1351)),E1351)</f>
        <v>0</v>
      </c>
      <c r="I1351" s="1" t="str">
        <f>IFERROR(VLOOKUP(C1351,'Clients List'!A:F,6,FALSE),"")</f>
        <v/>
      </c>
    </row>
    <row r="1352" spans="4:9" x14ac:dyDescent="0.45">
      <c r="D1352" t="str">
        <f>IFERROR(VLOOKUP(C1352,'Clients List'!$A:$F,2,FALSE),"")</f>
        <v/>
      </c>
      <c r="F1352" s="1" t="str">
        <f>IF(OR(C1352="",NOT(ISNUMBER(SEARCH("Package",D1352)))),"",VLOOKUP(C1352,'Clients List'!$A:$F,4,FALSE)-SUMIFS($E$2:$E1352,$C$2:$C1352,C1352,$D$2:$D1352,"*Package*"))</f>
        <v/>
      </c>
      <c r="G1352" t="str">
        <f t="shared" si="46"/>
        <v/>
      </c>
      <c r="H1352" s="33">
        <f>IF(ISNUMBER(SEARCH("Group",D1352)),IF(G1352="",E1352,IFERROR(E1352/COUNTIF($G2:$G6000,G1352),E1352)),E1352)</f>
        <v>0</v>
      </c>
      <c r="I1352" s="1" t="str">
        <f>IFERROR(VLOOKUP(C1352,'Clients List'!A:F,6,FALSE),"")</f>
        <v/>
      </c>
    </row>
    <row r="1353" spans="4:9" x14ac:dyDescent="0.45">
      <c r="D1353" t="str">
        <f>IFERROR(VLOOKUP(C1353,'Clients List'!$A:$F,2,FALSE),"")</f>
        <v/>
      </c>
      <c r="F1353" s="1" t="str">
        <f>IF(OR(C1353="",NOT(ISNUMBER(SEARCH("Package",D1353)))),"",VLOOKUP(C1353,'Clients List'!$A:$F,4,FALSE)-SUMIFS($E$2:$E1353,$C$2:$C1353,C1353,$D$2:$D1353,"*Package*"))</f>
        <v/>
      </c>
      <c r="G1353" t="str">
        <f t="shared" si="46"/>
        <v/>
      </c>
      <c r="H1353" s="33">
        <f>IF(ISNUMBER(SEARCH("Group",D1353)),IF(G1353="",E1353,IFERROR(E1353/COUNTIF($G2:$G6000,G1353),E1353)),E1353)</f>
        <v>0</v>
      </c>
      <c r="I1353" s="1" t="str">
        <f>IFERROR(VLOOKUP(C1353,'Clients List'!A:F,6,FALSE),"")</f>
        <v/>
      </c>
    </row>
    <row r="1354" spans="4:9" x14ac:dyDescent="0.45">
      <c r="D1354" t="str">
        <f>IFERROR(VLOOKUP(C1354,'Clients List'!$A:$F,2,FALSE),"")</f>
        <v/>
      </c>
      <c r="F1354" s="1" t="str">
        <f>IF(OR(C1354="",NOT(ISNUMBER(SEARCH("Package",D1354)))),"",VLOOKUP(C1354,'Clients List'!$A:$F,4,FALSE)-SUMIFS($E$2:$E1354,$C$2:$C1354,C1354,$D$2:$D1354,"*Package*"))</f>
        <v/>
      </c>
      <c r="G1354" t="str">
        <f t="shared" ref="G1354:G1385" si="47">IF(ISNUMBER(SEARCH("Group",D1354)),IFERROR("GRP-"&amp;TEXT(IF(ISNUMBER(A1354),A1354,DATEVALUE(A1354)),"yyyymmdd"),""),"" )</f>
        <v/>
      </c>
      <c r="H1354" s="33">
        <f>IF(ISNUMBER(SEARCH("Group",D1354)),IF(G1354="",E1354,IFERROR(E1354/COUNTIF($G2:$G6000,G1354),E1354)),E1354)</f>
        <v>0</v>
      </c>
      <c r="I1354" s="1" t="str">
        <f>IFERROR(VLOOKUP(C1354,'Clients List'!A:F,6,FALSE),"")</f>
        <v/>
      </c>
    </row>
    <row r="1355" spans="4:9" x14ac:dyDescent="0.45">
      <c r="D1355" t="str">
        <f>IFERROR(VLOOKUP(C1355,'Clients List'!$A:$F,2,FALSE),"")</f>
        <v/>
      </c>
      <c r="F1355" s="1" t="str">
        <f>IF(OR(C1355="",NOT(ISNUMBER(SEARCH("Package",D1355)))),"",VLOOKUP(C1355,'Clients List'!$A:$F,4,FALSE)-SUMIFS($E$2:$E1355,$C$2:$C1355,C1355,$D$2:$D1355,"*Package*"))</f>
        <v/>
      </c>
      <c r="G1355" t="str">
        <f t="shared" si="47"/>
        <v/>
      </c>
      <c r="H1355" s="33">
        <f>IF(ISNUMBER(SEARCH("Group",D1355)),IF(G1355="",E1355,IFERROR(E1355/COUNTIF($G2:$G6000,G1355),E1355)),E1355)</f>
        <v>0</v>
      </c>
      <c r="I1355" s="1" t="str">
        <f>IFERROR(VLOOKUP(C1355,'Clients List'!A:F,6,FALSE),"")</f>
        <v/>
      </c>
    </row>
    <row r="1356" spans="4:9" x14ac:dyDescent="0.45">
      <c r="D1356" t="str">
        <f>IFERROR(VLOOKUP(C1356,'Clients List'!$A:$F,2,FALSE),"")</f>
        <v/>
      </c>
      <c r="F1356" s="1" t="str">
        <f>IF(OR(C1356="",NOT(ISNUMBER(SEARCH("Package",D1356)))),"",VLOOKUP(C1356,'Clients List'!$A:$F,4,FALSE)-SUMIFS($E$2:$E1356,$C$2:$C1356,C1356,$D$2:$D1356,"*Package*"))</f>
        <v/>
      </c>
      <c r="G1356" t="str">
        <f t="shared" si="47"/>
        <v/>
      </c>
      <c r="H1356" s="33">
        <f>IF(ISNUMBER(SEARCH("Group",D1356)),IF(G1356="",E1356,IFERROR(E1356/COUNTIF($G2:$G6000,G1356),E1356)),E1356)</f>
        <v>0</v>
      </c>
      <c r="I1356" s="1" t="str">
        <f>IFERROR(VLOOKUP(C1356,'Clients List'!A:F,6,FALSE),"")</f>
        <v/>
      </c>
    </row>
    <row r="1357" spans="4:9" x14ac:dyDescent="0.45">
      <c r="D1357" t="str">
        <f>IFERROR(VLOOKUP(C1357,'Clients List'!$A:$F,2,FALSE),"")</f>
        <v/>
      </c>
      <c r="F1357" s="1" t="str">
        <f>IF(OR(C1357="",NOT(ISNUMBER(SEARCH("Package",D1357)))),"",VLOOKUP(C1357,'Clients List'!$A:$F,4,FALSE)-SUMIFS($E$2:$E1357,$C$2:$C1357,C1357,$D$2:$D1357,"*Package*"))</f>
        <v/>
      </c>
      <c r="G1357" t="str">
        <f t="shared" si="47"/>
        <v/>
      </c>
      <c r="H1357" s="33">
        <f>IF(ISNUMBER(SEARCH("Group",D1357)),IF(G1357="",E1357,IFERROR(E1357/COUNTIF($G2:$G6000,G1357),E1357)),E1357)</f>
        <v>0</v>
      </c>
      <c r="I1357" s="1" t="str">
        <f>IFERROR(VLOOKUP(C1357,'Clients List'!A:F,6,FALSE),"")</f>
        <v/>
      </c>
    </row>
    <row r="1358" spans="4:9" x14ac:dyDescent="0.45">
      <c r="D1358" t="str">
        <f>IFERROR(VLOOKUP(C1358,'Clients List'!$A:$F,2,FALSE),"")</f>
        <v/>
      </c>
      <c r="F1358" s="1" t="str">
        <f>IF(OR(C1358="",NOT(ISNUMBER(SEARCH("Package",D1358)))),"",VLOOKUP(C1358,'Clients List'!$A:$F,4,FALSE)-SUMIFS($E$2:$E1358,$C$2:$C1358,C1358,$D$2:$D1358,"*Package*"))</f>
        <v/>
      </c>
      <c r="G1358" t="str">
        <f t="shared" si="47"/>
        <v/>
      </c>
      <c r="H1358" s="33">
        <f>IF(ISNUMBER(SEARCH("Group",D1358)),IF(G1358="",E1358,IFERROR(E1358/COUNTIF($G2:$G6000,G1358),E1358)),E1358)</f>
        <v>0</v>
      </c>
      <c r="I1358" s="1" t="str">
        <f>IFERROR(VLOOKUP(C1358,'Clients List'!A:F,6,FALSE),"")</f>
        <v/>
      </c>
    </row>
    <row r="1359" spans="4:9" x14ac:dyDescent="0.45">
      <c r="D1359" t="str">
        <f>IFERROR(VLOOKUP(C1359,'Clients List'!$A:$F,2,FALSE),"")</f>
        <v/>
      </c>
      <c r="F1359" s="1" t="str">
        <f>IF(OR(C1359="",NOT(ISNUMBER(SEARCH("Package",D1359)))),"",VLOOKUP(C1359,'Clients List'!$A:$F,4,FALSE)-SUMIFS($E$2:$E1359,$C$2:$C1359,C1359,$D$2:$D1359,"*Package*"))</f>
        <v/>
      </c>
      <c r="G1359" t="str">
        <f t="shared" si="47"/>
        <v/>
      </c>
      <c r="H1359" s="33">
        <f>IF(ISNUMBER(SEARCH("Group",D1359)),IF(G1359="",E1359,IFERROR(E1359/COUNTIF($G2:$G6000,G1359),E1359)),E1359)</f>
        <v>0</v>
      </c>
      <c r="I1359" s="1" t="str">
        <f>IFERROR(VLOOKUP(C1359,'Clients List'!A:F,6,FALSE),"")</f>
        <v/>
      </c>
    </row>
    <row r="1360" spans="4:9" x14ac:dyDescent="0.45">
      <c r="D1360" t="str">
        <f>IFERROR(VLOOKUP(C1360,'Clients List'!$A:$F,2,FALSE),"")</f>
        <v/>
      </c>
      <c r="F1360" s="1" t="str">
        <f>IF(OR(C1360="",NOT(ISNUMBER(SEARCH("Package",D1360)))),"",VLOOKUP(C1360,'Clients List'!$A:$F,4,FALSE)-SUMIFS($E$2:$E1360,$C$2:$C1360,C1360,$D$2:$D1360,"*Package*"))</f>
        <v/>
      </c>
      <c r="G1360" t="str">
        <f t="shared" si="47"/>
        <v/>
      </c>
      <c r="H1360" s="33">
        <f>IF(ISNUMBER(SEARCH("Group",D1360)),IF(G1360="",E1360,IFERROR(E1360/COUNTIF($G2:$G6000,G1360),E1360)),E1360)</f>
        <v>0</v>
      </c>
      <c r="I1360" s="1" t="str">
        <f>IFERROR(VLOOKUP(C1360,'Clients List'!A:F,6,FALSE),"")</f>
        <v/>
      </c>
    </row>
    <row r="1361" spans="4:9" x14ac:dyDescent="0.45">
      <c r="D1361" t="str">
        <f>IFERROR(VLOOKUP(C1361,'Clients List'!$A:$F,2,FALSE),"")</f>
        <v/>
      </c>
      <c r="F1361" s="1" t="str">
        <f>IF(OR(C1361="",NOT(ISNUMBER(SEARCH("Package",D1361)))),"",VLOOKUP(C1361,'Clients List'!$A:$F,4,FALSE)-SUMIFS($E$2:$E1361,$C$2:$C1361,C1361,$D$2:$D1361,"*Package*"))</f>
        <v/>
      </c>
      <c r="G1361" t="str">
        <f t="shared" si="47"/>
        <v/>
      </c>
      <c r="H1361" s="33">
        <f>IF(ISNUMBER(SEARCH("Group",D1361)),IF(G1361="",E1361,IFERROR(E1361/COUNTIF($G2:$G6000,G1361),E1361)),E1361)</f>
        <v>0</v>
      </c>
      <c r="I1361" s="1" t="str">
        <f>IFERROR(VLOOKUP(C1361,'Clients List'!A:F,6,FALSE),"")</f>
        <v/>
      </c>
    </row>
    <row r="1362" spans="4:9" x14ac:dyDescent="0.45">
      <c r="D1362" t="str">
        <f>IFERROR(VLOOKUP(C1362,'Clients List'!$A:$F,2,FALSE),"")</f>
        <v/>
      </c>
      <c r="F1362" s="1" t="str">
        <f>IF(OR(C1362="",NOT(ISNUMBER(SEARCH("Package",D1362)))),"",VLOOKUP(C1362,'Clients List'!$A:$F,4,FALSE)-SUMIFS($E$2:$E1362,$C$2:$C1362,C1362,$D$2:$D1362,"*Package*"))</f>
        <v/>
      </c>
      <c r="G1362" t="str">
        <f t="shared" si="47"/>
        <v/>
      </c>
      <c r="H1362" s="33">
        <f>IF(ISNUMBER(SEARCH("Group",D1362)),IF(G1362="",E1362,IFERROR(E1362/COUNTIF($G2:$G6000,G1362),E1362)),E1362)</f>
        <v>0</v>
      </c>
      <c r="I1362" s="1" t="str">
        <f>IFERROR(VLOOKUP(C1362,'Clients List'!A:F,6,FALSE),"")</f>
        <v/>
      </c>
    </row>
    <row r="1363" spans="4:9" x14ac:dyDescent="0.45">
      <c r="D1363" t="str">
        <f>IFERROR(VLOOKUP(C1363,'Clients List'!$A:$F,2,FALSE),"")</f>
        <v/>
      </c>
      <c r="F1363" s="1" t="str">
        <f>IF(OR(C1363="",NOT(ISNUMBER(SEARCH("Package",D1363)))),"",VLOOKUP(C1363,'Clients List'!$A:$F,4,FALSE)-SUMIFS($E$2:$E1363,$C$2:$C1363,C1363,$D$2:$D1363,"*Package*"))</f>
        <v/>
      </c>
      <c r="G1363" t="str">
        <f t="shared" si="47"/>
        <v/>
      </c>
      <c r="H1363" s="33">
        <f>IF(ISNUMBER(SEARCH("Group",D1363)),IF(G1363="",E1363,IFERROR(E1363/COUNTIF($G2:$G6000,G1363),E1363)),E1363)</f>
        <v>0</v>
      </c>
      <c r="I1363" s="1" t="str">
        <f>IFERROR(VLOOKUP(C1363,'Clients List'!A:F,6,FALSE),"")</f>
        <v/>
      </c>
    </row>
    <row r="1364" spans="4:9" x14ac:dyDescent="0.45">
      <c r="D1364" t="str">
        <f>IFERROR(VLOOKUP(C1364,'Clients List'!$A:$F,2,FALSE),"")</f>
        <v/>
      </c>
      <c r="F1364" s="1" t="str">
        <f>IF(OR(C1364="",NOT(ISNUMBER(SEARCH("Package",D1364)))),"",VLOOKUP(C1364,'Clients List'!$A:$F,4,FALSE)-SUMIFS($E$2:$E1364,$C$2:$C1364,C1364,$D$2:$D1364,"*Package*"))</f>
        <v/>
      </c>
      <c r="G1364" t="str">
        <f t="shared" si="47"/>
        <v/>
      </c>
      <c r="H1364" s="33">
        <f>IF(ISNUMBER(SEARCH("Group",D1364)),IF(G1364="",E1364,IFERROR(E1364/COUNTIF($G2:$G6000,G1364),E1364)),E1364)</f>
        <v>0</v>
      </c>
      <c r="I1364" s="1" t="str">
        <f>IFERROR(VLOOKUP(C1364,'Clients List'!A:F,6,FALSE),"")</f>
        <v/>
      </c>
    </row>
    <row r="1365" spans="4:9" x14ac:dyDescent="0.45">
      <c r="D1365" t="str">
        <f>IFERROR(VLOOKUP(C1365,'Clients List'!$A:$F,2,FALSE),"")</f>
        <v/>
      </c>
      <c r="F1365" s="1" t="str">
        <f>IF(OR(C1365="",NOT(ISNUMBER(SEARCH("Package",D1365)))),"",VLOOKUP(C1365,'Clients List'!$A:$F,4,FALSE)-SUMIFS($E$2:$E1365,$C$2:$C1365,C1365,$D$2:$D1365,"*Package*"))</f>
        <v/>
      </c>
      <c r="G1365" t="str">
        <f t="shared" si="47"/>
        <v/>
      </c>
      <c r="H1365" s="33">
        <f>IF(ISNUMBER(SEARCH("Group",D1365)),IF(G1365="",E1365,IFERROR(E1365/COUNTIF($G2:$G6000,G1365),E1365)),E1365)</f>
        <v>0</v>
      </c>
      <c r="I1365" s="1" t="str">
        <f>IFERROR(VLOOKUP(C1365,'Clients List'!A:F,6,FALSE),"")</f>
        <v/>
      </c>
    </row>
    <row r="1366" spans="4:9" x14ac:dyDescent="0.45">
      <c r="D1366" t="str">
        <f>IFERROR(VLOOKUP(C1366,'Clients List'!$A:$F,2,FALSE),"")</f>
        <v/>
      </c>
      <c r="F1366" s="1" t="str">
        <f>IF(OR(C1366="",NOT(ISNUMBER(SEARCH("Package",D1366)))),"",VLOOKUP(C1366,'Clients List'!$A:$F,4,FALSE)-SUMIFS($E$2:$E1366,$C$2:$C1366,C1366,$D$2:$D1366,"*Package*"))</f>
        <v/>
      </c>
      <c r="G1366" t="str">
        <f t="shared" si="47"/>
        <v/>
      </c>
      <c r="H1366" s="33">
        <f>IF(ISNUMBER(SEARCH("Group",D1366)),IF(G1366="",E1366,IFERROR(E1366/COUNTIF($G2:$G6000,G1366),E1366)),E1366)</f>
        <v>0</v>
      </c>
      <c r="I1366" s="1" t="str">
        <f>IFERROR(VLOOKUP(C1366,'Clients List'!A:F,6,FALSE),"")</f>
        <v/>
      </c>
    </row>
    <row r="1367" spans="4:9" x14ac:dyDescent="0.45">
      <c r="D1367" t="str">
        <f>IFERROR(VLOOKUP(C1367,'Clients List'!$A:$F,2,FALSE),"")</f>
        <v/>
      </c>
      <c r="F1367" s="1" t="str">
        <f>IF(OR(C1367="",NOT(ISNUMBER(SEARCH("Package",D1367)))),"",VLOOKUP(C1367,'Clients List'!$A:$F,4,FALSE)-SUMIFS($E$2:$E1367,$C$2:$C1367,C1367,$D$2:$D1367,"*Package*"))</f>
        <v/>
      </c>
      <c r="G1367" t="str">
        <f t="shared" si="47"/>
        <v/>
      </c>
      <c r="H1367" s="33">
        <f>IF(ISNUMBER(SEARCH("Group",D1367)),IF(G1367="",E1367,IFERROR(E1367/COUNTIF($G2:$G6000,G1367),E1367)),E1367)</f>
        <v>0</v>
      </c>
      <c r="I1367" s="1" t="str">
        <f>IFERROR(VLOOKUP(C1367,'Clients List'!A:F,6,FALSE),"")</f>
        <v/>
      </c>
    </row>
    <row r="1368" spans="4:9" x14ac:dyDescent="0.45">
      <c r="D1368" t="str">
        <f>IFERROR(VLOOKUP(C1368,'Clients List'!$A:$F,2,FALSE),"")</f>
        <v/>
      </c>
      <c r="F1368" s="1" t="str">
        <f>IF(OR(C1368="",NOT(ISNUMBER(SEARCH("Package",D1368)))),"",VLOOKUP(C1368,'Clients List'!$A:$F,4,FALSE)-SUMIFS($E$2:$E1368,$C$2:$C1368,C1368,$D$2:$D1368,"*Package*"))</f>
        <v/>
      </c>
      <c r="G1368" t="str">
        <f t="shared" si="47"/>
        <v/>
      </c>
      <c r="H1368" s="33">
        <f>IF(ISNUMBER(SEARCH("Group",D1368)),IF(G1368="",E1368,IFERROR(E1368/COUNTIF($G2:$G6000,G1368),E1368)),E1368)</f>
        <v>0</v>
      </c>
      <c r="I1368" s="1" t="str">
        <f>IFERROR(VLOOKUP(C1368,'Clients List'!A:F,6,FALSE),"")</f>
        <v/>
      </c>
    </row>
    <row r="1369" spans="4:9" x14ac:dyDescent="0.45">
      <c r="D1369" t="str">
        <f>IFERROR(VLOOKUP(C1369,'Clients List'!$A:$F,2,FALSE),"")</f>
        <v/>
      </c>
      <c r="F1369" s="1" t="str">
        <f>IF(OR(C1369="",NOT(ISNUMBER(SEARCH("Package",D1369)))),"",VLOOKUP(C1369,'Clients List'!$A:$F,4,FALSE)-SUMIFS($E$2:$E1369,$C$2:$C1369,C1369,$D$2:$D1369,"*Package*"))</f>
        <v/>
      </c>
      <c r="G1369" t="str">
        <f t="shared" si="47"/>
        <v/>
      </c>
      <c r="H1369" s="33">
        <f>IF(ISNUMBER(SEARCH("Group",D1369)),IF(G1369="",E1369,IFERROR(E1369/COUNTIF($G2:$G6000,G1369),E1369)),E1369)</f>
        <v>0</v>
      </c>
      <c r="I1369" s="1" t="str">
        <f>IFERROR(VLOOKUP(C1369,'Clients List'!A:F,6,FALSE),"")</f>
        <v/>
      </c>
    </row>
    <row r="1370" spans="4:9" x14ac:dyDescent="0.45">
      <c r="D1370" t="str">
        <f>IFERROR(VLOOKUP(C1370,'Clients List'!$A:$F,2,FALSE),"")</f>
        <v/>
      </c>
      <c r="F1370" s="1" t="str">
        <f>IF(OR(C1370="",NOT(ISNUMBER(SEARCH("Package",D1370)))),"",VLOOKUP(C1370,'Clients List'!$A:$F,4,FALSE)-SUMIFS($E$2:$E1370,$C$2:$C1370,C1370,$D$2:$D1370,"*Package*"))</f>
        <v/>
      </c>
      <c r="G1370" t="str">
        <f t="shared" si="47"/>
        <v/>
      </c>
      <c r="H1370" s="33">
        <f>IF(ISNUMBER(SEARCH("Group",D1370)),IF(G1370="",E1370,IFERROR(E1370/COUNTIF($G2:$G6000,G1370),E1370)),E1370)</f>
        <v>0</v>
      </c>
      <c r="I1370" s="1" t="str">
        <f>IFERROR(VLOOKUP(C1370,'Clients List'!A:F,6,FALSE),"")</f>
        <v/>
      </c>
    </row>
    <row r="1371" spans="4:9" x14ac:dyDescent="0.45">
      <c r="D1371" t="str">
        <f>IFERROR(VLOOKUP(C1371,'Clients List'!$A:$F,2,FALSE),"")</f>
        <v/>
      </c>
      <c r="F1371" s="1" t="str">
        <f>IF(OR(C1371="",NOT(ISNUMBER(SEARCH("Package",D1371)))),"",VLOOKUP(C1371,'Clients List'!$A:$F,4,FALSE)-SUMIFS($E$2:$E1371,$C$2:$C1371,C1371,$D$2:$D1371,"*Package*"))</f>
        <v/>
      </c>
      <c r="G1371" t="str">
        <f t="shared" si="47"/>
        <v/>
      </c>
      <c r="H1371" s="33">
        <f>IF(ISNUMBER(SEARCH("Group",D1371)),IF(G1371="",E1371,IFERROR(E1371/COUNTIF($G2:$G6000,G1371),E1371)),E1371)</f>
        <v>0</v>
      </c>
      <c r="I1371" s="1" t="str">
        <f>IFERROR(VLOOKUP(C1371,'Clients List'!A:F,6,FALSE),"")</f>
        <v/>
      </c>
    </row>
    <row r="1372" spans="4:9" x14ac:dyDescent="0.45">
      <c r="D1372" t="str">
        <f>IFERROR(VLOOKUP(C1372,'Clients List'!$A:$F,2,FALSE),"")</f>
        <v/>
      </c>
      <c r="F1372" s="1" t="str">
        <f>IF(OR(C1372="",NOT(ISNUMBER(SEARCH("Package",D1372)))),"",VLOOKUP(C1372,'Clients List'!$A:$F,4,FALSE)-SUMIFS($E$2:$E1372,$C$2:$C1372,C1372,$D$2:$D1372,"*Package*"))</f>
        <v/>
      </c>
      <c r="G1372" t="str">
        <f t="shared" si="47"/>
        <v/>
      </c>
      <c r="H1372" s="33">
        <f>IF(ISNUMBER(SEARCH("Group",D1372)),IF(G1372="",E1372,IFERROR(E1372/COUNTIF($G2:$G6000,G1372),E1372)),E1372)</f>
        <v>0</v>
      </c>
      <c r="I1372" s="1" t="str">
        <f>IFERROR(VLOOKUP(C1372,'Clients List'!A:F,6,FALSE),"")</f>
        <v/>
      </c>
    </row>
    <row r="1373" spans="4:9" x14ac:dyDescent="0.45">
      <c r="D1373" t="str">
        <f>IFERROR(VLOOKUP(C1373,'Clients List'!$A:$F,2,FALSE),"")</f>
        <v/>
      </c>
      <c r="F1373" s="1" t="str">
        <f>IF(OR(C1373="",NOT(ISNUMBER(SEARCH("Package",D1373)))),"",VLOOKUP(C1373,'Clients List'!$A:$F,4,FALSE)-SUMIFS($E$2:$E1373,$C$2:$C1373,C1373,$D$2:$D1373,"*Package*"))</f>
        <v/>
      </c>
      <c r="G1373" t="str">
        <f t="shared" si="47"/>
        <v/>
      </c>
      <c r="H1373" s="33">
        <f>IF(ISNUMBER(SEARCH("Group",D1373)),IF(G1373="",E1373,IFERROR(E1373/COUNTIF($G2:$G6000,G1373),E1373)),E1373)</f>
        <v>0</v>
      </c>
      <c r="I1373" s="1" t="str">
        <f>IFERROR(VLOOKUP(C1373,'Clients List'!A:F,6,FALSE),"")</f>
        <v/>
      </c>
    </row>
    <row r="1374" spans="4:9" x14ac:dyDescent="0.45">
      <c r="D1374" t="str">
        <f>IFERROR(VLOOKUP(C1374,'Clients List'!$A:$F,2,FALSE),"")</f>
        <v/>
      </c>
      <c r="F1374" s="1" t="str">
        <f>IF(OR(C1374="",NOT(ISNUMBER(SEARCH("Package",D1374)))),"",VLOOKUP(C1374,'Clients List'!$A:$F,4,FALSE)-SUMIFS($E$2:$E1374,$C$2:$C1374,C1374,$D$2:$D1374,"*Package*"))</f>
        <v/>
      </c>
      <c r="G1374" t="str">
        <f t="shared" si="47"/>
        <v/>
      </c>
      <c r="H1374" s="33">
        <f>IF(ISNUMBER(SEARCH("Group",D1374)),IF(G1374="",E1374,IFERROR(E1374/COUNTIF($G2:$G6000,G1374),E1374)),E1374)</f>
        <v>0</v>
      </c>
      <c r="I1374" s="1" t="str">
        <f>IFERROR(VLOOKUP(C1374,'Clients List'!A:F,6,FALSE),"")</f>
        <v/>
      </c>
    </row>
    <row r="1375" spans="4:9" x14ac:dyDescent="0.45">
      <c r="D1375" t="str">
        <f>IFERROR(VLOOKUP(C1375,'Clients List'!$A:$F,2,FALSE),"")</f>
        <v/>
      </c>
      <c r="F1375" s="1" t="str">
        <f>IF(OR(C1375="",NOT(ISNUMBER(SEARCH("Package",D1375)))),"",VLOOKUP(C1375,'Clients List'!$A:$F,4,FALSE)-SUMIFS($E$2:$E1375,$C$2:$C1375,C1375,$D$2:$D1375,"*Package*"))</f>
        <v/>
      </c>
      <c r="G1375" t="str">
        <f t="shared" si="47"/>
        <v/>
      </c>
      <c r="H1375" s="33">
        <f>IF(ISNUMBER(SEARCH("Group",D1375)),IF(G1375="",E1375,IFERROR(E1375/COUNTIF($G2:$G6000,G1375),E1375)),E1375)</f>
        <v>0</v>
      </c>
      <c r="I1375" s="1" t="str">
        <f>IFERROR(VLOOKUP(C1375,'Clients List'!A:F,6,FALSE),"")</f>
        <v/>
      </c>
    </row>
    <row r="1376" spans="4:9" x14ac:dyDescent="0.45">
      <c r="D1376" t="str">
        <f>IFERROR(VLOOKUP(C1376,'Clients List'!$A:$F,2,FALSE),"")</f>
        <v/>
      </c>
      <c r="F1376" s="1" t="str">
        <f>IF(OR(C1376="",NOT(ISNUMBER(SEARCH("Package",D1376)))),"",VLOOKUP(C1376,'Clients List'!$A:$F,4,FALSE)-SUMIFS($E$2:$E1376,$C$2:$C1376,C1376,$D$2:$D1376,"*Package*"))</f>
        <v/>
      </c>
      <c r="G1376" t="str">
        <f t="shared" si="47"/>
        <v/>
      </c>
      <c r="H1376" s="33">
        <f>IF(ISNUMBER(SEARCH("Group",D1376)),IF(G1376="",E1376,IFERROR(E1376/COUNTIF($G2:$G6000,G1376),E1376)),E1376)</f>
        <v>0</v>
      </c>
      <c r="I1376" s="1" t="str">
        <f>IFERROR(VLOOKUP(C1376,'Clients List'!A:F,6,FALSE),"")</f>
        <v/>
      </c>
    </row>
    <row r="1377" spans="4:9" x14ac:dyDescent="0.45">
      <c r="D1377" t="str">
        <f>IFERROR(VLOOKUP(C1377,'Clients List'!$A:$F,2,FALSE),"")</f>
        <v/>
      </c>
      <c r="F1377" s="1" t="str">
        <f>IF(OR(C1377="",NOT(ISNUMBER(SEARCH("Package",D1377)))),"",VLOOKUP(C1377,'Clients List'!$A:$F,4,FALSE)-SUMIFS($E$2:$E1377,$C$2:$C1377,C1377,$D$2:$D1377,"*Package*"))</f>
        <v/>
      </c>
      <c r="G1377" t="str">
        <f t="shared" si="47"/>
        <v/>
      </c>
      <c r="H1377" s="33">
        <f>IF(ISNUMBER(SEARCH("Group",D1377)),IF(G1377="",E1377,IFERROR(E1377/COUNTIF($G2:$G6000,G1377),E1377)),E1377)</f>
        <v>0</v>
      </c>
      <c r="I1377" s="1" t="str">
        <f>IFERROR(VLOOKUP(C1377,'Clients List'!A:F,6,FALSE),"")</f>
        <v/>
      </c>
    </row>
    <row r="1378" spans="4:9" x14ac:dyDescent="0.45">
      <c r="D1378" t="str">
        <f>IFERROR(VLOOKUP(C1378,'Clients List'!$A:$F,2,FALSE),"")</f>
        <v/>
      </c>
      <c r="F1378" s="1" t="str">
        <f>IF(OR(C1378="",NOT(ISNUMBER(SEARCH("Package",D1378)))),"",VLOOKUP(C1378,'Clients List'!$A:$F,4,FALSE)-SUMIFS($E$2:$E1378,$C$2:$C1378,C1378,$D$2:$D1378,"*Package*"))</f>
        <v/>
      </c>
      <c r="G1378" t="str">
        <f t="shared" si="47"/>
        <v/>
      </c>
      <c r="H1378" s="33">
        <f>IF(ISNUMBER(SEARCH("Group",D1378)),IF(G1378="",E1378,IFERROR(E1378/COUNTIF($G2:$G6000,G1378),E1378)),E1378)</f>
        <v>0</v>
      </c>
      <c r="I1378" s="1" t="str">
        <f>IFERROR(VLOOKUP(C1378,'Clients List'!A:F,6,FALSE),"")</f>
        <v/>
      </c>
    </row>
    <row r="1379" spans="4:9" x14ac:dyDescent="0.45">
      <c r="D1379" t="str">
        <f>IFERROR(VLOOKUP(C1379,'Clients List'!$A:$F,2,FALSE),"")</f>
        <v/>
      </c>
      <c r="F1379" s="1" t="str">
        <f>IF(OR(C1379="",NOT(ISNUMBER(SEARCH("Package",D1379)))),"",VLOOKUP(C1379,'Clients List'!$A:$F,4,FALSE)-SUMIFS($E$2:$E1379,$C$2:$C1379,C1379,$D$2:$D1379,"*Package*"))</f>
        <v/>
      </c>
      <c r="G1379" t="str">
        <f t="shared" si="47"/>
        <v/>
      </c>
      <c r="H1379" s="33">
        <f>IF(ISNUMBER(SEARCH("Group",D1379)),IF(G1379="",E1379,IFERROR(E1379/COUNTIF($G2:$G6000,G1379),E1379)),E1379)</f>
        <v>0</v>
      </c>
      <c r="I1379" s="1" t="str">
        <f>IFERROR(VLOOKUP(C1379,'Clients List'!A:F,6,FALSE),"")</f>
        <v/>
      </c>
    </row>
    <row r="1380" spans="4:9" x14ac:dyDescent="0.45">
      <c r="D1380" t="str">
        <f>IFERROR(VLOOKUP(C1380,'Clients List'!$A:$F,2,FALSE),"")</f>
        <v/>
      </c>
      <c r="F1380" s="1" t="str">
        <f>IF(OR(C1380="",NOT(ISNUMBER(SEARCH("Package",D1380)))),"",VLOOKUP(C1380,'Clients List'!$A:$F,4,FALSE)-SUMIFS($E$2:$E1380,$C$2:$C1380,C1380,$D$2:$D1380,"*Package*"))</f>
        <v/>
      </c>
      <c r="G1380" t="str">
        <f t="shared" si="47"/>
        <v/>
      </c>
      <c r="H1380" s="33">
        <f>IF(ISNUMBER(SEARCH("Group",D1380)),IF(G1380="",E1380,IFERROR(E1380/COUNTIF($G2:$G6000,G1380),E1380)),E1380)</f>
        <v>0</v>
      </c>
      <c r="I1380" s="1" t="str">
        <f>IFERROR(VLOOKUP(C1380,'Clients List'!A:F,6,FALSE),"")</f>
        <v/>
      </c>
    </row>
    <row r="1381" spans="4:9" x14ac:dyDescent="0.45">
      <c r="D1381" t="str">
        <f>IFERROR(VLOOKUP(C1381,'Clients List'!$A:$F,2,FALSE),"")</f>
        <v/>
      </c>
      <c r="F1381" s="1" t="str">
        <f>IF(OR(C1381="",NOT(ISNUMBER(SEARCH("Package",D1381)))),"",VLOOKUP(C1381,'Clients List'!$A:$F,4,FALSE)-SUMIFS($E$2:$E1381,$C$2:$C1381,C1381,$D$2:$D1381,"*Package*"))</f>
        <v/>
      </c>
      <c r="G1381" t="str">
        <f t="shared" si="47"/>
        <v/>
      </c>
      <c r="H1381" s="33">
        <f>IF(ISNUMBER(SEARCH("Group",D1381)),IF(G1381="",E1381,IFERROR(E1381/COUNTIF($G2:$G6000,G1381),E1381)),E1381)</f>
        <v>0</v>
      </c>
      <c r="I1381" s="1" t="str">
        <f>IFERROR(VLOOKUP(C1381,'Clients List'!A:F,6,FALSE),"")</f>
        <v/>
      </c>
    </row>
    <row r="1382" spans="4:9" x14ac:dyDescent="0.45">
      <c r="D1382" t="str">
        <f>IFERROR(VLOOKUP(C1382,'Clients List'!$A:$F,2,FALSE),"")</f>
        <v/>
      </c>
      <c r="F1382" s="1" t="str">
        <f>IF(OR(C1382="",NOT(ISNUMBER(SEARCH("Package",D1382)))),"",VLOOKUP(C1382,'Clients List'!$A:$F,4,FALSE)-SUMIFS($E$2:$E1382,$C$2:$C1382,C1382,$D$2:$D1382,"*Package*"))</f>
        <v/>
      </c>
      <c r="G1382" t="str">
        <f t="shared" si="47"/>
        <v/>
      </c>
      <c r="H1382" s="33">
        <f>IF(ISNUMBER(SEARCH("Group",D1382)),IF(G1382="",E1382,IFERROR(E1382/COUNTIF($G2:$G6000,G1382),E1382)),E1382)</f>
        <v>0</v>
      </c>
      <c r="I1382" s="1" t="str">
        <f>IFERROR(VLOOKUP(C1382,'Clients List'!A:F,6,FALSE),"")</f>
        <v/>
      </c>
    </row>
    <row r="1383" spans="4:9" x14ac:dyDescent="0.45">
      <c r="D1383" t="str">
        <f>IFERROR(VLOOKUP(C1383,'Clients List'!$A:$F,2,FALSE),"")</f>
        <v/>
      </c>
      <c r="F1383" s="1" t="str">
        <f>IF(OR(C1383="",NOT(ISNUMBER(SEARCH("Package",D1383)))),"",VLOOKUP(C1383,'Clients List'!$A:$F,4,FALSE)-SUMIFS($E$2:$E1383,$C$2:$C1383,C1383,$D$2:$D1383,"*Package*"))</f>
        <v/>
      </c>
      <c r="G1383" t="str">
        <f t="shared" si="47"/>
        <v/>
      </c>
      <c r="H1383" s="33">
        <f>IF(ISNUMBER(SEARCH("Group",D1383)),IF(G1383="",E1383,IFERROR(E1383/COUNTIF($G2:$G6000,G1383),E1383)),E1383)</f>
        <v>0</v>
      </c>
      <c r="I1383" s="1" t="str">
        <f>IFERROR(VLOOKUP(C1383,'Clients List'!A:F,6,FALSE),"")</f>
        <v/>
      </c>
    </row>
    <row r="1384" spans="4:9" x14ac:dyDescent="0.45">
      <c r="D1384" t="str">
        <f>IFERROR(VLOOKUP(C1384,'Clients List'!$A:$F,2,FALSE),"")</f>
        <v/>
      </c>
      <c r="F1384" s="1" t="str">
        <f>IF(OR(C1384="",NOT(ISNUMBER(SEARCH("Package",D1384)))),"",VLOOKUP(C1384,'Clients List'!$A:$F,4,FALSE)-SUMIFS($E$2:$E1384,$C$2:$C1384,C1384,$D$2:$D1384,"*Package*"))</f>
        <v/>
      </c>
      <c r="G1384" t="str">
        <f t="shared" si="47"/>
        <v/>
      </c>
      <c r="H1384" s="33">
        <f>IF(ISNUMBER(SEARCH("Group",D1384)),IF(G1384="",E1384,IFERROR(E1384/COUNTIF($G2:$G6000,G1384),E1384)),E1384)</f>
        <v>0</v>
      </c>
      <c r="I1384" s="1" t="str">
        <f>IFERROR(VLOOKUP(C1384,'Clients List'!A:F,6,FALSE),"")</f>
        <v/>
      </c>
    </row>
    <row r="1385" spans="4:9" x14ac:dyDescent="0.45">
      <c r="D1385" t="str">
        <f>IFERROR(VLOOKUP(C1385,'Clients List'!$A:$F,2,FALSE),"")</f>
        <v/>
      </c>
      <c r="F1385" s="1" t="str">
        <f>IF(OR(C1385="",NOT(ISNUMBER(SEARCH("Package",D1385)))),"",VLOOKUP(C1385,'Clients List'!$A:$F,4,FALSE)-SUMIFS($E$2:$E1385,$C$2:$C1385,C1385,$D$2:$D1385,"*Package*"))</f>
        <v/>
      </c>
      <c r="G1385" t="str">
        <f t="shared" si="47"/>
        <v/>
      </c>
      <c r="H1385" s="33">
        <f>IF(ISNUMBER(SEARCH("Group",D1385)),IF(G1385="",E1385,IFERROR(E1385/COUNTIF($G2:$G6000,G1385),E1385)),E1385)</f>
        <v>0</v>
      </c>
      <c r="I1385" s="1" t="str">
        <f>IFERROR(VLOOKUP(C1385,'Clients List'!A:F,6,FALSE),"")</f>
        <v/>
      </c>
    </row>
    <row r="1386" spans="4:9" x14ac:dyDescent="0.45">
      <c r="D1386" t="str">
        <f>IFERROR(VLOOKUP(C1386,'Clients List'!$A:$F,2,FALSE),"")</f>
        <v/>
      </c>
      <c r="F1386" s="1" t="str">
        <f>IF(OR(C1386="",NOT(ISNUMBER(SEARCH("Package",D1386)))),"",VLOOKUP(C1386,'Clients List'!$A:$F,4,FALSE)-SUMIFS($E$2:$E1386,$C$2:$C1386,C1386,$D$2:$D1386,"*Package*"))</f>
        <v/>
      </c>
      <c r="G1386" t="str">
        <f t="shared" ref="G1386:G1417" si="48">IF(ISNUMBER(SEARCH("Group",D1386)),IFERROR("GRP-"&amp;TEXT(IF(ISNUMBER(A1386),A1386,DATEVALUE(A1386)),"yyyymmdd"),""),"" )</f>
        <v/>
      </c>
      <c r="H1386" s="33">
        <f>IF(ISNUMBER(SEARCH("Group",D1386)),IF(G1386="",E1386,IFERROR(E1386/COUNTIF($G2:$G6000,G1386),E1386)),E1386)</f>
        <v>0</v>
      </c>
      <c r="I1386" s="1" t="str">
        <f>IFERROR(VLOOKUP(C1386,'Clients List'!A:F,6,FALSE),"")</f>
        <v/>
      </c>
    </row>
    <row r="1387" spans="4:9" x14ac:dyDescent="0.45">
      <c r="D1387" t="str">
        <f>IFERROR(VLOOKUP(C1387,'Clients List'!$A:$F,2,FALSE),"")</f>
        <v/>
      </c>
      <c r="F1387" s="1" t="str">
        <f>IF(OR(C1387="",NOT(ISNUMBER(SEARCH("Package",D1387)))),"",VLOOKUP(C1387,'Clients List'!$A:$F,4,FALSE)-SUMIFS($E$2:$E1387,$C$2:$C1387,C1387,$D$2:$D1387,"*Package*"))</f>
        <v/>
      </c>
      <c r="G1387" t="str">
        <f t="shared" si="48"/>
        <v/>
      </c>
      <c r="H1387" s="33">
        <f>IF(ISNUMBER(SEARCH("Group",D1387)),IF(G1387="",E1387,IFERROR(E1387/COUNTIF($G2:$G6000,G1387),E1387)),E1387)</f>
        <v>0</v>
      </c>
      <c r="I1387" s="1" t="str">
        <f>IFERROR(VLOOKUP(C1387,'Clients List'!A:F,6,FALSE),"")</f>
        <v/>
      </c>
    </row>
    <row r="1388" spans="4:9" x14ac:dyDescent="0.45">
      <c r="D1388" t="str">
        <f>IFERROR(VLOOKUP(C1388,'Clients List'!$A:$F,2,FALSE),"")</f>
        <v/>
      </c>
      <c r="F1388" s="1" t="str">
        <f>IF(OR(C1388="",NOT(ISNUMBER(SEARCH("Package",D1388)))),"",VLOOKUP(C1388,'Clients List'!$A:$F,4,FALSE)-SUMIFS($E$2:$E1388,$C$2:$C1388,C1388,$D$2:$D1388,"*Package*"))</f>
        <v/>
      </c>
      <c r="G1388" t="str">
        <f t="shared" si="48"/>
        <v/>
      </c>
      <c r="H1388" s="33">
        <f>IF(ISNUMBER(SEARCH("Group",D1388)),IF(G1388="",E1388,IFERROR(E1388/COUNTIF($G2:$G6000,G1388),E1388)),E1388)</f>
        <v>0</v>
      </c>
      <c r="I1388" s="1" t="str">
        <f>IFERROR(VLOOKUP(C1388,'Clients List'!A:F,6,FALSE),"")</f>
        <v/>
      </c>
    </row>
    <row r="1389" spans="4:9" x14ac:dyDescent="0.45">
      <c r="D1389" t="str">
        <f>IFERROR(VLOOKUP(C1389,'Clients List'!$A:$F,2,FALSE),"")</f>
        <v/>
      </c>
      <c r="F1389" s="1" t="str">
        <f>IF(OR(C1389="",NOT(ISNUMBER(SEARCH("Package",D1389)))),"",VLOOKUP(C1389,'Clients List'!$A:$F,4,FALSE)-SUMIFS($E$2:$E1389,$C$2:$C1389,C1389,$D$2:$D1389,"*Package*"))</f>
        <v/>
      </c>
      <c r="G1389" t="str">
        <f t="shared" si="48"/>
        <v/>
      </c>
      <c r="H1389" s="33">
        <f>IF(ISNUMBER(SEARCH("Group",D1389)),IF(G1389="",E1389,IFERROR(E1389/COUNTIF($G2:$G6000,G1389),E1389)),E1389)</f>
        <v>0</v>
      </c>
      <c r="I1389" s="1" t="str">
        <f>IFERROR(VLOOKUP(C1389,'Clients List'!A:F,6,FALSE),"")</f>
        <v/>
      </c>
    </row>
    <row r="1390" spans="4:9" x14ac:dyDescent="0.45">
      <c r="D1390" t="str">
        <f>IFERROR(VLOOKUP(C1390,'Clients List'!$A:$F,2,FALSE),"")</f>
        <v/>
      </c>
      <c r="F1390" s="1" t="str">
        <f>IF(OR(C1390="",NOT(ISNUMBER(SEARCH("Package",D1390)))),"",VLOOKUP(C1390,'Clients List'!$A:$F,4,FALSE)-SUMIFS($E$2:$E1390,$C$2:$C1390,C1390,$D$2:$D1390,"*Package*"))</f>
        <v/>
      </c>
      <c r="G1390" t="str">
        <f t="shared" si="48"/>
        <v/>
      </c>
      <c r="H1390" s="33">
        <f>IF(ISNUMBER(SEARCH("Group",D1390)),IF(G1390="",E1390,IFERROR(E1390/COUNTIF($G2:$G6000,G1390),E1390)),E1390)</f>
        <v>0</v>
      </c>
      <c r="I1390" s="1" t="str">
        <f>IFERROR(VLOOKUP(C1390,'Clients List'!A:F,6,FALSE),"")</f>
        <v/>
      </c>
    </row>
    <row r="1391" spans="4:9" x14ac:dyDescent="0.45">
      <c r="D1391" t="str">
        <f>IFERROR(VLOOKUP(C1391,'Clients List'!$A:$F,2,FALSE),"")</f>
        <v/>
      </c>
      <c r="F1391" s="1" t="str">
        <f>IF(OR(C1391="",NOT(ISNUMBER(SEARCH("Package",D1391)))),"",VLOOKUP(C1391,'Clients List'!$A:$F,4,FALSE)-SUMIFS($E$2:$E1391,$C$2:$C1391,C1391,$D$2:$D1391,"*Package*"))</f>
        <v/>
      </c>
      <c r="G1391" t="str">
        <f t="shared" si="48"/>
        <v/>
      </c>
      <c r="H1391" s="33">
        <f>IF(ISNUMBER(SEARCH("Group",D1391)),IF(G1391="",E1391,IFERROR(E1391/COUNTIF($G2:$G6000,G1391),E1391)),E1391)</f>
        <v>0</v>
      </c>
      <c r="I1391" s="1" t="str">
        <f>IFERROR(VLOOKUP(C1391,'Clients List'!A:F,6,FALSE),"")</f>
        <v/>
      </c>
    </row>
    <row r="1392" spans="4:9" x14ac:dyDescent="0.45">
      <c r="D1392" t="str">
        <f>IFERROR(VLOOKUP(C1392,'Clients List'!$A:$F,2,FALSE),"")</f>
        <v/>
      </c>
      <c r="F1392" s="1" t="str">
        <f>IF(OR(C1392="",NOT(ISNUMBER(SEARCH("Package",D1392)))),"",VLOOKUP(C1392,'Clients List'!$A:$F,4,FALSE)-SUMIFS($E$2:$E1392,$C$2:$C1392,C1392,$D$2:$D1392,"*Package*"))</f>
        <v/>
      </c>
      <c r="G1392" t="str">
        <f t="shared" si="48"/>
        <v/>
      </c>
      <c r="H1392" s="33">
        <f>IF(ISNUMBER(SEARCH("Group",D1392)),IF(G1392="",E1392,IFERROR(E1392/COUNTIF($G2:$G6000,G1392),E1392)),E1392)</f>
        <v>0</v>
      </c>
      <c r="I1392" s="1" t="str">
        <f>IFERROR(VLOOKUP(C1392,'Clients List'!A:F,6,FALSE),"")</f>
        <v/>
      </c>
    </row>
    <row r="1393" spans="4:9" x14ac:dyDescent="0.45">
      <c r="D1393" t="str">
        <f>IFERROR(VLOOKUP(C1393,'Clients List'!$A:$F,2,FALSE),"")</f>
        <v/>
      </c>
      <c r="F1393" s="1" t="str">
        <f>IF(OR(C1393="",NOT(ISNUMBER(SEARCH("Package",D1393)))),"",VLOOKUP(C1393,'Clients List'!$A:$F,4,FALSE)-SUMIFS($E$2:$E1393,$C$2:$C1393,C1393,$D$2:$D1393,"*Package*"))</f>
        <v/>
      </c>
      <c r="G1393" t="str">
        <f t="shared" si="48"/>
        <v/>
      </c>
      <c r="H1393" s="33">
        <f>IF(ISNUMBER(SEARCH("Group",D1393)),IF(G1393="",E1393,IFERROR(E1393/COUNTIF($G2:$G6000,G1393),E1393)),E1393)</f>
        <v>0</v>
      </c>
      <c r="I1393" s="1" t="str">
        <f>IFERROR(VLOOKUP(C1393,'Clients List'!A:F,6,FALSE),"")</f>
        <v/>
      </c>
    </row>
    <row r="1394" spans="4:9" x14ac:dyDescent="0.45">
      <c r="D1394" t="str">
        <f>IFERROR(VLOOKUP(C1394,'Clients List'!$A:$F,2,FALSE),"")</f>
        <v/>
      </c>
      <c r="F1394" s="1" t="str">
        <f>IF(OR(C1394="",NOT(ISNUMBER(SEARCH("Package",D1394)))),"",VLOOKUP(C1394,'Clients List'!$A:$F,4,FALSE)-SUMIFS($E$2:$E1394,$C$2:$C1394,C1394,$D$2:$D1394,"*Package*"))</f>
        <v/>
      </c>
      <c r="G1394" t="str">
        <f t="shared" si="48"/>
        <v/>
      </c>
      <c r="H1394" s="33">
        <f>IF(ISNUMBER(SEARCH("Group",D1394)),IF(G1394="",E1394,IFERROR(E1394/COUNTIF($G2:$G6000,G1394),E1394)),E1394)</f>
        <v>0</v>
      </c>
      <c r="I1394" s="1" t="str">
        <f>IFERROR(VLOOKUP(C1394,'Clients List'!A:F,6,FALSE),"")</f>
        <v/>
      </c>
    </row>
    <row r="1395" spans="4:9" x14ac:dyDescent="0.45">
      <c r="D1395" t="str">
        <f>IFERROR(VLOOKUP(C1395,'Clients List'!$A:$F,2,FALSE),"")</f>
        <v/>
      </c>
      <c r="F1395" s="1" t="str">
        <f>IF(OR(C1395="",NOT(ISNUMBER(SEARCH("Package",D1395)))),"",VLOOKUP(C1395,'Clients List'!$A:$F,4,FALSE)-SUMIFS($E$2:$E1395,$C$2:$C1395,C1395,$D$2:$D1395,"*Package*"))</f>
        <v/>
      </c>
      <c r="G1395" t="str">
        <f t="shared" si="48"/>
        <v/>
      </c>
      <c r="H1395" s="33">
        <f>IF(ISNUMBER(SEARCH("Group",D1395)),IF(G1395="",E1395,IFERROR(E1395/COUNTIF($G2:$G6000,G1395),E1395)),E1395)</f>
        <v>0</v>
      </c>
      <c r="I1395" s="1" t="str">
        <f>IFERROR(VLOOKUP(C1395,'Clients List'!A:F,6,FALSE),"")</f>
        <v/>
      </c>
    </row>
    <row r="1396" spans="4:9" x14ac:dyDescent="0.45">
      <c r="D1396" t="str">
        <f>IFERROR(VLOOKUP(C1396,'Clients List'!$A:$F,2,FALSE),"")</f>
        <v/>
      </c>
      <c r="F1396" s="1" t="str">
        <f>IF(OR(C1396="",NOT(ISNUMBER(SEARCH("Package",D1396)))),"",VLOOKUP(C1396,'Clients List'!$A:$F,4,FALSE)-SUMIFS($E$2:$E1396,$C$2:$C1396,C1396,$D$2:$D1396,"*Package*"))</f>
        <v/>
      </c>
      <c r="G1396" t="str">
        <f t="shared" si="48"/>
        <v/>
      </c>
      <c r="H1396" s="33">
        <f>IF(ISNUMBER(SEARCH("Group",D1396)),IF(G1396="",E1396,IFERROR(E1396/COUNTIF($G2:$G6000,G1396),E1396)),E1396)</f>
        <v>0</v>
      </c>
      <c r="I1396" s="1" t="str">
        <f>IFERROR(VLOOKUP(C1396,'Clients List'!A:F,6,FALSE),"")</f>
        <v/>
      </c>
    </row>
    <row r="1397" spans="4:9" x14ac:dyDescent="0.45">
      <c r="D1397" t="str">
        <f>IFERROR(VLOOKUP(C1397,'Clients List'!$A:$F,2,FALSE),"")</f>
        <v/>
      </c>
      <c r="F1397" s="1" t="str">
        <f>IF(OR(C1397="",NOT(ISNUMBER(SEARCH("Package",D1397)))),"",VLOOKUP(C1397,'Clients List'!$A:$F,4,FALSE)-SUMIFS($E$2:$E1397,$C$2:$C1397,C1397,$D$2:$D1397,"*Package*"))</f>
        <v/>
      </c>
      <c r="G1397" t="str">
        <f t="shared" si="48"/>
        <v/>
      </c>
      <c r="H1397" s="33">
        <f>IF(ISNUMBER(SEARCH("Group",D1397)),IF(G1397="",E1397,IFERROR(E1397/COUNTIF($G2:$G6000,G1397),E1397)),E1397)</f>
        <v>0</v>
      </c>
      <c r="I1397" s="1" t="str">
        <f>IFERROR(VLOOKUP(C1397,'Clients List'!A:F,6,FALSE),"")</f>
        <v/>
      </c>
    </row>
    <row r="1398" spans="4:9" x14ac:dyDescent="0.45">
      <c r="D1398" t="str">
        <f>IFERROR(VLOOKUP(C1398,'Clients List'!$A:$F,2,FALSE),"")</f>
        <v/>
      </c>
      <c r="F1398" s="1" t="str">
        <f>IF(OR(C1398="",NOT(ISNUMBER(SEARCH("Package",D1398)))),"",VLOOKUP(C1398,'Clients List'!$A:$F,4,FALSE)-SUMIFS($E$2:$E1398,$C$2:$C1398,C1398,$D$2:$D1398,"*Package*"))</f>
        <v/>
      </c>
      <c r="G1398" t="str">
        <f t="shared" si="48"/>
        <v/>
      </c>
      <c r="H1398" s="33">
        <f>IF(ISNUMBER(SEARCH("Group",D1398)),IF(G1398="",E1398,IFERROR(E1398/COUNTIF($G2:$G6000,G1398),E1398)),E1398)</f>
        <v>0</v>
      </c>
      <c r="I1398" s="1" t="str">
        <f>IFERROR(VLOOKUP(C1398,'Clients List'!A:F,6,FALSE),"")</f>
        <v/>
      </c>
    </row>
    <row r="1399" spans="4:9" x14ac:dyDescent="0.45">
      <c r="D1399" t="str">
        <f>IFERROR(VLOOKUP(C1399,'Clients List'!$A:$F,2,FALSE),"")</f>
        <v/>
      </c>
      <c r="F1399" s="1" t="str">
        <f>IF(OR(C1399="",NOT(ISNUMBER(SEARCH("Package",D1399)))),"",VLOOKUP(C1399,'Clients List'!$A:$F,4,FALSE)-SUMIFS($E$2:$E1399,$C$2:$C1399,C1399,$D$2:$D1399,"*Package*"))</f>
        <v/>
      </c>
      <c r="G1399" t="str">
        <f t="shared" si="48"/>
        <v/>
      </c>
      <c r="H1399" s="33">
        <f>IF(ISNUMBER(SEARCH("Group",D1399)),IF(G1399="",E1399,IFERROR(E1399/COUNTIF($G2:$G6000,G1399),E1399)),E1399)</f>
        <v>0</v>
      </c>
      <c r="I1399" s="1" t="str">
        <f>IFERROR(VLOOKUP(C1399,'Clients List'!A:F,6,FALSE),"")</f>
        <v/>
      </c>
    </row>
    <row r="1400" spans="4:9" x14ac:dyDescent="0.45">
      <c r="D1400" t="str">
        <f>IFERROR(VLOOKUP(C1400,'Clients List'!$A:$F,2,FALSE),"")</f>
        <v/>
      </c>
      <c r="F1400" s="1" t="str">
        <f>IF(OR(C1400="",NOT(ISNUMBER(SEARCH("Package",D1400)))),"",VLOOKUP(C1400,'Clients List'!$A:$F,4,FALSE)-SUMIFS($E$2:$E1400,$C$2:$C1400,C1400,$D$2:$D1400,"*Package*"))</f>
        <v/>
      </c>
      <c r="G1400" t="str">
        <f t="shared" si="48"/>
        <v/>
      </c>
      <c r="H1400" s="33">
        <f>IF(ISNUMBER(SEARCH("Group",D1400)),IF(G1400="",E1400,IFERROR(E1400/COUNTIF($G2:$G6000,G1400),E1400)),E1400)</f>
        <v>0</v>
      </c>
      <c r="I1400" s="1" t="str">
        <f>IFERROR(VLOOKUP(C1400,'Clients List'!A:F,6,FALSE),"")</f>
        <v/>
      </c>
    </row>
    <row r="1401" spans="4:9" x14ac:dyDescent="0.45">
      <c r="D1401" t="str">
        <f>IFERROR(VLOOKUP(C1401,'Clients List'!$A:$F,2,FALSE),"")</f>
        <v/>
      </c>
      <c r="F1401" s="1" t="str">
        <f>IF(OR(C1401="",NOT(ISNUMBER(SEARCH("Package",D1401)))),"",VLOOKUP(C1401,'Clients List'!$A:$F,4,FALSE)-SUMIFS($E$2:$E1401,$C$2:$C1401,C1401,$D$2:$D1401,"*Package*"))</f>
        <v/>
      </c>
      <c r="G1401" t="str">
        <f t="shared" si="48"/>
        <v/>
      </c>
      <c r="H1401" s="33">
        <f>IF(ISNUMBER(SEARCH("Group",D1401)),IF(G1401="",E1401,IFERROR(E1401/COUNTIF($G2:$G6000,G1401),E1401)),E1401)</f>
        <v>0</v>
      </c>
      <c r="I1401" s="1" t="str">
        <f>IFERROR(VLOOKUP(C1401,'Clients List'!A:F,6,FALSE),"")</f>
        <v/>
      </c>
    </row>
    <row r="1402" spans="4:9" x14ac:dyDescent="0.45">
      <c r="D1402" t="str">
        <f>IFERROR(VLOOKUP(C1402,'Clients List'!$A:$F,2,FALSE),"")</f>
        <v/>
      </c>
      <c r="F1402" s="1" t="str">
        <f>IF(OR(C1402="",NOT(ISNUMBER(SEARCH("Package",D1402)))),"",VLOOKUP(C1402,'Clients List'!$A:$F,4,FALSE)-SUMIFS($E$2:$E1402,$C$2:$C1402,C1402,$D$2:$D1402,"*Package*"))</f>
        <v/>
      </c>
      <c r="G1402" t="str">
        <f t="shared" si="48"/>
        <v/>
      </c>
      <c r="H1402" s="33">
        <f>IF(ISNUMBER(SEARCH("Group",D1402)),IF(G1402="",E1402,IFERROR(E1402/COUNTIF($G2:$G6000,G1402),E1402)),E1402)</f>
        <v>0</v>
      </c>
      <c r="I1402" s="1" t="str">
        <f>IFERROR(VLOOKUP(C1402,'Clients List'!A:F,6,FALSE),"")</f>
        <v/>
      </c>
    </row>
    <row r="1403" spans="4:9" x14ac:dyDescent="0.45">
      <c r="D1403" t="str">
        <f>IFERROR(VLOOKUP(C1403,'Clients List'!$A:$F,2,FALSE),"")</f>
        <v/>
      </c>
      <c r="F1403" s="1" t="str">
        <f>IF(OR(C1403="",NOT(ISNUMBER(SEARCH("Package",D1403)))),"",VLOOKUP(C1403,'Clients List'!$A:$F,4,FALSE)-SUMIFS($E$2:$E1403,$C$2:$C1403,C1403,$D$2:$D1403,"*Package*"))</f>
        <v/>
      </c>
      <c r="G1403" t="str">
        <f t="shared" si="48"/>
        <v/>
      </c>
      <c r="H1403" s="33">
        <f>IF(ISNUMBER(SEARCH("Group",D1403)),IF(G1403="",E1403,IFERROR(E1403/COUNTIF($G2:$G6000,G1403),E1403)),E1403)</f>
        <v>0</v>
      </c>
      <c r="I1403" s="1" t="str">
        <f>IFERROR(VLOOKUP(C1403,'Clients List'!A:F,6,FALSE),"")</f>
        <v/>
      </c>
    </row>
    <row r="1404" spans="4:9" x14ac:dyDescent="0.45">
      <c r="D1404" t="str">
        <f>IFERROR(VLOOKUP(C1404,'Clients List'!$A:$F,2,FALSE),"")</f>
        <v/>
      </c>
      <c r="F1404" s="1" t="str">
        <f>IF(OR(C1404="",NOT(ISNUMBER(SEARCH("Package",D1404)))),"",VLOOKUP(C1404,'Clients List'!$A:$F,4,FALSE)-SUMIFS($E$2:$E1404,$C$2:$C1404,C1404,$D$2:$D1404,"*Package*"))</f>
        <v/>
      </c>
      <c r="G1404" t="str">
        <f t="shared" si="48"/>
        <v/>
      </c>
      <c r="H1404" s="33">
        <f>IF(ISNUMBER(SEARCH("Group",D1404)),IF(G1404="",E1404,IFERROR(E1404/COUNTIF($G2:$G6000,G1404),E1404)),E1404)</f>
        <v>0</v>
      </c>
      <c r="I1404" s="1" t="str">
        <f>IFERROR(VLOOKUP(C1404,'Clients List'!A:F,6,FALSE),"")</f>
        <v/>
      </c>
    </row>
    <row r="1405" spans="4:9" x14ac:dyDescent="0.45">
      <c r="D1405" t="str">
        <f>IFERROR(VLOOKUP(C1405,'Clients List'!$A:$F,2,FALSE),"")</f>
        <v/>
      </c>
      <c r="F1405" s="1" t="str">
        <f>IF(OR(C1405="",NOT(ISNUMBER(SEARCH("Package",D1405)))),"",VLOOKUP(C1405,'Clients List'!$A:$F,4,FALSE)-SUMIFS($E$2:$E1405,$C$2:$C1405,C1405,$D$2:$D1405,"*Package*"))</f>
        <v/>
      </c>
      <c r="G1405" t="str">
        <f t="shared" si="48"/>
        <v/>
      </c>
      <c r="H1405" s="33">
        <f>IF(ISNUMBER(SEARCH("Group",D1405)),IF(G1405="",E1405,IFERROR(E1405/COUNTIF($G2:$G6000,G1405),E1405)),E1405)</f>
        <v>0</v>
      </c>
      <c r="I1405" s="1" t="str">
        <f>IFERROR(VLOOKUP(C1405,'Clients List'!A:F,6,FALSE),"")</f>
        <v/>
      </c>
    </row>
    <row r="1406" spans="4:9" x14ac:dyDescent="0.45">
      <c r="D1406" t="str">
        <f>IFERROR(VLOOKUP(C1406,'Clients List'!$A:$F,2,FALSE),"")</f>
        <v/>
      </c>
      <c r="F1406" s="1" t="str">
        <f>IF(OR(C1406="",NOT(ISNUMBER(SEARCH("Package",D1406)))),"",VLOOKUP(C1406,'Clients List'!$A:$F,4,FALSE)-SUMIFS($E$2:$E1406,$C$2:$C1406,C1406,$D$2:$D1406,"*Package*"))</f>
        <v/>
      </c>
      <c r="G1406" t="str">
        <f t="shared" si="48"/>
        <v/>
      </c>
      <c r="H1406" s="33">
        <f>IF(ISNUMBER(SEARCH("Group",D1406)),IF(G1406="",E1406,IFERROR(E1406/COUNTIF($G2:$G6000,G1406),E1406)),E1406)</f>
        <v>0</v>
      </c>
      <c r="I1406" s="1" t="str">
        <f>IFERROR(VLOOKUP(C1406,'Clients List'!A:F,6,FALSE),"")</f>
        <v/>
      </c>
    </row>
    <row r="1407" spans="4:9" x14ac:dyDescent="0.45">
      <c r="D1407" t="str">
        <f>IFERROR(VLOOKUP(C1407,'Clients List'!$A:$F,2,FALSE),"")</f>
        <v/>
      </c>
      <c r="F1407" s="1" t="str">
        <f>IF(OR(C1407="",NOT(ISNUMBER(SEARCH("Package",D1407)))),"",VLOOKUP(C1407,'Clients List'!$A:$F,4,FALSE)-SUMIFS($E$2:$E1407,$C$2:$C1407,C1407,$D$2:$D1407,"*Package*"))</f>
        <v/>
      </c>
      <c r="G1407" t="str">
        <f t="shared" si="48"/>
        <v/>
      </c>
      <c r="H1407" s="33">
        <f>IF(ISNUMBER(SEARCH("Group",D1407)),IF(G1407="",E1407,IFERROR(E1407/COUNTIF($G2:$G6000,G1407),E1407)),E1407)</f>
        <v>0</v>
      </c>
      <c r="I1407" s="1" t="str">
        <f>IFERROR(VLOOKUP(C1407,'Clients List'!A:F,6,FALSE),"")</f>
        <v/>
      </c>
    </row>
    <row r="1408" spans="4:9" x14ac:dyDescent="0.45">
      <c r="D1408" t="str">
        <f>IFERROR(VLOOKUP(C1408,'Clients List'!$A:$F,2,FALSE),"")</f>
        <v/>
      </c>
      <c r="F1408" s="1" t="str">
        <f>IF(OR(C1408="",NOT(ISNUMBER(SEARCH("Package",D1408)))),"",VLOOKUP(C1408,'Clients List'!$A:$F,4,FALSE)-SUMIFS($E$2:$E1408,$C$2:$C1408,C1408,$D$2:$D1408,"*Package*"))</f>
        <v/>
      </c>
      <c r="G1408" t="str">
        <f t="shared" si="48"/>
        <v/>
      </c>
      <c r="H1408" s="33">
        <f>IF(ISNUMBER(SEARCH("Group",D1408)),IF(G1408="",E1408,IFERROR(E1408/COUNTIF($G2:$G6000,G1408),E1408)),E1408)</f>
        <v>0</v>
      </c>
      <c r="I1408" s="1" t="str">
        <f>IFERROR(VLOOKUP(C1408,'Clients List'!A:F,6,FALSE),"")</f>
        <v/>
      </c>
    </row>
    <row r="1409" spans="4:9" x14ac:dyDescent="0.45">
      <c r="D1409" t="str">
        <f>IFERROR(VLOOKUP(C1409,'Clients List'!$A:$F,2,FALSE),"")</f>
        <v/>
      </c>
      <c r="F1409" s="1" t="str">
        <f>IF(OR(C1409="",NOT(ISNUMBER(SEARCH("Package",D1409)))),"",VLOOKUP(C1409,'Clients List'!$A:$F,4,FALSE)-SUMIFS($E$2:$E1409,$C$2:$C1409,C1409,$D$2:$D1409,"*Package*"))</f>
        <v/>
      </c>
      <c r="G1409" t="str">
        <f t="shared" si="48"/>
        <v/>
      </c>
      <c r="H1409" s="33">
        <f>IF(ISNUMBER(SEARCH("Group",D1409)),IF(G1409="",E1409,IFERROR(E1409/COUNTIF($G2:$G6000,G1409),E1409)),E1409)</f>
        <v>0</v>
      </c>
      <c r="I1409" s="1" t="str">
        <f>IFERROR(VLOOKUP(C1409,'Clients List'!A:F,6,FALSE),"")</f>
        <v/>
      </c>
    </row>
    <row r="1410" spans="4:9" x14ac:dyDescent="0.45">
      <c r="D1410" t="str">
        <f>IFERROR(VLOOKUP(C1410,'Clients List'!$A:$F,2,FALSE),"")</f>
        <v/>
      </c>
      <c r="F1410" s="1" t="str">
        <f>IF(OR(C1410="",NOT(ISNUMBER(SEARCH("Package",D1410)))),"",VLOOKUP(C1410,'Clients List'!$A:$F,4,FALSE)-SUMIFS($E$2:$E1410,$C$2:$C1410,C1410,$D$2:$D1410,"*Package*"))</f>
        <v/>
      </c>
      <c r="G1410" t="str">
        <f t="shared" si="48"/>
        <v/>
      </c>
      <c r="H1410" s="33">
        <f>IF(ISNUMBER(SEARCH("Group",D1410)),IF(G1410="",E1410,IFERROR(E1410/COUNTIF($G2:$G6000,G1410),E1410)),E1410)</f>
        <v>0</v>
      </c>
      <c r="I1410" s="1" t="str">
        <f>IFERROR(VLOOKUP(C1410,'Clients List'!A:F,6,FALSE),"")</f>
        <v/>
      </c>
    </row>
    <row r="1411" spans="4:9" x14ac:dyDescent="0.45">
      <c r="D1411" t="str">
        <f>IFERROR(VLOOKUP(C1411,'Clients List'!$A:$F,2,FALSE),"")</f>
        <v/>
      </c>
      <c r="F1411" s="1" t="str">
        <f>IF(OR(C1411="",NOT(ISNUMBER(SEARCH("Package",D1411)))),"",VLOOKUP(C1411,'Clients List'!$A:$F,4,FALSE)-SUMIFS($E$2:$E1411,$C$2:$C1411,C1411,$D$2:$D1411,"*Package*"))</f>
        <v/>
      </c>
      <c r="G1411" t="str">
        <f t="shared" si="48"/>
        <v/>
      </c>
      <c r="H1411" s="33">
        <f>IF(ISNUMBER(SEARCH("Group",D1411)),IF(G1411="",E1411,IFERROR(E1411/COUNTIF($G2:$G6000,G1411),E1411)),E1411)</f>
        <v>0</v>
      </c>
      <c r="I1411" s="1" t="str">
        <f>IFERROR(VLOOKUP(C1411,'Clients List'!A:F,6,FALSE),"")</f>
        <v/>
      </c>
    </row>
    <row r="1412" spans="4:9" x14ac:dyDescent="0.45">
      <c r="D1412" t="str">
        <f>IFERROR(VLOOKUP(C1412,'Clients List'!$A:$F,2,FALSE),"")</f>
        <v/>
      </c>
      <c r="F1412" s="1" t="str">
        <f>IF(OR(C1412="",NOT(ISNUMBER(SEARCH("Package",D1412)))),"",VLOOKUP(C1412,'Clients List'!$A:$F,4,FALSE)-SUMIFS($E$2:$E1412,$C$2:$C1412,C1412,$D$2:$D1412,"*Package*"))</f>
        <v/>
      </c>
      <c r="G1412" t="str">
        <f t="shared" si="48"/>
        <v/>
      </c>
      <c r="H1412" s="33">
        <f>IF(ISNUMBER(SEARCH("Group",D1412)),IF(G1412="",E1412,IFERROR(E1412/COUNTIF($G2:$G6000,G1412),E1412)),E1412)</f>
        <v>0</v>
      </c>
      <c r="I1412" s="1" t="str">
        <f>IFERROR(VLOOKUP(C1412,'Clients List'!A:F,6,FALSE),"")</f>
        <v/>
      </c>
    </row>
    <row r="1413" spans="4:9" x14ac:dyDescent="0.45">
      <c r="D1413" t="str">
        <f>IFERROR(VLOOKUP(C1413,'Clients List'!$A:$F,2,FALSE),"")</f>
        <v/>
      </c>
      <c r="F1413" s="1" t="str">
        <f>IF(OR(C1413="",NOT(ISNUMBER(SEARCH("Package",D1413)))),"",VLOOKUP(C1413,'Clients List'!$A:$F,4,FALSE)-SUMIFS($E$2:$E1413,$C$2:$C1413,C1413,$D$2:$D1413,"*Package*"))</f>
        <v/>
      </c>
      <c r="G1413" t="str">
        <f t="shared" si="48"/>
        <v/>
      </c>
      <c r="H1413" s="33">
        <f>IF(ISNUMBER(SEARCH("Group",D1413)),IF(G1413="",E1413,IFERROR(E1413/COUNTIF($G2:$G6000,G1413),E1413)),E1413)</f>
        <v>0</v>
      </c>
      <c r="I1413" s="1" t="str">
        <f>IFERROR(VLOOKUP(C1413,'Clients List'!A:F,6,FALSE),"")</f>
        <v/>
      </c>
    </row>
    <row r="1414" spans="4:9" x14ac:dyDescent="0.45">
      <c r="D1414" t="str">
        <f>IFERROR(VLOOKUP(C1414,'Clients List'!$A:$F,2,FALSE),"")</f>
        <v/>
      </c>
      <c r="F1414" s="1" t="str">
        <f>IF(OR(C1414="",NOT(ISNUMBER(SEARCH("Package",D1414)))),"",VLOOKUP(C1414,'Clients List'!$A:$F,4,FALSE)-SUMIFS($E$2:$E1414,$C$2:$C1414,C1414,$D$2:$D1414,"*Package*"))</f>
        <v/>
      </c>
      <c r="G1414" t="str">
        <f t="shared" si="48"/>
        <v/>
      </c>
      <c r="H1414" s="33">
        <f>IF(ISNUMBER(SEARCH("Group",D1414)),IF(G1414="",E1414,IFERROR(E1414/COUNTIF($G2:$G6000,G1414),E1414)),E1414)</f>
        <v>0</v>
      </c>
      <c r="I1414" s="1" t="str">
        <f>IFERROR(VLOOKUP(C1414,'Clients List'!A:F,6,FALSE),"")</f>
        <v/>
      </c>
    </row>
    <row r="1415" spans="4:9" x14ac:dyDescent="0.45">
      <c r="D1415" t="str">
        <f>IFERROR(VLOOKUP(C1415,'Clients List'!$A:$F,2,FALSE),"")</f>
        <v/>
      </c>
      <c r="F1415" s="1" t="str">
        <f>IF(OR(C1415="",NOT(ISNUMBER(SEARCH("Package",D1415)))),"",VLOOKUP(C1415,'Clients List'!$A:$F,4,FALSE)-SUMIFS($E$2:$E1415,$C$2:$C1415,C1415,$D$2:$D1415,"*Package*"))</f>
        <v/>
      </c>
      <c r="G1415" t="str">
        <f t="shared" si="48"/>
        <v/>
      </c>
      <c r="H1415" s="33">
        <f>IF(ISNUMBER(SEARCH("Group",D1415)),IF(G1415="",E1415,IFERROR(E1415/COUNTIF($G2:$G6000,G1415),E1415)),E1415)</f>
        <v>0</v>
      </c>
      <c r="I1415" s="1" t="str">
        <f>IFERROR(VLOOKUP(C1415,'Clients List'!A:F,6,FALSE),"")</f>
        <v/>
      </c>
    </row>
    <row r="1416" spans="4:9" x14ac:dyDescent="0.45">
      <c r="D1416" t="str">
        <f>IFERROR(VLOOKUP(C1416,'Clients List'!$A:$F,2,FALSE),"")</f>
        <v/>
      </c>
      <c r="F1416" s="1" t="str">
        <f>IF(OR(C1416="",NOT(ISNUMBER(SEARCH("Package",D1416)))),"",VLOOKUP(C1416,'Clients List'!$A:$F,4,FALSE)-SUMIFS($E$2:$E1416,$C$2:$C1416,C1416,$D$2:$D1416,"*Package*"))</f>
        <v/>
      </c>
      <c r="G1416" t="str">
        <f t="shared" si="48"/>
        <v/>
      </c>
      <c r="H1416" s="33">
        <f>IF(ISNUMBER(SEARCH("Group",D1416)),IF(G1416="",E1416,IFERROR(E1416/COUNTIF($G2:$G6000,G1416),E1416)),E1416)</f>
        <v>0</v>
      </c>
      <c r="I1416" s="1" t="str">
        <f>IFERROR(VLOOKUP(C1416,'Clients List'!A:F,6,FALSE),"")</f>
        <v/>
      </c>
    </row>
    <row r="1417" spans="4:9" x14ac:dyDescent="0.45">
      <c r="D1417" t="str">
        <f>IFERROR(VLOOKUP(C1417,'Clients List'!$A:$F,2,FALSE),"")</f>
        <v/>
      </c>
      <c r="F1417" s="1" t="str">
        <f>IF(OR(C1417="",NOT(ISNUMBER(SEARCH("Package",D1417)))),"",VLOOKUP(C1417,'Clients List'!$A:$F,4,FALSE)-SUMIFS($E$2:$E1417,$C$2:$C1417,C1417,$D$2:$D1417,"*Package*"))</f>
        <v/>
      </c>
      <c r="G1417" t="str">
        <f t="shared" si="48"/>
        <v/>
      </c>
      <c r="H1417" s="33">
        <f>IF(ISNUMBER(SEARCH("Group",D1417)),IF(G1417="",E1417,IFERROR(E1417/COUNTIF($G2:$G6000,G1417),E1417)),E1417)</f>
        <v>0</v>
      </c>
      <c r="I1417" s="1" t="str">
        <f>IFERROR(VLOOKUP(C1417,'Clients List'!A:F,6,FALSE),"")</f>
        <v/>
      </c>
    </row>
    <row r="1418" spans="4:9" x14ac:dyDescent="0.45">
      <c r="D1418" t="str">
        <f>IFERROR(VLOOKUP(C1418,'Clients List'!$A:$F,2,FALSE),"")</f>
        <v/>
      </c>
      <c r="F1418" s="1" t="str">
        <f>IF(OR(C1418="",NOT(ISNUMBER(SEARCH("Package",D1418)))),"",VLOOKUP(C1418,'Clients List'!$A:$F,4,FALSE)-SUMIFS($E$2:$E1418,$C$2:$C1418,C1418,$D$2:$D1418,"*Package*"))</f>
        <v/>
      </c>
      <c r="G1418" t="str">
        <f t="shared" ref="G1418:G1429" si="49">IF(ISNUMBER(SEARCH("Group",D1418)),IFERROR("GRP-"&amp;TEXT(IF(ISNUMBER(A1418),A1418,DATEVALUE(A1418)),"yyyymmdd"),""),"" )</f>
        <v/>
      </c>
      <c r="H1418" s="33">
        <f>IF(ISNUMBER(SEARCH("Group",D1418)),IF(G1418="",E1418,IFERROR(E1418/COUNTIF($G2:$G6000,G1418),E1418)),E1418)</f>
        <v>0</v>
      </c>
      <c r="I1418" s="1" t="str">
        <f>IFERROR(VLOOKUP(C1418,'Clients List'!A:F,6,FALSE),"")</f>
        <v/>
      </c>
    </row>
    <row r="1419" spans="4:9" x14ac:dyDescent="0.45">
      <c r="D1419" t="str">
        <f>IFERROR(VLOOKUP(C1419,'Clients List'!$A:$F,2,FALSE),"")</f>
        <v/>
      </c>
      <c r="F1419" s="1" t="str">
        <f>IF(OR(C1419="",NOT(ISNUMBER(SEARCH("Package",D1419)))),"",VLOOKUP(C1419,'Clients List'!$A:$F,4,FALSE)-SUMIFS($E$2:$E1419,$C$2:$C1419,C1419,$D$2:$D1419,"*Package*"))</f>
        <v/>
      </c>
      <c r="G1419" t="str">
        <f t="shared" si="49"/>
        <v/>
      </c>
      <c r="H1419" s="33">
        <f>IF(ISNUMBER(SEARCH("Group",D1419)),IF(G1419="",E1419,IFERROR(E1419/COUNTIF($G2:$G6000,G1419),E1419)),E1419)</f>
        <v>0</v>
      </c>
      <c r="I1419" s="1" t="str">
        <f>IFERROR(VLOOKUP(C1419,'Clients List'!A:F,6,FALSE),"")</f>
        <v/>
      </c>
    </row>
    <row r="1420" spans="4:9" x14ac:dyDescent="0.45">
      <c r="D1420" t="str">
        <f>IFERROR(VLOOKUP(C1420,'Clients List'!$A:$F,2,FALSE),"")</f>
        <v/>
      </c>
      <c r="F1420" s="1" t="str">
        <f>IF(OR(C1420="",NOT(ISNUMBER(SEARCH("Package",D1420)))),"",VLOOKUP(C1420,'Clients List'!$A:$F,4,FALSE)-SUMIFS($E$2:$E1420,$C$2:$C1420,C1420,$D$2:$D1420,"*Package*"))</f>
        <v/>
      </c>
      <c r="G1420" t="str">
        <f t="shared" si="49"/>
        <v/>
      </c>
      <c r="H1420" s="33">
        <f>IF(ISNUMBER(SEARCH("Group",D1420)),IF(G1420="",E1420,IFERROR(E1420/COUNTIF($G2:$G6000,G1420),E1420)),E1420)</f>
        <v>0</v>
      </c>
      <c r="I1420" s="1" t="str">
        <f>IFERROR(VLOOKUP(C1420,'Clients List'!A:F,6,FALSE),"")</f>
        <v/>
      </c>
    </row>
    <row r="1421" spans="4:9" x14ac:dyDescent="0.45">
      <c r="D1421" t="str">
        <f>IFERROR(VLOOKUP(C1421,'Clients List'!$A:$F,2,FALSE),"")</f>
        <v/>
      </c>
      <c r="F1421" s="1" t="str">
        <f>IF(OR(C1421="",NOT(ISNUMBER(SEARCH("Package",D1421)))),"",VLOOKUP(C1421,'Clients List'!$A:$F,4,FALSE)-SUMIFS($E$2:$E1421,$C$2:$C1421,C1421,$D$2:$D1421,"*Package*"))</f>
        <v/>
      </c>
      <c r="G1421" t="str">
        <f t="shared" si="49"/>
        <v/>
      </c>
      <c r="H1421" s="33">
        <f>IF(ISNUMBER(SEARCH("Group",D1421)),IF(G1421="",E1421,IFERROR(E1421/COUNTIF($G2:$G6000,G1421),E1421)),E1421)</f>
        <v>0</v>
      </c>
      <c r="I1421" s="1" t="str">
        <f>IFERROR(VLOOKUP(C1421,'Clients List'!A:F,6,FALSE),"")</f>
        <v/>
      </c>
    </row>
    <row r="1422" spans="4:9" x14ac:dyDescent="0.45">
      <c r="D1422" t="str">
        <f>IFERROR(VLOOKUP(C1422,'Clients List'!$A:$F,2,FALSE),"")</f>
        <v/>
      </c>
      <c r="F1422" s="1" t="str">
        <f>IF(OR(C1422="",NOT(ISNUMBER(SEARCH("Package",D1422)))),"",VLOOKUP(C1422,'Clients List'!$A:$F,4,FALSE)-SUMIFS($E$2:$E1422,$C$2:$C1422,C1422,$D$2:$D1422,"*Package*"))</f>
        <v/>
      </c>
      <c r="G1422" t="str">
        <f t="shared" si="49"/>
        <v/>
      </c>
      <c r="H1422" s="33">
        <f>IF(ISNUMBER(SEARCH("Group",D1422)),IF(G1422="",E1422,IFERROR(E1422/COUNTIF($G2:$G6000,G1422),E1422)),E1422)</f>
        <v>0</v>
      </c>
      <c r="I1422" s="1" t="str">
        <f>IFERROR(VLOOKUP(C1422,'Clients List'!A:F,6,FALSE),"")</f>
        <v/>
      </c>
    </row>
    <row r="1423" spans="4:9" x14ac:dyDescent="0.45">
      <c r="D1423" t="str">
        <f>IFERROR(VLOOKUP(C1423,'Clients List'!$A:$F,2,FALSE),"")</f>
        <v/>
      </c>
      <c r="F1423" s="1" t="str">
        <f>IF(OR(C1423="",NOT(ISNUMBER(SEARCH("Package",D1423)))),"",VLOOKUP(C1423,'Clients List'!$A:$F,4,FALSE)-SUMIFS($E$2:$E1423,$C$2:$C1423,C1423,$D$2:$D1423,"*Package*"))</f>
        <v/>
      </c>
      <c r="G1423" t="str">
        <f t="shared" si="49"/>
        <v/>
      </c>
      <c r="H1423" s="33">
        <f>IF(ISNUMBER(SEARCH("Group",D1423)),IF(G1423="",E1423,IFERROR(E1423/COUNTIF($G2:$G6000,G1423),E1423)),E1423)</f>
        <v>0</v>
      </c>
      <c r="I1423" s="1" t="str">
        <f>IFERROR(VLOOKUP(C1423,'Clients List'!A:F,6,FALSE),"")</f>
        <v/>
      </c>
    </row>
    <row r="1424" spans="4:9" x14ac:dyDescent="0.45">
      <c r="D1424" t="str">
        <f>IFERROR(VLOOKUP(C1424,'Clients List'!$A:$F,2,FALSE),"")</f>
        <v/>
      </c>
      <c r="F1424" s="1" t="str">
        <f>IF(OR(C1424="",NOT(ISNUMBER(SEARCH("Package",D1424)))),"",VLOOKUP(C1424,'Clients List'!$A:$F,4,FALSE)-SUMIFS($E$2:$E1424,$C$2:$C1424,C1424,$D$2:$D1424,"*Package*"))</f>
        <v/>
      </c>
      <c r="G1424" t="str">
        <f t="shared" si="49"/>
        <v/>
      </c>
      <c r="H1424" s="33">
        <f>IF(ISNUMBER(SEARCH("Group",D1424)),IF(G1424="",E1424,IFERROR(E1424/COUNTIF($G2:$G6000,G1424),E1424)),E1424)</f>
        <v>0</v>
      </c>
      <c r="I1424" s="1" t="str">
        <f>IFERROR(VLOOKUP(C1424,'Clients List'!A:F,6,FALSE),"")</f>
        <v/>
      </c>
    </row>
    <row r="1425" spans="1:9" x14ac:dyDescent="0.45">
      <c r="D1425" t="str">
        <f>IFERROR(VLOOKUP(C1425,'Clients List'!$A:$F,2,FALSE),"")</f>
        <v/>
      </c>
      <c r="F1425" s="1" t="str">
        <f>IF(OR(C1425="",NOT(ISNUMBER(SEARCH("Package",D1425)))),"",VLOOKUP(C1425,'Clients List'!$A:$F,4,FALSE)-SUMIFS($E$2:$E1425,$C$2:$C1425,C1425,$D$2:$D1425,"*Package*"))</f>
        <v/>
      </c>
      <c r="G1425" t="str">
        <f t="shared" si="49"/>
        <v/>
      </c>
      <c r="H1425" s="33">
        <f>IF(ISNUMBER(SEARCH("Group",D1425)),IF(G1425="",E1425,IFERROR(E1425/COUNTIF($G2:$G6000,G1425),E1425)),E1425)</f>
        <v>0</v>
      </c>
      <c r="I1425" s="1" t="str">
        <f>IFERROR(VLOOKUP(C1425,'Clients List'!A:F,6,FALSE),"")</f>
        <v/>
      </c>
    </row>
    <row r="1426" spans="1:9" x14ac:dyDescent="0.45">
      <c r="D1426" t="str">
        <f>IFERROR(VLOOKUP(C1426,'Clients List'!$A:$F,2,FALSE),"")</f>
        <v/>
      </c>
      <c r="F1426" s="1" t="str">
        <f>IF(OR(C1426="",NOT(ISNUMBER(SEARCH("Package",D1426)))),"",VLOOKUP(C1426,'Clients List'!$A:$F,4,FALSE)-SUMIFS($E$2:$E1426,$C$2:$C1426,C1426,$D$2:$D1426,"*Package*"))</f>
        <v/>
      </c>
      <c r="G1426" t="str">
        <f t="shared" si="49"/>
        <v/>
      </c>
      <c r="H1426" s="33">
        <f>IF(ISNUMBER(SEARCH("Group",D1426)),IF(G1426="",E1426,IFERROR(E1426/COUNTIF($G2:$G6000,G1426),E1426)),E1426)</f>
        <v>0</v>
      </c>
      <c r="I1426" s="1" t="str">
        <f>IFERROR(VLOOKUP(C1426,'Clients List'!A:F,6,FALSE),"")</f>
        <v/>
      </c>
    </row>
    <row r="1427" spans="1:9" x14ac:dyDescent="0.45">
      <c r="D1427" t="str">
        <f>IFERROR(VLOOKUP(C1427,'Clients List'!$A:$F,2,FALSE),"")</f>
        <v/>
      </c>
      <c r="F1427" s="1" t="str">
        <f>IF(OR(C1427="",NOT(ISNUMBER(SEARCH("Package",D1427)))),"",VLOOKUP(C1427,'Clients List'!$A:$F,4,FALSE)-SUMIFS($E$2:$E1427,$C$2:$C1427,C1427,$D$2:$D1427,"*Package*"))</f>
        <v/>
      </c>
      <c r="G1427" t="str">
        <f t="shared" si="49"/>
        <v/>
      </c>
      <c r="H1427" s="33">
        <f>IF(ISNUMBER(SEARCH("Group",D1427)),IF(G1427="",E1427,IFERROR(E1427/COUNTIF($G2:$G6000,G1427),E1427)),E1427)</f>
        <v>0</v>
      </c>
      <c r="I1427" s="1" t="str">
        <f>IFERROR(VLOOKUP(C1427,'Clients List'!A:F,6,FALSE),"")</f>
        <v/>
      </c>
    </row>
    <row r="1428" spans="1:9" x14ac:dyDescent="0.45">
      <c r="D1428" t="str">
        <f>IFERROR(VLOOKUP(C1428,'Clients List'!$A:$F,2,FALSE),"")</f>
        <v/>
      </c>
      <c r="F1428" s="1" t="str">
        <f>IF(OR(C1428="",NOT(ISNUMBER(SEARCH("Package",D1428)))),"",VLOOKUP(C1428,'Clients List'!$A:$F,4,FALSE)-SUMIFS($E$2:$E1428,$C$2:$C1428,C1428,$D$2:$D1428,"*Package*"))</f>
        <v/>
      </c>
      <c r="G1428" t="str">
        <f t="shared" si="49"/>
        <v/>
      </c>
      <c r="H1428" s="33">
        <f>IF(ISNUMBER(SEARCH("Group",D1428)),IF(G1428="",E1428,IFERROR(E1428/COUNTIF($G2:$G6000,G1428),E1428)),E1428)</f>
        <v>0</v>
      </c>
      <c r="I1428" s="1" t="str">
        <f>IFERROR(VLOOKUP(C1428,'Clients List'!A:F,6,FALSE),"")</f>
        <v/>
      </c>
    </row>
    <row r="1429" spans="1:9" x14ac:dyDescent="0.45">
      <c r="D1429" t="str">
        <f>IFERROR(VLOOKUP(C1429,'Clients List'!$A:$F,2,FALSE),"")</f>
        <v/>
      </c>
      <c r="F1429" s="1" t="str">
        <f>IF(OR(C1429="",NOT(ISNUMBER(SEARCH("Package",D1429)))),"",VLOOKUP(C1429,'Clients List'!$A:$F,4,FALSE)-SUMIFS($E$2:$E1429,$C$2:$C1429,C1429,$D$2:$D1429,"*Package*"))</f>
        <v/>
      </c>
      <c r="G1429" t="str">
        <f t="shared" si="49"/>
        <v/>
      </c>
      <c r="H1429" s="33">
        <f>IF(ISNUMBER(SEARCH("Group",D1429)),IF(G1429="",E1429,IFERROR(E1429/COUNTIF($G2:$G6000,G1429),E1429)),E1429)</f>
        <v>0</v>
      </c>
      <c r="I1429" s="1" t="str">
        <f>IFERROR(VLOOKUP(C1429,'Clients List'!A:F,6,FALSE),"")</f>
        <v/>
      </c>
    </row>
    <row r="1430" spans="1:9" x14ac:dyDescent="0.45">
      <c r="A1430" s="8"/>
      <c r="C1430" s="9"/>
      <c r="D1430" s="10" t="str">
        <f>IFERROR(VLOOKUP(C1430,'Clients List'!$A:$F,2,FALSE),"")</f>
        <v/>
      </c>
      <c r="E1430" s="21">
        <f>SUM(E1290:E1429)</f>
        <v>0</v>
      </c>
      <c r="F1430" s="1" t="str">
        <f>IF(OR(C1430="",NOT(ISNUMBER(SEARCH("Package",D1430)))),"",VLOOKUP(C1430,'Clients List'!$A:$F,4,FALSE)-SUMIFS($E$2:$E1430,$C$2:$C1430,C1430,$D$2:$D1430,"*Package*"))</f>
        <v/>
      </c>
      <c r="H1430" s="33">
        <f>SUM(H1290:H1429)</f>
        <v>0</v>
      </c>
      <c r="I1430" s="11" t="str">
        <f>IFERROR(VLOOKUP(C1430,'Clients List'!A:F,6,FALSE),"")</f>
        <v/>
      </c>
    </row>
    <row r="1431" spans="1:9" x14ac:dyDescent="0.45">
      <c r="D1431" t="str">
        <f>IFERROR(VLOOKUP(C1431,'Clients List'!$A:$F,2,FALSE),"")</f>
        <v/>
      </c>
      <c r="F1431" s="1" t="str">
        <f>IF(OR(C1431="",NOT(ISNUMBER(SEARCH("Package",D1431)))),"",VLOOKUP(C1431,'Clients List'!$A:$F,4,FALSE)-SUMIFS($E$2:$E1431,$C$2:$C1431,C1431,$D$2:$D1431,"*Package*"))</f>
        <v/>
      </c>
      <c r="G1431" t="str">
        <f>IF(ISNUMBER(SEARCH("Group",D1431)),IFERROR("GRP-"&amp;TEXT(IF(ISNUMBER(A1431),A1431,DATEVALUE(A1431)),"yyyymmdd"),""),"" )</f>
        <v/>
      </c>
      <c r="H1431" s="33">
        <f>IF(ISNUMBER(SEARCH("Group",D1431)),IF(G1431="",E1431,IFERROR(E1431/COUNTIF($G2:$G6000,G1431),E1431)),E1431)</f>
        <v>0</v>
      </c>
      <c r="I1431" s="1" t="str">
        <f>IFERROR(VLOOKUP(C1431,'Clients List'!A:F,6,FALSE),"")</f>
        <v/>
      </c>
    </row>
    <row r="1432" spans="1:9" x14ac:dyDescent="0.45">
      <c r="A1432" s="14" t="s">
        <v>25</v>
      </c>
      <c r="D1432" t="str">
        <f>IFERROR(VLOOKUP(C1432,'Clients List'!$A:$F,2,FALSE),"")</f>
        <v/>
      </c>
      <c r="F1432" s="1" t="str">
        <f>IF(OR(C1432="",NOT(ISNUMBER(SEARCH("Package",D1432)))),"",VLOOKUP(C1432,'Clients List'!$A:$F,4,FALSE)-SUMIFS($E$2:$E1432,$C$2:$C1432,C1432,$D$2:$D1432,"*Package*"))</f>
        <v/>
      </c>
      <c r="H1432" s="33"/>
      <c r="I1432" s="1" t="str">
        <f>IFERROR(VLOOKUP(C1432,'Clients List'!A:F,6,FALSE),"")</f>
        <v/>
      </c>
    </row>
    <row r="1433" spans="1:9" x14ac:dyDescent="0.45">
      <c r="D1433" t="str">
        <f>IFERROR(VLOOKUP(C1433,'Clients List'!$A:$F,2,FALSE),"")</f>
        <v/>
      </c>
      <c r="F1433" s="1" t="str">
        <f>IF(OR(C1433="",NOT(ISNUMBER(SEARCH("Package",D1433)))),"",VLOOKUP(C1433,'Clients List'!$A:$F,4,FALSE)-SUMIFS($E$2:$E1433,$C$2:$C1433,C1433,$D$2:$D1433,"*Package*"))</f>
        <v/>
      </c>
      <c r="G1433" t="str">
        <f t="shared" ref="G1433:G1464" si="50">IF(ISNUMBER(SEARCH("Group",D1433)),IFERROR("GRP-"&amp;TEXT(IF(ISNUMBER(A1433),A1433,DATEVALUE(A1433)),"yyyymmdd"),""),"" )</f>
        <v/>
      </c>
      <c r="H1433" s="33">
        <f>IF(ISNUMBER(SEARCH("Group",D1433)),IF(G1433="",E1433,IFERROR(E1433/COUNTIF($G2:$G6000,G1433),E1433)),E1433)</f>
        <v>0</v>
      </c>
      <c r="I1433" s="1" t="str">
        <f>IFERROR(VLOOKUP(C1433,'Clients List'!A:F,6,FALSE),"")</f>
        <v/>
      </c>
    </row>
    <row r="1434" spans="1:9" x14ac:dyDescent="0.45">
      <c r="D1434" t="str">
        <f>IFERROR(VLOOKUP(C1434,'Clients List'!$A:$F,2,FALSE),"")</f>
        <v/>
      </c>
      <c r="F1434" s="1" t="str">
        <f>IF(OR(C1434="",NOT(ISNUMBER(SEARCH("Package",D1434)))),"",VLOOKUP(C1434,'Clients List'!$A:$F,4,FALSE)-SUMIFS($E$2:$E1434,$C$2:$C1434,C1434,$D$2:$D1434,"*Package*"))</f>
        <v/>
      </c>
      <c r="G1434" t="str">
        <f t="shared" si="50"/>
        <v/>
      </c>
      <c r="H1434" s="33">
        <f>IF(ISNUMBER(SEARCH("Group",D1434)),IF(G1434="",E1434,IFERROR(E1434/COUNTIF($G2:$G6000,G1434),E1434)),E1434)</f>
        <v>0</v>
      </c>
      <c r="I1434" s="1" t="str">
        <f>IFERROR(VLOOKUP(C1434,'Clients List'!A:F,6,FALSE),"")</f>
        <v/>
      </c>
    </row>
    <row r="1435" spans="1:9" x14ac:dyDescent="0.45">
      <c r="D1435" t="str">
        <f>IFERROR(VLOOKUP(C1435,'Clients List'!$A:$F,2,FALSE),"")</f>
        <v/>
      </c>
      <c r="F1435" s="1" t="str">
        <f>IF(OR(C1435="",NOT(ISNUMBER(SEARCH("Package",D1435)))),"",VLOOKUP(C1435,'Clients List'!$A:$F,4,FALSE)-SUMIFS($E$2:$E1435,$C$2:$C1435,C1435,$D$2:$D1435,"*Package*"))</f>
        <v/>
      </c>
      <c r="G1435" t="str">
        <f t="shared" si="50"/>
        <v/>
      </c>
      <c r="H1435" s="33">
        <f>IF(ISNUMBER(SEARCH("Group",D1435)),IF(G1435="",E1435,IFERROR(E1435/COUNTIF($G2:$G6000,G1435),E1435)),E1435)</f>
        <v>0</v>
      </c>
      <c r="I1435" s="1" t="str">
        <f>IFERROR(VLOOKUP(C1435,'Clients List'!A:F,6,FALSE),"")</f>
        <v/>
      </c>
    </row>
    <row r="1436" spans="1:9" x14ac:dyDescent="0.45">
      <c r="D1436" t="str">
        <f>IFERROR(VLOOKUP(C1436,'Clients List'!$A:$F,2,FALSE),"")</f>
        <v/>
      </c>
      <c r="F1436" s="1" t="str">
        <f>IF(OR(C1436="",NOT(ISNUMBER(SEARCH("Package",D1436)))),"",VLOOKUP(C1436,'Clients List'!$A:$F,4,FALSE)-SUMIFS($E$2:$E1436,$C$2:$C1436,C1436,$D$2:$D1436,"*Package*"))</f>
        <v/>
      </c>
      <c r="G1436" t="str">
        <f t="shared" si="50"/>
        <v/>
      </c>
      <c r="H1436" s="33">
        <f>IF(ISNUMBER(SEARCH("Group",D1436)),IF(G1436="",E1436,IFERROR(E1436/COUNTIF($G2:$G6000,G1436),E1436)),E1436)</f>
        <v>0</v>
      </c>
      <c r="I1436" s="1" t="str">
        <f>IFERROR(VLOOKUP(C1436,'Clients List'!A:F,6,FALSE),"")</f>
        <v/>
      </c>
    </row>
    <row r="1437" spans="1:9" x14ac:dyDescent="0.45">
      <c r="D1437" t="str">
        <f>IFERROR(VLOOKUP(C1437,'Clients List'!$A:$F,2,FALSE),"")</f>
        <v/>
      </c>
      <c r="F1437" s="1" t="str">
        <f>IF(OR(C1437="",NOT(ISNUMBER(SEARCH("Package",D1437)))),"",VLOOKUP(C1437,'Clients List'!$A:$F,4,FALSE)-SUMIFS($E$2:$E1437,$C$2:$C1437,C1437,$D$2:$D1437,"*Package*"))</f>
        <v/>
      </c>
      <c r="G1437" t="str">
        <f t="shared" si="50"/>
        <v/>
      </c>
      <c r="H1437" s="33">
        <f>IF(ISNUMBER(SEARCH("Group",D1437)),IF(G1437="",E1437,IFERROR(E1437/COUNTIF($G2:$G6000,G1437),E1437)),E1437)</f>
        <v>0</v>
      </c>
      <c r="I1437" s="1" t="str">
        <f>IFERROR(VLOOKUP(C1437,'Clients List'!A:F,6,FALSE),"")</f>
        <v/>
      </c>
    </row>
    <row r="1438" spans="1:9" x14ac:dyDescent="0.45">
      <c r="D1438" t="str">
        <f>IFERROR(VLOOKUP(C1438,'Clients List'!$A:$F,2,FALSE),"")</f>
        <v/>
      </c>
      <c r="F1438" s="1" t="str">
        <f>IF(OR(C1438="",NOT(ISNUMBER(SEARCH("Package",D1438)))),"",VLOOKUP(C1438,'Clients List'!$A:$F,4,FALSE)-SUMIFS($E$2:$E1438,$C$2:$C1438,C1438,$D$2:$D1438,"*Package*"))</f>
        <v/>
      </c>
      <c r="G1438" t="str">
        <f t="shared" si="50"/>
        <v/>
      </c>
      <c r="H1438" s="33">
        <f>IF(ISNUMBER(SEARCH("Group",D1438)),IF(G1438="",E1438,IFERROR(E1438/COUNTIF($G2:$G6000,G1438),E1438)),E1438)</f>
        <v>0</v>
      </c>
      <c r="I1438" s="1" t="str">
        <f>IFERROR(VLOOKUP(C1438,'Clients List'!A:F,6,FALSE),"")</f>
        <v/>
      </c>
    </row>
    <row r="1439" spans="1:9" x14ac:dyDescent="0.45">
      <c r="D1439" t="str">
        <f>IFERROR(VLOOKUP(C1439,'Clients List'!$A:$F,2,FALSE),"")</f>
        <v/>
      </c>
      <c r="F1439" s="1" t="str">
        <f>IF(OR(C1439="",NOT(ISNUMBER(SEARCH("Package",D1439)))),"",VLOOKUP(C1439,'Clients List'!$A:$F,4,FALSE)-SUMIFS($E$2:$E1439,$C$2:$C1439,C1439,$D$2:$D1439,"*Package*"))</f>
        <v/>
      </c>
      <c r="G1439" t="str">
        <f t="shared" si="50"/>
        <v/>
      </c>
      <c r="H1439" s="33">
        <f>IF(ISNUMBER(SEARCH("Group",D1439)),IF(G1439="",E1439,IFERROR(E1439/COUNTIF($G2:$G6000,G1439),E1439)),E1439)</f>
        <v>0</v>
      </c>
      <c r="I1439" s="1" t="str">
        <f>IFERROR(VLOOKUP(C1439,'Clients List'!A:F,6,FALSE),"")</f>
        <v/>
      </c>
    </row>
    <row r="1440" spans="1:9" x14ac:dyDescent="0.45">
      <c r="D1440" t="str">
        <f>IFERROR(VLOOKUP(C1440,'Clients List'!$A:$F,2,FALSE),"")</f>
        <v/>
      </c>
      <c r="F1440" s="1" t="str">
        <f>IF(OR(C1440="",NOT(ISNUMBER(SEARCH("Package",D1440)))),"",VLOOKUP(C1440,'Clients List'!$A:$F,4,FALSE)-SUMIFS($E$2:$E1440,$C$2:$C1440,C1440,$D$2:$D1440,"*Package*"))</f>
        <v/>
      </c>
      <c r="G1440" t="str">
        <f t="shared" si="50"/>
        <v/>
      </c>
      <c r="H1440" s="33">
        <f>IF(ISNUMBER(SEARCH("Group",D1440)),IF(G1440="",E1440,IFERROR(E1440/COUNTIF($G2:$G6000,G1440),E1440)),E1440)</f>
        <v>0</v>
      </c>
      <c r="I1440" s="1" t="str">
        <f>IFERROR(VLOOKUP(C1440,'Clients List'!A:F,6,FALSE),"")</f>
        <v/>
      </c>
    </row>
    <row r="1441" spans="4:9" x14ac:dyDescent="0.45">
      <c r="D1441" t="str">
        <f>IFERROR(VLOOKUP(C1441,'Clients List'!$A:$F,2,FALSE),"")</f>
        <v/>
      </c>
      <c r="F1441" s="1" t="str">
        <f>IF(OR(C1441="",NOT(ISNUMBER(SEARCH("Package",D1441)))),"",VLOOKUP(C1441,'Clients List'!$A:$F,4,FALSE)-SUMIFS($E$2:$E1441,$C$2:$C1441,C1441,$D$2:$D1441,"*Package*"))</f>
        <v/>
      </c>
      <c r="G1441" t="str">
        <f t="shared" si="50"/>
        <v/>
      </c>
      <c r="H1441" s="33">
        <f>IF(ISNUMBER(SEARCH("Group",D1441)),IF(G1441="",E1441,IFERROR(E1441/COUNTIF($G2:$G6000,G1441),E1441)),E1441)</f>
        <v>0</v>
      </c>
      <c r="I1441" s="1" t="str">
        <f>IFERROR(VLOOKUP(C1441,'Clients List'!A:F,6,FALSE),"")</f>
        <v/>
      </c>
    </row>
    <row r="1442" spans="4:9" x14ac:dyDescent="0.45">
      <c r="D1442" t="str">
        <f>IFERROR(VLOOKUP(C1442,'Clients List'!$A:$F,2,FALSE),"")</f>
        <v/>
      </c>
      <c r="F1442" s="1" t="str">
        <f>IF(OR(C1442="",NOT(ISNUMBER(SEARCH("Package",D1442)))),"",VLOOKUP(C1442,'Clients List'!$A:$F,4,FALSE)-SUMIFS($E$2:$E1442,$C$2:$C1442,C1442,$D$2:$D1442,"*Package*"))</f>
        <v/>
      </c>
      <c r="G1442" t="str">
        <f t="shared" si="50"/>
        <v/>
      </c>
      <c r="H1442" s="33">
        <f>IF(ISNUMBER(SEARCH("Group",D1442)),IF(G1442="",E1442,IFERROR(E1442/COUNTIF($G2:$G6000,G1442),E1442)),E1442)</f>
        <v>0</v>
      </c>
      <c r="I1442" s="1" t="str">
        <f>IFERROR(VLOOKUP(C1442,'Clients List'!A:F,6,FALSE),"")</f>
        <v/>
      </c>
    </row>
    <row r="1443" spans="4:9" x14ac:dyDescent="0.45">
      <c r="D1443" t="str">
        <f>IFERROR(VLOOKUP(C1443,'Clients List'!$A:$F,2,FALSE),"")</f>
        <v/>
      </c>
      <c r="F1443" s="1" t="str">
        <f>IF(OR(C1443="",NOT(ISNUMBER(SEARCH("Package",D1443)))),"",VLOOKUP(C1443,'Clients List'!$A:$F,4,FALSE)-SUMIFS($E$2:$E1443,$C$2:$C1443,C1443,$D$2:$D1443,"*Package*"))</f>
        <v/>
      </c>
      <c r="G1443" t="str">
        <f t="shared" si="50"/>
        <v/>
      </c>
      <c r="H1443" s="33">
        <f>IF(ISNUMBER(SEARCH("Group",D1443)),IF(G1443="",E1443,IFERROR(E1443/COUNTIF($G2:$G6000,G1443),E1443)),E1443)</f>
        <v>0</v>
      </c>
      <c r="I1443" s="1" t="str">
        <f>IFERROR(VLOOKUP(C1443,'Clients List'!A:F,6,FALSE),"")</f>
        <v/>
      </c>
    </row>
    <row r="1444" spans="4:9" x14ac:dyDescent="0.45">
      <c r="D1444" t="str">
        <f>IFERROR(VLOOKUP(C1444,'Clients List'!$A:$F,2,FALSE),"")</f>
        <v/>
      </c>
      <c r="F1444" s="1" t="str">
        <f>IF(OR(C1444="",NOT(ISNUMBER(SEARCH("Package",D1444)))),"",VLOOKUP(C1444,'Clients List'!$A:$F,4,FALSE)-SUMIFS($E$2:$E1444,$C$2:$C1444,C1444,$D$2:$D1444,"*Package*"))</f>
        <v/>
      </c>
      <c r="G1444" t="str">
        <f t="shared" si="50"/>
        <v/>
      </c>
      <c r="H1444" s="33">
        <f>IF(ISNUMBER(SEARCH("Group",D1444)),IF(G1444="",E1444,IFERROR(E1444/COUNTIF($G2:$G6000,G1444),E1444)),E1444)</f>
        <v>0</v>
      </c>
      <c r="I1444" s="1" t="str">
        <f>IFERROR(VLOOKUP(C1444,'Clients List'!A:F,6,FALSE),"")</f>
        <v/>
      </c>
    </row>
    <row r="1445" spans="4:9" x14ac:dyDescent="0.45">
      <c r="D1445" t="str">
        <f>IFERROR(VLOOKUP(C1445,'Clients List'!$A:$F,2,FALSE),"")</f>
        <v/>
      </c>
      <c r="F1445" s="1" t="str">
        <f>IF(OR(C1445="",NOT(ISNUMBER(SEARCH("Package",D1445)))),"",VLOOKUP(C1445,'Clients List'!$A:$F,4,FALSE)-SUMIFS($E$2:$E1445,$C$2:$C1445,C1445,$D$2:$D1445,"*Package*"))</f>
        <v/>
      </c>
      <c r="G1445" t="str">
        <f t="shared" si="50"/>
        <v/>
      </c>
      <c r="H1445" s="33">
        <f>IF(ISNUMBER(SEARCH("Group",D1445)),IF(G1445="",E1445,IFERROR(E1445/COUNTIF($G2:$G6000,G1445),E1445)),E1445)</f>
        <v>0</v>
      </c>
      <c r="I1445" s="1" t="str">
        <f>IFERROR(VLOOKUP(C1445,'Clients List'!A:F,6,FALSE),"")</f>
        <v/>
      </c>
    </row>
    <row r="1446" spans="4:9" x14ac:dyDescent="0.45">
      <c r="D1446" t="str">
        <f>IFERROR(VLOOKUP(C1446,'Clients List'!$A:$F,2,FALSE),"")</f>
        <v/>
      </c>
      <c r="F1446" s="1" t="str">
        <f>IF(OR(C1446="",NOT(ISNUMBER(SEARCH("Package",D1446)))),"",VLOOKUP(C1446,'Clients List'!$A:$F,4,FALSE)-SUMIFS($E$2:$E1446,$C$2:$C1446,C1446,$D$2:$D1446,"*Package*"))</f>
        <v/>
      </c>
      <c r="G1446" t="str">
        <f t="shared" si="50"/>
        <v/>
      </c>
      <c r="H1446" s="33">
        <f>IF(ISNUMBER(SEARCH("Group",D1446)),IF(G1446="",E1446,IFERROR(E1446/COUNTIF($G2:$G6000,G1446),E1446)),E1446)</f>
        <v>0</v>
      </c>
      <c r="I1446" s="1" t="str">
        <f>IFERROR(VLOOKUP(C1446,'Clients List'!A:F,6,FALSE),"")</f>
        <v/>
      </c>
    </row>
    <row r="1447" spans="4:9" x14ac:dyDescent="0.45">
      <c r="D1447" t="str">
        <f>IFERROR(VLOOKUP(C1447,'Clients List'!$A:$F,2,FALSE),"")</f>
        <v/>
      </c>
      <c r="F1447" s="1" t="str">
        <f>IF(OR(C1447="",NOT(ISNUMBER(SEARCH("Package",D1447)))),"",VLOOKUP(C1447,'Clients List'!$A:$F,4,FALSE)-SUMIFS($E$2:$E1447,$C$2:$C1447,C1447,$D$2:$D1447,"*Package*"))</f>
        <v/>
      </c>
      <c r="G1447" t="str">
        <f t="shared" si="50"/>
        <v/>
      </c>
      <c r="H1447" s="33">
        <f>IF(ISNUMBER(SEARCH("Group",D1447)),IF(G1447="",E1447,IFERROR(E1447/COUNTIF($G2:$G6000,G1447),E1447)),E1447)</f>
        <v>0</v>
      </c>
      <c r="I1447" s="1" t="str">
        <f>IFERROR(VLOOKUP(C1447,'Clients List'!A:F,6,FALSE),"")</f>
        <v/>
      </c>
    </row>
    <row r="1448" spans="4:9" x14ac:dyDescent="0.45">
      <c r="D1448" t="str">
        <f>IFERROR(VLOOKUP(C1448,'Clients List'!$A:$F,2,FALSE),"")</f>
        <v/>
      </c>
      <c r="F1448" s="1" t="str">
        <f>IF(OR(C1448="",NOT(ISNUMBER(SEARCH("Package",D1448)))),"",VLOOKUP(C1448,'Clients List'!$A:$F,4,FALSE)-SUMIFS($E$2:$E1448,$C$2:$C1448,C1448,$D$2:$D1448,"*Package*"))</f>
        <v/>
      </c>
      <c r="G1448" t="str">
        <f t="shared" si="50"/>
        <v/>
      </c>
      <c r="H1448" s="33">
        <f>IF(ISNUMBER(SEARCH("Group",D1448)),IF(G1448="",E1448,IFERROR(E1448/COUNTIF($G2:$G6000,G1448),E1448)),E1448)</f>
        <v>0</v>
      </c>
      <c r="I1448" s="1" t="str">
        <f>IFERROR(VLOOKUP(C1448,'Clients List'!A:F,6,FALSE),"")</f>
        <v/>
      </c>
    </row>
    <row r="1449" spans="4:9" x14ac:dyDescent="0.45">
      <c r="D1449" t="str">
        <f>IFERROR(VLOOKUP(C1449,'Clients List'!$A:$F,2,FALSE),"")</f>
        <v/>
      </c>
      <c r="F1449" s="1" t="str">
        <f>IF(OR(C1449="",NOT(ISNUMBER(SEARCH("Package",D1449)))),"",VLOOKUP(C1449,'Clients List'!$A:$F,4,FALSE)-SUMIFS($E$2:$E1449,$C$2:$C1449,C1449,$D$2:$D1449,"*Package*"))</f>
        <v/>
      </c>
      <c r="G1449" t="str">
        <f t="shared" si="50"/>
        <v/>
      </c>
      <c r="H1449" s="33">
        <f>IF(ISNUMBER(SEARCH("Group",D1449)),IF(G1449="",E1449,IFERROR(E1449/COUNTIF($G2:$G6000,G1449),E1449)),E1449)</f>
        <v>0</v>
      </c>
      <c r="I1449" s="1" t="str">
        <f>IFERROR(VLOOKUP(C1449,'Clients List'!A:F,6,FALSE),"")</f>
        <v/>
      </c>
    </row>
    <row r="1450" spans="4:9" x14ac:dyDescent="0.45">
      <c r="D1450" t="str">
        <f>IFERROR(VLOOKUP(C1450,'Clients List'!$A:$F,2,FALSE),"")</f>
        <v/>
      </c>
      <c r="F1450" s="1" t="str">
        <f>IF(OR(C1450="",NOT(ISNUMBER(SEARCH("Package",D1450)))),"",VLOOKUP(C1450,'Clients List'!$A:$F,4,FALSE)-SUMIFS($E$2:$E1450,$C$2:$C1450,C1450,$D$2:$D1450,"*Package*"))</f>
        <v/>
      </c>
      <c r="G1450" t="str">
        <f t="shared" si="50"/>
        <v/>
      </c>
      <c r="H1450" s="33">
        <f>IF(ISNUMBER(SEARCH("Group",D1450)),IF(G1450="",E1450,IFERROR(E1450/COUNTIF($G2:$G6000,G1450),E1450)),E1450)</f>
        <v>0</v>
      </c>
      <c r="I1450" s="1" t="str">
        <f>IFERROR(VLOOKUP(C1450,'Clients List'!A:F,6,FALSE),"")</f>
        <v/>
      </c>
    </row>
    <row r="1451" spans="4:9" x14ac:dyDescent="0.45">
      <c r="D1451" t="str">
        <f>IFERROR(VLOOKUP(C1451,'Clients List'!$A:$F,2,FALSE),"")</f>
        <v/>
      </c>
      <c r="F1451" s="1" t="str">
        <f>IF(OR(C1451="",NOT(ISNUMBER(SEARCH("Package",D1451)))),"",VLOOKUP(C1451,'Clients List'!$A:$F,4,FALSE)-SUMIFS($E$2:$E1451,$C$2:$C1451,C1451,$D$2:$D1451,"*Package*"))</f>
        <v/>
      </c>
      <c r="G1451" t="str">
        <f t="shared" si="50"/>
        <v/>
      </c>
      <c r="H1451" s="33">
        <f>IF(ISNUMBER(SEARCH("Group",D1451)),IF(G1451="",E1451,IFERROR(E1451/COUNTIF($G2:$G6000,G1451),E1451)),E1451)</f>
        <v>0</v>
      </c>
      <c r="I1451" s="1" t="str">
        <f>IFERROR(VLOOKUP(C1451,'Clients List'!A:F,6,FALSE),"")</f>
        <v/>
      </c>
    </row>
    <row r="1452" spans="4:9" x14ac:dyDescent="0.45">
      <c r="D1452" t="str">
        <f>IFERROR(VLOOKUP(C1452,'Clients List'!$A:$F,2,FALSE),"")</f>
        <v/>
      </c>
      <c r="F1452" s="1" t="str">
        <f>IF(OR(C1452="",NOT(ISNUMBER(SEARCH("Package",D1452)))),"",VLOOKUP(C1452,'Clients List'!$A:$F,4,FALSE)-SUMIFS($E$2:$E1452,$C$2:$C1452,C1452,$D$2:$D1452,"*Package*"))</f>
        <v/>
      </c>
      <c r="G1452" t="str">
        <f t="shared" si="50"/>
        <v/>
      </c>
      <c r="H1452" s="33">
        <f>IF(ISNUMBER(SEARCH("Group",D1452)),IF(G1452="",E1452,IFERROR(E1452/COUNTIF($G2:$G6000,G1452),E1452)),E1452)</f>
        <v>0</v>
      </c>
      <c r="I1452" s="1" t="str">
        <f>IFERROR(VLOOKUP(C1452,'Clients List'!A:F,6,FALSE),"")</f>
        <v/>
      </c>
    </row>
    <row r="1453" spans="4:9" x14ac:dyDescent="0.45">
      <c r="D1453" t="str">
        <f>IFERROR(VLOOKUP(C1453,'Clients List'!$A:$F,2,FALSE),"")</f>
        <v/>
      </c>
      <c r="F1453" s="1" t="str">
        <f>IF(OR(C1453="",NOT(ISNUMBER(SEARCH("Package",D1453)))),"",VLOOKUP(C1453,'Clients List'!$A:$F,4,FALSE)-SUMIFS($E$2:$E1453,$C$2:$C1453,C1453,$D$2:$D1453,"*Package*"))</f>
        <v/>
      </c>
      <c r="G1453" t="str">
        <f t="shared" si="50"/>
        <v/>
      </c>
      <c r="H1453" s="33">
        <f>IF(ISNUMBER(SEARCH("Group",D1453)),IF(G1453="",E1453,IFERROR(E1453/COUNTIF($G2:$G6000,G1453),E1453)),E1453)</f>
        <v>0</v>
      </c>
      <c r="I1453" s="1" t="str">
        <f>IFERROR(VLOOKUP(C1453,'Clients List'!A:F,6,FALSE),"")</f>
        <v/>
      </c>
    </row>
    <row r="1454" spans="4:9" x14ac:dyDescent="0.45">
      <c r="D1454" t="str">
        <f>IFERROR(VLOOKUP(C1454,'Clients List'!$A:$F,2,FALSE),"")</f>
        <v/>
      </c>
      <c r="F1454" s="1" t="str">
        <f>IF(OR(C1454="",NOT(ISNUMBER(SEARCH("Package",D1454)))),"",VLOOKUP(C1454,'Clients List'!$A:$F,4,FALSE)-SUMIFS($E$2:$E1454,$C$2:$C1454,C1454,$D$2:$D1454,"*Package*"))</f>
        <v/>
      </c>
      <c r="G1454" t="str">
        <f t="shared" si="50"/>
        <v/>
      </c>
      <c r="H1454" s="33">
        <f>IF(ISNUMBER(SEARCH("Group",D1454)),IF(G1454="",E1454,IFERROR(E1454/COUNTIF($G2:$G6000,G1454),E1454)),E1454)</f>
        <v>0</v>
      </c>
      <c r="I1454" s="1" t="str">
        <f>IFERROR(VLOOKUP(C1454,'Clients List'!A:F,6,FALSE),"")</f>
        <v/>
      </c>
    </row>
    <row r="1455" spans="4:9" x14ac:dyDescent="0.45">
      <c r="D1455" t="str">
        <f>IFERROR(VLOOKUP(C1455,'Clients List'!$A:$F,2,FALSE),"")</f>
        <v/>
      </c>
      <c r="F1455" s="1" t="str">
        <f>IF(OR(C1455="",NOT(ISNUMBER(SEARCH("Package",D1455)))),"",VLOOKUP(C1455,'Clients List'!$A:$F,4,FALSE)-SUMIFS($E$2:$E1455,$C$2:$C1455,C1455,$D$2:$D1455,"*Package*"))</f>
        <v/>
      </c>
      <c r="G1455" t="str">
        <f t="shared" si="50"/>
        <v/>
      </c>
      <c r="H1455" s="33">
        <f>IF(ISNUMBER(SEARCH("Group",D1455)),IF(G1455="",E1455,IFERROR(E1455/COUNTIF($G2:$G6000,G1455),E1455)),E1455)</f>
        <v>0</v>
      </c>
      <c r="I1455" s="1" t="str">
        <f>IFERROR(VLOOKUP(C1455,'Clients List'!A:F,6,FALSE),"")</f>
        <v/>
      </c>
    </row>
    <row r="1456" spans="4:9" x14ac:dyDescent="0.45">
      <c r="D1456" t="str">
        <f>IFERROR(VLOOKUP(C1456,'Clients List'!$A:$F,2,FALSE),"")</f>
        <v/>
      </c>
      <c r="F1456" s="1" t="str">
        <f>IF(OR(C1456="",NOT(ISNUMBER(SEARCH("Package",D1456)))),"",VLOOKUP(C1456,'Clients List'!$A:$F,4,FALSE)-SUMIFS($E$2:$E1456,$C$2:$C1456,C1456,$D$2:$D1456,"*Package*"))</f>
        <v/>
      </c>
      <c r="G1456" t="str">
        <f t="shared" si="50"/>
        <v/>
      </c>
      <c r="H1456" s="33">
        <f>IF(ISNUMBER(SEARCH("Group",D1456)),IF(G1456="",E1456,IFERROR(E1456/COUNTIF($G2:$G6000,G1456),E1456)),E1456)</f>
        <v>0</v>
      </c>
      <c r="I1456" s="1" t="str">
        <f>IFERROR(VLOOKUP(C1456,'Clients List'!A:F,6,FALSE),"")</f>
        <v/>
      </c>
    </row>
    <row r="1457" spans="4:9" x14ac:dyDescent="0.45">
      <c r="D1457" t="str">
        <f>IFERROR(VLOOKUP(C1457,'Clients List'!$A:$F,2,FALSE),"")</f>
        <v/>
      </c>
      <c r="F1457" s="1" t="str">
        <f>IF(OR(C1457="",NOT(ISNUMBER(SEARCH("Package",D1457)))),"",VLOOKUP(C1457,'Clients List'!$A:$F,4,FALSE)-SUMIFS($E$2:$E1457,$C$2:$C1457,C1457,$D$2:$D1457,"*Package*"))</f>
        <v/>
      </c>
      <c r="G1457" t="str">
        <f t="shared" si="50"/>
        <v/>
      </c>
      <c r="H1457" s="33">
        <f>IF(ISNUMBER(SEARCH("Group",D1457)),IF(G1457="",E1457,IFERROR(E1457/COUNTIF($G2:$G6000,G1457),E1457)),E1457)</f>
        <v>0</v>
      </c>
      <c r="I1457" s="1" t="str">
        <f>IFERROR(VLOOKUP(C1457,'Clients List'!A:F,6,FALSE),"")</f>
        <v/>
      </c>
    </row>
    <row r="1458" spans="4:9" x14ac:dyDescent="0.45">
      <c r="D1458" t="str">
        <f>IFERROR(VLOOKUP(C1458,'Clients List'!$A:$F,2,FALSE),"")</f>
        <v/>
      </c>
      <c r="F1458" s="1" t="str">
        <f>IF(OR(C1458="",NOT(ISNUMBER(SEARCH("Package",D1458)))),"",VLOOKUP(C1458,'Clients List'!$A:$F,4,FALSE)-SUMIFS($E$2:$E1458,$C$2:$C1458,C1458,$D$2:$D1458,"*Package*"))</f>
        <v/>
      </c>
      <c r="G1458" t="str">
        <f t="shared" si="50"/>
        <v/>
      </c>
      <c r="H1458" s="33">
        <f>IF(ISNUMBER(SEARCH("Group",D1458)),IF(G1458="",E1458,IFERROR(E1458/COUNTIF($G2:$G6000,G1458),E1458)),E1458)</f>
        <v>0</v>
      </c>
      <c r="I1458" s="1" t="str">
        <f>IFERROR(VLOOKUP(C1458,'Clients List'!A:F,6,FALSE),"")</f>
        <v/>
      </c>
    </row>
    <row r="1459" spans="4:9" x14ac:dyDescent="0.45">
      <c r="D1459" t="str">
        <f>IFERROR(VLOOKUP(C1459,'Clients List'!$A:$F,2,FALSE),"")</f>
        <v/>
      </c>
      <c r="F1459" s="1" t="str">
        <f>IF(OR(C1459="",NOT(ISNUMBER(SEARCH("Package",D1459)))),"",VLOOKUP(C1459,'Clients List'!$A:$F,4,FALSE)-SUMIFS($E$2:$E1459,$C$2:$C1459,C1459,$D$2:$D1459,"*Package*"))</f>
        <v/>
      </c>
      <c r="G1459" t="str">
        <f t="shared" si="50"/>
        <v/>
      </c>
      <c r="H1459" s="33">
        <f>IF(ISNUMBER(SEARCH("Group",D1459)),IF(G1459="",E1459,IFERROR(E1459/COUNTIF($G2:$G6000,G1459),E1459)),E1459)</f>
        <v>0</v>
      </c>
      <c r="I1459" s="1" t="str">
        <f>IFERROR(VLOOKUP(C1459,'Clients List'!A:F,6,FALSE),"")</f>
        <v/>
      </c>
    </row>
    <row r="1460" spans="4:9" x14ac:dyDescent="0.45">
      <c r="D1460" t="str">
        <f>IFERROR(VLOOKUP(C1460,'Clients List'!$A:$F,2,FALSE),"")</f>
        <v/>
      </c>
      <c r="F1460" s="1" t="str">
        <f>IF(OR(C1460="",NOT(ISNUMBER(SEARCH("Package",D1460)))),"",VLOOKUP(C1460,'Clients List'!$A:$F,4,FALSE)-SUMIFS($E$2:$E1460,$C$2:$C1460,C1460,$D$2:$D1460,"*Package*"))</f>
        <v/>
      </c>
      <c r="G1460" t="str">
        <f t="shared" si="50"/>
        <v/>
      </c>
      <c r="H1460" s="33">
        <f>IF(ISNUMBER(SEARCH("Group",D1460)),IF(G1460="",E1460,IFERROR(E1460/COUNTIF($G2:$G6000,G1460),E1460)),E1460)</f>
        <v>0</v>
      </c>
      <c r="I1460" s="1" t="str">
        <f>IFERROR(VLOOKUP(C1460,'Clients List'!A:F,6,FALSE),"")</f>
        <v/>
      </c>
    </row>
    <row r="1461" spans="4:9" x14ac:dyDescent="0.45">
      <c r="D1461" t="str">
        <f>IFERROR(VLOOKUP(C1461,'Clients List'!$A:$F,2,FALSE),"")</f>
        <v/>
      </c>
      <c r="F1461" s="1" t="str">
        <f>IF(OR(C1461="",NOT(ISNUMBER(SEARCH("Package",D1461)))),"",VLOOKUP(C1461,'Clients List'!$A:$F,4,FALSE)-SUMIFS($E$2:$E1461,$C$2:$C1461,C1461,$D$2:$D1461,"*Package*"))</f>
        <v/>
      </c>
      <c r="G1461" t="str">
        <f t="shared" si="50"/>
        <v/>
      </c>
      <c r="H1461" s="33">
        <f>IF(ISNUMBER(SEARCH("Group",D1461)),IF(G1461="",E1461,IFERROR(E1461/COUNTIF($G2:$G6000,G1461),E1461)),E1461)</f>
        <v>0</v>
      </c>
      <c r="I1461" s="1" t="str">
        <f>IFERROR(VLOOKUP(C1461,'Clients List'!A:F,6,FALSE),"")</f>
        <v/>
      </c>
    </row>
    <row r="1462" spans="4:9" x14ac:dyDescent="0.45">
      <c r="D1462" t="str">
        <f>IFERROR(VLOOKUP(C1462,'Clients List'!$A:$F,2,FALSE),"")</f>
        <v/>
      </c>
      <c r="F1462" s="1" t="str">
        <f>IF(OR(C1462="",NOT(ISNUMBER(SEARCH("Package",D1462)))),"",VLOOKUP(C1462,'Clients List'!$A:$F,4,FALSE)-SUMIFS($E$2:$E1462,$C$2:$C1462,C1462,$D$2:$D1462,"*Package*"))</f>
        <v/>
      </c>
      <c r="G1462" t="str">
        <f t="shared" si="50"/>
        <v/>
      </c>
      <c r="H1462" s="33">
        <f>IF(ISNUMBER(SEARCH("Group",D1462)),IF(G1462="",E1462,IFERROR(E1462/COUNTIF($G2:$G6000,G1462),E1462)),E1462)</f>
        <v>0</v>
      </c>
      <c r="I1462" s="1" t="str">
        <f>IFERROR(VLOOKUP(C1462,'Clients List'!A:F,6,FALSE),"")</f>
        <v/>
      </c>
    </row>
    <row r="1463" spans="4:9" x14ac:dyDescent="0.45">
      <c r="D1463" t="str">
        <f>IFERROR(VLOOKUP(C1463,'Clients List'!$A:$F,2,FALSE),"")</f>
        <v/>
      </c>
      <c r="F1463" s="1" t="str">
        <f>IF(OR(C1463="",NOT(ISNUMBER(SEARCH("Package",D1463)))),"",VLOOKUP(C1463,'Clients List'!$A:$F,4,FALSE)-SUMIFS($E$2:$E1463,$C$2:$C1463,C1463,$D$2:$D1463,"*Package*"))</f>
        <v/>
      </c>
      <c r="G1463" t="str">
        <f t="shared" si="50"/>
        <v/>
      </c>
      <c r="H1463" s="33">
        <f>IF(ISNUMBER(SEARCH("Group",D1463)),IF(G1463="",E1463,IFERROR(E1463/COUNTIF($G2:$G6000,G1463),E1463)),E1463)</f>
        <v>0</v>
      </c>
      <c r="I1463" s="1" t="str">
        <f>IFERROR(VLOOKUP(C1463,'Clients List'!A:F,6,FALSE),"")</f>
        <v/>
      </c>
    </row>
    <row r="1464" spans="4:9" x14ac:dyDescent="0.45">
      <c r="D1464" t="str">
        <f>IFERROR(VLOOKUP(C1464,'Clients List'!$A:$F,2,FALSE),"")</f>
        <v/>
      </c>
      <c r="F1464" s="1" t="str">
        <f>IF(OR(C1464="",NOT(ISNUMBER(SEARCH("Package",D1464)))),"",VLOOKUP(C1464,'Clients List'!$A:$F,4,FALSE)-SUMIFS($E$2:$E1464,$C$2:$C1464,C1464,$D$2:$D1464,"*Package*"))</f>
        <v/>
      </c>
      <c r="G1464" t="str">
        <f t="shared" si="50"/>
        <v/>
      </c>
      <c r="H1464" s="33">
        <f>IF(ISNUMBER(SEARCH("Group",D1464)),IF(G1464="",E1464,IFERROR(E1464/COUNTIF($G2:$G6000,G1464),E1464)),E1464)</f>
        <v>0</v>
      </c>
      <c r="I1464" s="1" t="str">
        <f>IFERROR(VLOOKUP(C1464,'Clients List'!A:F,6,FALSE),"")</f>
        <v/>
      </c>
    </row>
    <row r="1465" spans="4:9" x14ac:dyDescent="0.45">
      <c r="D1465" t="str">
        <f>IFERROR(VLOOKUP(C1465,'Clients List'!$A:$F,2,FALSE),"")</f>
        <v/>
      </c>
      <c r="F1465" s="1" t="str">
        <f>IF(OR(C1465="",NOT(ISNUMBER(SEARCH("Package",D1465)))),"",VLOOKUP(C1465,'Clients List'!$A:$F,4,FALSE)-SUMIFS($E$2:$E1465,$C$2:$C1465,C1465,$D$2:$D1465,"*Package*"))</f>
        <v/>
      </c>
      <c r="G1465" t="str">
        <f t="shared" ref="G1465:G1496" si="51">IF(ISNUMBER(SEARCH("Group",D1465)),IFERROR("GRP-"&amp;TEXT(IF(ISNUMBER(A1465),A1465,DATEVALUE(A1465)),"yyyymmdd"),""),"" )</f>
        <v/>
      </c>
      <c r="H1465" s="33">
        <f>IF(ISNUMBER(SEARCH("Group",D1465)),IF(G1465="",E1465,IFERROR(E1465/COUNTIF($G2:$G6000,G1465),E1465)),E1465)</f>
        <v>0</v>
      </c>
      <c r="I1465" s="1" t="str">
        <f>IFERROR(VLOOKUP(C1465,'Clients List'!A:F,6,FALSE),"")</f>
        <v/>
      </c>
    </row>
    <row r="1466" spans="4:9" x14ac:dyDescent="0.45">
      <c r="D1466" t="str">
        <f>IFERROR(VLOOKUP(C1466,'Clients List'!$A:$F,2,FALSE),"")</f>
        <v/>
      </c>
      <c r="F1466" s="1" t="str">
        <f>IF(OR(C1466="",NOT(ISNUMBER(SEARCH("Package",D1466)))),"",VLOOKUP(C1466,'Clients List'!$A:$F,4,FALSE)-SUMIFS($E$2:$E1466,$C$2:$C1466,C1466,$D$2:$D1466,"*Package*"))</f>
        <v/>
      </c>
      <c r="G1466" t="str">
        <f t="shared" si="51"/>
        <v/>
      </c>
      <c r="H1466" s="33">
        <f>IF(ISNUMBER(SEARCH("Group",D1466)),IF(G1466="",E1466,IFERROR(E1466/COUNTIF($G2:$G6000,G1466),E1466)),E1466)</f>
        <v>0</v>
      </c>
      <c r="I1466" s="1" t="str">
        <f>IFERROR(VLOOKUP(C1466,'Clients List'!A:F,6,FALSE),"")</f>
        <v/>
      </c>
    </row>
    <row r="1467" spans="4:9" x14ac:dyDescent="0.45">
      <c r="D1467" t="str">
        <f>IFERROR(VLOOKUP(C1467,'Clients List'!$A:$F,2,FALSE),"")</f>
        <v/>
      </c>
      <c r="F1467" s="1" t="str">
        <f>IF(OR(C1467="",NOT(ISNUMBER(SEARCH("Package",D1467)))),"",VLOOKUP(C1467,'Clients List'!$A:$F,4,FALSE)-SUMIFS($E$2:$E1467,$C$2:$C1467,C1467,$D$2:$D1467,"*Package*"))</f>
        <v/>
      </c>
      <c r="G1467" t="str">
        <f t="shared" si="51"/>
        <v/>
      </c>
      <c r="H1467" s="33">
        <f>IF(ISNUMBER(SEARCH("Group",D1467)),IF(G1467="",E1467,IFERROR(E1467/COUNTIF($G2:$G6000,G1467),E1467)),E1467)</f>
        <v>0</v>
      </c>
      <c r="I1467" s="1" t="str">
        <f>IFERROR(VLOOKUP(C1467,'Clients List'!A:F,6,FALSE),"")</f>
        <v/>
      </c>
    </row>
    <row r="1468" spans="4:9" x14ac:dyDescent="0.45">
      <c r="D1468" t="str">
        <f>IFERROR(VLOOKUP(C1468,'Clients List'!$A:$F,2,FALSE),"")</f>
        <v/>
      </c>
      <c r="F1468" s="1" t="str">
        <f>IF(OR(C1468="",NOT(ISNUMBER(SEARCH("Package",D1468)))),"",VLOOKUP(C1468,'Clients List'!$A:$F,4,FALSE)-SUMIFS($E$2:$E1468,$C$2:$C1468,C1468,$D$2:$D1468,"*Package*"))</f>
        <v/>
      </c>
      <c r="G1468" t="str">
        <f t="shared" si="51"/>
        <v/>
      </c>
      <c r="H1468" s="33">
        <f>IF(ISNUMBER(SEARCH("Group",D1468)),IF(G1468="",E1468,IFERROR(E1468/COUNTIF($G2:$G6000,G1468),E1468)),E1468)</f>
        <v>0</v>
      </c>
      <c r="I1468" s="1" t="str">
        <f>IFERROR(VLOOKUP(C1468,'Clients List'!A:F,6,FALSE),"")</f>
        <v/>
      </c>
    </row>
    <row r="1469" spans="4:9" x14ac:dyDescent="0.45">
      <c r="D1469" t="str">
        <f>IFERROR(VLOOKUP(C1469,'Clients List'!$A:$F,2,FALSE),"")</f>
        <v/>
      </c>
      <c r="F1469" s="1" t="str">
        <f>IF(OR(C1469="",NOT(ISNUMBER(SEARCH("Package",D1469)))),"",VLOOKUP(C1469,'Clients List'!$A:$F,4,FALSE)-SUMIFS($E$2:$E1469,$C$2:$C1469,C1469,$D$2:$D1469,"*Package*"))</f>
        <v/>
      </c>
      <c r="G1469" t="str">
        <f t="shared" si="51"/>
        <v/>
      </c>
      <c r="H1469" s="33">
        <f>IF(ISNUMBER(SEARCH("Group",D1469)),IF(G1469="",E1469,IFERROR(E1469/COUNTIF($G2:$G6000,G1469),E1469)),E1469)</f>
        <v>0</v>
      </c>
      <c r="I1469" s="1" t="str">
        <f>IFERROR(VLOOKUP(C1469,'Clients List'!A:F,6,FALSE),"")</f>
        <v/>
      </c>
    </row>
    <row r="1470" spans="4:9" x14ac:dyDescent="0.45">
      <c r="D1470" t="str">
        <f>IFERROR(VLOOKUP(C1470,'Clients List'!$A:$F,2,FALSE),"")</f>
        <v/>
      </c>
      <c r="F1470" s="1" t="str">
        <f>IF(OR(C1470="",NOT(ISNUMBER(SEARCH("Package",D1470)))),"",VLOOKUP(C1470,'Clients List'!$A:$F,4,FALSE)-SUMIFS($E$2:$E1470,$C$2:$C1470,C1470,$D$2:$D1470,"*Package*"))</f>
        <v/>
      </c>
      <c r="G1470" t="str">
        <f t="shared" si="51"/>
        <v/>
      </c>
      <c r="H1470" s="33">
        <f>IF(ISNUMBER(SEARCH("Group",D1470)),IF(G1470="",E1470,IFERROR(E1470/COUNTIF($G2:$G6000,G1470),E1470)),E1470)</f>
        <v>0</v>
      </c>
      <c r="I1470" s="1" t="str">
        <f>IFERROR(VLOOKUP(C1470,'Clients List'!A:F,6,FALSE),"")</f>
        <v/>
      </c>
    </row>
    <row r="1471" spans="4:9" x14ac:dyDescent="0.45">
      <c r="D1471" t="str">
        <f>IFERROR(VLOOKUP(C1471,'Clients List'!$A:$F,2,FALSE),"")</f>
        <v/>
      </c>
      <c r="F1471" s="1" t="str">
        <f>IF(OR(C1471="",NOT(ISNUMBER(SEARCH("Package",D1471)))),"",VLOOKUP(C1471,'Clients List'!$A:$F,4,FALSE)-SUMIFS($E$2:$E1471,$C$2:$C1471,C1471,$D$2:$D1471,"*Package*"))</f>
        <v/>
      </c>
      <c r="G1471" t="str">
        <f t="shared" si="51"/>
        <v/>
      </c>
      <c r="H1471" s="33">
        <f>IF(ISNUMBER(SEARCH("Group",D1471)),IF(G1471="",E1471,IFERROR(E1471/COUNTIF($G2:$G6000,G1471),E1471)),E1471)</f>
        <v>0</v>
      </c>
      <c r="I1471" s="1" t="str">
        <f>IFERROR(VLOOKUP(C1471,'Clients List'!A:F,6,FALSE),"")</f>
        <v/>
      </c>
    </row>
    <row r="1472" spans="4:9" x14ac:dyDescent="0.45">
      <c r="D1472" t="str">
        <f>IFERROR(VLOOKUP(C1472,'Clients List'!$A:$F,2,FALSE),"")</f>
        <v/>
      </c>
      <c r="F1472" s="1" t="str">
        <f>IF(OR(C1472="",NOT(ISNUMBER(SEARCH("Package",D1472)))),"",VLOOKUP(C1472,'Clients List'!$A:$F,4,FALSE)-SUMIFS($E$2:$E1472,$C$2:$C1472,C1472,$D$2:$D1472,"*Package*"))</f>
        <v/>
      </c>
      <c r="G1472" t="str">
        <f t="shared" si="51"/>
        <v/>
      </c>
      <c r="H1472" s="33">
        <f>IF(ISNUMBER(SEARCH("Group",D1472)),IF(G1472="",E1472,IFERROR(E1472/COUNTIF($G2:$G6000,G1472),E1472)),E1472)</f>
        <v>0</v>
      </c>
      <c r="I1472" s="1" t="str">
        <f>IFERROR(VLOOKUP(C1472,'Clients List'!A:F,6,FALSE),"")</f>
        <v/>
      </c>
    </row>
    <row r="1473" spans="4:9" x14ac:dyDescent="0.45">
      <c r="D1473" t="str">
        <f>IFERROR(VLOOKUP(C1473,'Clients List'!$A:$F,2,FALSE),"")</f>
        <v/>
      </c>
      <c r="F1473" s="1" t="str">
        <f>IF(OR(C1473="",NOT(ISNUMBER(SEARCH("Package",D1473)))),"",VLOOKUP(C1473,'Clients List'!$A:$F,4,FALSE)-SUMIFS($E$2:$E1473,$C$2:$C1473,C1473,$D$2:$D1473,"*Package*"))</f>
        <v/>
      </c>
      <c r="G1473" t="str">
        <f t="shared" si="51"/>
        <v/>
      </c>
      <c r="H1473" s="33">
        <f>IF(ISNUMBER(SEARCH("Group",D1473)),IF(G1473="",E1473,IFERROR(E1473/COUNTIF($G2:$G6000,G1473),E1473)),E1473)</f>
        <v>0</v>
      </c>
      <c r="I1473" s="1" t="str">
        <f>IFERROR(VLOOKUP(C1473,'Clients List'!A:F,6,FALSE),"")</f>
        <v/>
      </c>
    </row>
    <row r="1474" spans="4:9" x14ac:dyDescent="0.45">
      <c r="D1474" t="str">
        <f>IFERROR(VLOOKUP(C1474,'Clients List'!$A:$F,2,FALSE),"")</f>
        <v/>
      </c>
      <c r="F1474" s="1" t="str">
        <f>IF(OR(C1474="",NOT(ISNUMBER(SEARCH("Package",D1474)))),"",VLOOKUP(C1474,'Clients List'!$A:$F,4,FALSE)-SUMIFS($E$2:$E1474,$C$2:$C1474,C1474,$D$2:$D1474,"*Package*"))</f>
        <v/>
      </c>
      <c r="G1474" t="str">
        <f t="shared" si="51"/>
        <v/>
      </c>
      <c r="H1474" s="33">
        <f>IF(ISNUMBER(SEARCH("Group",D1474)),IF(G1474="",E1474,IFERROR(E1474/COUNTIF($G2:$G6000,G1474),E1474)),E1474)</f>
        <v>0</v>
      </c>
      <c r="I1474" s="1" t="str">
        <f>IFERROR(VLOOKUP(C1474,'Clients List'!A:F,6,FALSE),"")</f>
        <v/>
      </c>
    </row>
    <row r="1475" spans="4:9" x14ac:dyDescent="0.45">
      <c r="D1475" t="str">
        <f>IFERROR(VLOOKUP(C1475,'Clients List'!$A:$F,2,FALSE),"")</f>
        <v/>
      </c>
      <c r="F1475" s="1" t="str">
        <f>IF(OR(C1475="",NOT(ISNUMBER(SEARCH("Package",D1475)))),"",VLOOKUP(C1475,'Clients List'!$A:$F,4,FALSE)-SUMIFS($E$2:$E1475,$C$2:$C1475,C1475,$D$2:$D1475,"*Package*"))</f>
        <v/>
      </c>
      <c r="G1475" t="str">
        <f t="shared" si="51"/>
        <v/>
      </c>
      <c r="H1475" s="33">
        <f>IF(ISNUMBER(SEARCH("Group",D1475)),IF(G1475="",E1475,IFERROR(E1475/COUNTIF($G2:$G6000,G1475),E1475)),E1475)</f>
        <v>0</v>
      </c>
      <c r="I1475" s="1" t="str">
        <f>IFERROR(VLOOKUP(C1475,'Clients List'!A:F,6,FALSE),"")</f>
        <v/>
      </c>
    </row>
    <row r="1476" spans="4:9" x14ac:dyDescent="0.45">
      <c r="D1476" t="str">
        <f>IFERROR(VLOOKUP(C1476,'Clients List'!$A:$F,2,FALSE),"")</f>
        <v/>
      </c>
      <c r="F1476" s="1" t="str">
        <f>IF(OR(C1476="",NOT(ISNUMBER(SEARCH("Package",D1476)))),"",VLOOKUP(C1476,'Clients List'!$A:$F,4,FALSE)-SUMIFS($E$2:$E1476,$C$2:$C1476,C1476,$D$2:$D1476,"*Package*"))</f>
        <v/>
      </c>
      <c r="G1476" t="str">
        <f t="shared" si="51"/>
        <v/>
      </c>
      <c r="H1476" s="33">
        <f>IF(ISNUMBER(SEARCH("Group",D1476)),IF(G1476="",E1476,IFERROR(E1476/COUNTIF($G2:$G6000,G1476),E1476)),E1476)</f>
        <v>0</v>
      </c>
      <c r="I1476" s="1" t="str">
        <f>IFERROR(VLOOKUP(C1476,'Clients List'!A:F,6,FALSE),"")</f>
        <v/>
      </c>
    </row>
    <row r="1477" spans="4:9" x14ac:dyDescent="0.45">
      <c r="D1477" t="str">
        <f>IFERROR(VLOOKUP(C1477,'Clients List'!$A:$F,2,FALSE),"")</f>
        <v/>
      </c>
      <c r="F1477" s="1" t="str">
        <f>IF(OR(C1477="",NOT(ISNUMBER(SEARCH("Package",D1477)))),"",VLOOKUP(C1477,'Clients List'!$A:$F,4,FALSE)-SUMIFS($E$2:$E1477,$C$2:$C1477,C1477,$D$2:$D1477,"*Package*"))</f>
        <v/>
      </c>
      <c r="G1477" t="str">
        <f t="shared" si="51"/>
        <v/>
      </c>
      <c r="H1477" s="33">
        <f>IF(ISNUMBER(SEARCH("Group",D1477)),IF(G1477="",E1477,IFERROR(E1477/COUNTIF($G2:$G6000,G1477),E1477)),E1477)</f>
        <v>0</v>
      </c>
      <c r="I1477" s="1" t="str">
        <f>IFERROR(VLOOKUP(C1477,'Clients List'!A:F,6,FALSE),"")</f>
        <v/>
      </c>
    </row>
    <row r="1478" spans="4:9" x14ac:dyDescent="0.45">
      <c r="D1478" t="str">
        <f>IFERROR(VLOOKUP(C1478,'Clients List'!$A:$F,2,FALSE),"")</f>
        <v/>
      </c>
      <c r="F1478" s="1" t="str">
        <f>IF(OR(C1478="",NOT(ISNUMBER(SEARCH("Package",D1478)))),"",VLOOKUP(C1478,'Clients List'!$A:$F,4,FALSE)-SUMIFS($E$2:$E1478,$C$2:$C1478,C1478,$D$2:$D1478,"*Package*"))</f>
        <v/>
      </c>
      <c r="G1478" t="str">
        <f t="shared" si="51"/>
        <v/>
      </c>
      <c r="H1478" s="33">
        <f>IF(ISNUMBER(SEARCH("Group",D1478)),IF(G1478="",E1478,IFERROR(E1478/COUNTIF($G2:$G6000,G1478),E1478)),E1478)</f>
        <v>0</v>
      </c>
      <c r="I1478" s="1" t="str">
        <f>IFERROR(VLOOKUP(C1478,'Clients List'!A:F,6,FALSE),"")</f>
        <v/>
      </c>
    </row>
    <row r="1479" spans="4:9" x14ac:dyDescent="0.45">
      <c r="D1479" t="str">
        <f>IFERROR(VLOOKUP(C1479,'Clients List'!$A:$F,2,FALSE),"")</f>
        <v/>
      </c>
      <c r="F1479" s="1" t="str">
        <f>IF(OR(C1479="",NOT(ISNUMBER(SEARCH("Package",D1479)))),"",VLOOKUP(C1479,'Clients List'!$A:$F,4,FALSE)-SUMIFS($E$2:$E1479,$C$2:$C1479,C1479,$D$2:$D1479,"*Package*"))</f>
        <v/>
      </c>
      <c r="G1479" t="str">
        <f t="shared" si="51"/>
        <v/>
      </c>
      <c r="H1479" s="33">
        <f>IF(ISNUMBER(SEARCH("Group",D1479)),IF(G1479="",E1479,IFERROR(E1479/COUNTIF($G2:$G6000,G1479),E1479)),E1479)</f>
        <v>0</v>
      </c>
      <c r="I1479" s="1" t="str">
        <f>IFERROR(VLOOKUP(C1479,'Clients List'!A:F,6,FALSE),"")</f>
        <v/>
      </c>
    </row>
    <row r="1480" spans="4:9" x14ac:dyDescent="0.45">
      <c r="D1480" t="str">
        <f>IFERROR(VLOOKUP(C1480,'Clients List'!$A:$F,2,FALSE),"")</f>
        <v/>
      </c>
      <c r="F1480" s="1" t="str">
        <f>IF(OR(C1480="",NOT(ISNUMBER(SEARCH("Package",D1480)))),"",VLOOKUP(C1480,'Clients List'!$A:$F,4,FALSE)-SUMIFS($E$2:$E1480,$C$2:$C1480,C1480,$D$2:$D1480,"*Package*"))</f>
        <v/>
      </c>
      <c r="G1480" t="str">
        <f t="shared" si="51"/>
        <v/>
      </c>
      <c r="H1480" s="33">
        <f>IF(ISNUMBER(SEARCH("Group",D1480)),IF(G1480="",E1480,IFERROR(E1480/COUNTIF($G2:$G6000,G1480),E1480)),E1480)</f>
        <v>0</v>
      </c>
      <c r="I1480" s="1" t="str">
        <f>IFERROR(VLOOKUP(C1480,'Clients List'!A:F,6,FALSE),"")</f>
        <v/>
      </c>
    </row>
    <row r="1481" spans="4:9" x14ac:dyDescent="0.45">
      <c r="D1481" t="str">
        <f>IFERROR(VLOOKUP(C1481,'Clients List'!$A:$F,2,FALSE),"")</f>
        <v/>
      </c>
      <c r="F1481" s="1" t="str">
        <f>IF(OR(C1481="",NOT(ISNUMBER(SEARCH("Package",D1481)))),"",VLOOKUP(C1481,'Clients List'!$A:$F,4,FALSE)-SUMIFS($E$2:$E1481,$C$2:$C1481,C1481,$D$2:$D1481,"*Package*"))</f>
        <v/>
      </c>
      <c r="G1481" t="str">
        <f t="shared" si="51"/>
        <v/>
      </c>
      <c r="H1481" s="33">
        <f>IF(ISNUMBER(SEARCH("Group",D1481)),IF(G1481="",E1481,IFERROR(E1481/COUNTIF($G2:$G6000,G1481),E1481)),E1481)</f>
        <v>0</v>
      </c>
      <c r="I1481" s="1" t="str">
        <f>IFERROR(VLOOKUP(C1481,'Clients List'!A:F,6,FALSE),"")</f>
        <v/>
      </c>
    </row>
    <row r="1482" spans="4:9" x14ac:dyDescent="0.45">
      <c r="D1482" t="str">
        <f>IFERROR(VLOOKUP(C1482,'Clients List'!$A:$F,2,FALSE),"")</f>
        <v/>
      </c>
      <c r="F1482" s="1" t="str">
        <f>IF(OR(C1482="",NOT(ISNUMBER(SEARCH("Package",D1482)))),"",VLOOKUP(C1482,'Clients List'!$A:$F,4,FALSE)-SUMIFS($E$2:$E1482,$C$2:$C1482,C1482,$D$2:$D1482,"*Package*"))</f>
        <v/>
      </c>
      <c r="G1482" t="str">
        <f t="shared" si="51"/>
        <v/>
      </c>
      <c r="H1482" s="33">
        <f>IF(ISNUMBER(SEARCH("Group",D1482)),IF(G1482="",E1482,IFERROR(E1482/COUNTIF($G2:$G6000,G1482),E1482)),E1482)</f>
        <v>0</v>
      </c>
      <c r="I1482" s="1" t="str">
        <f>IFERROR(VLOOKUP(C1482,'Clients List'!A:F,6,FALSE),"")</f>
        <v/>
      </c>
    </row>
    <row r="1483" spans="4:9" x14ac:dyDescent="0.45">
      <c r="D1483" t="str">
        <f>IFERROR(VLOOKUP(C1483,'Clients List'!$A:$F,2,FALSE),"")</f>
        <v/>
      </c>
      <c r="F1483" s="1" t="str">
        <f>IF(OR(C1483="",NOT(ISNUMBER(SEARCH("Package",D1483)))),"",VLOOKUP(C1483,'Clients List'!$A:$F,4,FALSE)-SUMIFS($E$2:$E1483,$C$2:$C1483,C1483,$D$2:$D1483,"*Package*"))</f>
        <v/>
      </c>
      <c r="G1483" t="str">
        <f t="shared" si="51"/>
        <v/>
      </c>
      <c r="H1483" s="33">
        <f>IF(ISNUMBER(SEARCH("Group",D1483)),IF(G1483="",E1483,IFERROR(E1483/COUNTIF($G2:$G6000,G1483),E1483)),E1483)</f>
        <v>0</v>
      </c>
      <c r="I1483" s="1" t="str">
        <f>IFERROR(VLOOKUP(C1483,'Clients List'!A:F,6,FALSE),"")</f>
        <v/>
      </c>
    </row>
    <row r="1484" spans="4:9" x14ac:dyDescent="0.45">
      <c r="D1484" t="str">
        <f>IFERROR(VLOOKUP(C1484,'Clients List'!$A:$F,2,FALSE),"")</f>
        <v/>
      </c>
      <c r="F1484" s="1" t="str">
        <f>IF(OR(C1484="",NOT(ISNUMBER(SEARCH("Package",D1484)))),"",VLOOKUP(C1484,'Clients List'!$A:$F,4,FALSE)-SUMIFS($E$2:$E1484,$C$2:$C1484,C1484,$D$2:$D1484,"*Package*"))</f>
        <v/>
      </c>
      <c r="G1484" t="str">
        <f t="shared" si="51"/>
        <v/>
      </c>
      <c r="H1484" s="33">
        <f>IF(ISNUMBER(SEARCH("Group",D1484)),IF(G1484="",E1484,IFERROR(E1484/COUNTIF($G2:$G6000,G1484),E1484)),E1484)</f>
        <v>0</v>
      </c>
      <c r="I1484" s="1" t="str">
        <f>IFERROR(VLOOKUP(C1484,'Clients List'!A:F,6,FALSE),"")</f>
        <v/>
      </c>
    </row>
    <row r="1485" spans="4:9" x14ac:dyDescent="0.45">
      <c r="D1485" t="str">
        <f>IFERROR(VLOOKUP(C1485,'Clients List'!$A:$F,2,FALSE),"")</f>
        <v/>
      </c>
      <c r="F1485" s="1" t="str">
        <f>IF(OR(C1485="",NOT(ISNUMBER(SEARCH("Package",D1485)))),"",VLOOKUP(C1485,'Clients List'!$A:$F,4,FALSE)-SUMIFS($E$2:$E1485,$C$2:$C1485,C1485,$D$2:$D1485,"*Package*"))</f>
        <v/>
      </c>
      <c r="G1485" t="str">
        <f t="shared" si="51"/>
        <v/>
      </c>
      <c r="H1485" s="33">
        <f>IF(ISNUMBER(SEARCH("Group",D1485)),IF(G1485="",E1485,IFERROR(E1485/COUNTIF($G2:$G6000,G1485),E1485)),E1485)</f>
        <v>0</v>
      </c>
      <c r="I1485" s="1" t="str">
        <f>IFERROR(VLOOKUP(C1485,'Clients List'!A:F,6,FALSE),"")</f>
        <v/>
      </c>
    </row>
    <row r="1486" spans="4:9" x14ac:dyDescent="0.45">
      <c r="D1486" t="str">
        <f>IFERROR(VLOOKUP(C1486,'Clients List'!$A:$F,2,FALSE),"")</f>
        <v/>
      </c>
      <c r="F1486" s="1" t="str">
        <f>IF(OR(C1486="",NOT(ISNUMBER(SEARCH("Package",D1486)))),"",VLOOKUP(C1486,'Clients List'!$A:$F,4,FALSE)-SUMIFS($E$2:$E1486,$C$2:$C1486,C1486,$D$2:$D1486,"*Package*"))</f>
        <v/>
      </c>
      <c r="G1486" t="str">
        <f t="shared" si="51"/>
        <v/>
      </c>
      <c r="H1486" s="33">
        <f>IF(ISNUMBER(SEARCH("Group",D1486)),IF(G1486="",E1486,IFERROR(E1486/COUNTIF($G2:$G6000,G1486),E1486)),E1486)</f>
        <v>0</v>
      </c>
      <c r="I1486" s="1" t="str">
        <f>IFERROR(VLOOKUP(C1486,'Clients List'!A:F,6,FALSE),"")</f>
        <v/>
      </c>
    </row>
    <row r="1487" spans="4:9" x14ac:dyDescent="0.45">
      <c r="D1487" t="str">
        <f>IFERROR(VLOOKUP(C1487,'Clients List'!$A:$F,2,FALSE),"")</f>
        <v/>
      </c>
      <c r="F1487" s="1" t="str">
        <f>IF(OR(C1487="",NOT(ISNUMBER(SEARCH("Package",D1487)))),"",VLOOKUP(C1487,'Clients List'!$A:$F,4,FALSE)-SUMIFS($E$2:$E1487,$C$2:$C1487,C1487,$D$2:$D1487,"*Package*"))</f>
        <v/>
      </c>
      <c r="G1487" t="str">
        <f t="shared" si="51"/>
        <v/>
      </c>
      <c r="H1487" s="33">
        <f>IF(ISNUMBER(SEARCH("Group",D1487)),IF(G1487="",E1487,IFERROR(E1487/COUNTIF($G2:$G6000,G1487),E1487)),E1487)</f>
        <v>0</v>
      </c>
      <c r="I1487" s="1" t="str">
        <f>IFERROR(VLOOKUP(C1487,'Clients List'!A:F,6,FALSE),"")</f>
        <v/>
      </c>
    </row>
    <row r="1488" spans="4:9" x14ac:dyDescent="0.45">
      <c r="D1488" t="str">
        <f>IFERROR(VLOOKUP(C1488,'Clients List'!$A:$F,2,FALSE),"")</f>
        <v/>
      </c>
      <c r="F1488" s="1" t="str">
        <f>IF(OR(C1488="",NOT(ISNUMBER(SEARCH("Package",D1488)))),"",VLOOKUP(C1488,'Clients List'!$A:$F,4,FALSE)-SUMIFS($E$2:$E1488,$C$2:$C1488,C1488,$D$2:$D1488,"*Package*"))</f>
        <v/>
      </c>
      <c r="G1488" t="str">
        <f t="shared" si="51"/>
        <v/>
      </c>
      <c r="H1488" s="33">
        <f>IF(ISNUMBER(SEARCH("Group",D1488)),IF(G1488="",E1488,IFERROR(E1488/COUNTIF($G2:$G6000,G1488),E1488)),E1488)</f>
        <v>0</v>
      </c>
      <c r="I1488" s="1" t="str">
        <f>IFERROR(VLOOKUP(C1488,'Clients List'!A:F,6,FALSE),"")</f>
        <v/>
      </c>
    </row>
    <row r="1489" spans="4:9" x14ac:dyDescent="0.45">
      <c r="D1489" t="str">
        <f>IFERROR(VLOOKUP(C1489,'Clients List'!$A:$F,2,FALSE),"")</f>
        <v/>
      </c>
      <c r="F1489" s="1" t="str">
        <f>IF(OR(C1489="",NOT(ISNUMBER(SEARCH("Package",D1489)))),"",VLOOKUP(C1489,'Clients List'!$A:$F,4,FALSE)-SUMIFS($E$2:$E1489,$C$2:$C1489,C1489,$D$2:$D1489,"*Package*"))</f>
        <v/>
      </c>
      <c r="G1489" t="str">
        <f t="shared" si="51"/>
        <v/>
      </c>
      <c r="H1489" s="33">
        <f>IF(ISNUMBER(SEARCH("Group",D1489)),IF(G1489="",E1489,IFERROR(E1489/COUNTIF($G2:$G6000,G1489),E1489)),E1489)</f>
        <v>0</v>
      </c>
      <c r="I1489" s="1" t="str">
        <f>IFERROR(VLOOKUP(C1489,'Clients List'!A:F,6,FALSE),"")</f>
        <v/>
      </c>
    </row>
    <row r="1490" spans="4:9" x14ac:dyDescent="0.45">
      <c r="D1490" t="str">
        <f>IFERROR(VLOOKUP(C1490,'Clients List'!$A:$F,2,FALSE),"")</f>
        <v/>
      </c>
      <c r="F1490" s="1" t="str">
        <f>IF(OR(C1490="",NOT(ISNUMBER(SEARCH("Package",D1490)))),"",VLOOKUP(C1490,'Clients List'!$A:$F,4,FALSE)-SUMIFS($E$2:$E1490,$C$2:$C1490,C1490,$D$2:$D1490,"*Package*"))</f>
        <v/>
      </c>
      <c r="G1490" t="str">
        <f t="shared" si="51"/>
        <v/>
      </c>
      <c r="H1490" s="33">
        <f>IF(ISNUMBER(SEARCH("Group",D1490)),IF(G1490="",E1490,IFERROR(E1490/COUNTIF($G2:$G6000,G1490),E1490)),E1490)</f>
        <v>0</v>
      </c>
      <c r="I1490" s="1" t="str">
        <f>IFERROR(VLOOKUP(C1490,'Clients List'!A:F,6,FALSE),"")</f>
        <v/>
      </c>
    </row>
    <row r="1491" spans="4:9" x14ac:dyDescent="0.45">
      <c r="D1491" t="str">
        <f>IFERROR(VLOOKUP(C1491,'Clients List'!$A:$F,2,FALSE),"")</f>
        <v/>
      </c>
      <c r="F1491" s="1" t="str">
        <f>IF(OR(C1491="",NOT(ISNUMBER(SEARCH("Package",D1491)))),"",VLOOKUP(C1491,'Clients List'!$A:$F,4,FALSE)-SUMIFS($E$2:$E1491,$C$2:$C1491,C1491,$D$2:$D1491,"*Package*"))</f>
        <v/>
      </c>
      <c r="G1491" t="str">
        <f t="shared" si="51"/>
        <v/>
      </c>
      <c r="H1491" s="33">
        <f>IF(ISNUMBER(SEARCH("Group",D1491)),IF(G1491="",E1491,IFERROR(E1491/COUNTIF($G2:$G6000,G1491),E1491)),E1491)</f>
        <v>0</v>
      </c>
      <c r="I1491" s="1" t="str">
        <f>IFERROR(VLOOKUP(C1491,'Clients List'!A:F,6,FALSE),"")</f>
        <v/>
      </c>
    </row>
    <row r="1492" spans="4:9" x14ac:dyDescent="0.45">
      <c r="D1492" t="str">
        <f>IFERROR(VLOOKUP(C1492,'Clients List'!$A:$F,2,FALSE),"")</f>
        <v/>
      </c>
      <c r="F1492" s="1" t="str">
        <f>IF(OR(C1492="",NOT(ISNUMBER(SEARCH("Package",D1492)))),"",VLOOKUP(C1492,'Clients List'!$A:$F,4,FALSE)-SUMIFS($E$2:$E1492,$C$2:$C1492,C1492,$D$2:$D1492,"*Package*"))</f>
        <v/>
      </c>
      <c r="G1492" t="str">
        <f t="shared" si="51"/>
        <v/>
      </c>
      <c r="H1492" s="33">
        <f>IF(ISNUMBER(SEARCH("Group",D1492)),IF(G1492="",E1492,IFERROR(E1492/COUNTIF($G2:$G6000,G1492),E1492)),E1492)</f>
        <v>0</v>
      </c>
      <c r="I1492" s="1" t="str">
        <f>IFERROR(VLOOKUP(C1492,'Clients List'!A:F,6,FALSE),"")</f>
        <v/>
      </c>
    </row>
    <row r="1493" spans="4:9" x14ac:dyDescent="0.45">
      <c r="D1493" t="str">
        <f>IFERROR(VLOOKUP(C1493,'Clients List'!$A:$F,2,FALSE),"")</f>
        <v/>
      </c>
      <c r="F1493" s="1" t="str">
        <f>IF(OR(C1493="",NOT(ISNUMBER(SEARCH("Package",D1493)))),"",VLOOKUP(C1493,'Clients List'!$A:$F,4,FALSE)-SUMIFS($E$2:$E1493,$C$2:$C1493,C1493,$D$2:$D1493,"*Package*"))</f>
        <v/>
      </c>
      <c r="G1493" t="str">
        <f t="shared" si="51"/>
        <v/>
      </c>
      <c r="H1493" s="33">
        <f>IF(ISNUMBER(SEARCH("Group",D1493)),IF(G1493="",E1493,IFERROR(E1493/COUNTIF($G2:$G6000,G1493),E1493)),E1493)</f>
        <v>0</v>
      </c>
      <c r="I1493" s="1" t="str">
        <f>IFERROR(VLOOKUP(C1493,'Clients List'!A:F,6,FALSE),"")</f>
        <v/>
      </c>
    </row>
    <row r="1494" spans="4:9" x14ac:dyDescent="0.45">
      <c r="D1494" t="str">
        <f>IFERROR(VLOOKUP(C1494,'Clients List'!$A:$F,2,FALSE),"")</f>
        <v/>
      </c>
      <c r="F1494" s="1" t="str">
        <f>IF(OR(C1494="",NOT(ISNUMBER(SEARCH("Package",D1494)))),"",VLOOKUP(C1494,'Clients List'!$A:$F,4,FALSE)-SUMIFS($E$2:$E1494,$C$2:$C1494,C1494,$D$2:$D1494,"*Package*"))</f>
        <v/>
      </c>
      <c r="G1494" t="str">
        <f t="shared" si="51"/>
        <v/>
      </c>
      <c r="H1494" s="33">
        <f>IF(ISNUMBER(SEARCH("Group",D1494)),IF(G1494="",E1494,IFERROR(E1494/COUNTIF($G2:$G6000,G1494),E1494)),E1494)</f>
        <v>0</v>
      </c>
      <c r="I1494" s="1" t="str">
        <f>IFERROR(VLOOKUP(C1494,'Clients List'!A:F,6,FALSE),"")</f>
        <v/>
      </c>
    </row>
    <row r="1495" spans="4:9" x14ac:dyDescent="0.45">
      <c r="D1495" t="str">
        <f>IFERROR(VLOOKUP(C1495,'Clients List'!$A:$F,2,FALSE),"")</f>
        <v/>
      </c>
      <c r="F1495" s="1" t="str">
        <f>IF(OR(C1495="",NOT(ISNUMBER(SEARCH("Package",D1495)))),"",VLOOKUP(C1495,'Clients List'!$A:$F,4,FALSE)-SUMIFS($E$2:$E1495,$C$2:$C1495,C1495,$D$2:$D1495,"*Package*"))</f>
        <v/>
      </c>
      <c r="G1495" t="str">
        <f t="shared" si="51"/>
        <v/>
      </c>
      <c r="H1495" s="33">
        <f>IF(ISNUMBER(SEARCH("Group",D1495)),IF(G1495="",E1495,IFERROR(E1495/COUNTIF($G2:$G6000,G1495),E1495)),E1495)</f>
        <v>0</v>
      </c>
      <c r="I1495" s="1" t="str">
        <f>IFERROR(VLOOKUP(C1495,'Clients List'!A:F,6,FALSE),"")</f>
        <v/>
      </c>
    </row>
    <row r="1496" spans="4:9" x14ac:dyDescent="0.45">
      <c r="D1496" t="str">
        <f>IFERROR(VLOOKUP(C1496,'Clients List'!$A:$F,2,FALSE),"")</f>
        <v/>
      </c>
      <c r="F1496" s="1" t="str">
        <f>IF(OR(C1496="",NOT(ISNUMBER(SEARCH("Package",D1496)))),"",VLOOKUP(C1496,'Clients List'!$A:$F,4,FALSE)-SUMIFS($E$2:$E1496,$C$2:$C1496,C1496,$D$2:$D1496,"*Package*"))</f>
        <v/>
      </c>
      <c r="G1496" t="str">
        <f t="shared" si="51"/>
        <v/>
      </c>
      <c r="H1496" s="33">
        <f>IF(ISNUMBER(SEARCH("Group",D1496)),IF(G1496="",E1496,IFERROR(E1496/COUNTIF($G2:$G6000,G1496),E1496)),E1496)</f>
        <v>0</v>
      </c>
      <c r="I1496" s="1" t="str">
        <f>IFERROR(VLOOKUP(C1496,'Clients List'!A:F,6,FALSE),"")</f>
        <v/>
      </c>
    </row>
    <row r="1497" spans="4:9" x14ac:dyDescent="0.45">
      <c r="D1497" t="str">
        <f>IFERROR(VLOOKUP(C1497,'Clients List'!$A:$F,2,FALSE),"")</f>
        <v/>
      </c>
      <c r="F1497" s="1" t="str">
        <f>IF(OR(C1497="",NOT(ISNUMBER(SEARCH("Package",D1497)))),"",VLOOKUP(C1497,'Clients List'!$A:$F,4,FALSE)-SUMIFS($E$2:$E1497,$C$2:$C1497,C1497,$D$2:$D1497,"*Package*"))</f>
        <v/>
      </c>
      <c r="G1497" t="str">
        <f t="shared" ref="G1497:G1528" si="52">IF(ISNUMBER(SEARCH("Group",D1497)),IFERROR("GRP-"&amp;TEXT(IF(ISNUMBER(A1497),A1497,DATEVALUE(A1497)),"yyyymmdd"),""),"" )</f>
        <v/>
      </c>
      <c r="H1497" s="33">
        <f>IF(ISNUMBER(SEARCH("Group",D1497)),IF(G1497="",E1497,IFERROR(E1497/COUNTIF($G2:$G6000,G1497),E1497)),E1497)</f>
        <v>0</v>
      </c>
      <c r="I1497" s="1" t="str">
        <f>IFERROR(VLOOKUP(C1497,'Clients List'!A:F,6,FALSE),"")</f>
        <v/>
      </c>
    </row>
    <row r="1498" spans="4:9" x14ac:dyDescent="0.45">
      <c r="D1498" t="str">
        <f>IFERROR(VLOOKUP(C1498,'Clients List'!$A:$F,2,FALSE),"")</f>
        <v/>
      </c>
      <c r="F1498" s="1" t="str">
        <f>IF(OR(C1498="",NOT(ISNUMBER(SEARCH("Package",D1498)))),"",VLOOKUP(C1498,'Clients List'!$A:$F,4,FALSE)-SUMIFS($E$2:$E1498,$C$2:$C1498,C1498,$D$2:$D1498,"*Package*"))</f>
        <v/>
      </c>
      <c r="G1498" t="str">
        <f t="shared" si="52"/>
        <v/>
      </c>
      <c r="H1498" s="33">
        <f>IF(ISNUMBER(SEARCH("Group",D1498)),IF(G1498="",E1498,IFERROR(E1498/COUNTIF($G2:$G6000,G1498),E1498)),E1498)</f>
        <v>0</v>
      </c>
      <c r="I1498" s="1" t="str">
        <f>IFERROR(VLOOKUP(C1498,'Clients List'!A:F,6,FALSE),"")</f>
        <v/>
      </c>
    </row>
    <row r="1499" spans="4:9" x14ac:dyDescent="0.45">
      <c r="D1499" t="str">
        <f>IFERROR(VLOOKUP(C1499,'Clients List'!$A:$F,2,FALSE),"")</f>
        <v/>
      </c>
      <c r="F1499" s="1" t="str">
        <f>IF(OR(C1499="",NOT(ISNUMBER(SEARCH("Package",D1499)))),"",VLOOKUP(C1499,'Clients List'!$A:$F,4,FALSE)-SUMIFS($E$2:$E1499,$C$2:$C1499,C1499,$D$2:$D1499,"*Package*"))</f>
        <v/>
      </c>
      <c r="G1499" t="str">
        <f t="shared" si="52"/>
        <v/>
      </c>
      <c r="H1499" s="33">
        <f>IF(ISNUMBER(SEARCH("Group",D1499)),IF(G1499="",E1499,IFERROR(E1499/COUNTIF($G2:$G6000,G1499),E1499)),E1499)</f>
        <v>0</v>
      </c>
      <c r="I1499" s="1" t="str">
        <f>IFERROR(VLOOKUP(C1499,'Clients List'!A:F,6,FALSE),"")</f>
        <v/>
      </c>
    </row>
    <row r="1500" spans="4:9" x14ac:dyDescent="0.45">
      <c r="D1500" t="str">
        <f>IFERROR(VLOOKUP(C1500,'Clients List'!$A:$F,2,FALSE),"")</f>
        <v/>
      </c>
      <c r="F1500" s="1" t="str">
        <f>IF(OR(C1500="",NOT(ISNUMBER(SEARCH("Package",D1500)))),"",VLOOKUP(C1500,'Clients List'!$A:$F,4,FALSE)-SUMIFS($E$2:$E1500,$C$2:$C1500,C1500,$D$2:$D1500,"*Package*"))</f>
        <v/>
      </c>
      <c r="G1500" t="str">
        <f t="shared" si="52"/>
        <v/>
      </c>
      <c r="H1500" s="33">
        <f>IF(ISNUMBER(SEARCH("Group",D1500)),IF(G1500="",E1500,IFERROR(E1500/COUNTIF($G2:$G6000,G1500),E1500)),E1500)</f>
        <v>0</v>
      </c>
      <c r="I1500" s="1" t="str">
        <f>IFERROR(VLOOKUP(C1500,'Clients List'!A:F,6,FALSE),"")</f>
        <v/>
      </c>
    </row>
    <row r="1501" spans="4:9" x14ac:dyDescent="0.45">
      <c r="D1501" t="str">
        <f>IFERROR(VLOOKUP(C1501,'Clients List'!$A:$F,2,FALSE),"")</f>
        <v/>
      </c>
      <c r="F1501" s="1" t="str">
        <f>IF(OR(C1501="",NOT(ISNUMBER(SEARCH("Package",D1501)))),"",VLOOKUP(C1501,'Clients List'!$A:$F,4,FALSE)-SUMIFS($E$2:$E1501,$C$2:$C1501,C1501,$D$2:$D1501,"*Package*"))</f>
        <v/>
      </c>
      <c r="G1501" t="str">
        <f t="shared" si="52"/>
        <v/>
      </c>
      <c r="H1501" s="33">
        <f>IF(ISNUMBER(SEARCH("Group",D1501)),IF(G1501="",E1501,IFERROR(E1501/COUNTIF($G2:$G6000,G1501),E1501)),E1501)</f>
        <v>0</v>
      </c>
      <c r="I1501" s="1" t="str">
        <f>IFERROR(VLOOKUP(C1501,'Clients List'!A:F,6,FALSE),"")</f>
        <v/>
      </c>
    </row>
    <row r="1502" spans="4:9" x14ac:dyDescent="0.45">
      <c r="D1502" t="str">
        <f>IFERROR(VLOOKUP(C1502,'Clients List'!$A:$F,2,FALSE),"")</f>
        <v/>
      </c>
      <c r="F1502" s="1" t="str">
        <f>IF(OR(C1502="",NOT(ISNUMBER(SEARCH("Package",D1502)))),"",VLOOKUP(C1502,'Clients List'!$A:$F,4,FALSE)-SUMIFS($E$2:$E1502,$C$2:$C1502,C1502,$D$2:$D1502,"*Package*"))</f>
        <v/>
      </c>
      <c r="G1502" t="str">
        <f t="shared" si="52"/>
        <v/>
      </c>
      <c r="H1502" s="33">
        <f>IF(ISNUMBER(SEARCH("Group",D1502)),IF(G1502="",E1502,IFERROR(E1502/COUNTIF($G2:$G6000,G1502),E1502)),E1502)</f>
        <v>0</v>
      </c>
      <c r="I1502" s="1" t="str">
        <f>IFERROR(VLOOKUP(C1502,'Clients List'!A:F,6,FALSE),"")</f>
        <v/>
      </c>
    </row>
    <row r="1503" spans="4:9" x14ac:dyDescent="0.45">
      <c r="D1503" t="str">
        <f>IFERROR(VLOOKUP(C1503,'Clients List'!$A:$F,2,FALSE),"")</f>
        <v/>
      </c>
      <c r="F1503" s="1" t="str">
        <f>IF(OR(C1503="",NOT(ISNUMBER(SEARCH("Package",D1503)))),"",VLOOKUP(C1503,'Clients List'!$A:$F,4,FALSE)-SUMIFS($E$2:$E1503,$C$2:$C1503,C1503,$D$2:$D1503,"*Package*"))</f>
        <v/>
      </c>
      <c r="G1503" t="str">
        <f t="shared" si="52"/>
        <v/>
      </c>
      <c r="H1503" s="33">
        <f>IF(ISNUMBER(SEARCH("Group",D1503)),IF(G1503="",E1503,IFERROR(E1503/COUNTIF($G2:$G6000,G1503),E1503)),E1503)</f>
        <v>0</v>
      </c>
      <c r="I1503" s="1" t="str">
        <f>IFERROR(VLOOKUP(C1503,'Clients List'!A:F,6,FALSE),"")</f>
        <v/>
      </c>
    </row>
    <row r="1504" spans="4:9" x14ac:dyDescent="0.45">
      <c r="D1504" t="str">
        <f>IFERROR(VLOOKUP(C1504,'Clients List'!$A:$F,2,FALSE),"")</f>
        <v/>
      </c>
      <c r="F1504" s="1" t="str">
        <f>IF(OR(C1504="",NOT(ISNUMBER(SEARCH("Package",D1504)))),"",VLOOKUP(C1504,'Clients List'!$A:$F,4,FALSE)-SUMIFS($E$2:$E1504,$C$2:$C1504,C1504,$D$2:$D1504,"*Package*"))</f>
        <v/>
      </c>
      <c r="G1504" t="str">
        <f t="shared" si="52"/>
        <v/>
      </c>
      <c r="H1504" s="33">
        <f>IF(ISNUMBER(SEARCH("Group",D1504)),IF(G1504="",E1504,IFERROR(E1504/COUNTIF($G2:$G6000,G1504),E1504)),E1504)</f>
        <v>0</v>
      </c>
      <c r="I1504" s="1" t="str">
        <f>IFERROR(VLOOKUP(C1504,'Clients List'!A:F,6,FALSE),"")</f>
        <v/>
      </c>
    </row>
    <row r="1505" spans="4:9" x14ac:dyDescent="0.45">
      <c r="D1505" t="str">
        <f>IFERROR(VLOOKUP(C1505,'Clients List'!$A:$F,2,FALSE),"")</f>
        <v/>
      </c>
      <c r="F1505" s="1" t="str">
        <f>IF(OR(C1505="",NOT(ISNUMBER(SEARCH("Package",D1505)))),"",VLOOKUP(C1505,'Clients List'!$A:$F,4,FALSE)-SUMIFS($E$2:$E1505,$C$2:$C1505,C1505,$D$2:$D1505,"*Package*"))</f>
        <v/>
      </c>
      <c r="G1505" t="str">
        <f t="shared" si="52"/>
        <v/>
      </c>
      <c r="H1505" s="33">
        <f>IF(ISNUMBER(SEARCH("Group",D1505)),IF(G1505="",E1505,IFERROR(E1505/COUNTIF($G2:$G6000,G1505),E1505)),E1505)</f>
        <v>0</v>
      </c>
      <c r="I1505" s="1" t="str">
        <f>IFERROR(VLOOKUP(C1505,'Clients List'!A:F,6,FALSE),"")</f>
        <v/>
      </c>
    </row>
    <row r="1506" spans="4:9" x14ac:dyDescent="0.45">
      <c r="D1506" t="str">
        <f>IFERROR(VLOOKUP(C1506,'Clients List'!$A:$F,2,FALSE),"")</f>
        <v/>
      </c>
      <c r="F1506" s="1" t="str">
        <f>IF(OR(C1506="",NOT(ISNUMBER(SEARCH("Package",D1506)))),"",VLOOKUP(C1506,'Clients List'!$A:$F,4,FALSE)-SUMIFS($E$2:$E1506,$C$2:$C1506,C1506,$D$2:$D1506,"*Package*"))</f>
        <v/>
      </c>
      <c r="G1506" t="str">
        <f t="shared" si="52"/>
        <v/>
      </c>
      <c r="H1506" s="33">
        <f>IF(ISNUMBER(SEARCH("Group",D1506)),IF(G1506="",E1506,IFERROR(E1506/COUNTIF($G2:$G6000,G1506),E1506)),E1506)</f>
        <v>0</v>
      </c>
      <c r="I1506" s="1" t="str">
        <f>IFERROR(VLOOKUP(C1506,'Clients List'!A:F,6,FALSE),"")</f>
        <v/>
      </c>
    </row>
    <row r="1507" spans="4:9" x14ac:dyDescent="0.45">
      <c r="D1507" t="str">
        <f>IFERROR(VLOOKUP(C1507,'Clients List'!$A:$F,2,FALSE),"")</f>
        <v/>
      </c>
      <c r="F1507" s="1" t="str">
        <f>IF(OR(C1507="",NOT(ISNUMBER(SEARCH("Package",D1507)))),"",VLOOKUP(C1507,'Clients List'!$A:$F,4,FALSE)-SUMIFS($E$2:$E1507,$C$2:$C1507,C1507,$D$2:$D1507,"*Package*"))</f>
        <v/>
      </c>
      <c r="G1507" t="str">
        <f t="shared" si="52"/>
        <v/>
      </c>
      <c r="H1507" s="33">
        <f>IF(ISNUMBER(SEARCH("Group",D1507)),IF(G1507="",E1507,IFERROR(E1507/COUNTIF($G2:$G6000,G1507),E1507)),E1507)</f>
        <v>0</v>
      </c>
      <c r="I1507" s="1" t="str">
        <f>IFERROR(VLOOKUP(C1507,'Clients List'!A:F,6,FALSE),"")</f>
        <v/>
      </c>
    </row>
    <row r="1508" spans="4:9" x14ac:dyDescent="0.45">
      <c r="D1508" t="str">
        <f>IFERROR(VLOOKUP(C1508,'Clients List'!$A:$F,2,FALSE),"")</f>
        <v/>
      </c>
      <c r="F1508" s="1" t="str">
        <f>IF(OR(C1508="",NOT(ISNUMBER(SEARCH("Package",D1508)))),"",VLOOKUP(C1508,'Clients List'!$A:$F,4,FALSE)-SUMIFS($E$2:$E1508,$C$2:$C1508,C1508,$D$2:$D1508,"*Package*"))</f>
        <v/>
      </c>
      <c r="G1508" t="str">
        <f t="shared" si="52"/>
        <v/>
      </c>
      <c r="H1508" s="33">
        <f>IF(ISNUMBER(SEARCH("Group",D1508)),IF(G1508="",E1508,IFERROR(E1508/COUNTIF($G2:$G6000,G1508),E1508)),E1508)</f>
        <v>0</v>
      </c>
      <c r="I1508" s="1" t="str">
        <f>IFERROR(VLOOKUP(C1508,'Clients List'!A:F,6,FALSE),"")</f>
        <v/>
      </c>
    </row>
    <row r="1509" spans="4:9" x14ac:dyDescent="0.45">
      <c r="D1509" t="str">
        <f>IFERROR(VLOOKUP(C1509,'Clients List'!$A:$F,2,FALSE),"")</f>
        <v/>
      </c>
      <c r="F1509" s="1" t="str">
        <f>IF(OR(C1509="",NOT(ISNUMBER(SEARCH("Package",D1509)))),"",VLOOKUP(C1509,'Clients List'!$A:$F,4,FALSE)-SUMIFS($E$2:$E1509,$C$2:$C1509,C1509,$D$2:$D1509,"*Package*"))</f>
        <v/>
      </c>
      <c r="G1509" t="str">
        <f t="shared" si="52"/>
        <v/>
      </c>
      <c r="H1509" s="33">
        <f>IF(ISNUMBER(SEARCH("Group",D1509)),IF(G1509="",E1509,IFERROR(E1509/COUNTIF($G2:$G6000,G1509),E1509)),E1509)</f>
        <v>0</v>
      </c>
      <c r="I1509" s="1" t="str">
        <f>IFERROR(VLOOKUP(C1509,'Clients List'!A:F,6,FALSE),"")</f>
        <v/>
      </c>
    </row>
    <row r="1510" spans="4:9" x14ac:dyDescent="0.45">
      <c r="D1510" t="str">
        <f>IFERROR(VLOOKUP(C1510,'Clients List'!$A:$F,2,FALSE),"")</f>
        <v/>
      </c>
      <c r="F1510" s="1" t="str">
        <f>IF(OR(C1510="",NOT(ISNUMBER(SEARCH("Package",D1510)))),"",VLOOKUP(C1510,'Clients List'!$A:$F,4,FALSE)-SUMIFS($E$2:$E1510,$C$2:$C1510,C1510,$D$2:$D1510,"*Package*"))</f>
        <v/>
      </c>
      <c r="G1510" t="str">
        <f t="shared" si="52"/>
        <v/>
      </c>
      <c r="H1510" s="33">
        <f>IF(ISNUMBER(SEARCH("Group",D1510)),IF(G1510="",E1510,IFERROR(E1510/COUNTIF($G2:$G6000,G1510),E1510)),E1510)</f>
        <v>0</v>
      </c>
      <c r="I1510" s="1" t="str">
        <f>IFERROR(VLOOKUP(C1510,'Clients List'!A:F,6,FALSE),"")</f>
        <v/>
      </c>
    </row>
    <row r="1511" spans="4:9" x14ac:dyDescent="0.45">
      <c r="D1511" t="str">
        <f>IFERROR(VLOOKUP(C1511,'Clients List'!$A:$F,2,FALSE),"")</f>
        <v/>
      </c>
      <c r="F1511" s="1" t="str">
        <f>IF(OR(C1511="",NOT(ISNUMBER(SEARCH("Package",D1511)))),"",VLOOKUP(C1511,'Clients List'!$A:$F,4,FALSE)-SUMIFS($E$2:$E1511,$C$2:$C1511,C1511,$D$2:$D1511,"*Package*"))</f>
        <v/>
      </c>
      <c r="G1511" t="str">
        <f t="shared" si="52"/>
        <v/>
      </c>
      <c r="H1511" s="33">
        <f>IF(ISNUMBER(SEARCH("Group",D1511)),IF(G1511="",E1511,IFERROR(E1511/COUNTIF($G2:$G6000,G1511),E1511)),E1511)</f>
        <v>0</v>
      </c>
      <c r="I1511" s="1" t="str">
        <f>IFERROR(VLOOKUP(C1511,'Clients List'!A:F,6,FALSE),"")</f>
        <v/>
      </c>
    </row>
    <row r="1512" spans="4:9" x14ac:dyDescent="0.45">
      <c r="D1512" t="str">
        <f>IFERROR(VLOOKUP(C1512,'Clients List'!$A:$F,2,FALSE),"")</f>
        <v/>
      </c>
      <c r="F1512" s="1" t="str">
        <f>IF(OR(C1512="",NOT(ISNUMBER(SEARCH("Package",D1512)))),"",VLOOKUP(C1512,'Clients List'!$A:$F,4,FALSE)-SUMIFS($E$2:$E1512,$C$2:$C1512,C1512,$D$2:$D1512,"*Package*"))</f>
        <v/>
      </c>
      <c r="G1512" t="str">
        <f t="shared" si="52"/>
        <v/>
      </c>
      <c r="H1512" s="33">
        <f>IF(ISNUMBER(SEARCH("Group",D1512)),IF(G1512="",E1512,IFERROR(E1512/COUNTIF($G2:$G6000,G1512),E1512)),E1512)</f>
        <v>0</v>
      </c>
      <c r="I1512" s="1" t="str">
        <f>IFERROR(VLOOKUP(C1512,'Clients List'!A:F,6,FALSE),"")</f>
        <v/>
      </c>
    </row>
    <row r="1513" spans="4:9" x14ac:dyDescent="0.45">
      <c r="D1513" t="str">
        <f>IFERROR(VLOOKUP(C1513,'Clients List'!$A:$F,2,FALSE),"")</f>
        <v/>
      </c>
      <c r="F1513" s="1" t="str">
        <f>IF(OR(C1513="",NOT(ISNUMBER(SEARCH("Package",D1513)))),"",VLOOKUP(C1513,'Clients List'!$A:$F,4,FALSE)-SUMIFS($E$2:$E1513,$C$2:$C1513,C1513,$D$2:$D1513,"*Package*"))</f>
        <v/>
      </c>
      <c r="G1513" t="str">
        <f t="shared" si="52"/>
        <v/>
      </c>
      <c r="H1513" s="33">
        <f>IF(ISNUMBER(SEARCH("Group",D1513)),IF(G1513="",E1513,IFERROR(E1513/COUNTIF($G2:$G6000,G1513),E1513)),E1513)</f>
        <v>0</v>
      </c>
      <c r="I1513" s="1" t="str">
        <f>IFERROR(VLOOKUP(C1513,'Clients List'!A:F,6,FALSE),"")</f>
        <v/>
      </c>
    </row>
    <row r="1514" spans="4:9" x14ac:dyDescent="0.45">
      <c r="D1514" t="str">
        <f>IFERROR(VLOOKUP(C1514,'Clients List'!$A:$F,2,FALSE),"")</f>
        <v/>
      </c>
      <c r="F1514" s="1" t="str">
        <f>IF(OR(C1514="",NOT(ISNUMBER(SEARCH("Package",D1514)))),"",VLOOKUP(C1514,'Clients List'!$A:$F,4,FALSE)-SUMIFS($E$2:$E1514,$C$2:$C1514,C1514,$D$2:$D1514,"*Package*"))</f>
        <v/>
      </c>
      <c r="G1514" t="str">
        <f t="shared" si="52"/>
        <v/>
      </c>
      <c r="H1514" s="33">
        <f>IF(ISNUMBER(SEARCH("Group",D1514)),IF(G1514="",E1514,IFERROR(E1514/COUNTIF($G2:$G6000,G1514),E1514)),E1514)</f>
        <v>0</v>
      </c>
      <c r="I1514" s="1" t="str">
        <f>IFERROR(VLOOKUP(C1514,'Clients List'!A:F,6,FALSE),"")</f>
        <v/>
      </c>
    </row>
    <row r="1515" spans="4:9" x14ac:dyDescent="0.45">
      <c r="D1515" t="str">
        <f>IFERROR(VLOOKUP(C1515,'Clients List'!$A:$F,2,FALSE),"")</f>
        <v/>
      </c>
      <c r="F1515" s="1" t="str">
        <f>IF(OR(C1515="",NOT(ISNUMBER(SEARCH("Package",D1515)))),"",VLOOKUP(C1515,'Clients List'!$A:$F,4,FALSE)-SUMIFS($E$2:$E1515,$C$2:$C1515,C1515,$D$2:$D1515,"*Package*"))</f>
        <v/>
      </c>
      <c r="G1515" t="str">
        <f t="shared" si="52"/>
        <v/>
      </c>
      <c r="H1515" s="33">
        <f>IF(ISNUMBER(SEARCH("Group",D1515)),IF(G1515="",E1515,IFERROR(E1515/COUNTIF($G2:$G6000,G1515),E1515)),E1515)</f>
        <v>0</v>
      </c>
      <c r="I1515" s="1" t="str">
        <f>IFERROR(VLOOKUP(C1515,'Clients List'!A:F,6,FALSE),"")</f>
        <v/>
      </c>
    </row>
    <row r="1516" spans="4:9" x14ac:dyDescent="0.45">
      <c r="D1516" t="str">
        <f>IFERROR(VLOOKUP(C1516,'Clients List'!$A:$F,2,FALSE),"")</f>
        <v/>
      </c>
      <c r="F1516" s="1" t="str">
        <f>IF(OR(C1516="",NOT(ISNUMBER(SEARCH("Package",D1516)))),"",VLOOKUP(C1516,'Clients List'!$A:$F,4,FALSE)-SUMIFS($E$2:$E1516,$C$2:$C1516,C1516,$D$2:$D1516,"*Package*"))</f>
        <v/>
      </c>
      <c r="G1516" t="str">
        <f t="shared" si="52"/>
        <v/>
      </c>
      <c r="H1516" s="33">
        <f>IF(ISNUMBER(SEARCH("Group",D1516)),IF(G1516="",E1516,IFERROR(E1516/COUNTIF($G2:$G6000,G1516),E1516)),E1516)</f>
        <v>0</v>
      </c>
      <c r="I1516" s="1" t="str">
        <f>IFERROR(VLOOKUP(C1516,'Clients List'!A:F,6,FALSE),"")</f>
        <v/>
      </c>
    </row>
    <row r="1517" spans="4:9" x14ac:dyDescent="0.45">
      <c r="D1517" t="str">
        <f>IFERROR(VLOOKUP(C1517,'Clients List'!$A:$F,2,FALSE),"")</f>
        <v/>
      </c>
      <c r="F1517" s="1" t="str">
        <f>IF(OR(C1517="",NOT(ISNUMBER(SEARCH("Package",D1517)))),"",VLOOKUP(C1517,'Clients List'!$A:$F,4,FALSE)-SUMIFS($E$2:$E1517,$C$2:$C1517,C1517,$D$2:$D1517,"*Package*"))</f>
        <v/>
      </c>
      <c r="G1517" t="str">
        <f t="shared" si="52"/>
        <v/>
      </c>
      <c r="H1517" s="33">
        <f>IF(ISNUMBER(SEARCH("Group",D1517)),IF(G1517="",E1517,IFERROR(E1517/COUNTIF($G2:$G6000,G1517),E1517)),E1517)</f>
        <v>0</v>
      </c>
      <c r="I1517" s="1" t="str">
        <f>IFERROR(VLOOKUP(C1517,'Clients List'!A:F,6,FALSE),"")</f>
        <v/>
      </c>
    </row>
    <row r="1518" spans="4:9" x14ac:dyDescent="0.45">
      <c r="D1518" t="str">
        <f>IFERROR(VLOOKUP(C1518,'Clients List'!$A:$F,2,FALSE),"")</f>
        <v/>
      </c>
      <c r="F1518" s="1" t="str">
        <f>IF(OR(C1518="",NOT(ISNUMBER(SEARCH("Package",D1518)))),"",VLOOKUP(C1518,'Clients List'!$A:$F,4,FALSE)-SUMIFS($E$2:$E1518,$C$2:$C1518,C1518,$D$2:$D1518,"*Package*"))</f>
        <v/>
      </c>
      <c r="G1518" t="str">
        <f t="shared" si="52"/>
        <v/>
      </c>
      <c r="H1518" s="33">
        <f>IF(ISNUMBER(SEARCH("Group",D1518)),IF(G1518="",E1518,IFERROR(E1518/COUNTIF($G2:$G6000,G1518),E1518)),E1518)</f>
        <v>0</v>
      </c>
      <c r="I1518" s="1" t="str">
        <f>IFERROR(VLOOKUP(C1518,'Clients List'!A:F,6,FALSE),"")</f>
        <v/>
      </c>
    </row>
    <row r="1519" spans="4:9" x14ac:dyDescent="0.45">
      <c r="D1519" t="str">
        <f>IFERROR(VLOOKUP(C1519,'Clients List'!$A:$F,2,FALSE),"")</f>
        <v/>
      </c>
      <c r="F1519" s="1" t="str">
        <f>IF(OR(C1519="",NOT(ISNUMBER(SEARCH("Package",D1519)))),"",VLOOKUP(C1519,'Clients List'!$A:$F,4,FALSE)-SUMIFS($E$2:$E1519,$C$2:$C1519,C1519,$D$2:$D1519,"*Package*"))</f>
        <v/>
      </c>
      <c r="G1519" t="str">
        <f t="shared" si="52"/>
        <v/>
      </c>
      <c r="H1519" s="33">
        <f>IF(ISNUMBER(SEARCH("Group",D1519)),IF(G1519="",E1519,IFERROR(E1519/COUNTIF($G2:$G6000,G1519),E1519)),E1519)</f>
        <v>0</v>
      </c>
      <c r="I1519" s="1" t="str">
        <f>IFERROR(VLOOKUP(C1519,'Clients List'!A:F,6,FALSE),"")</f>
        <v/>
      </c>
    </row>
    <row r="1520" spans="4:9" x14ac:dyDescent="0.45">
      <c r="D1520" t="str">
        <f>IFERROR(VLOOKUP(C1520,'Clients List'!$A:$F,2,FALSE),"")</f>
        <v/>
      </c>
      <c r="F1520" s="1" t="str">
        <f>IF(OR(C1520="",NOT(ISNUMBER(SEARCH("Package",D1520)))),"",VLOOKUP(C1520,'Clients List'!$A:$F,4,FALSE)-SUMIFS($E$2:$E1520,$C$2:$C1520,C1520,$D$2:$D1520,"*Package*"))</f>
        <v/>
      </c>
      <c r="G1520" t="str">
        <f t="shared" si="52"/>
        <v/>
      </c>
      <c r="H1520" s="33">
        <f>IF(ISNUMBER(SEARCH("Group",D1520)),IF(G1520="",E1520,IFERROR(E1520/COUNTIF($G2:$G6000,G1520),E1520)),E1520)</f>
        <v>0</v>
      </c>
      <c r="I1520" s="1" t="str">
        <f>IFERROR(VLOOKUP(C1520,'Clients List'!A:F,6,FALSE),"")</f>
        <v/>
      </c>
    </row>
    <row r="1521" spans="4:9" x14ac:dyDescent="0.45">
      <c r="D1521" t="str">
        <f>IFERROR(VLOOKUP(C1521,'Clients List'!$A:$F,2,FALSE),"")</f>
        <v/>
      </c>
      <c r="F1521" s="1" t="str">
        <f>IF(OR(C1521="",NOT(ISNUMBER(SEARCH("Package",D1521)))),"",VLOOKUP(C1521,'Clients List'!$A:$F,4,FALSE)-SUMIFS($E$2:$E1521,$C$2:$C1521,C1521,$D$2:$D1521,"*Package*"))</f>
        <v/>
      </c>
      <c r="G1521" t="str">
        <f t="shared" si="52"/>
        <v/>
      </c>
      <c r="H1521" s="33">
        <f>IF(ISNUMBER(SEARCH("Group",D1521)),IF(G1521="",E1521,IFERROR(E1521/COUNTIF($G2:$G6000,G1521),E1521)),E1521)</f>
        <v>0</v>
      </c>
      <c r="I1521" s="1" t="str">
        <f>IFERROR(VLOOKUP(C1521,'Clients List'!A:F,6,FALSE),"")</f>
        <v/>
      </c>
    </row>
    <row r="1522" spans="4:9" x14ac:dyDescent="0.45">
      <c r="D1522" t="str">
        <f>IFERROR(VLOOKUP(C1522,'Clients List'!$A:$F,2,FALSE),"")</f>
        <v/>
      </c>
      <c r="F1522" s="1" t="str">
        <f>IF(OR(C1522="",NOT(ISNUMBER(SEARCH("Package",D1522)))),"",VLOOKUP(C1522,'Clients List'!$A:$F,4,FALSE)-SUMIFS($E$2:$E1522,$C$2:$C1522,C1522,$D$2:$D1522,"*Package*"))</f>
        <v/>
      </c>
      <c r="G1522" t="str">
        <f t="shared" si="52"/>
        <v/>
      </c>
      <c r="H1522" s="33">
        <f>IF(ISNUMBER(SEARCH("Group",D1522)),IF(G1522="",E1522,IFERROR(E1522/COUNTIF($G2:$G6000,G1522),E1522)),E1522)</f>
        <v>0</v>
      </c>
      <c r="I1522" s="1" t="str">
        <f>IFERROR(VLOOKUP(C1522,'Clients List'!A:F,6,FALSE),"")</f>
        <v/>
      </c>
    </row>
    <row r="1523" spans="4:9" x14ac:dyDescent="0.45">
      <c r="D1523" t="str">
        <f>IFERROR(VLOOKUP(C1523,'Clients List'!$A:$F,2,FALSE),"")</f>
        <v/>
      </c>
      <c r="F1523" s="1" t="str">
        <f>IF(OR(C1523="",NOT(ISNUMBER(SEARCH("Package",D1523)))),"",VLOOKUP(C1523,'Clients List'!$A:$F,4,FALSE)-SUMIFS($E$2:$E1523,$C$2:$C1523,C1523,$D$2:$D1523,"*Package*"))</f>
        <v/>
      </c>
      <c r="G1523" t="str">
        <f t="shared" si="52"/>
        <v/>
      </c>
      <c r="H1523" s="33">
        <f>IF(ISNUMBER(SEARCH("Group",D1523)),IF(G1523="",E1523,IFERROR(E1523/COUNTIF($G2:$G6000,G1523),E1523)),E1523)</f>
        <v>0</v>
      </c>
      <c r="I1523" s="1" t="str">
        <f>IFERROR(VLOOKUP(C1523,'Clients List'!A:F,6,FALSE),"")</f>
        <v/>
      </c>
    </row>
    <row r="1524" spans="4:9" x14ac:dyDescent="0.45">
      <c r="D1524" t="str">
        <f>IFERROR(VLOOKUP(C1524,'Clients List'!$A:$F,2,FALSE),"")</f>
        <v/>
      </c>
      <c r="F1524" s="1" t="str">
        <f>IF(OR(C1524="",NOT(ISNUMBER(SEARCH("Package",D1524)))),"",VLOOKUP(C1524,'Clients List'!$A:$F,4,FALSE)-SUMIFS($E$2:$E1524,$C$2:$C1524,C1524,$D$2:$D1524,"*Package*"))</f>
        <v/>
      </c>
      <c r="G1524" t="str">
        <f t="shared" si="52"/>
        <v/>
      </c>
      <c r="H1524" s="33">
        <f>IF(ISNUMBER(SEARCH("Group",D1524)),IF(G1524="",E1524,IFERROR(E1524/COUNTIF($G2:$G6000,G1524),E1524)),E1524)</f>
        <v>0</v>
      </c>
      <c r="I1524" s="1" t="str">
        <f>IFERROR(VLOOKUP(C1524,'Clients List'!A:F,6,FALSE),"")</f>
        <v/>
      </c>
    </row>
    <row r="1525" spans="4:9" x14ac:dyDescent="0.45">
      <c r="D1525" t="str">
        <f>IFERROR(VLOOKUP(C1525,'Clients List'!$A:$F,2,FALSE),"")</f>
        <v/>
      </c>
      <c r="F1525" s="1" t="str">
        <f>IF(OR(C1525="",NOT(ISNUMBER(SEARCH("Package",D1525)))),"",VLOOKUP(C1525,'Clients List'!$A:$F,4,FALSE)-SUMIFS($E$2:$E1525,$C$2:$C1525,C1525,$D$2:$D1525,"*Package*"))</f>
        <v/>
      </c>
      <c r="G1525" t="str">
        <f t="shared" si="52"/>
        <v/>
      </c>
      <c r="H1525" s="33">
        <f>IF(ISNUMBER(SEARCH("Group",D1525)),IF(G1525="",E1525,IFERROR(E1525/COUNTIF($G2:$G6000,G1525),E1525)),E1525)</f>
        <v>0</v>
      </c>
      <c r="I1525" s="1" t="str">
        <f>IFERROR(VLOOKUP(C1525,'Clients List'!A:F,6,FALSE),"")</f>
        <v/>
      </c>
    </row>
    <row r="1526" spans="4:9" x14ac:dyDescent="0.45">
      <c r="D1526" t="str">
        <f>IFERROR(VLOOKUP(C1526,'Clients List'!$A:$F,2,FALSE),"")</f>
        <v/>
      </c>
      <c r="F1526" s="1" t="str">
        <f>IF(OR(C1526="",NOT(ISNUMBER(SEARCH("Package",D1526)))),"",VLOOKUP(C1526,'Clients List'!$A:$F,4,FALSE)-SUMIFS($E$2:$E1526,$C$2:$C1526,C1526,$D$2:$D1526,"*Package*"))</f>
        <v/>
      </c>
      <c r="G1526" t="str">
        <f t="shared" si="52"/>
        <v/>
      </c>
      <c r="H1526" s="33">
        <f>IF(ISNUMBER(SEARCH("Group",D1526)),IF(G1526="",E1526,IFERROR(E1526/COUNTIF($G2:$G6000,G1526),E1526)),E1526)</f>
        <v>0</v>
      </c>
      <c r="I1526" s="1" t="str">
        <f>IFERROR(VLOOKUP(C1526,'Clients List'!A:F,6,FALSE),"")</f>
        <v/>
      </c>
    </row>
    <row r="1527" spans="4:9" x14ac:dyDescent="0.45">
      <c r="D1527" t="str">
        <f>IFERROR(VLOOKUP(C1527,'Clients List'!$A:$F,2,FALSE),"")</f>
        <v/>
      </c>
      <c r="F1527" s="1" t="str">
        <f>IF(OR(C1527="",NOT(ISNUMBER(SEARCH("Package",D1527)))),"",VLOOKUP(C1527,'Clients List'!$A:$F,4,FALSE)-SUMIFS($E$2:$E1527,$C$2:$C1527,C1527,$D$2:$D1527,"*Package*"))</f>
        <v/>
      </c>
      <c r="G1527" t="str">
        <f t="shared" si="52"/>
        <v/>
      </c>
      <c r="H1527" s="33">
        <f>IF(ISNUMBER(SEARCH("Group",D1527)),IF(G1527="",E1527,IFERROR(E1527/COUNTIF($G2:$G6000,G1527),E1527)),E1527)</f>
        <v>0</v>
      </c>
      <c r="I1527" s="1" t="str">
        <f>IFERROR(VLOOKUP(C1527,'Clients List'!A:F,6,FALSE),"")</f>
        <v/>
      </c>
    </row>
    <row r="1528" spans="4:9" x14ac:dyDescent="0.45">
      <c r="D1528" t="str">
        <f>IFERROR(VLOOKUP(C1528,'Clients List'!$A:$F,2,FALSE),"")</f>
        <v/>
      </c>
      <c r="F1528" s="1" t="str">
        <f>IF(OR(C1528="",NOT(ISNUMBER(SEARCH("Package",D1528)))),"",VLOOKUP(C1528,'Clients List'!$A:$F,4,FALSE)-SUMIFS($E$2:$E1528,$C$2:$C1528,C1528,$D$2:$D1528,"*Package*"))</f>
        <v/>
      </c>
      <c r="G1528" t="str">
        <f t="shared" si="52"/>
        <v/>
      </c>
      <c r="H1528" s="33">
        <f>IF(ISNUMBER(SEARCH("Group",D1528)),IF(G1528="",E1528,IFERROR(E1528/COUNTIF($G2:$G6000,G1528),E1528)),E1528)</f>
        <v>0</v>
      </c>
      <c r="I1528" s="1" t="str">
        <f>IFERROR(VLOOKUP(C1528,'Clients List'!A:F,6,FALSE),"")</f>
        <v/>
      </c>
    </row>
    <row r="1529" spans="4:9" x14ac:dyDescent="0.45">
      <c r="D1529" t="str">
        <f>IFERROR(VLOOKUP(C1529,'Clients List'!$A:$F,2,FALSE),"")</f>
        <v/>
      </c>
      <c r="F1529" s="1" t="str">
        <f>IF(OR(C1529="",NOT(ISNUMBER(SEARCH("Package",D1529)))),"",VLOOKUP(C1529,'Clients List'!$A:$F,4,FALSE)-SUMIFS($E$2:$E1529,$C$2:$C1529,C1529,$D$2:$D1529,"*Package*"))</f>
        <v/>
      </c>
      <c r="G1529" t="str">
        <f t="shared" ref="G1529:G1560" si="53">IF(ISNUMBER(SEARCH("Group",D1529)),IFERROR("GRP-"&amp;TEXT(IF(ISNUMBER(A1529),A1529,DATEVALUE(A1529)),"yyyymmdd"),""),"" )</f>
        <v/>
      </c>
      <c r="H1529" s="33">
        <f>IF(ISNUMBER(SEARCH("Group",D1529)),IF(G1529="",E1529,IFERROR(E1529/COUNTIF($G2:$G6000,G1529),E1529)),E1529)</f>
        <v>0</v>
      </c>
      <c r="I1529" s="1" t="str">
        <f>IFERROR(VLOOKUP(C1529,'Clients List'!A:F,6,FALSE),"")</f>
        <v/>
      </c>
    </row>
    <row r="1530" spans="4:9" x14ac:dyDescent="0.45">
      <c r="D1530" t="str">
        <f>IFERROR(VLOOKUP(C1530,'Clients List'!$A:$F,2,FALSE),"")</f>
        <v/>
      </c>
      <c r="F1530" s="1" t="str">
        <f>IF(OR(C1530="",NOT(ISNUMBER(SEARCH("Package",D1530)))),"",VLOOKUP(C1530,'Clients List'!$A:$F,4,FALSE)-SUMIFS($E$2:$E1530,$C$2:$C1530,C1530,$D$2:$D1530,"*Package*"))</f>
        <v/>
      </c>
      <c r="G1530" t="str">
        <f t="shared" si="53"/>
        <v/>
      </c>
      <c r="H1530" s="33">
        <f>IF(ISNUMBER(SEARCH("Group",D1530)),IF(G1530="",E1530,IFERROR(E1530/COUNTIF($G2:$G6000,G1530),E1530)),E1530)</f>
        <v>0</v>
      </c>
      <c r="I1530" s="1" t="str">
        <f>IFERROR(VLOOKUP(C1530,'Clients List'!A:F,6,FALSE),"")</f>
        <v/>
      </c>
    </row>
    <row r="1531" spans="4:9" x14ac:dyDescent="0.45">
      <c r="D1531" t="str">
        <f>IFERROR(VLOOKUP(C1531,'Clients List'!$A:$F,2,FALSE),"")</f>
        <v/>
      </c>
      <c r="F1531" s="1" t="str">
        <f>IF(OR(C1531="",NOT(ISNUMBER(SEARCH("Package",D1531)))),"",VLOOKUP(C1531,'Clients List'!$A:$F,4,FALSE)-SUMIFS($E$2:$E1531,$C$2:$C1531,C1531,$D$2:$D1531,"*Package*"))</f>
        <v/>
      </c>
      <c r="G1531" t="str">
        <f t="shared" si="53"/>
        <v/>
      </c>
      <c r="H1531" s="33">
        <f>IF(ISNUMBER(SEARCH("Group",D1531)),IF(G1531="",E1531,IFERROR(E1531/COUNTIF($G2:$G6000,G1531),E1531)),E1531)</f>
        <v>0</v>
      </c>
      <c r="I1531" s="1" t="str">
        <f>IFERROR(VLOOKUP(C1531,'Clients List'!A:F,6,FALSE),"")</f>
        <v/>
      </c>
    </row>
    <row r="1532" spans="4:9" x14ac:dyDescent="0.45">
      <c r="D1532" t="str">
        <f>IFERROR(VLOOKUP(C1532,'Clients List'!$A:$F,2,FALSE),"")</f>
        <v/>
      </c>
      <c r="F1532" s="1" t="str">
        <f>IF(OR(C1532="",NOT(ISNUMBER(SEARCH("Package",D1532)))),"",VLOOKUP(C1532,'Clients List'!$A:$F,4,FALSE)-SUMIFS($E$2:$E1532,$C$2:$C1532,C1532,$D$2:$D1532,"*Package*"))</f>
        <v/>
      </c>
      <c r="G1532" t="str">
        <f t="shared" si="53"/>
        <v/>
      </c>
      <c r="H1532" s="33">
        <f>IF(ISNUMBER(SEARCH("Group",D1532)),IF(G1532="",E1532,IFERROR(E1532/COUNTIF($G2:$G6000,G1532),E1532)),E1532)</f>
        <v>0</v>
      </c>
      <c r="I1532" s="1" t="str">
        <f>IFERROR(VLOOKUP(C1532,'Clients List'!A:F,6,FALSE),"")</f>
        <v/>
      </c>
    </row>
    <row r="1533" spans="4:9" x14ac:dyDescent="0.45">
      <c r="D1533" t="str">
        <f>IFERROR(VLOOKUP(C1533,'Clients List'!$A:$F,2,FALSE),"")</f>
        <v/>
      </c>
      <c r="F1533" s="1" t="str">
        <f>IF(OR(C1533="",NOT(ISNUMBER(SEARCH("Package",D1533)))),"",VLOOKUP(C1533,'Clients List'!$A:$F,4,FALSE)-SUMIFS($E$2:$E1533,$C$2:$C1533,C1533,$D$2:$D1533,"*Package*"))</f>
        <v/>
      </c>
      <c r="G1533" t="str">
        <f t="shared" si="53"/>
        <v/>
      </c>
      <c r="H1533" s="33">
        <f>IF(ISNUMBER(SEARCH("Group",D1533)),IF(G1533="",E1533,IFERROR(E1533/COUNTIF($G2:$G6000,G1533),E1533)),E1533)</f>
        <v>0</v>
      </c>
      <c r="I1533" s="1" t="str">
        <f>IFERROR(VLOOKUP(C1533,'Clients List'!A:F,6,FALSE),"")</f>
        <v/>
      </c>
    </row>
    <row r="1534" spans="4:9" x14ac:dyDescent="0.45">
      <c r="D1534" t="str">
        <f>IFERROR(VLOOKUP(C1534,'Clients List'!$A:$F,2,FALSE),"")</f>
        <v/>
      </c>
      <c r="F1534" s="1" t="str">
        <f>IF(OR(C1534="",NOT(ISNUMBER(SEARCH("Package",D1534)))),"",VLOOKUP(C1534,'Clients List'!$A:$F,4,FALSE)-SUMIFS($E$2:$E1534,$C$2:$C1534,C1534,$D$2:$D1534,"*Package*"))</f>
        <v/>
      </c>
      <c r="G1534" t="str">
        <f t="shared" si="53"/>
        <v/>
      </c>
      <c r="H1534" s="33">
        <f>IF(ISNUMBER(SEARCH("Group",D1534)),IF(G1534="",E1534,IFERROR(E1534/COUNTIF($G2:$G6000,G1534),E1534)),E1534)</f>
        <v>0</v>
      </c>
      <c r="I1534" s="1" t="str">
        <f>IFERROR(VLOOKUP(C1534,'Clients List'!A:F,6,FALSE),"")</f>
        <v/>
      </c>
    </row>
    <row r="1535" spans="4:9" x14ac:dyDescent="0.45">
      <c r="D1535" t="str">
        <f>IFERROR(VLOOKUP(C1535,'Clients List'!$A:$F,2,FALSE),"")</f>
        <v/>
      </c>
      <c r="F1535" s="1" t="str">
        <f>IF(OR(C1535="",NOT(ISNUMBER(SEARCH("Package",D1535)))),"",VLOOKUP(C1535,'Clients List'!$A:$F,4,FALSE)-SUMIFS($E$2:$E1535,$C$2:$C1535,C1535,$D$2:$D1535,"*Package*"))</f>
        <v/>
      </c>
      <c r="G1535" t="str">
        <f t="shared" si="53"/>
        <v/>
      </c>
      <c r="H1535" s="33">
        <f>IF(ISNUMBER(SEARCH("Group",D1535)),IF(G1535="",E1535,IFERROR(E1535/COUNTIF($G2:$G6000,G1535),E1535)),E1535)</f>
        <v>0</v>
      </c>
      <c r="I1535" s="1" t="str">
        <f>IFERROR(VLOOKUP(C1535,'Clients List'!A:F,6,FALSE),"")</f>
        <v/>
      </c>
    </row>
    <row r="1536" spans="4:9" x14ac:dyDescent="0.45">
      <c r="D1536" t="str">
        <f>IFERROR(VLOOKUP(C1536,'Clients List'!$A:$F,2,FALSE),"")</f>
        <v/>
      </c>
      <c r="F1536" s="1" t="str">
        <f>IF(OR(C1536="",NOT(ISNUMBER(SEARCH("Package",D1536)))),"",VLOOKUP(C1536,'Clients List'!$A:$F,4,FALSE)-SUMIFS($E$2:$E1536,$C$2:$C1536,C1536,$D$2:$D1536,"*Package*"))</f>
        <v/>
      </c>
      <c r="G1536" t="str">
        <f t="shared" si="53"/>
        <v/>
      </c>
      <c r="H1536" s="33">
        <f>IF(ISNUMBER(SEARCH("Group",D1536)),IF(G1536="",E1536,IFERROR(E1536/COUNTIF($G2:$G6000,G1536),E1536)),E1536)</f>
        <v>0</v>
      </c>
      <c r="I1536" s="1" t="str">
        <f>IFERROR(VLOOKUP(C1536,'Clients List'!A:F,6,FALSE),"")</f>
        <v/>
      </c>
    </row>
    <row r="1537" spans="4:9" x14ac:dyDescent="0.45">
      <c r="D1537" t="str">
        <f>IFERROR(VLOOKUP(C1537,'Clients List'!$A:$F,2,FALSE),"")</f>
        <v/>
      </c>
      <c r="F1537" s="1" t="str">
        <f>IF(OR(C1537="",NOT(ISNUMBER(SEARCH("Package",D1537)))),"",VLOOKUP(C1537,'Clients List'!$A:$F,4,FALSE)-SUMIFS($E$2:$E1537,$C$2:$C1537,C1537,$D$2:$D1537,"*Package*"))</f>
        <v/>
      </c>
      <c r="G1537" t="str">
        <f t="shared" si="53"/>
        <v/>
      </c>
      <c r="H1537" s="33">
        <f>IF(ISNUMBER(SEARCH("Group",D1537)),IF(G1537="",E1537,IFERROR(E1537/COUNTIF($G2:$G6000,G1537),E1537)),E1537)</f>
        <v>0</v>
      </c>
      <c r="I1537" s="1" t="str">
        <f>IFERROR(VLOOKUP(C1537,'Clients List'!A:F,6,FALSE),"")</f>
        <v/>
      </c>
    </row>
    <row r="1538" spans="4:9" x14ac:dyDescent="0.45">
      <c r="D1538" t="str">
        <f>IFERROR(VLOOKUP(C1538,'Clients List'!$A:$F,2,FALSE),"")</f>
        <v/>
      </c>
      <c r="F1538" s="1" t="str">
        <f>IF(OR(C1538="",NOT(ISNUMBER(SEARCH("Package",D1538)))),"",VLOOKUP(C1538,'Clients List'!$A:$F,4,FALSE)-SUMIFS($E$2:$E1538,$C$2:$C1538,C1538,$D$2:$D1538,"*Package*"))</f>
        <v/>
      </c>
      <c r="G1538" t="str">
        <f t="shared" si="53"/>
        <v/>
      </c>
      <c r="H1538" s="33">
        <f>IF(ISNUMBER(SEARCH("Group",D1538)),IF(G1538="",E1538,IFERROR(E1538/COUNTIF($G2:$G6000,G1538),E1538)),E1538)</f>
        <v>0</v>
      </c>
      <c r="I1538" s="1" t="str">
        <f>IFERROR(VLOOKUP(C1538,'Clients List'!A:F,6,FALSE),"")</f>
        <v/>
      </c>
    </row>
    <row r="1539" spans="4:9" x14ac:dyDescent="0.45">
      <c r="D1539" t="str">
        <f>IFERROR(VLOOKUP(C1539,'Clients List'!$A:$F,2,FALSE),"")</f>
        <v/>
      </c>
      <c r="F1539" s="1" t="str">
        <f>IF(OR(C1539="",NOT(ISNUMBER(SEARCH("Package",D1539)))),"",VLOOKUP(C1539,'Clients List'!$A:$F,4,FALSE)-SUMIFS($E$2:$E1539,$C$2:$C1539,C1539,$D$2:$D1539,"*Package*"))</f>
        <v/>
      </c>
      <c r="G1539" t="str">
        <f t="shared" si="53"/>
        <v/>
      </c>
      <c r="H1539" s="33">
        <f>IF(ISNUMBER(SEARCH("Group",D1539)),IF(G1539="",E1539,IFERROR(E1539/COUNTIF($G2:$G6000,G1539),E1539)),E1539)</f>
        <v>0</v>
      </c>
      <c r="I1539" s="1" t="str">
        <f>IFERROR(VLOOKUP(C1539,'Clients List'!A:F,6,FALSE),"")</f>
        <v/>
      </c>
    </row>
    <row r="1540" spans="4:9" x14ac:dyDescent="0.45">
      <c r="D1540" t="str">
        <f>IFERROR(VLOOKUP(C1540,'Clients List'!$A:$F,2,FALSE),"")</f>
        <v/>
      </c>
      <c r="F1540" s="1" t="str">
        <f>IF(OR(C1540="",NOT(ISNUMBER(SEARCH("Package",D1540)))),"",VLOOKUP(C1540,'Clients List'!$A:$F,4,FALSE)-SUMIFS($E$2:$E1540,$C$2:$C1540,C1540,$D$2:$D1540,"*Package*"))</f>
        <v/>
      </c>
      <c r="G1540" t="str">
        <f t="shared" si="53"/>
        <v/>
      </c>
      <c r="H1540" s="33">
        <f>IF(ISNUMBER(SEARCH("Group",D1540)),IF(G1540="",E1540,IFERROR(E1540/COUNTIF($G2:$G6000,G1540),E1540)),E1540)</f>
        <v>0</v>
      </c>
      <c r="I1540" s="1" t="str">
        <f>IFERROR(VLOOKUP(C1540,'Clients List'!A:F,6,FALSE),"")</f>
        <v/>
      </c>
    </row>
    <row r="1541" spans="4:9" x14ac:dyDescent="0.45">
      <c r="D1541" t="str">
        <f>IFERROR(VLOOKUP(C1541,'Clients List'!$A:$F,2,FALSE),"")</f>
        <v/>
      </c>
      <c r="F1541" s="1" t="str">
        <f>IF(OR(C1541="",NOT(ISNUMBER(SEARCH("Package",D1541)))),"",VLOOKUP(C1541,'Clients List'!$A:$F,4,FALSE)-SUMIFS($E$2:$E1541,$C$2:$C1541,C1541,$D$2:$D1541,"*Package*"))</f>
        <v/>
      </c>
      <c r="G1541" t="str">
        <f t="shared" si="53"/>
        <v/>
      </c>
      <c r="H1541" s="33">
        <f>IF(ISNUMBER(SEARCH("Group",D1541)),IF(G1541="",E1541,IFERROR(E1541/COUNTIF($G2:$G6000,G1541),E1541)),E1541)</f>
        <v>0</v>
      </c>
      <c r="I1541" s="1" t="str">
        <f>IFERROR(VLOOKUP(C1541,'Clients List'!A:F,6,FALSE),"")</f>
        <v/>
      </c>
    </row>
    <row r="1542" spans="4:9" x14ac:dyDescent="0.45">
      <c r="D1542" t="str">
        <f>IFERROR(VLOOKUP(C1542,'Clients List'!$A:$F,2,FALSE),"")</f>
        <v/>
      </c>
      <c r="F1542" s="1" t="str">
        <f>IF(OR(C1542="",NOT(ISNUMBER(SEARCH("Package",D1542)))),"",VLOOKUP(C1542,'Clients List'!$A:$F,4,FALSE)-SUMIFS($E$2:$E1542,$C$2:$C1542,C1542,$D$2:$D1542,"*Package*"))</f>
        <v/>
      </c>
      <c r="G1542" t="str">
        <f t="shared" si="53"/>
        <v/>
      </c>
      <c r="H1542" s="33">
        <f>IF(ISNUMBER(SEARCH("Group",D1542)),IF(G1542="",E1542,IFERROR(E1542/COUNTIF($G2:$G6000,G1542),E1542)),E1542)</f>
        <v>0</v>
      </c>
      <c r="I1542" s="1" t="str">
        <f>IFERROR(VLOOKUP(C1542,'Clients List'!A:F,6,FALSE),"")</f>
        <v/>
      </c>
    </row>
    <row r="1543" spans="4:9" x14ac:dyDescent="0.45">
      <c r="D1543" t="str">
        <f>IFERROR(VLOOKUP(C1543,'Clients List'!$A:$F,2,FALSE),"")</f>
        <v/>
      </c>
      <c r="F1543" s="1" t="str">
        <f>IF(OR(C1543="",NOT(ISNUMBER(SEARCH("Package",D1543)))),"",VLOOKUP(C1543,'Clients List'!$A:$F,4,FALSE)-SUMIFS($E$2:$E1543,$C$2:$C1543,C1543,$D$2:$D1543,"*Package*"))</f>
        <v/>
      </c>
      <c r="G1543" t="str">
        <f t="shared" si="53"/>
        <v/>
      </c>
      <c r="H1543" s="33">
        <f>IF(ISNUMBER(SEARCH("Group",D1543)),IF(G1543="",E1543,IFERROR(E1543/COUNTIF($G2:$G6000,G1543),E1543)),E1543)</f>
        <v>0</v>
      </c>
      <c r="I1543" s="1" t="str">
        <f>IFERROR(VLOOKUP(C1543,'Clients List'!A:F,6,FALSE),"")</f>
        <v/>
      </c>
    </row>
    <row r="1544" spans="4:9" x14ac:dyDescent="0.45">
      <c r="D1544" t="str">
        <f>IFERROR(VLOOKUP(C1544,'Clients List'!$A:$F,2,FALSE),"")</f>
        <v/>
      </c>
      <c r="F1544" s="1" t="str">
        <f>IF(OR(C1544="",NOT(ISNUMBER(SEARCH("Package",D1544)))),"",VLOOKUP(C1544,'Clients List'!$A:$F,4,FALSE)-SUMIFS($E$2:$E1544,$C$2:$C1544,C1544,$D$2:$D1544,"*Package*"))</f>
        <v/>
      </c>
      <c r="G1544" t="str">
        <f t="shared" si="53"/>
        <v/>
      </c>
      <c r="H1544" s="33">
        <f>IF(ISNUMBER(SEARCH("Group",D1544)),IF(G1544="",E1544,IFERROR(E1544/COUNTIF($G2:$G6000,G1544),E1544)),E1544)</f>
        <v>0</v>
      </c>
      <c r="I1544" s="1" t="str">
        <f>IFERROR(VLOOKUP(C1544,'Clients List'!A:F,6,FALSE),"")</f>
        <v/>
      </c>
    </row>
    <row r="1545" spans="4:9" x14ac:dyDescent="0.45">
      <c r="D1545" t="str">
        <f>IFERROR(VLOOKUP(C1545,'Clients List'!$A:$F,2,FALSE),"")</f>
        <v/>
      </c>
      <c r="F1545" s="1" t="str">
        <f>IF(OR(C1545="",NOT(ISNUMBER(SEARCH("Package",D1545)))),"",VLOOKUP(C1545,'Clients List'!$A:$F,4,FALSE)-SUMIFS($E$2:$E1545,$C$2:$C1545,C1545,$D$2:$D1545,"*Package*"))</f>
        <v/>
      </c>
      <c r="G1545" t="str">
        <f t="shared" si="53"/>
        <v/>
      </c>
      <c r="H1545" s="33">
        <f>IF(ISNUMBER(SEARCH("Group",D1545)),IF(G1545="",E1545,IFERROR(E1545/COUNTIF($G2:$G6000,G1545),E1545)),E1545)</f>
        <v>0</v>
      </c>
      <c r="I1545" s="1" t="str">
        <f>IFERROR(VLOOKUP(C1545,'Clients List'!A:F,6,FALSE),"")</f>
        <v/>
      </c>
    </row>
    <row r="1546" spans="4:9" x14ac:dyDescent="0.45">
      <c r="D1546" t="str">
        <f>IFERROR(VLOOKUP(C1546,'Clients List'!$A:$F,2,FALSE),"")</f>
        <v/>
      </c>
      <c r="F1546" s="1" t="str">
        <f>IF(OR(C1546="",NOT(ISNUMBER(SEARCH("Package",D1546)))),"",VLOOKUP(C1546,'Clients List'!$A:$F,4,FALSE)-SUMIFS($E$2:$E1546,$C$2:$C1546,C1546,$D$2:$D1546,"*Package*"))</f>
        <v/>
      </c>
      <c r="G1546" t="str">
        <f t="shared" si="53"/>
        <v/>
      </c>
      <c r="H1546" s="33">
        <f>IF(ISNUMBER(SEARCH("Group",D1546)),IF(G1546="",E1546,IFERROR(E1546/COUNTIF($G2:$G6000,G1546),E1546)),E1546)</f>
        <v>0</v>
      </c>
      <c r="I1546" s="1" t="str">
        <f>IFERROR(VLOOKUP(C1546,'Clients List'!A:F,6,FALSE),"")</f>
        <v/>
      </c>
    </row>
    <row r="1547" spans="4:9" x14ac:dyDescent="0.45">
      <c r="D1547" t="str">
        <f>IFERROR(VLOOKUP(C1547,'Clients List'!$A:$F,2,FALSE),"")</f>
        <v/>
      </c>
      <c r="F1547" s="1" t="str">
        <f>IF(OR(C1547="",NOT(ISNUMBER(SEARCH("Package",D1547)))),"",VLOOKUP(C1547,'Clients List'!$A:$F,4,FALSE)-SUMIFS($E$2:$E1547,$C$2:$C1547,C1547,$D$2:$D1547,"*Package*"))</f>
        <v/>
      </c>
      <c r="G1547" t="str">
        <f t="shared" si="53"/>
        <v/>
      </c>
      <c r="H1547" s="33">
        <f>IF(ISNUMBER(SEARCH("Group",D1547)),IF(G1547="",E1547,IFERROR(E1547/COUNTIF($G2:$G6000,G1547),E1547)),E1547)</f>
        <v>0</v>
      </c>
      <c r="I1547" s="1" t="str">
        <f>IFERROR(VLOOKUP(C1547,'Clients List'!A:F,6,FALSE),"")</f>
        <v/>
      </c>
    </row>
    <row r="1548" spans="4:9" x14ac:dyDescent="0.45">
      <c r="D1548" t="str">
        <f>IFERROR(VLOOKUP(C1548,'Clients List'!$A:$F,2,FALSE),"")</f>
        <v/>
      </c>
      <c r="F1548" s="1" t="str">
        <f>IF(OR(C1548="",NOT(ISNUMBER(SEARCH("Package",D1548)))),"",VLOOKUP(C1548,'Clients List'!$A:$F,4,FALSE)-SUMIFS($E$2:$E1548,$C$2:$C1548,C1548,$D$2:$D1548,"*Package*"))</f>
        <v/>
      </c>
      <c r="G1548" t="str">
        <f t="shared" si="53"/>
        <v/>
      </c>
      <c r="H1548" s="33">
        <f>IF(ISNUMBER(SEARCH("Group",D1548)),IF(G1548="",E1548,IFERROR(E1548/COUNTIF($G2:$G6000,G1548),E1548)),E1548)</f>
        <v>0</v>
      </c>
      <c r="I1548" s="1" t="str">
        <f>IFERROR(VLOOKUP(C1548,'Clients List'!A:F,6,FALSE),"")</f>
        <v/>
      </c>
    </row>
    <row r="1549" spans="4:9" x14ac:dyDescent="0.45">
      <c r="D1549" t="str">
        <f>IFERROR(VLOOKUP(C1549,'Clients List'!$A:$F,2,FALSE),"")</f>
        <v/>
      </c>
      <c r="F1549" s="1" t="str">
        <f>IF(OR(C1549="",NOT(ISNUMBER(SEARCH("Package",D1549)))),"",VLOOKUP(C1549,'Clients List'!$A:$F,4,FALSE)-SUMIFS($E$2:$E1549,$C$2:$C1549,C1549,$D$2:$D1549,"*Package*"))</f>
        <v/>
      </c>
      <c r="G1549" t="str">
        <f t="shared" si="53"/>
        <v/>
      </c>
      <c r="H1549" s="33">
        <f>IF(ISNUMBER(SEARCH("Group",D1549)),IF(G1549="",E1549,IFERROR(E1549/COUNTIF($G2:$G6000,G1549),E1549)),E1549)</f>
        <v>0</v>
      </c>
      <c r="I1549" s="1" t="str">
        <f>IFERROR(VLOOKUP(C1549,'Clients List'!A:F,6,FALSE),"")</f>
        <v/>
      </c>
    </row>
    <row r="1550" spans="4:9" x14ac:dyDescent="0.45">
      <c r="D1550" t="str">
        <f>IFERROR(VLOOKUP(C1550,'Clients List'!$A:$F,2,FALSE),"")</f>
        <v/>
      </c>
      <c r="F1550" s="1" t="str">
        <f>IF(OR(C1550="",NOT(ISNUMBER(SEARCH("Package",D1550)))),"",VLOOKUP(C1550,'Clients List'!$A:$F,4,FALSE)-SUMIFS($E$2:$E1550,$C$2:$C1550,C1550,$D$2:$D1550,"*Package*"))</f>
        <v/>
      </c>
      <c r="G1550" t="str">
        <f t="shared" si="53"/>
        <v/>
      </c>
      <c r="H1550" s="33">
        <f>IF(ISNUMBER(SEARCH("Group",D1550)),IF(G1550="",E1550,IFERROR(E1550/COUNTIF($G2:$G6000,G1550),E1550)),E1550)</f>
        <v>0</v>
      </c>
      <c r="I1550" s="1" t="str">
        <f>IFERROR(VLOOKUP(C1550,'Clients List'!A:F,6,FALSE),"")</f>
        <v/>
      </c>
    </row>
    <row r="1551" spans="4:9" x14ac:dyDescent="0.45">
      <c r="D1551" t="str">
        <f>IFERROR(VLOOKUP(C1551,'Clients List'!$A:$F,2,FALSE),"")</f>
        <v/>
      </c>
      <c r="F1551" s="1" t="str">
        <f>IF(OR(C1551="",NOT(ISNUMBER(SEARCH("Package",D1551)))),"",VLOOKUP(C1551,'Clients List'!$A:$F,4,FALSE)-SUMIFS($E$2:$E1551,$C$2:$C1551,C1551,$D$2:$D1551,"*Package*"))</f>
        <v/>
      </c>
      <c r="G1551" t="str">
        <f t="shared" si="53"/>
        <v/>
      </c>
      <c r="H1551" s="33">
        <f>IF(ISNUMBER(SEARCH("Group",D1551)),IF(G1551="",E1551,IFERROR(E1551/COUNTIF($G2:$G6000,G1551),E1551)),E1551)</f>
        <v>0</v>
      </c>
      <c r="I1551" s="1" t="str">
        <f>IFERROR(VLOOKUP(C1551,'Clients List'!A:F,6,FALSE),"")</f>
        <v/>
      </c>
    </row>
    <row r="1552" spans="4:9" x14ac:dyDescent="0.45">
      <c r="D1552" t="str">
        <f>IFERROR(VLOOKUP(C1552,'Clients List'!$A:$F,2,FALSE),"")</f>
        <v/>
      </c>
      <c r="F1552" s="1" t="str">
        <f>IF(OR(C1552="",NOT(ISNUMBER(SEARCH("Package",D1552)))),"",VLOOKUP(C1552,'Clients List'!$A:$F,4,FALSE)-SUMIFS($E$2:$E1552,$C$2:$C1552,C1552,$D$2:$D1552,"*Package*"))</f>
        <v/>
      </c>
      <c r="G1552" t="str">
        <f t="shared" si="53"/>
        <v/>
      </c>
      <c r="H1552" s="33">
        <f>IF(ISNUMBER(SEARCH("Group",D1552)),IF(G1552="",E1552,IFERROR(E1552/COUNTIF($G2:$G6000,G1552),E1552)),E1552)</f>
        <v>0</v>
      </c>
      <c r="I1552" s="1" t="str">
        <f>IFERROR(VLOOKUP(C1552,'Clients List'!A:F,6,FALSE),"")</f>
        <v/>
      </c>
    </row>
    <row r="1553" spans="4:9" x14ac:dyDescent="0.45">
      <c r="D1553" t="str">
        <f>IFERROR(VLOOKUP(C1553,'Clients List'!$A:$F,2,FALSE),"")</f>
        <v/>
      </c>
      <c r="F1553" s="1" t="str">
        <f>IF(OR(C1553="",NOT(ISNUMBER(SEARCH("Package",D1553)))),"",VLOOKUP(C1553,'Clients List'!$A:$F,4,FALSE)-SUMIFS($E$2:$E1553,$C$2:$C1553,C1553,$D$2:$D1553,"*Package*"))</f>
        <v/>
      </c>
      <c r="G1553" t="str">
        <f t="shared" si="53"/>
        <v/>
      </c>
      <c r="H1553" s="33">
        <f>IF(ISNUMBER(SEARCH("Group",D1553)),IF(G1553="",E1553,IFERROR(E1553/COUNTIF($G2:$G6000,G1553),E1553)),E1553)</f>
        <v>0</v>
      </c>
      <c r="I1553" s="1" t="str">
        <f>IFERROR(VLOOKUP(C1553,'Clients List'!A:F,6,FALSE),"")</f>
        <v/>
      </c>
    </row>
    <row r="1554" spans="4:9" x14ac:dyDescent="0.45">
      <c r="D1554" t="str">
        <f>IFERROR(VLOOKUP(C1554,'Clients List'!$A:$F,2,FALSE),"")</f>
        <v/>
      </c>
      <c r="F1554" s="1" t="str">
        <f>IF(OR(C1554="",NOT(ISNUMBER(SEARCH("Package",D1554)))),"",VLOOKUP(C1554,'Clients List'!$A:$F,4,FALSE)-SUMIFS($E$2:$E1554,$C$2:$C1554,C1554,$D$2:$D1554,"*Package*"))</f>
        <v/>
      </c>
      <c r="G1554" t="str">
        <f t="shared" si="53"/>
        <v/>
      </c>
      <c r="H1554" s="33">
        <f>IF(ISNUMBER(SEARCH("Group",D1554)),IF(G1554="",E1554,IFERROR(E1554/COUNTIF($G2:$G6000,G1554),E1554)),E1554)</f>
        <v>0</v>
      </c>
      <c r="I1554" s="1" t="str">
        <f>IFERROR(VLOOKUP(C1554,'Clients List'!A:F,6,FALSE),"")</f>
        <v/>
      </c>
    </row>
    <row r="1555" spans="4:9" x14ac:dyDescent="0.45">
      <c r="D1555" t="str">
        <f>IFERROR(VLOOKUP(C1555,'Clients List'!$A:$F,2,FALSE),"")</f>
        <v/>
      </c>
      <c r="F1555" s="1" t="str">
        <f>IF(OR(C1555="",NOT(ISNUMBER(SEARCH("Package",D1555)))),"",VLOOKUP(C1555,'Clients List'!$A:$F,4,FALSE)-SUMIFS($E$2:$E1555,$C$2:$C1555,C1555,$D$2:$D1555,"*Package*"))</f>
        <v/>
      </c>
      <c r="G1555" t="str">
        <f t="shared" si="53"/>
        <v/>
      </c>
      <c r="H1555" s="33">
        <f>IF(ISNUMBER(SEARCH("Group",D1555)),IF(G1555="",E1555,IFERROR(E1555/COUNTIF($G2:$G6000,G1555),E1555)),E1555)</f>
        <v>0</v>
      </c>
      <c r="I1555" s="1" t="str">
        <f>IFERROR(VLOOKUP(C1555,'Clients List'!A:F,6,FALSE),"")</f>
        <v/>
      </c>
    </row>
    <row r="1556" spans="4:9" x14ac:dyDescent="0.45">
      <c r="D1556" t="str">
        <f>IFERROR(VLOOKUP(C1556,'Clients List'!$A:$F,2,FALSE),"")</f>
        <v/>
      </c>
      <c r="F1556" s="1" t="str">
        <f>IF(OR(C1556="",NOT(ISNUMBER(SEARCH("Package",D1556)))),"",VLOOKUP(C1556,'Clients List'!$A:$F,4,FALSE)-SUMIFS($E$2:$E1556,$C$2:$C1556,C1556,$D$2:$D1556,"*Package*"))</f>
        <v/>
      </c>
      <c r="G1556" t="str">
        <f t="shared" si="53"/>
        <v/>
      </c>
      <c r="H1556" s="33">
        <f>IF(ISNUMBER(SEARCH("Group",D1556)),IF(G1556="",E1556,IFERROR(E1556/COUNTIF($G2:$G6000,G1556),E1556)),E1556)</f>
        <v>0</v>
      </c>
      <c r="I1556" s="1" t="str">
        <f>IFERROR(VLOOKUP(C1556,'Clients List'!A:F,6,FALSE),"")</f>
        <v/>
      </c>
    </row>
    <row r="1557" spans="4:9" x14ac:dyDescent="0.45">
      <c r="D1557" t="str">
        <f>IFERROR(VLOOKUP(C1557,'Clients List'!$A:$F,2,FALSE),"")</f>
        <v/>
      </c>
      <c r="F1557" s="1" t="str">
        <f>IF(OR(C1557="",NOT(ISNUMBER(SEARCH("Package",D1557)))),"",VLOOKUP(C1557,'Clients List'!$A:$F,4,FALSE)-SUMIFS($E$2:$E1557,$C$2:$C1557,C1557,$D$2:$D1557,"*Package*"))</f>
        <v/>
      </c>
      <c r="G1557" t="str">
        <f t="shared" si="53"/>
        <v/>
      </c>
      <c r="H1557" s="33">
        <f>IF(ISNUMBER(SEARCH("Group",D1557)),IF(G1557="",E1557,IFERROR(E1557/COUNTIF($G2:$G6000,G1557),E1557)),E1557)</f>
        <v>0</v>
      </c>
      <c r="I1557" s="1" t="str">
        <f>IFERROR(VLOOKUP(C1557,'Clients List'!A:F,6,FALSE),"")</f>
        <v/>
      </c>
    </row>
    <row r="1558" spans="4:9" x14ac:dyDescent="0.45">
      <c r="D1558" t="str">
        <f>IFERROR(VLOOKUP(C1558,'Clients List'!$A:$F,2,FALSE),"")</f>
        <v/>
      </c>
      <c r="F1558" s="1" t="str">
        <f>IF(OR(C1558="",NOT(ISNUMBER(SEARCH("Package",D1558)))),"",VLOOKUP(C1558,'Clients List'!$A:$F,4,FALSE)-SUMIFS($E$2:$E1558,$C$2:$C1558,C1558,$D$2:$D1558,"*Package*"))</f>
        <v/>
      </c>
      <c r="G1558" t="str">
        <f t="shared" si="53"/>
        <v/>
      </c>
      <c r="H1558" s="33">
        <f>IF(ISNUMBER(SEARCH("Group",D1558)),IF(G1558="",E1558,IFERROR(E1558/COUNTIF($G2:$G6000,G1558),E1558)),E1558)</f>
        <v>0</v>
      </c>
      <c r="I1558" s="1" t="str">
        <f>IFERROR(VLOOKUP(C1558,'Clients List'!A:F,6,FALSE),"")</f>
        <v/>
      </c>
    </row>
    <row r="1559" spans="4:9" x14ac:dyDescent="0.45">
      <c r="D1559" t="str">
        <f>IFERROR(VLOOKUP(C1559,'Clients List'!$A:$F,2,FALSE),"")</f>
        <v/>
      </c>
      <c r="F1559" s="1" t="str">
        <f>IF(OR(C1559="",NOT(ISNUMBER(SEARCH("Package",D1559)))),"",VLOOKUP(C1559,'Clients List'!$A:$F,4,FALSE)-SUMIFS($E$2:$E1559,$C$2:$C1559,C1559,$D$2:$D1559,"*Package*"))</f>
        <v/>
      </c>
      <c r="G1559" t="str">
        <f t="shared" si="53"/>
        <v/>
      </c>
      <c r="H1559" s="33">
        <f>IF(ISNUMBER(SEARCH("Group",D1559)),IF(G1559="",E1559,IFERROR(E1559/COUNTIF($G2:$G6000,G1559),E1559)),E1559)</f>
        <v>0</v>
      </c>
      <c r="I1559" s="1" t="str">
        <f>IFERROR(VLOOKUP(C1559,'Clients List'!A:F,6,FALSE),"")</f>
        <v/>
      </c>
    </row>
    <row r="1560" spans="4:9" x14ac:dyDescent="0.45">
      <c r="D1560" t="str">
        <f>IFERROR(VLOOKUP(C1560,'Clients List'!$A:$F,2,FALSE),"")</f>
        <v/>
      </c>
      <c r="F1560" s="1" t="str">
        <f>IF(OR(C1560="",NOT(ISNUMBER(SEARCH("Package",D1560)))),"",VLOOKUP(C1560,'Clients List'!$A:$F,4,FALSE)-SUMIFS($E$2:$E1560,$C$2:$C1560,C1560,$D$2:$D1560,"*Package*"))</f>
        <v/>
      </c>
      <c r="G1560" t="str">
        <f t="shared" si="53"/>
        <v/>
      </c>
      <c r="H1560" s="33">
        <f>IF(ISNUMBER(SEARCH("Group",D1560)),IF(G1560="",E1560,IFERROR(E1560/COUNTIF($G2:$G6000,G1560),E1560)),E1560)</f>
        <v>0</v>
      </c>
      <c r="I1560" s="1" t="str">
        <f>IFERROR(VLOOKUP(C1560,'Clients List'!A:F,6,FALSE),"")</f>
        <v/>
      </c>
    </row>
    <row r="1561" spans="4:9" x14ac:dyDescent="0.45">
      <c r="D1561" t="str">
        <f>IFERROR(VLOOKUP(C1561,'Clients List'!$A:$F,2,FALSE),"")</f>
        <v/>
      </c>
      <c r="F1561" s="1" t="str">
        <f>IF(OR(C1561="",NOT(ISNUMBER(SEARCH("Package",D1561)))),"",VLOOKUP(C1561,'Clients List'!$A:$F,4,FALSE)-SUMIFS($E$2:$E1561,$C$2:$C1561,C1561,$D$2:$D1561,"*Package*"))</f>
        <v/>
      </c>
      <c r="G1561" t="str">
        <f t="shared" ref="G1561:G1572" si="54">IF(ISNUMBER(SEARCH("Group",D1561)),IFERROR("GRP-"&amp;TEXT(IF(ISNUMBER(A1561),A1561,DATEVALUE(A1561)),"yyyymmdd"),""),"" )</f>
        <v/>
      </c>
      <c r="H1561" s="33">
        <f>IF(ISNUMBER(SEARCH("Group",D1561)),IF(G1561="",E1561,IFERROR(E1561/COUNTIF($G2:$G6000,G1561),E1561)),E1561)</f>
        <v>0</v>
      </c>
      <c r="I1561" s="1" t="str">
        <f>IFERROR(VLOOKUP(C1561,'Clients List'!A:F,6,FALSE),"")</f>
        <v/>
      </c>
    </row>
    <row r="1562" spans="4:9" x14ac:dyDescent="0.45">
      <c r="D1562" t="str">
        <f>IFERROR(VLOOKUP(C1562,'Clients List'!$A:$F,2,FALSE),"")</f>
        <v/>
      </c>
      <c r="F1562" s="1" t="str">
        <f>IF(OR(C1562="",NOT(ISNUMBER(SEARCH("Package",D1562)))),"",VLOOKUP(C1562,'Clients List'!$A:$F,4,FALSE)-SUMIFS($E$2:$E1562,$C$2:$C1562,C1562,$D$2:$D1562,"*Package*"))</f>
        <v/>
      </c>
      <c r="G1562" t="str">
        <f t="shared" si="54"/>
        <v/>
      </c>
      <c r="H1562" s="33">
        <f>IF(ISNUMBER(SEARCH("Group",D1562)),IF(G1562="",E1562,IFERROR(E1562/COUNTIF($G2:$G6000,G1562),E1562)),E1562)</f>
        <v>0</v>
      </c>
      <c r="I1562" s="1" t="str">
        <f>IFERROR(VLOOKUP(C1562,'Clients List'!A:F,6,FALSE),"")</f>
        <v/>
      </c>
    </row>
    <row r="1563" spans="4:9" x14ac:dyDescent="0.45">
      <c r="D1563" t="str">
        <f>IFERROR(VLOOKUP(C1563,'Clients List'!$A:$F,2,FALSE),"")</f>
        <v/>
      </c>
      <c r="F1563" s="1" t="str">
        <f>IF(OR(C1563="",NOT(ISNUMBER(SEARCH("Package",D1563)))),"",VLOOKUP(C1563,'Clients List'!$A:$F,4,FALSE)-SUMIFS($E$2:$E1563,$C$2:$C1563,C1563,$D$2:$D1563,"*Package*"))</f>
        <v/>
      </c>
      <c r="G1563" t="str">
        <f t="shared" si="54"/>
        <v/>
      </c>
      <c r="H1563" s="33">
        <f>IF(ISNUMBER(SEARCH("Group",D1563)),IF(G1563="",E1563,IFERROR(E1563/COUNTIF($G2:$G6000,G1563),E1563)),E1563)</f>
        <v>0</v>
      </c>
      <c r="I1563" s="1" t="str">
        <f>IFERROR(VLOOKUP(C1563,'Clients List'!A:F,6,FALSE),"")</f>
        <v/>
      </c>
    </row>
    <row r="1564" spans="4:9" x14ac:dyDescent="0.45">
      <c r="D1564" t="str">
        <f>IFERROR(VLOOKUP(C1564,'Clients List'!$A:$F,2,FALSE),"")</f>
        <v/>
      </c>
      <c r="F1564" s="1" t="str">
        <f>IF(OR(C1564="",NOT(ISNUMBER(SEARCH("Package",D1564)))),"",VLOOKUP(C1564,'Clients List'!$A:$F,4,FALSE)-SUMIFS($E$2:$E1564,$C$2:$C1564,C1564,$D$2:$D1564,"*Package*"))</f>
        <v/>
      </c>
      <c r="G1564" t="str">
        <f t="shared" si="54"/>
        <v/>
      </c>
      <c r="H1564" s="33">
        <f>IF(ISNUMBER(SEARCH("Group",D1564)),IF(G1564="",E1564,IFERROR(E1564/COUNTIF($G2:$G6000,G1564),E1564)),E1564)</f>
        <v>0</v>
      </c>
      <c r="I1564" s="1" t="str">
        <f>IFERROR(VLOOKUP(C1564,'Clients List'!A:F,6,FALSE),"")</f>
        <v/>
      </c>
    </row>
    <row r="1565" spans="4:9" x14ac:dyDescent="0.45">
      <c r="D1565" t="str">
        <f>IFERROR(VLOOKUP(C1565,'Clients List'!$A:$F,2,FALSE),"")</f>
        <v/>
      </c>
      <c r="F1565" s="1" t="str">
        <f>IF(OR(C1565="",NOT(ISNUMBER(SEARCH("Package",D1565)))),"",VLOOKUP(C1565,'Clients List'!$A:$F,4,FALSE)-SUMIFS($E$2:$E1565,$C$2:$C1565,C1565,$D$2:$D1565,"*Package*"))</f>
        <v/>
      </c>
      <c r="G1565" t="str">
        <f t="shared" si="54"/>
        <v/>
      </c>
      <c r="H1565" s="33">
        <f>IF(ISNUMBER(SEARCH("Group",D1565)),IF(G1565="",E1565,IFERROR(E1565/COUNTIF($G2:$G6000,G1565),E1565)),E1565)</f>
        <v>0</v>
      </c>
      <c r="I1565" s="1" t="str">
        <f>IFERROR(VLOOKUP(C1565,'Clients List'!A:F,6,FALSE),"")</f>
        <v/>
      </c>
    </row>
    <row r="1566" spans="4:9" x14ac:dyDescent="0.45">
      <c r="D1566" t="str">
        <f>IFERROR(VLOOKUP(C1566,'Clients List'!$A:$F,2,FALSE),"")</f>
        <v/>
      </c>
      <c r="F1566" s="1" t="str">
        <f>IF(OR(C1566="",NOT(ISNUMBER(SEARCH("Package",D1566)))),"",VLOOKUP(C1566,'Clients List'!$A:$F,4,FALSE)-SUMIFS($E$2:$E1566,$C$2:$C1566,C1566,$D$2:$D1566,"*Package*"))</f>
        <v/>
      </c>
      <c r="G1566" t="str">
        <f t="shared" si="54"/>
        <v/>
      </c>
      <c r="H1566" s="33">
        <f>IF(ISNUMBER(SEARCH("Group",D1566)),IF(G1566="",E1566,IFERROR(E1566/COUNTIF($G2:$G6000,G1566),E1566)),E1566)</f>
        <v>0</v>
      </c>
      <c r="I1566" s="1" t="str">
        <f>IFERROR(VLOOKUP(C1566,'Clients List'!A:F,6,FALSE),"")</f>
        <v/>
      </c>
    </row>
    <row r="1567" spans="4:9" x14ac:dyDescent="0.45">
      <c r="D1567" t="str">
        <f>IFERROR(VLOOKUP(C1567,'Clients List'!$A:$F,2,FALSE),"")</f>
        <v/>
      </c>
      <c r="F1567" s="1" t="str">
        <f>IF(OR(C1567="",NOT(ISNUMBER(SEARCH("Package",D1567)))),"",VLOOKUP(C1567,'Clients List'!$A:$F,4,FALSE)-SUMIFS($E$2:$E1567,$C$2:$C1567,C1567,$D$2:$D1567,"*Package*"))</f>
        <v/>
      </c>
      <c r="G1567" t="str">
        <f t="shared" si="54"/>
        <v/>
      </c>
      <c r="H1567" s="33">
        <f>IF(ISNUMBER(SEARCH("Group",D1567)),IF(G1567="",E1567,IFERROR(E1567/COUNTIF($G2:$G6000,G1567),E1567)),E1567)</f>
        <v>0</v>
      </c>
      <c r="I1567" s="1" t="str">
        <f>IFERROR(VLOOKUP(C1567,'Clients List'!A:F,6,FALSE),"")</f>
        <v/>
      </c>
    </row>
    <row r="1568" spans="4:9" x14ac:dyDescent="0.45">
      <c r="D1568" t="str">
        <f>IFERROR(VLOOKUP(C1568,'Clients List'!$A:$F,2,FALSE),"")</f>
        <v/>
      </c>
      <c r="F1568" s="1" t="str">
        <f>IF(OR(C1568="",NOT(ISNUMBER(SEARCH("Package",D1568)))),"",VLOOKUP(C1568,'Clients List'!$A:$F,4,FALSE)-SUMIFS($E$2:$E1568,$C$2:$C1568,C1568,$D$2:$D1568,"*Package*"))</f>
        <v/>
      </c>
      <c r="G1568" t="str">
        <f t="shared" si="54"/>
        <v/>
      </c>
      <c r="H1568" s="33">
        <f>IF(ISNUMBER(SEARCH("Group",D1568)),IF(G1568="",E1568,IFERROR(E1568/COUNTIF($G2:$G6000,G1568),E1568)),E1568)</f>
        <v>0</v>
      </c>
      <c r="I1568" s="1" t="str">
        <f>IFERROR(VLOOKUP(C1568,'Clients List'!A:F,6,FALSE),"")</f>
        <v/>
      </c>
    </row>
    <row r="1569" spans="1:9" x14ac:dyDescent="0.45">
      <c r="D1569" t="str">
        <f>IFERROR(VLOOKUP(C1569,'Clients List'!$A:$F,2,FALSE),"")</f>
        <v/>
      </c>
      <c r="F1569" s="1" t="str">
        <f>IF(OR(C1569="",NOT(ISNUMBER(SEARCH("Package",D1569)))),"",VLOOKUP(C1569,'Clients List'!$A:$F,4,FALSE)-SUMIFS($E$2:$E1569,$C$2:$C1569,C1569,$D$2:$D1569,"*Package*"))</f>
        <v/>
      </c>
      <c r="G1569" t="str">
        <f t="shared" si="54"/>
        <v/>
      </c>
      <c r="H1569" s="33">
        <f>IF(ISNUMBER(SEARCH("Group",D1569)),IF(G1569="",E1569,IFERROR(E1569/COUNTIF($G2:$G6000,G1569),E1569)),E1569)</f>
        <v>0</v>
      </c>
      <c r="I1569" s="1" t="str">
        <f>IFERROR(VLOOKUP(C1569,'Clients List'!A:F,6,FALSE),"")</f>
        <v/>
      </c>
    </row>
    <row r="1570" spans="1:9" x14ac:dyDescent="0.45">
      <c r="D1570" t="str">
        <f>IFERROR(VLOOKUP(C1570,'Clients List'!$A:$F,2,FALSE),"")</f>
        <v/>
      </c>
      <c r="F1570" s="1" t="str">
        <f>IF(OR(C1570="",NOT(ISNUMBER(SEARCH("Package",D1570)))),"",VLOOKUP(C1570,'Clients List'!$A:$F,4,FALSE)-SUMIFS($E$2:$E1570,$C$2:$C1570,C1570,$D$2:$D1570,"*Package*"))</f>
        <v/>
      </c>
      <c r="G1570" t="str">
        <f t="shared" si="54"/>
        <v/>
      </c>
      <c r="H1570" s="33">
        <f>IF(ISNUMBER(SEARCH("Group",D1570)),IF(G1570="",E1570,IFERROR(E1570/COUNTIF($G2:$G6000,G1570),E1570)),E1570)</f>
        <v>0</v>
      </c>
      <c r="I1570" s="1" t="str">
        <f>IFERROR(VLOOKUP(C1570,'Clients List'!A:F,6,FALSE),"")</f>
        <v/>
      </c>
    </row>
    <row r="1571" spans="1:9" x14ac:dyDescent="0.45">
      <c r="D1571" t="str">
        <f>IFERROR(VLOOKUP(C1571,'Clients List'!$A:$F,2,FALSE),"")</f>
        <v/>
      </c>
      <c r="F1571" s="1" t="str">
        <f>IF(OR(C1571="",NOT(ISNUMBER(SEARCH("Package",D1571)))),"",VLOOKUP(C1571,'Clients List'!$A:$F,4,FALSE)-SUMIFS($E$2:$E1571,$C$2:$C1571,C1571,$D$2:$D1571,"*Package*"))</f>
        <v/>
      </c>
      <c r="G1571" t="str">
        <f t="shared" si="54"/>
        <v/>
      </c>
      <c r="H1571" s="33">
        <f>IF(ISNUMBER(SEARCH("Group",D1571)),IF(G1571="",E1571,IFERROR(E1571/COUNTIF($G2:$G6000,G1571),E1571)),E1571)</f>
        <v>0</v>
      </c>
      <c r="I1571" s="1" t="str">
        <f>IFERROR(VLOOKUP(C1571,'Clients List'!A:F,6,FALSE),"")</f>
        <v/>
      </c>
    </row>
    <row r="1572" spans="1:9" x14ac:dyDescent="0.45">
      <c r="D1572" t="str">
        <f>IFERROR(VLOOKUP(C1572,'Clients List'!$A:$F,2,FALSE),"")</f>
        <v/>
      </c>
      <c r="F1572" s="1" t="str">
        <f>IF(OR(C1572="",NOT(ISNUMBER(SEARCH("Package",D1572)))),"",VLOOKUP(C1572,'Clients List'!$A:$F,4,FALSE)-SUMIFS($E$2:$E1572,$C$2:$C1572,C1572,$D$2:$D1572,"*Package*"))</f>
        <v/>
      </c>
      <c r="G1572" t="str">
        <f t="shared" si="54"/>
        <v/>
      </c>
      <c r="H1572" s="33">
        <f>IF(ISNUMBER(SEARCH("Group",D1572)),IF(G1572="",E1572,IFERROR(E1572/COUNTIF($G2:$G6000,G1572),E1572)),E1572)</f>
        <v>0</v>
      </c>
      <c r="I1572" s="1" t="str">
        <f>IFERROR(VLOOKUP(C1572,'Clients List'!A:F,6,FALSE),"")</f>
        <v/>
      </c>
    </row>
    <row r="1573" spans="1:9" x14ac:dyDescent="0.45">
      <c r="A1573" s="8"/>
      <c r="C1573" s="9"/>
      <c r="D1573" s="10" t="str">
        <f>IFERROR(VLOOKUP(C1573,'Clients List'!$A:$F,2,FALSE),"")</f>
        <v/>
      </c>
      <c r="E1573" s="21">
        <f>SUM(E1433:E1572)</f>
        <v>0</v>
      </c>
      <c r="F1573" s="1" t="str">
        <f>IF(OR(C1573="",NOT(ISNUMBER(SEARCH("Package",D1573)))),"",VLOOKUP(C1573,'Clients List'!$A:$F,4,FALSE)-SUMIFS($E$2:$E1573,$C$2:$C1573,C1573,$D$2:$D1573,"*Package*"))</f>
        <v/>
      </c>
      <c r="H1573" s="33">
        <f>SUM(H1433:H1572)</f>
        <v>0</v>
      </c>
      <c r="I1573" s="11" t="str">
        <f>IFERROR(VLOOKUP(C1573,'Clients List'!A:F,6,FALSE),"")</f>
        <v/>
      </c>
    </row>
    <row r="1574" spans="1:9" x14ac:dyDescent="0.45">
      <c r="D1574" t="str">
        <f>IFERROR(VLOOKUP(C1574,'Clients List'!$A:$F,2,FALSE),"")</f>
        <v/>
      </c>
      <c r="F1574" s="1" t="str">
        <f>IF(OR(C1574="",NOT(ISNUMBER(SEARCH("Package",D1574)))),"",VLOOKUP(C1574,'Clients List'!$A:$F,4,FALSE)-SUMIFS($E$2:$E1574,$C$2:$C1574,C1574,$D$2:$D1574,"*Package*"))</f>
        <v/>
      </c>
      <c r="G1574" t="str">
        <f>IF(ISNUMBER(SEARCH("Group",D1574)),IFERROR("GRP-"&amp;TEXT(IF(ISNUMBER(A1574),A1574,DATEVALUE(A1574)),"yyyymmdd"),""),"" )</f>
        <v/>
      </c>
      <c r="H1574" s="33">
        <f>IF(ISNUMBER(SEARCH("Group",D1574)),IF(G1574="",E1574,IFERROR(E1574/COUNTIF($G2:$G6000,G1574),E1574)),E1574)</f>
        <v>0</v>
      </c>
      <c r="I1574" s="1" t="str">
        <f>IFERROR(VLOOKUP(C1574,'Clients List'!A:F,6,FALSE),"")</f>
        <v/>
      </c>
    </row>
    <row r="1575" spans="1:9" x14ac:dyDescent="0.45">
      <c r="A1575" s="14" t="s">
        <v>26</v>
      </c>
      <c r="D1575" t="str">
        <f>IFERROR(VLOOKUP(C1575,'Clients List'!$A:$F,2,FALSE),"")</f>
        <v/>
      </c>
      <c r="F1575" s="1" t="str">
        <f>IF(OR(C1575="",NOT(ISNUMBER(SEARCH("Package",D1575)))),"",VLOOKUP(C1575,'Clients List'!$A:$F,4,FALSE)-SUMIFS($E$2:$E1575,$C$2:$C1575,C1575,$D$2:$D1575,"*Package*"))</f>
        <v/>
      </c>
      <c r="H1575" s="33"/>
      <c r="I1575" s="1" t="str">
        <f>IFERROR(VLOOKUP(C1575,'Clients List'!A:F,6,FALSE),"")</f>
        <v/>
      </c>
    </row>
    <row r="1576" spans="1:9" x14ac:dyDescent="0.45">
      <c r="D1576" t="str">
        <f>IFERROR(VLOOKUP(C1576,'Clients List'!$A:$F,2,FALSE),"")</f>
        <v/>
      </c>
      <c r="F1576" s="1" t="str">
        <f>IF(OR(C1576="",NOT(ISNUMBER(SEARCH("Package",D1576)))),"",VLOOKUP(C1576,'Clients List'!$A:$F,4,FALSE)-SUMIFS($E$2:$E1576,$C$2:$C1576,C1576,$D$2:$D1576,"*Package*"))</f>
        <v/>
      </c>
      <c r="G1576" t="str">
        <f t="shared" ref="G1576:G1607" si="55">IF(ISNUMBER(SEARCH("Group",D1576)),IFERROR("GRP-"&amp;TEXT(IF(ISNUMBER(A1576),A1576,DATEVALUE(A1576)),"yyyymmdd"),""),"" )</f>
        <v/>
      </c>
      <c r="H1576" s="33">
        <f>IF(ISNUMBER(SEARCH("Group",D1576)),IF(G1576="",E1576,IFERROR(E1576/COUNTIF($G2:$G6000,G1576),E1576)),E1576)</f>
        <v>0</v>
      </c>
      <c r="I1576" s="1" t="str">
        <f>IFERROR(VLOOKUP(C1576,'Clients List'!A:F,6,FALSE),"")</f>
        <v/>
      </c>
    </row>
    <row r="1577" spans="1:9" x14ac:dyDescent="0.45">
      <c r="D1577" t="str">
        <f>IFERROR(VLOOKUP(C1577,'Clients List'!$A:$F,2,FALSE),"")</f>
        <v/>
      </c>
      <c r="F1577" s="1" t="str">
        <f>IF(OR(C1577="",NOT(ISNUMBER(SEARCH("Package",D1577)))),"",VLOOKUP(C1577,'Clients List'!$A:$F,4,FALSE)-SUMIFS($E$2:$E1577,$C$2:$C1577,C1577,$D$2:$D1577,"*Package*"))</f>
        <v/>
      </c>
      <c r="G1577" t="str">
        <f t="shared" si="55"/>
        <v/>
      </c>
      <c r="H1577" s="33">
        <f>IF(ISNUMBER(SEARCH("Group",D1577)),IF(G1577="",E1577,IFERROR(E1577/COUNTIF($G2:$G6000,G1577),E1577)),E1577)</f>
        <v>0</v>
      </c>
      <c r="I1577" s="1" t="str">
        <f>IFERROR(VLOOKUP(C1577,'Clients List'!A:F,6,FALSE),"")</f>
        <v/>
      </c>
    </row>
    <row r="1578" spans="1:9" x14ac:dyDescent="0.45">
      <c r="D1578" t="str">
        <f>IFERROR(VLOOKUP(C1578,'Clients List'!$A:$F,2,FALSE),"")</f>
        <v/>
      </c>
      <c r="F1578" s="1" t="str">
        <f>IF(OR(C1578="",NOT(ISNUMBER(SEARCH("Package",D1578)))),"",VLOOKUP(C1578,'Clients List'!$A:$F,4,FALSE)-SUMIFS($E$2:$E1578,$C$2:$C1578,C1578,$D$2:$D1578,"*Package*"))</f>
        <v/>
      </c>
      <c r="G1578" t="str">
        <f t="shared" si="55"/>
        <v/>
      </c>
      <c r="H1578" s="33">
        <f>IF(ISNUMBER(SEARCH("Group",D1578)),IF(G1578="",E1578,IFERROR(E1578/COUNTIF($G2:$G6000,G1578),E1578)),E1578)</f>
        <v>0</v>
      </c>
      <c r="I1578" s="1" t="str">
        <f>IFERROR(VLOOKUP(C1578,'Clients List'!A:F,6,FALSE),"")</f>
        <v/>
      </c>
    </row>
    <row r="1579" spans="1:9" x14ac:dyDescent="0.45">
      <c r="D1579" t="str">
        <f>IFERROR(VLOOKUP(C1579,'Clients List'!$A:$F,2,FALSE),"")</f>
        <v/>
      </c>
      <c r="F1579" s="1" t="str">
        <f>IF(OR(C1579="",NOT(ISNUMBER(SEARCH("Package",D1579)))),"",VLOOKUP(C1579,'Clients List'!$A:$F,4,FALSE)-SUMIFS($E$2:$E1579,$C$2:$C1579,C1579,$D$2:$D1579,"*Package*"))</f>
        <v/>
      </c>
      <c r="G1579" t="str">
        <f t="shared" si="55"/>
        <v/>
      </c>
      <c r="H1579" s="33">
        <f>IF(ISNUMBER(SEARCH("Group",D1579)),IF(G1579="",E1579,IFERROR(E1579/COUNTIF($G2:$G6000,G1579),E1579)),E1579)</f>
        <v>0</v>
      </c>
      <c r="I1579" s="1" t="str">
        <f>IFERROR(VLOOKUP(C1579,'Clients List'!A:F,6,FALSE),"")</f>
        <v/>
      </c>
    </row>
    <row r="1580" spans="1:9" x14ac:dyDescent="0.45">
      <c r="D1580" t="str">
        <f>IFERROR(VLOOKUP(C1580,'Clients List'!$A:$F,2,FALSE),"")</f>
        <v/>
      </c>
      <c r="F1580" s="1" t="str">
        <f>IF(OR(C1580="",NOT(ISNUMBER(SEARCH("Package",D1580)))),"",VLOOKUP(C1580,'Clients List'!$A:$F,4,FALSE)-SUMIFS($E$2:$E1580,$C$2:$C1580,C1580,$D$2:$D1580,"*Package*"))</f>
        <v/>
      </c>
      <c r="G1580" t="str">
        <f t="shared" si="55"/>
        <v/>
      </c>
      <c r="H1580" s="33">
        <f>IF(ISNUMBER(SEARCH("Group",D1580)),IF(G1580="",E1580,IFERROR(E1580/COUNTIF($G2:$G6000,G1580),E1580)),E1580)</f>
        <v>0</v>
      </c>
      <c r="I1580" s="1" t="str">
        <f>IFERROR(VLOOKUP(C1580,'Clients List'!A:F,6,FALSE),"")</f>
        <v/>
      </c>
    </row>
    <row r="1581" spans="1:9" x14ac:dyDescent="0.45">
      <c r="D1581" t="str">
        <f>IFERROR(VLOOKUP(C1581,'Clients List'!$A:$F,2,FALSE),"")</f>
        <v/>
      </c>
      <c r="F1581" s="1" t="str">
        <f>IF(OR(C1581="",NOT(ISNUMBER(SEARCH("Package",D1581)))),"",VLOOKUP(C1581,'Clients List'!$A:$F,4,FALSE)-SUMIFS($E$2:$E1581,$C$2:$C1581,C1581,$D$2:$D1581,"*Package*"))</f>
        <v/>
      </c>
      <c r="G1581" t="str">
        <f t="shared" si="55"/>
        <v/>
      </c>
      <c r="H1581" s="33">
        <f>IF(ISNUMBER(SEARCH("Group",D1581)),IF(G1581="",E1581,IFERROR(E1581/COUNTIF($G2:$G6000,G1581),E1581)),E1581)</f>
        <v>0</v>
      </c>
      <c r="I1581" s="1" t="str">
        <f>IFERROR(VLOOKUP(C1581,'Clients List'!A:F,6,FALSE),"")</f>
        <v/>
      </c>
    </row>
    <row r="1582" spans="1:9" x14ac:dyDescent="0.45">
      <c r="D1582" t="str">
        <f>IFERROR(VLOOKUP(C1582,'Clients List'!$A:$F,2,FALSE),"")</f>
        <v/>
      </c>
      <c r="F1582" s="1" t="str">
        <f>IF(OR(C1582="",NOT(ISNUMBER(SEARCH("Package",D1582)))),"",VLOOKUP(C1582,'Clients List'!$A:$F,4,FALSE)-SUMIFS($E$2:$E1582,$C$2:$C1582,C1582,$D$2:$D1582,"*Package*"))</f>
        <v/>
      </c>
      <c r="G1582" t="str">
        <f t="shared" si="55"/>
        <v/>
      </c>
      <c r="H1582" s="33">
        <f>IF(ISNUMBER(SEARCH("Group",D1582)),IF(G1582="",E1582,IFERROR(E1582/COUNTIF($G2:$G6000,G1582),E1582)),E1582)</f>
        <v>0</v>
      </c>
      <c r="I1582" s="1" t="str">
        <f>IFERROR(VLOOKUP(C1582,'Clients List'!A:F,6,FALSE),"")</f>
        <v/>
      </c>
    </row>
    <row r="1583" spans="1:9" x14ac:dyDescent="0.45">
      <c r="D1583" t="str">
        <f>IFERROR(VLOOKUP(C1583,'Clients List'!$A:$F,2,FALSE),"")</f>
        <v/>
      </c>
      <c r="F1583" s="1" t="str">
        <f>IF(OR(C1583="",NOT(ISNUMBER(SEARCH("Package",D1583)))),"",VLOOKUP(C1583,'Clients List'!$A:$F,4,FALSE)-SUMIFS($E$2:$E1583,$C$2:$C1583,C1583,$D$2:$D1583,"*Package*"))</f>
        <v/>
      </c>
      <c r="G1583" t="str">
        <f t="shared" si="55"/>
        <v/>
      </c>
      <c r="H1583" s="33">
        <f>IF(ISNUMBER(SEARCH("Group",D1583)),IF(G1583="",E1583,IFERROR(E1583/COUNTIF($G2:$G6000,G1583),E1583)),E1583)</f>
        <v>0</v>
      </c>
      <c r="I1583" s="1" t="str">
        <f>IFERROR(VLOOKUP(C1583,'Clients List'!A:F,6,FALSE),"")</f>
        <v/>
      </c>
    </row>
    <row r="1584" spans="1:9" x14ac:dyDescent="0.45">
      <c r="D1584" t="str">
        <f>IFERROR(VLOOKUP(C1584,'Clients List'!$A:$F,2,FALSE),"")</f>
        <v/>
      </c>
      <c r="F1584" s="1" t="str">
        <f>IF(OR(C1584="",NOT(ISNUMBER(SEARCH("Package",D1584)))),"",VLOOKUP(C1584,'Clients List'!$A:$F,4,FALSE)-SUMIFS($E$2:$E1584,$C$2:$C1584,C1584,$D$2:$D1584,"*Package*"))</f>
        <v/>
      </c>
      <c r="G1584" t="str">
        <f t="shared" si="55"/>
        <v/>
      </c>
      <c r="H1584" s="33">
        <f>IF(ISNUMBER(SEARCH("Group",D1584)),IF(G1584="",E1584,IFERROR(E1584/COUNTIF($G2:$G6000,G1584),E1584)),E1584)</f>
        <v>0</v>
      </c>
      <c r="I1584" s="1" t="str">
        <f>IFERROR(VLOOKUP(C1584,'Clients List'!A:F,6,FALSE),"")</f>
        <v/>
      </c>
    </row>
    <row r="1585" spans="4:9" x14ac:dyDescent="0.45">
      <c r="D1585" t="str">
        <f>IFERROR(VLOOKUP(C1585,'Clients List'!$A:$F,2,FALSE),"")</f>
        <v/>
      </c>
      <c r="F1585" s="1" t="str">
        <f>IF(OR(C1585="",NOT(ISNUMBER(SEARCH("Package",D1585)))),"",VLOOKUP(C1585,'Clients List'!$A:$F,4,FALSE)-SUMIFS($E$2:$E1585,$C$2:$C1585,C1585,$D$2:$D1585,"*Package*"))</f>
        <v/>
      </c>
      <c r="G1585" t="str">
        <f t="shared" si="55"/>
        <v/>
      </c>
      <c r="H1585" s="33">
        <f>IF(ISNUMBER(SEARCH("Group",D1585)),IF(G1585="",E1585,IFERROR(E1585/COUNTIF($G2:$G6000,G1585),E1585)),E1585)</f>
        <v>0</v>
      </c>
      <c r="I1585" s="1" t="str">
        <f>IFERROR(VLOOKUP(C1585,'Clients List'!A:F,6,FALSE),"")</f>
        <v/>
      </c>
    </row>
    <row r="1586" spans="4:9" x14ac:dyDescent="0.45">
      <c r="D1586" t="str">
        <f>IFERROR(VLOOKUP(C1586,'Clients List'!$A:$F,2,FALSE),"")</f>
        <v/>
      </c>
      <c r="F1586" s="1" t="str">
        <f>IF(OR(C1586="",NOT(ISNUMBER(SEARCH("Package",D1586)))),"",VLOOKUP(C1586,'Clients List'!$A:$F,4,FALSE)-SUMIFS($E$2:$E1586,$C$2:$C1586,C1586,$D$2:$D1586,"*Package*"))</f>
        <v/>
      </c>
      <c r="G1586" t="str">
        <f t="shared" si="55"/>
        <v/>
      </c>
      <c r="H1586" s="33">
        <f>IF(ISNUMBER(SEARCH("Group",D1586)),IF(G1586="",E1586,IFERROR(E1586/COUNTIF($G2:$G6000,G1586),E1586)),E1586)</f>
        <v>0</v>
      </c>
      <c r="I1586" s="1" t="str">
        <f>IFERROR(VLOOKUP(C1586,'Clients List'!A:F,6,FALSE),"")</f>
        <v/>
      </c>
    </row>
    <row r="1587" spans="4:9" x14ac:dyDescent="0.45">
      <c r="D1587" t="str">
        <f>IFERROR(VLOOKUP(C1587,'Clients List'!$A:$F,2,FALSE),"")</f>
        <v/>
      </c>
      <c r="F1587" s="1" t="str">
        <f>IF(OR(C1587="",NOT(ISNUMBER(SEARCH("Package",D1587)))),"",VLOOKUP(C1587,'Clients List'!$A:$F,4,FALSE)-SUMIFS($E$2:$E1587,$C$2:$C1587,C1587,$D$2:$D1587,"*Package*"))</f>
        <v/>
      </c>
      <c r="G1587" t="str">
        <f t="shared" si="55"/>
        <v/>
      </c>
      <c r="H1587" s="33">
        <f>IF(ISNUMBER(SEARCH("Group",D1587)),IF(G1587="",E1587,IFERROR(E1587/COUNTIF($G2:$G6000,G1587),E1587)),E1587)</f>
        <v>0</v>
      </c>
      <c r="I1587" s="1" t="str">
        <f>IFERROR(VLOOKUP(C1587,'Clients List'!A:F,6,FALSE),"")</f>
        <v/>
      </c>
    </row>
    <row r="1588" spans="4:9" x14ac:dyDescent="0.45">
      <c r="D1588" t="str">
        <f>IFERROR(VLOOKUP(C1588,'Clients List'!$A:$F,2,FALSE),"")</f>
        <v/>
      </c>
      <c r="F1588" s="1" t="str">
        <f>IF(OR(C1588="",NOT(ISNUMBER(SEARCH("Package",D1588)))),"",VLOOKUP(C1588,'Clients List'!$A:$F,4,FALSE)-SUMIFS($E$2:$E1588,$C$2:$C1588,C1588,$D$2:$D1588,"*Package*"))</f>
        <v/>
      </c>
      <c r="G1588" t="str">
        <f t="shared" si="55"/>
        <v/>
      </c>
      <c r="H1588" s="33">
        <f>IF(ISNUMBER(SEARCH("Group",D1588)),IF(G1588="",E1588,IFERROR(E1588/COUNTIF($G2:$G6000,G1588),E1588)),E1588)</f>
        <v>0</v>
      </c>
      <c r="I1588" s="1" t="str">
        <f>IFERROR(VLOOKUP(C1588,'Clients List'!A:F,6,FALSE),"")</f>
        <v/>
      </c>
    </row>
    <row r="1589" spans="4:9" x14ac:dyDescent="0.45">
      <c r="D1589" t="str">
        <f>IFERROR(VLOOKUP(C1589,'Clients List'!$A:$F,2,FALSE),"")</f>
        <v/>
      </c>
      <c r="F1589" s="1" t="str">
        <f>IF(OR(C1589="",NOT(ISNUMBER(SEARCH("Package",D1589)))),"",VLOOKUP(C1589,'Clients List'!$A:$F,4,FALSE)-SUMIFS($E$2:$E1589,$C$2:$C1589,C1589,$D$2:$D1589,"*Package*"))</f>
        <v/>
      </c>
      <c r="G1589" t="str">
        <f t="shared" si="55"/>
        <v/>
      </c>
      <c r="H1589" s="33">
        <f>IF(ISNUMBER(SEARCH("Group",D1589)),IF(G1589="",E1589,IFERROR(E1589/COUNTIF($G2:$G6000,G1589),E1589)),E1589)</f>
        <v>0</v>
      </c>
      <c r="I1589" s="1" t="str">
        <f>IFERROR(VLOOKUP(C1589,'Clients List'!A:F,6,FALSE),"")</f>
        <v/>
      </c>
    </row>
    <row r="1590" spans="4:9" x14ac:dyDescent="0.45">
      <c r="D1590" t="str">
        <f>IFERROR(VLOOKUP(C1590,'Clients List'!$A:$F,2,FALSE),"")</f>
        <v/>
      </c>
      <c r="F1590" s="1" t="str">
        <f>IF(OR(C1590="",NOT(ISNUMBER(SEARCH("Package",D1590)))),"",VLOOKUP(C1590,'Clients List'!$A:$F,4,FALSE)-SUMIFS($E$2:$E1590,$C$2:$C1590,C1590,$D$2:$D1590,"*Package*"))</f>
        <v/>
      </c>
      <c r="G1590" t="str">
        <f t="shared" si="55"/>
        <v/>
      </c>
      <c r="H1590" s="33">
        <f>IF(ISNUMBER(SEARCH("Group",D1590)),IF(G1590="",E1590,IFERROR(E1590/COUNTIF($G2:$G6000,G1590),E1590)),E1590)</f>
        <v>0</v>
      </c>
      <c r="I1590" s="1" t="str">
        <f>IFERROR(VLOOKUP(C1590,'Clients List'!A:F,6,FALSE),"")</f>
        <v/>
      </c>
    </row>
    <row r="1591" spans="4:9" x14ac:dyDescent="0.45">
      <c r="D1591" t="str">
        <f>IFERROR(VLOOKUP(C1591,'Clients List'!$A:$F,2,FALSE),"")</f>
        <v/>
      </c>
      <c r="F1591" s="1" t="str">
        <f>IF(OR(C1591="",NOT(ISNUMBER(SEARCH("Package",D1591)))),"",VLOOKUP(C1591,'Clients List'!$A:$F,4,FALSE)-SUMIFS($E$2:$E1591,$C$2:$C1591,C1591,$D$2:$D1591,"*Package*"))</f>
        <v/>
      </c>
      <c r="G1591" t="str">
        <f t="shared" si="55"/>
        <v/>
      </c>
      <c r="H1591" s="33">
        <f>IF(ISNUMBER(SEARCH("Group",D1591)),IF(G1591="",E1591,IFERROR(E1591/COUNTIF($G2:$G6000,G1591),E1591)),E1591)</f>
        <v>0</v>
      </c>
      <c r="I1591" s="1" t="str">
        <f>IFERROR(VLOOKUP(C1591,'Clients List'!A:F,6,FALSE),"")</f>
        <v/>
      </c>
    </row>
    <row r="1592" spans="4:9" x14ac:dyDescent="0.45">
      <c r="D1592" t="str">
        <f>IFERROR(VLOOKUP(C1592,'Clients List'!$A:$F,2,FALSE),"")</f>
        <v/>
      </c>
      <c r="F1592" s="1" t="str">
        <f>IF(OR(C1592="",NOT(ISNUMBER(SEARCH("Package",D1592)))),"",VLOOKUP(C1592,'Clients List'!$A:$F,4,FALSE)-SUMIFS($E$2:$E1592,$C$2:$C1592,C1592,$D$2:$D1592,"*Package*"))</f>
        <v/>
      </c>
      <c r="G1592" t="str">
        <f t="shared" si="55"/>
        <v/>
      </c>
      <c r="H1592" s="33">
        <f>IF(ISNUMBER(SEARCH("Group",D1592)),IF(G1592="",E1592,IFERROR(E1592/COUNTIF($G2:$G6000,G1592),E1592)),E1592)</f>
        <v>0</v>
      </c>
      <c r="I1592" s="1" t="str">
        <f>IFERROR(VLOOKUP(C1592,'Clients List'!A:F,6,FALSE),"")</f>
        <v/>
      </c>
    </row>
    <row r="1593" spans="4:9" x14ac:dyDescent="0.45">
      <c r="D1593" t="str">
        <f>IFERROR(VLOOKUP(C1593,'Clients List'!$A:$F,2,FALSE),"")</f>
        <v/>
      </c>
      <c r="F1593" s="1" t="str">
        <f>IF(OR(C1593="",NOT(ISNUMBER(SEARCH("Package",D1593)))),"",VLOOKUP(C1593,'Clients List'!$A:$F,4,FALSE)-SUMIFS($E$2:$E1593,$C$2:$C1593,C1593,$D$2:$D1593,"*Package*"))</f>
        <v/>
      </c>
      <c r="G1593" t="str">
        <f t="shared" si="55"/>
        <v/>
      </c>
      <c r="H1593" s="33">
        <f>IF(ISNUMBER(SEARCH("Group",D1593)),IF(G1593="",E1593,IFERROR(E1593/COUNTIF($G2:$G6000,G1593),E1593)),E1593)</f>
        <v>0</v>
      </c>
      <c r="I1593" s="1" t="str">
        <f>IFERROR(VLOOKUP(C1593,'Clients List'!A:F,6,FALSE),"")</f>
        <v/>
      </c>
    </row>
    <row r="1594" spans="4:9" x14ac:dyDescent="0.45">
      <c r="D1594" t="str">
        <f>IFERROR(VLOOKUP(C1594,'Clients List'!$A:$F,2,FALSE),"")</f>
        <v/>
      </c>
      <c r="F1594" s="1" t="str">
        <f>IF(OR(C1594="",NOT(ISNUMBER(SEARCH("Package",D1594)))),"",VLOOKUP(C1594,'Clients List'!$A:$F,4,FALSE)-SUMIFS($E$2:$E1594,$C$2:$C1594,C1594,$D$2:$D1594,"*Package*"))</f>
        <v/>
      </c>
      <c r="G1594" t="str">
        <f t="shared" si="55"/>
        <v/>
      </c>
      <c r="H1594" s="33">
        <f>IF(ISNUMBER(SEARCH("Group",D1594)),IF(G1594="",E1594,IFERROR(E1594/COUNTIF($G2:$G6000,G1594),E1594)),E1594)</f>
        <v>0</v>
      </c>
      <c r="I1594" s="1" t="str">
        <f>IFERROR(VLOOKUP(C1594,'Clients List'!A:F,6,FALSE),"")</f>
        <v/>
      </c>
    </row>
    <row r="1595" spans="4:9" x14ac:dyDescent="0.45">
      <c r="D1595" t="str">
        <f>IFERROR(VLOOKUP(C1595,'Clients List'!$A:$F,2,FALSE),"")</f>
        <v/>
      </c>
      <c r="F1595" s="1" t="str">
        <f>IF(OR(C1595="",NOT(ISNUMBER(SEARCH("Package",D1595)))),"",VLOOKUP(C1595,'Clients List'!$A:$F,4,FALSE)-SUMIFS($E$2:$E1595,$C$2:$C1595,C1595,$D$2:$D1595,"*Package*"))</f>
        <v/>
      </c>
      <c r="G1595" t="str">
        <f t="shared" si="55"/>
        <v/>
      </c>
      <c r="H1595" s="33">
        <f>IF(ISNUMBER(SEARCH("Group",D1595)),IF(G1595="",E1595,IFERROR(E1595/COUNTIF($G2:$G6000,G1595),E1595)),E1595)</f>
        <v>0</v>
      </c>
      <c r="I1595" s="1" t="str">
        <f>IFERROR(VLOOKUP(C1595,'Clients List'!A:F,6,FALSE),"")</f>
        <v/>
      </c>
    </row>
    <row r="1596" spans="4:9" x14ac:dyDescent="0.45">
      <c r="D1596" t="str">
        <f>IFERROR(VLOOKUP(C1596,'Clients List'!$A:$F,2,FALSE),"")</f>
        <v/>
      </c>
      <c r="F1596" s="1" t="str">
        <f>IF(OR(C1596="",NOT(ISNUMBER(SEARCH("Package",D1596)))),"",VLOOKUP(C1596,'Clients List'!$A:$F,4,FALSE)-SUMIFS($E$2:$E1596,$C$2:$C1596,C1596,$D$2:$D1596,"*Package*"))</f>
        <v/>
      </c>
      <c r="G1596" t="str">
        <f t="shared" si="55"/>
        <v/>
      </c>
      <c r="H1596" s="33">
        <f>IF(ISNUMBER(SEARCH("Group",D1596)),IF(G1596="",E1596,IFERROR(E1596/COUNTIF($G2:$G6000,G1596),E1596)),E1596)</f>
        <v>0</v>
      </c>
      <c r="I1596" s="1" t="str">
        <f>IFERROR(VLOOKUP(C1596,'Clients List'!A:F,6,FALSE),"")</f>
        <v/>
      </c>
    </row>
    <row r="1597" spans="4:9" x14ac:dyDescent="0.45">
      <c r="D1597" t="str">
        <f>IFERROR(VLOOKUP(C1597,'Clients List'!$A:$F,2,FALSE),"")</f>
        <v/>
      </c>
      <c r="F1597" s="1" t="str">
        <f>IF(OR(C1597="",NOT(ISNUMBER(SEARCH("Package",D1597)))),"",VLOOKUP(C1597,'Clients List'!$A:$F,4,FALSE)-SUMIFS($E$2:$E1597,$C$2:$C1597,C1597,$D$2:$D1597,"*Package*"))</f>
        <v/>
      </c>
      <c r="G1597" t="str">
        <f t="shared" si="55"/>
        <v/>
      </c>
      <c r="H1597" s="33">
        <f>IF(ISNUMBER(SEARCH("Group",D1597)),IF(G1597="",E1597,IFERROR(E1597/COUNTIF($G2:$G6000,G1597),E1597)),E1597)</f>
        <v>0</v>
      </c>
      <c r="I1597" s="1" t="str">
        <f>IFERROR(VLOOKUP(C1597,'Clients List'!A:F,6,FALSE),"")</f>
        <v/>
      </c>
    </row>
    <row r="1598" spans="4:9" x14ac:dyDescent="0.45">
      <c r="D1598" t="str">
        <f>IFERROR(VLOOKUP(C1598,'Clients List'!$A:$F,2,FALSE),"")</f>
        <v/>
      </c>
      <c r="F1598" s="1" t="str">
        <f>IF(OR(C1598="",NOT(ISNUMBER(SEARCH("Package",D1598)))),"",VLOOKUP(C1598,'Clients List'!$A:$F,4,FALSE)-SUMIFS($E$2:$E1598,$C$2:$C1598,C1598,$D$2:$D1598,"*Package*"))</f>
        <v/>
      </c>
      <c r="G1598" t="str">
        <f t="shared" si="55"/>
        <v/>
      </c>
      <c r="H1598" s="33">
        <f>IF(ISNUMBER(SEARCH("Group",D1598)),IF(G1598="",E1598,IFERROR(E1598/COUNTIF($G2:$G6000,G1598),E1598)),E1598)</f>
        <v>0</v>
      </c>
      <c r="I1598" s="1" t="str">
        <f>IFERROR(VLOOKUP(C1598,'Clients List'!A:F,6,FALSE),"")</f>
        <v/>
      </c>
    </row>
    <row r="1599" spans="4:9" x14ac:dyDescent="0.45">
      <c r="D1599" t="str">
        <f>IFERROR(VLOOKUP(C1599,'Clients List'!$A:$F,2,FALSE),"")</f>
        <v/>
      </c>
      <c r="F1599" s="1" t="str">
        <f>IF(OR(C1599="",NOT(ISNUMBER(SEARCH("Package",D1599)))),"",VLOOKUP(C1599,'Clients List'!$A:$F,4,FALSE)-SUMIFS($E$2:$E1599,$C$2:$C1599,C1599,$D$2:$D1599,"*Package*"))</f>
        <v/>
      </c>
      <c r="G1599" t="str">
        <f t="shared" si="55"/>
        <v/>
      </c>
      <c r="H1599" s="33">
        <f>IF(ISNUMBER(SEARCH("Group",D1599)),IF(G1599="",E1599,IFERROR(E1599/COUNTIF($G2:$G6000,G1599),E1599)),E1599)</f>
        <v>0</v>
      </c>
      <c r="I1599" s="1" t="str">
        <f>IFERROR(VLOOKUP(C1599,'Clients List'!A:F,6,FALSE),"")</f>
        <v/>
      </c>
    </row>
    <row r="1600" spans="4:9" x14ac:dyDescent="0.45">
      <c r="D1600" t="str">
        <f>IFERROR(VLOOKUP(C1600,'Clients List'!$A:$F,2,FALSE),"")</f>
        <v/>
      </c>
      <c r="F1600" s="1" t="str">
        <f>IF(OR(C1600="",NOT(ISNUMBER(SEARCH("Package",D1600)))),"",VLOOKUP(C1600,'Clients List'!$A:$F,4,FALSE)-SUMIFS($E$2:$E1600,$C$2:$C1600,C1600,$D$2:$D1600,"*Package*"))</f>
        <v/>
      </c>
      <c r="G1600" t="str">
        <f t="shared" si="55"/>
        <v/>
      </c>
      <c r="H1600" s="33">
        <f>IF(ISNUMBER(SEARCH("Group",D1600)),IF(G1600="",E1600,IFERROR(E1600/COUNTIF($G2:$G6000,G1600),E1600)),E1600)</f>
        <v>0</v>
      </c>
      <c r="I1600" s="1" t="str">
        <f>IFERROR(VLOOKUP(C1600,'Clients List'!A:F,6,FALSE),"")</f>
        <v/>
      </c>
    </row>
    <row r="1601" spans="4:9" x14ac:dyDescent="0.45">
      <c r="D1601" t="str">
        <f>IFERROR(VLOOKUP(C1601,'Clients List'!$A:$F,2,FALSE),"")</f>
        <v/>
      </c>
      <c r="F1601" s="1" t="str">
        <f>IF(OR(C1601="",NOT(ISNUMBER(SEARCH("Package",D1601)))),"",VLOOKUP(C1601,'Clients List'!$A:$F,4,FALSE)-SUMIFS($E$2:$E1601,$C$2:$C1601,C1601,$D$2:$D1601,"*Package*"))</f>
        <v/>
      </c>
      <c r="G1601" t="str">
        <f t="shared" si="55"/>
        <v/>
      </c>
      <c r="H1601" s="33">
        <f>IF(ISNUMBER(SEARCH("Group",D1601)),IF(G1601="",E1601,IFERROR(E1601/COUNTIF($G2:$G6000,G1601),E1601)),E1601)</f>
        <v>0</v>
      </c>
      <c r="I1601" s="1" t="str">
        <f>IFERROR(VLOOKUP(C1601,'Clients List'!A:F,6,FALSE),"")</f>
        <v/>
      </c>
    </row>
    <row r="1602" spans="4:9" x14ac:dyDescent="0.45">
      <c r="D1602" t="str">
        <f>IFERROR(VLOOKUP(C1602,'Clients List'!$A:$F,2,FALSE),"")</f>
        <v/>
      </c>
      <c r="F1602" s="1" t="str">
        <f>IF(OR(C1602="",NOT(ISNUMBER(SEARCH("Package",D1602)))),"",VLOOKUP(C1602,'Clients List'!$A:$F,4,FALSE)-SUMIFS($E$2:$E1602,$C$2:$C1602,C1602,$D$2:$D1602,"*Package*"))</f>
        <v/>
      </c>
      <c r="G1602" t="str">
        <f t="shared" si="55"/>
        <v/>
      </c>
      <c r="H1602" s="33">
        <f>IF(ISNUMBER(SEARCH("Group",D1602)),IF(G1602="",E1602,IFERROR(E1602/COUNTIF($G2:$G6000,G1602),E1602)),E1602)</f>
        <v>0</v>
      </c>
      <c r="I1602" s="1" t="str">
        <f>IFERROR(VLOOKUP(C1602,'Clients List'!A:F,6,FALSE),"")</f>
        <v/>
      </c>
    </row>
    <row r="1603" spans="4:9" x14ac:dyDescent="0.45">
      <c r="D1603" t="str">
        <f>IFERROR(VLOOKUP(C1603,'Clients List'!$A:$F,2,FALSE),"")</f>
        <v/>
      </c>
      <c r="F1603" s="1" t="str">
        <f>IF(OR(C1603="",NOT(ISNUMBER(SEARCH("Package",D1603)))),"",VLOOKUP(C1603,'Clients List'!$A:$F,4,FALSE)-SUMIFS($E$2:$E1603,$C$2:$C1603,C1603,$D$2:$D1603,"*Package*"))</f>
        <v/>
      </c>
      <c r="G1603" t="str">
        <f t="shared" si="55"/>
        <v/>
      </c>
      <c r="H1603" s="33">
        <f>IF(ISNUMBER(SEARCH("Group",D1603)),IF(G1603="",E1603,IFERROR(E1603/COUNTIF($G2:$G6000,G1603),E1603)),E1603)</f>
        <v>0</v>
      </c>
      <c r="I1603" s="1" t="str">
        <f>IFERROR(VLOOKUP(C1603,'Clients List'!A:F,6,FALSE),"")</f>
        <v/>
      </c>
    </row>
    <row r="1604" spans="4:9" x14ac:dyDescent="0.45">
      <c r="D1604" t="str">
        <f>IFERROR(VLOOKUP(C1604,'Clients List'!$A:$F,2,FALSE),"")</f>
        <v/>
      </c>
      <c r="F1604" s="1" t="str">
        <f>IF(OR(C1604="",NOT(ISNUMBER(SEARCH("Package",D1604)))),"",VLOOKUP(C1604,'Clients List'!$A:$F,4,FALSE)-SUMIFS($E$2:$E1604,$C$2:$C1604,C1604,$D$2:$D1604,"*Package*"))</f>
        <v/>
      </c>
      <c r="G1604" t="str">
        <f t="shared" si="55"/>
        <v/>
      </c>
      <c r="H1604" s="33">
        <f>IF(ISNUMBER(SEARCH("Group",D1604)),IF(G1604="",E1604,IFERROR(E1604/COUNTIF($G2:$G6000,G1604),E1604)),E1604)</f>
        <v>0</v>
      </c>
      <c r="I1604" s="1" t="str">
        <f>IFERROR(VLOOKUP(C1604,'Clients List'!A:F,6,FALSE),"")</f>
        <v/>
      </c>
    </row>
    <row r="1605" spans="4:9" x14ac:dyDescent="0.45">
      <c r="D1605" t="str">
        <f>IFERROR(VLOOKUP(C1605,'Clients List'!$A:$F,2,FALSE),"")</f>
        <v/>
      </c>
      <c r="F1605" s="1" t="str">
        <f>IF(OR(C1605="",NOT(ISNUMBER(SEARCH("Package",D1605)))),"",VLOOKUP(C1605,'Clients List'!$A:$F,4,FALSE)-SUMIFS($E$2:$E1605,$C$2:$C1605,C1605,$D$2:$D1605,"*Package*"))</f>
        <v/>
      </c>
      <c r="G1605" t="str">
        <f t="shared" si="55"/>
        <v/>
      </c>
      <c r="H1605" s="33">
        <f>IF(ISNUMBER(SEARCH("Group",D1605)),IF(G1605="",E1605,IFERROR(E1605/COUNTIF($G2:$G6000,G1605),E1605)),E1605)</f>
        <v>0</v>
      </c>
      <c r="I1605" s="1" t="str">
        <f>IFERROR(VLOOKUP(C1605,'Clients List'!A:F,6,FALSE),"")</f>
        <v/>
      </c>
    </row>
    <row r="1606" spans="4:9" x14ac:dyDescent="0.45">
      <c r="D1606" t="str">
        <f>IFERROR(VLOOKUP(C1606,'Clients List'!$A:$F,2,FALSE),"")</f>
        <v/>
      </c>
      <c r="F1606" s="1" t="str">
        <f>IF(OR(C1606="",NOT(ISNUMBER(SEARCH("Package",D1606)))),"",VLOOKUP(C1606,'Clients List'!$A:$F,4,FALSE)-SUMIFS($E$2:$E1606,$C$2:$C1606,C1606,$D$2:$D1606,"*Package*"))</f>
        <v/>
      </c>
      <c r="G1606" t="str">
        <f t="shared" si="55"/>
        <v/>
      </c>
      <c r="H1606" s="33">
        <f>IF(ISNUMBER(SEARCH("Group",D1606)),IF(G1606="",E1606,IFERROR(E1606/COUNTIF($G2:$G6000,G1606),E1606)),E1606)</f>
        <v>0</v>
      </c>
      <c r="I1606" s="1" t="str">
        <f>IFERROR(VLOOKUP(C1606,'Clients List'!A:F,6,FALSE),"")</f>
        <v/>
      </c>
    </row>
    <row r="1607" spans="4:9" x14ac:dyDescent="0.45">
      <c r="D1607" t="str">
        <f>IFERROR(VLOOKUP(C1607,'Clients List'!$A:$F,2,FALSE),"")</f>
        <v/>
      </c>
      <c r="F1607" s="1" t="str">
        <f>IF(OR(C1607="",NOT(ISNUMBER(SEARCH("Package",D1607)))),"",VLOOKUP(C1607,'Clients List'!$A:$F,4,FALSE)-SUMIFS($E$2:$E1607,$C$2:$C1607,C1607,$D$2:$D1607,"*Package*"))</f>
        <v/>
      </c>
      <c r="G1607" t="str">
        <f t="shared" si="55"/>
        <v/>
      </c>
      <c r="H1607" s="33">
        <f>IF(ISNUMBER(SEARCH("Group",D1607)),IF(G1607="",E1607,IFERROR(E1607/COUNTIF($G2:$G6000,G1607),E1607)),E1607)</f>
        <v>0</v>
      </c>
      <c r="I1607" s="1" t="str">
        <f>IFERROR(VLOOKUP(C1607,'Clients List'!A:F,6,FALSE),"")</f>
        <v/>
      </c>
    </row>
    <row r="1608" spans="4:9" x14ac:dyDescent="0.45">
      <c r="D1608" t="str">
        <f>IFERROR(VLOOKUP(C1608,'Clients List'!$A:$F,2,FALSE),"")</f>
        <v/>
      </c>
      <c r="F1608" s="1" t="str">
        <f>IF(OR(C1608="",NOT(ISNUMBER(SEARCH("Package",D1608)))),"",VLOOKUP(C1608,'Clients List'!$A:$F,4,FALSE)-SUMIFS($E$2:$E1608,$C$2:$C1608,C1608,$D$2:$D1608,"*Package*"))</f>
        <v/>
      </c>
      <c r="G1608" t="str">
        <f t="shared" ref="G1608:G1639" si="56">IF(ISNUMBER(SEARCH("Group",D1608)),IFERROR("GRP-"&amp;TEXT(IF(ISNUMBER(A1608),A1608,DATEVALUE(A1608)),"yyyymmdd"),""),"" )</f>
        <v/>
      </c>
      <c r="H1608" s="33">
        <f>IF(ISNUMBER(SEARCH("Group",D1608)),IF(G1608="",E1608,IFERROR(E1608/COUNTIF($G2:$G6000,G1608),E1608)),E1608)</f>
        <v>0</v>
      </c>
      <c r="I1608" s="1" t="str">
        <f>IFERROR(VLOOKUP(C1608,'Clients List'!A:F,6,FALSE),"")</f>
        <v/>
      </c>
    </row>
    <row r="1609" spans="4:9" x14ac:dyDescent="0.45">
      <c r="D1609" t="str">
        <f>IFERROR(VLOOKUP(C1609,'Clients List'!$A:$F,2,FALSE),"")</f>
        <v/>
      </c>
      <c r="F1609" s="1" t="str">
        <f>IF(OR(C1609="",NOT(ISNUMBER(SEARCH("Package",D1609)))),"",VLOOKUP(C1609,'Clients List'!$A:$F,4,FALSE)-SUMIFS($E$2:$E1609,$C$2:$C1609,C1609,$D$2:$D1609,"*Package*"))</f>
        <v/>
      </c>
      <c r="G1609" t="str">
        <f t="shared" si="56"/>
        <v/>
      </c>
      <c r="H1609" s="33">
        <f>IF(ISNUMBER(SEARCH("Group",D1609)),IF(G1609="",E1609,IFERROR(E1609/COUNTIF($G2:$G6000,G1609),E1609)),E1609)</f>
        <v>0</v>
      </c>
      <c r="I1609" s="1" t="str">
        <f>IFERROR(VLOOKUP(C1609,'Clients List'!A:F,6,FALSE),"")</f>
        <v/>
      </c>
    </row>
    <row r="1610" spans="4:9" x14ac:dyDescent="0.45">
      <c r="D1610" t="str">
        <f>IFERROR(VLOOKUP(C1610,'Clients List'!$A:$F,2,FALSE),"")</f>
        <v/>
      </c>
      <c r="F1610" s="1" t="str">
        <f>IF(OR(C1610="",NOT(ISNUMBER(SEARCH("Package",D1610)))),"",VLOOKUP(C1610,'Clients List'!$A:$F,4,FALSE)-SUMIFS($E$2:$E1610,$C$2:$C1610,C1610,$D$2:$D1610,"*Package*"))</f>
        <v/>
      </c>
      <c r="G1610" t="str">
        <f t="shared" si="56"/>
        <v/>
      </c>
      <c r="H1610" s="33">
        <f>IF(ISNUMBER(SEARCH("Group",D1610)),IF(G1610="",E1610,IFERROR(E1610/COUNTIF($G2:$G6000,G1610),E1610)),E1610)</f>
        <v>0</v>
      </c>
      <c r="I1610" s="1" t="str">
        <f>IFERROR(VLOOKUP(C1610,'Clients List'!A:F,6,FALSE),"")</f>
        <v/>
      </c>
    </row>
    <row r="1611" spans="4:9" x14ac:dyDescent="0.45">
      <c r="D1611" t="str">
        <f>IFERROR(VLOOKUP(C1611,'Clients List'!$A:$F,2,FALSE),"")</f>
        <v/>
      </c>
      <c r="F1611" s="1" t="str">
        <f>IF(OR(C1611="",NOT(ISNUMBER(SEARCH("Package",D1611)))),"",VLOOKUP(C1611,'Clients List'!$A:$F,4,FALSE)-SUMIFS($E$2:$E1611,$C$2:$C1611,C1611,$D$2:$D1611,"*Package*"))</f>
        <v/>
      </c>
      <c r="G1611" t="str">
        <f t="shared" si="56"/>
        <v/>
      </c>
      <c r="H1611" s="33">
        <f>IF(ISNUMBER(SEARCH("Group",D1611)),IF(G1611="",E1611,IFERROR(E1611/COUNTIF($G2:$G6000,G1611),E1611)),E1611)</f>
        <v>0</v>
      </c>
      <c r="I1611" s="1" t="str">
        <f>IFERROR(VLOOKUP(C1611,'Clients List'!A:F,6,FALSE),"")</f>
        <v/>
      </c>
    </row>
    <row r="1612" spans="4:9" x14ac:dyDescent="0.45">
      <c r="D1612" t="str">
        <f>IFERROR(VLOOKUP(C1612,'Clients List'!$A:$F,2,FALSE),"")</f>
        <v/>
      </c>
      <c r="F1612" s="1" t="str">
        <f>IF(OR(C1612="",NOT(ISNUMBER(SEARCH("Package",D1612)))),"",VLOOKUP(C1612,'Clients List'!$A:$F,4,FALSE)-SUMIFS($E$2:$E1612,$C$2:$C1612,C1612,$D$2:$D1612,"*Package*"))</f>
        <v/>
      </c>
      <c r="G1612" t="str">
        <f t="shared" si="56"/>
        <v/>
      </c>
      <c r="H1612" s="33">
        <f>IF(ISNUMBER(SEARCH("Group",D1612)),IF(G1612="",E1612,IFERROR(E1612/COUNTIF($G2:$G6000,G1612),E1612)),E1612)</f>
        <v>0</v>
      </c>
      <c r="I1612" s="1" t="str">
        <f>IFERROR(VLOOKUP(C1612,'Clients List'!A:F,6,FALSE),"")</f>
        <v/>
      </c>
    </row>
    <row r="1613" spans="4:9" x14ac:dyDescent="0.45">
      <c r="D1613" t="str">
        <f>IFERROR(VLOOKUP(C1613,'Clients List'!$A:$F,2,FALSE),"")</f>
        <v/>
      </c>
      <c r="F1613" s="1" t="str">
        <f>IF(OR(C1613="",NOT(ISNUMBER(SEARCH("Package",D1613)))),"",VLOOKUP(C1613,'Clients List'!$A:$F,4,FALSE)-SUMIFS($E$2:$E1613,$C$2:$C1613,C1613,$D$2:$D1613,"*Package*"))</f>
        <v/>
      </c>
      <c r="G1613" t="str">
        <f t="shared" si="56"/>
        <v/>
      </c>
      <c r="H1613" s="33">
        <f>IF(ISNUMBER(SEARCH("Group",D1613)),IF(G1613="",E1613,IFERROR(E1613/COUNTIF($G2:$G6000,G1613),E1613)),E1613)</f>
        <v>0</v>
      </c>
      <c r="I1613" s="1" t="str">
        <f>IFERROR(VLOOKUP(C1613,'Clients List'!A:F,6,FALSE),"")</f>
        <v/>
      </c>
    </row>
    <row r="1614" spans="4:9" x14ac:dyDescent="0.45">
      <c r="D1614" t="str">
        <f>IFERROR(VLOOKUP(C1614,'Clients List'!$A:$F,2,FALSE),"")</f>
        <v/>
      </c>
      <c r="F1614" s="1" t="str">
        <f>IF(OR(C1614="",NOT(ISNUMBER(SEARCH("Package",D1614)))),"",VLOOKUP(C1614,'Clients List'!$A:$F,4,FALSE)-SUMIFS($E$2:$E1614,$C$2:$C1614,C1614,$D$2:$D1614,"*Package*"))</f>
        <v/>
      </c>
      <c r="G1614" t="str">
        <f t="shared" si="56"/>
        <v/>
      </c>
      <c r="H1614" s="33">
        <f>IF(ISNUMBER(SEARCH("Group",D1614)),IF(G1614="",E1614,IFERROR(E1614/COUNTIF($G2:$G6000,G1614),E1614)),E1614)</f>
        <v>0</v>
      </c>
      <c r="I1614" s="1" t="str">
        <f>IFERROR(VLOOKUP(C1614,'Clients List'!A:F,6,FALSE),"")</f>
        <v/>
      </c>
    </row>
    <row r="1615" spans="4:9" x14ac:dyDescent="0.45">
      <c r="D1615" t="str">
        <f>IFERROR(VLOOKUP(C1615,'Clients List'!$A:$F,2,FALSE),"")</f>
        <v/>
      </c>
      <c r="F1615" s="1" t="str">
        <f>IF(OR(C1615="",NOT(ISNUMBER(SEARCH("Package",D1615)))),"",VLOOKUP(C1615,'Clients List'!$A:$F,4,FALSE)-SUMIFS($E$2:$E1615,$C$2:$C1615,C1615,$D$2:$D1615,"*Package*"))</f>
        <v/>
      </c>
      <c r="G1615" t="str">
        <f t="shared" si="56"/>
        <v/>
      </c>
      <c r="H1615" s="33">
        <f>IF(ISNUMBER(SEARCH("Group",D1615)),IF(G1615="",E1615,IFERROR(E1615/COUNTIF($G2:$G6000,G1615),E1615)),E1615)</f>
        <v>0</v>
      </c>
      <c r="I1615" s="1" t="str">
        <f>IFERROR(VLOOKUP(C1615,'Clients List'!A:F,6,FALSE),"")</f>
        <v/>
      </c>
    </row>
    <row r="1616" spans="4:9" x14ac:dyDescent="0.45">
      <c r="D1616" t="str">
        <f>IFERROR(VLOOKUP(C1616,'Clients List'!$A:$F,2,FALSE),"")</f>
        <v/>
      </c>
      <c r="F1616" s="1" t="str">
        <f>IF(OR(C1616="",NOT(ISNUMBER(SEARCH("Package",D1616)))),"",VLOOKUP(C1616,'Clients List'!$A:$F,4,FALSE)-SUMIFS($E$2:$E1616,$C$2:$C1616,C1616,$D$2:$D1616,"*Package*"))</f>
        <v/>
      </c>
      <c r="G1616" t="str">
        <f t="shared" si="56"/>
        <v/>
      </c>
      <c r="H1616" s="33">
        <f>IF(ISNUMBER(SEARCH("Group",D1616)),IF(G1616="",E1616,IFERROR(E1616/COUNTIF($G2:$G6000,G1616),E1616)),E1616)</f>
        <v>0</v>
      </c>
      <c r="I1616" s="1" t="str">
        <f>IFERROR(VLOOKUP(C1616,'Clients List'!A:F,6,FALSE),"")</f>
        <v/>
      </c>
    </row>
    <row r="1617" spans="4:9" x14ac:dyDescent="0.45">
      <c r="D1617" t="str">
        <f>IFERROR(VLOOKUP(C1617,'Clients List'!$A:$F,2,FALSE),"")</f>
        <v/>
      </c>
      <c r="F1617" s="1" t="str">
        <f>IF(OR(C1617="",NOT(ISNUMBER(SEARCH("Package",D1617)))),"",VLOOKUP(C1617,'Clients List'!$A:$F,4,FALSE)-SUMIFS($E$2:$E1617,$C$2:$C1617,C1617,$D$2:$D1617,"*Package*"))</f>
        <v/>
      </c>
      <c r="G1617" t="str">
        <f t="shared" si="56"/>
        <v/>
      </c>
      <c r="H1617" s="33">
        <f>IF(ISNUMBER(SEARCH("Group",D1617)),IF(G1617="",E1617,IFERROR(E1617/COUNTIF($G2:$G6000,G1617),E1617)),E1617)</f>
        <v>0</v>
      </c>
      <c r="I1617" s="1" t="str">
        <f>IFERROR(VLOOKUP(C1617,'Clients List'!A:F,6,FALSE),"")</f>
        <v/>
      </c>
    </row>
    <row r="1618" spans="4:9" x14ac:dyDescent="0.45">
      <c r="D1618" t="str">
        <f>IFERROR(VLOOKUP(C1618,'Clients List'!$A:$F,2,FALSE),"")</f>
        <v/>
      </c>
      <c r="F1618" s="1" t="str">
        <f>IF(OR(C1618="",NOT(ISNUMBER(SEARCH("Package",D1618)))),"",VLOOKUP(C1618,'Clients List'!$A:$F,4,FALSE)-SUMIFS($E$2:$E1618,$C$2:$C1618,C1618,$D$2:$D1618,"*Package*"))</f>
        <v/>
      </c>
      <c r="G1618" t="str">
        <f t="shared" si="56"/>
        <v/>
      </c>
      <c r="H1618" s="33">
        <f>IF(ISNUMBER(SEARCH("Group",D1618)),IF(G1618="",E1618,IFERROR(E1618/COUNTIF($G2:$G6000,G1618),E1618)),E1618)</f>
        <v>0</v>
      </c>
      <c r="I1618" s="1" t="str">
        <f>IFERROR(VLOOKUP(C1618,'Clients List'!A:F,6,FALSE),"")</f>
        <v/>
      </c>
    </row>
    <row r="1619" spans="4:9" x14ac:dyDescent="0.45">
      <c r="D1619" t="str">
        <f>IFERROR(VLOOKUP(C1619,'Clients List'!$A:$F,2,FALSE),"")</f>
        <v/>
      </c>
      <c r="F1619" s="1" t="str">
        <f>IF(OR(C1619="",NOT(ISNUMBER(SEARCH("Package",D1619)))),"",VLOOKUP(C1619,'Clients List'!$A:$F,4,FALSE)-SUMIFS($E$2:$E1619,$C$2:$C1619,C1619,$D$2:$D1619,"*Package*"))</f>
        <v/>
      </c>
      <c r="G1619" t="str">
        <f t="shared" si="56"/>
        <v/>
      </c>
      <c r="H1619" s="33">
        <f>IF(ISNUMBER(SEARCH("Group",D1619)),IF(G1619="",E1619,IFERROR(E1619/COUNTIF($G2:$G6000,G1619),E1619)),E1619)</f>
        <v>0</v>
      </c>
      <c r="I1619" s="1" t="str">
        <f>IFERROR(VLOOKUP(C1619,'Clients List'!A:F,6,FALSE),"")</f>
        <v/>
      </c>
    </row>
    <row r="1620" spans="4:9" x14ac:dyDescent="0.45">
      <c r="D1620" t="str">
        <f>IFERROR(VLOOKUP(C1620,'Clients List'!$A:$F,2,FALSE),"")</f>
        <v/>
      </c>
      <c r="F1620" s="1" t="str">
        <f>IF(OR(C1620="",NOT(ISNUMBER(SEARCH("Package",D1620)))),"",VLOOKUP(C1620,'Clients List'!$A:$F,4,FALSE)-SUMIFS($E$2:$E1620,$C$2:$C1620,C1620,$D$2:$D1620,"*Package*"))</f>
        <v/>
      </c>
      <c r="G1620" t="str">
        <f t="shared" si="56"/>
        <v/>
      </c>
      <c r="H1620" s="33">
        <f>IF(ISNUMBER(SEARCH("Group",D1620)),IF(G1620="",E1620,IFERROR(E1620/COUNTIF($G2:$G6000,G1620),E1620)),E1620)</f>
        <v>0</v>
      </c>
      <c r="I1620" s="1" t="str">
        <f>IFERROR(VLOOKUP(C1620,'Clients List'!A:F,6,FALSE),"")</f>
        <v/>
      </c>
    </row>
    <row r="1621" spans="4:9" x14ac:dyDescent="0.45">
      <c r="D1621" t="str">
        <f>IFERROR(VLOOKUP(C1621,'Clients List'!$A:$F,2,FALSE),"")</f>
        <v/>
      </c>
      <c r="F1621" s="1" t="str">
        <f>IF(OR(C1621="",NOT(ISNUMBER(SEARCH("Package",D1621)))),"",VLOOKUP(C1621,'Clients List'!$A:$F,4,FALSE)-SUMIFS($E$2:$E1621,$C$2:$C1621,C1621,$D$2:$D1621,"*Package*"))</f>
        <v/>
      </c>
      <c r="G1621" t="str">
        <f t="shared" si="56"/>
        <v/>
      </c>
      <c r="H1621" s="33">
        <f>IF(ISNUMBER(SEARCH("Group",D1621)),IF(G1621="",E1621,IFERROR(E1621/COUNTIF($G2:$G6000,G1621),E1621)),E1621)</f>
        <v>0</v>
      </c>
      <c r="I1621" s="1" t="str">
        <f>IFERROR(VLOOKUP(C1621,'Clients List'!A:F,6,FALSE),"")</f>
        <v/>
      </c>
    </row>
    <row r="1622" spans="4:9" x14ac:dyDescent="0.45">
      <c r="D1622" t="str">
        <f>IFERROR(VLOOKUP(C1622,'Clients List'!$A:$F,2,FALSE),"")</f>
        <v/>
      </c>
      <c r="F1622" s="1" t="str">
        <f>IF(OR(C1622="",NOT(ISNUMBER(SEARCH("Package",D1622)))),"",VLOOKUP(C1622,'Clients List'!$A:$F,4,FALSE)-SUMIFS($E$2:$E1622,$C$2:$C1622,C1622,$D$2:$D1622,"*Package*"))</f>
        <v/>
      </c>
      <c r="G1622" t="str">
        <f t="shared" si="56"/>
        <v/>
      </c>
      <c r="H1622" s="33">
        <f>IF(ISNUMBER(SEARCH("Group",D1622)),IF(G1622="",E1622,IFERROR(E1622/COUNTIF($G2:$G6000,G1622),E1622)),E1622)</f>
        <v>0</v>
      </c>
      <c r="I1622" s="1" t="str">
        <f>IFERROR(VLOOKUP(C1622,'Clients List'!A:F,6,FALSE),"")</f>
        <v/>
      </c>
    </row>
    <row r="1623" spans="4:9" x14ac:dyDescent="0.45">
      <c r="D1623" t="str">
        <f>IFERROR(VLOOKUP(C1623,'Clients List'!$A:$F,2,FALSE),"")</f>
        <v/>
      </c>
      <c r="F1623" s="1" t="str">
        <f>IF(OR(C1623="",NOT(ISNUMBER(SEARCH("Package",D1623)))),"",VLOOKUP(C1623,'Clients List'!$A:$F,4,FALSE)-SUMIFS($E$2:$E1623,$C$2:$C1623,C1623,$D$2:$D1623,"*Package*"))</f>
        <v/>
      </c>
      <c r="G1623" t="str">
        <f t="shared" si="56"/>
        <v/>
      </c>
      <c r="H1623" s="33">
        <f>IF(ISNUMBER(SEARCH("Group",D1623)),IF(G1623="",E1623,IFERROR(E1623/COUNTIF($G2:$G6000,G1623),E1623)),E1623)</f>
        <v>0</v>
      </c>
      <c r="I1623" s="1" t="str">
        <f>IFERROR(VLOOKUP(C1623,'Clients List'!A:F,6,FALSE),"")</f>
        <v/>
      </c>
    </row>
    <row r="1624" spans="4:9" x14ac:dyDescent="0.45">
      <c r="D1624" t="str">
        <f>IFERROR(VLOOKUP(C1624,'Clients List'!$A:$F,2,FALSE),"")</f>
        <v/>
      </c>
      <c r="F1624" s="1" t="str">
        <f>IF(OR(C1624="",NOT(ISNUMBER(SEARCH("Package",D1624)))),"",VLOOKUP(C1624,'Clients List'!$A:$F,4,FALSE)-SUMIFS($E$2:$E1624,$C$2:$C1624,C1624,$D$2:$D1624,"*Package*"))</f>
        <v/>
      </c>
      <c r="G1624" t="str">
        <f t="shared" si="56"/>
        <v/>
      </c>
      <c r="H1624" s="33">
        <f>IF(ISNUMBER(SEARCH("Group",D1624)),IF(G1624="",E1624,IFERROR(E1624/COUNTIF($G2:$G6000,G1624),E1624)),E1624)</f>
        <v>0</v>
      </c>
      <c r="I1624" s="1" t="str">
        <f>IFERROR(VLOOKUP(C1624,'Clients List'!A:F,6,FALSE),"")</f>
        <v/>
      </c>
    </row>
    <row r="1625" spans="4:9" x14ac:dyDescent="0.45">
      <c r="D1625" t="str">
        <f>IFERROR(VLOOKUP(C1625,'Clients List'!$A:$F,2,FALSE),"")</f>
        <v/>
      </c>
      <c r="F1625" s="1" t="str">
        <f>IF(OR(C1625="",NOT(ISNUMBER(SEARCH("Package",D1625)))),"",VLOOKUP(C1625,'Clients List'!$A:$F,4,FALSE)-SUMIFS($E$2:$E1625,$C$2:$C1625,C1625,$D$2:$D1625,"*Package*"))</f>
        <v/>
      </c>
      <c r="G1625" t="str">
        <f t="shared" si="56"/>
        <v/>
      </c>
      <c r="H1625" s="33">
        <f>IF(ISNUMBER(SEARCH("Group",D1625)),IF(G1625="",E1625,IFERROR(E1625/COUNTIF($G2:$G6000,G1625),E1625)),E1625)</f>
        <v>0</v>
      </c>
      <c r="I1625" s="1" t="str">
        <f>IFERROR(VLOOKUP(C1625,'Clients List'!A:F,6,FALSE),"")</f>
        <v/>
      </c>
    </row>
    <row r="1626" spans="4:9" x14ac:dyDescent="0.45">
      <c r="D1626" t="str">
        <f>IFERROR(VLOOKUP(C1626,'Clients List'!$A:$F,2,FALSE),"")</f>
        <v/>
      </c>
      <c r="F1626" s="1" t="str">
        <f>IF(OR(C1626="",NOT(ISNUMBER(SEARCH("Package",D1626)))),"",VLOOKUP(C1626,'Clients List'!$A:$F,4,FALSE)-SUMIFS($E$2:$E1626,$C$2:$C1626,C1626,$D$2:$D1626,"*Package*"))</f>
        <v/>
      </c>
      <c r="G1626" t="str">
        <f t="shared" si="56"/>
        <v/>
      </c>
      <c r="H1626" s="33">
        <f>IF(ISNUMBER(SEARCH("Group",D1626)),IF(G1626="",E1626,IFERROR(E1626/COUNTIF($G2:$G6000,G1626),E1626)),E1626)</f>
        <v>0</v>
      </c>
      <c r="I1626" s="1" t="str">
        <f>IFERROR(VLOOKUP(C1626,'Clients List'!A:F,6,FALSE),"")</f>
        <v/>
      </c>
    </row>
    <row r="1627" spans="4:9" x14ac:dyDescent="0.45">
      <c r="D1627" t="str">
        <f>IFERROR(VLOOKUP(C1627,'Clients List'!$A:$F,2,FALSE),"")</f>
        <v/>
      </c>
      <c r="F1627" s="1" t="str">
        <f>IF(OR(C1627="",NOT(ISNUMBER(SEARCH("Package",D1627)))),"",VLOOKUP(C1627,'Clients List'!$A:$F,4,FALSE)-SUMIFS($E$2:$E1627,$C$2:$C1627,C1627,$D$2:$D1627,"*Package*"))</f>
        <v/>
      </c>
      <c r="G1627" t="str">
        <f t="shared" si="56"/>
        <v/>
      </c>
      <c r="H1627" s="33">
        <f>IF(ISNUMBER(SEARCH("Group",D1627)),IF(G1627="",E1627,IFERROR(E1627/COUNTIF($G2:$G6000,G1627),E1627)),E1627)</f>
        <v>0</v>
      </c>
      <c r="I1627" s="1" t="str">
        <f>IFERROR(VLOOKUP(C1627,'Clients List'!A:F,6,FALSE),"")</f>
        <v/>
      </c>
    </row>
    <row r="1628" spans="4:9" x14ac:dyDescent="0.45">
      <c r="D1628" t="str">
        <f>IFERROR(VLOOKUP(C1628,'Clients List'!$A:$F,2,FALSE),"")</f>
        <v/>
      </c>
      <c r="F1628" s="1" t="str">
        <f>IF(OR(C1628="",NOT(ISNUMBER(SEARCH("Package",D1628)))),"",VLOOKUP(C1628,'Clients List'!$A:$F,4,FALSE)-SUMIFS($E$2:$E1628,$C$2:$C1628,C1628,$D$2:$D1628,"*Package*"))</f>
        <v/>
      </c>
      <c r="G1628" t="str">
        <f t="shared" si="56"/>
        <v/>
      </c>
      <c r="H1628" s="33">
        <f>IF(ISNUMBER(SEARCH("Group",D1628)),IF(G1628="",E1628,IFERROR(E1628/COUNTIF($G2:$G6000,G1628),E1628)),E1628)</f>
        <v>0</v>
      </c>
      <c r="I1628" s="1" t="str">
        <f>IFERROR(VLOOKUP(C1628,'Clients List'!A:F,6,FALSE),"")</f>
        <v/>
      </c>
    </row>
    <row r="1629" spans="4:9" x14ac:dyDescent="0.45">
      <c r="D1629" t="str">
        <f>IFERROR(VLOOKUP(C1629,'Clients List'!$A:$F,2,FALSE),"")</f>
        <v/>
      </c>
      <c r="F1629" s="1" t="str">
        <f>IF(OR(C1629="",NOT(ISNUMBER(SEARCH("Package",D1629)))),"",VLOOKUP(C1629,'Clients List'!$A:$F,4,FALSE)-SUMIFS($E$2:$E1629,$C$2:$C1629,C1629,$D$2:$D1629,"*Package*"))</f>
        <v/>
      </c>
      <c r="G1629" t="str">
        <f t="shared" si="56"/>
        <v/>
      </c>
      <c r="H1629" s="33">
        <f>IF(ISNUMBER(SEARCH("Group",D1629)),IF(G1629="",E1629,IFERROR(E1629/COUNTIF($G2:$G6000,G1629),E1629)),E1629)</f>
        <v>0</v>
      </c>
      <c r="I1629" s="1" t="str">
        <f>IFERROR(VLOOKUP(C1629,'Clients List'!A:F,6,FALSE),"")</f>
        <v/>
      </c>
    </row>
    <row r="1630" spans="4:9" x14ac:dyDescent="0.45">
      <c r="D1630" t="str">
        <f>IFERROR(VLOOKUP(C1630,'Clients List'!$A:$F,2,FALSE),"")</f>
        <v/>
      </c>
      <c r="F1630" s="1" t="str">
        <f>IF(OR(C1630="",NOT(ISNUMBER(SEARCH("Package",D1630)))),"",VLOOKUP(C1630,'Clients List'!$A:$F,4,FALSE)-SUMIFS($E$2:$E1630,$C$2:$C1630,C1630,$D$2:$D1630,"*Package*"))</f>
        <v/>
      </c>
      <c r="G1630" t="str">
        <f t="shared" si="56"/>
        <v/>
      </c>
      <c r="H1630" s="33">
        <f>IF(ISNUMBER(SEARCH("Group",D1630)),IF(G1630="",E1630,IFERROR(E1630/COUNTIF($G2:$G6000,G1630),E1630)),E1630)</f>
        <v>0</v>
      </c>
      <c r="I1630" s="1" t="str">
        <f>IFERROR(VLOOKUP(C1630,'Clients List'!A:F,6,FALSE),"")</f>
        <v/>
      </c>
    </row>
    <row r="1631" spans="4:9" x14ac:dyDescent="0.45">
      <c r="D1631" t="str">
        <f>IFERROR(VLOOKUP(C1631,'Clients List'!$A:$F,2,FALSE),"")</f>
        <v/>
      </c>
      <c r="F1631" s="1" t="str">
        <f>IF(OR(C1631="",NOT(ISNUMBER(SEARCH("Package",D1631)))),"",VLOOKUP(C1631,'Clients List'!$A:$F,4,FALSE)-SUMIFS($E$2:$E1631,$C$2:$C1631,C1631,$D$2:$D1631,"*Package*"))</f>
        <v/>
      </c>
      <c r="G1631" t="str">
        <f t="shared" si="56"/>
        <v/>
      </c>
      <c r="H1631" s="33">
        <f>IF(ISNUMBER(SEARCH("Group",D1631)),IF(G1631="",E1631,IFERROR(E1631/COUNTIF($G2:$G6000,G1631),E1631)),E1631)</f>
        <v>0</v>
      </c>
      <c r="I1631" s="1" t="str">
        <f>IFERROR(VLOOKUP(C1631,'Clients List'!A:F,6,FALSE),"")</f>
        <v/>
      </c>
    </row>
    <row r="1632" spans="4:9" x14ac:dyDescent="0.45">
      <c r="D1632" t="str">
        <f>IFERROR(VLOOKUP(C1632,'Clients List'!$A:$F,2,FALSE),"")</f>
        <v/>
      </c>
      <c r="F1632" s="1" t="str">
        <f>IF(OR(C1632="",NOT(ISNUMBER(SEARCH("Package",D1632)))),"",VLOOKUP(C1632,'Clients List'!$A:$F,4,FALSE)-SUMIFS($E$2:$E1632,$C$2:$C1632,C1632,$D$2:$D1632,"*Package*"))</f>
        <v/>
      </c>
      <c r="G1632" t="str">
        <f t="shared" si="56"/>
        <v/>
      </c>
      <c r="H1632" s="33">
        <f>IF(ISNUMBER(SEARCH("Group",D1632)),IF(G1632="",E1632,IFERROR(E1632/COUNTIF($G2:$G6000,G1632),E1632)),E1632)</f>
        <v>0</v>
      </c>
      <c r="I1632" s="1" t="str">
        <f>IFERROR(VLOOKUP(C1632,'Clients List'!A:F,6,FALSE),"")</f>
        <v/>
      </c>
    </row>
    <row r="1633" spans="4:9" x14ac:dyDescent="0.45">
      <c r="D1633" t="str">
        <f>IFERROR(VLOOKUP(C1633,'Clients List'!$A:$F,2,FALSE),"")</f>
        <v/>
      </c>
      <c r="F1633" s="1" t="str">
        <f>IF(OR(C1633="",NOT(ISNUMBER(SEARCH("Package",D1633)))),"",VLOOKUP(C1633,'Clients List'!$A:$F,4,FALSE)-SUMIFS($E$2:$E1633,$C$2:$C1633,C1633,$D$2:$D1633,"*Package*"))</f>
        <v/>
      </c>
      <c r="G1633" t="str">
        <f t="shared" si="56"/>
        <v/>
      </c>
      <c r="H1633" s="33">
        <f>IF(ISNUMBER(SEARCH("Group",D1633)),IF(G1633="",E1633,IFERROR(E1633/COUNTIF($G2:$G6000,G1633),E1633)),E1633)</f>
        <v>0</v>
      </c>
      <c r="I1633" s="1" t="str">
        <f>IFERROR(VLOOKUP(C1633,'Clients List'!A:F,6,FALSE),"")</f>
        <v/>
      </c>
    </row>
    <row r="1634" spans="4:9" x14ac:dyDescent="0.45">
      <c r="D1634" t="str">
        <f>IFERROR(VLOOKUP(C1634,'Clients List'!$A:$F,2,FALSE),"")</f>
        <v/>
      </c>
      <c r="F1634" s="1" t="str">
        <f>IF(OR(C1634="",NOT(ISNUMBER(SEARCH("Package",D1634)))),"",VLOOKUP(C1634,'Clients List'!$A:$F,4,FALSE)-SUMIFS($E$2:$E1634,$C$2:$C1634,C1634,$D$2:$D1634,"*Package*"))</f>
        <v/>
      </c>
      <c r="G1634" t="str">
        <f t="shared" si="56"/>
        <v/>
      </c>
      <c r="H1634" s="33">
        <f>IF(ISNUMBER(SEARCH("Group",D1634)),IF(G1634="",E1634,IFERROR(E1634/COUNTIF($G2:$G6000,G1634),E1634)),E1634)</f>
        <v>0</v>
      </c>
      <c r="I1634" s="1" t="str">
        <f>IFERROR(VLOOKUP(C1634,'Clients List'!A:F,6,FALSE),"")</f>
        <v/>
      </c>
    </row>
    <row r="1635" spans="4:9" x14ac:dyDescent="0.45">
      <c r="D1635" t="str">
        <f>IFERROR(VLOOKUP(C1635,'Clients List'!$A:$F,2,FALSE),"")</f>
        <v/>
      </c>
      <c r="F1635" s="1" t="str">
        <f>IF(OR(C1635="",NOT(ISNUMBER(SEARCH("Package",D1635)))),"",VLOOKUP(C1635,'Clients List'!$A:$F,4,FALSE)-SUMIFS($E$2:$E1635,$C$2:$C1635,C1635,$D$2:$D1635,"*Package*"))</f>
        <v/>
      </c>
      <c r="G1635" t="str">
        <f t="shared" si="56"/>
        <v/>
      </c>
      <c r="H1635" s="33">
        <f>IF(ISNUMBER(SEARCH("Group",D1635)),IF(G1635="",E1635,IFERROR(E1635/COUNTIF($G2:$G6000,G1635),E1635)),E1635)</f>
        <v>0</v>
      </c>
      <c r="I1635" s="1" t="str">
        <f>IFERROR(VLOOKUP(C1635,'Clients List'!A:F,6,FALSE),"")</f>
        <v/>
      </c>
    </row>
    <row r="1636" spans="4:9" x14ac:dyDescent="0.45">
      <c r="D1636" t="str">
        <f>IFERROR(VLOOKUP(C1636,'Clients List'!$A:$F,2,FALSE),"")</f>
        <v/>
      </c>
      <c r="F1636" s="1" t="str">
        <f>IF(OR(C1636="",NOT(ISNUMBER(SEARCH("Package",D1636)))),"",VLOOKUP(C1636,'Clients List'!$A:$F,4,FALSE)-SUMIFS($E$2:$E1636,$C$2:$C1636,C1636,$D$2:$D1636,"*Package*"))</f>
        <v/>
      </c>
      <c r="G1636" t="str">
        <f t="shared" si="56"/>
        <v/>
      </c>
      <c r="H1636" s="33">
        <f>IF(ISNUMBER(SEARCH("Group",D1636)),IF(G1636="",E1636,IFERROR(E1636/COUNTIF($G2:$G6000,G1636),E1636)),E1636)</f>
        <v>0</v>
      </c>
      <c r="I1636" s="1" t="str">
        <f>IFERROR(VLOOKUP(C1636,'Clients List'!A:F,6,FALSE),"")</f>
        <v/>
      </c>
    </row>
    <row r="1637" spans="4:9" x14ac:dyDescent="0.45">
      <c r="D1637" t="str">
        <f>IFERROR(VLOOKUP(C1637,'Clients List'!$A:$F,2,FALSE),"")</f>
        <v/>
      </c>
      <c r="F1637" s="1" t="str">
        <f>IF(OR(C1637="",NOT(ISNUMBER(SEARCH("Package",D1637)))),"",VLOOKUP(C1637,'Clients List'!$A:$F,4,FALSE)-SUMIFS($E$2:$E1637,$C$2:$C1637,C1637,$D$2:$D1637,"*Package*"))</f>
        <v/>
      </c>
      <c r="G1637" t="str">
        <f t="shared" si="56"/>
        <v/>
      </c>
      <c r="H1637" s="33">
        <f>IF(ISNUMBER(SEARCH("Group",D1637)),IF(G1637="",E1637,IFERROR(E1637/COUNTIF($G2:$G6000,G1637),E1637)),E1637)</f>
        <v>0</v>
      </c>
      <c r="I1637" s="1" t="str">
        <f>IFERROR(VLOOKUP(C1637,'Clients List'!A:F,6,FALSE),"")</f>
        <v/>
      </c>
    </row>
    <row r="1638" spans="4:9" x14ac:dyDescent="0.45">
      <c r="D1638" t="str">
        <f>IFERROR(VLOOKUP(C1638,'Clients List'!$A:$F,2,FALSE),"")</f>
        <v/>
      </c>
      <c r="F1638" s="1" t="str">
        <f>IF(OR(C1638="",NOT(ISNUMBER(SEARCH("Package",D1638)))),"",VLOOKUP(C1638,'Clients List'!$A:$F,4,FALSE)-SUMIFS($E$2:$E1638,$C$2:$C1638,C1638,$D$2:$D1638,"*Package*"))</f>
        <v/>
      </c>
      <c r="G1638" t="str">
        <f t="shared" si="56"/>
        <v/>
      </c>
      <c r="H1638" s="33">
        <f>IF(ISNUMBER(SEARCH("Group",D1638)),IF(G1638="",E1638,IFERROR(E1638/COUNTIF($G2:$G6000,G1638),E1638)),E1638)</f>
        <v>0</v>
      </c>
      <c r="I1638" s="1" t="str">
        <f>IFERROR(VLOOKUP(C1638,'Clients List'!A:F,6,FALSE),"")</f>
        <v/>
      </c>
    </row>
    <row r="1639" spans="4:9" x14ac:dyDescent="0.45">
      <c r="D1639" t="str">
        <f>IFERROR(VLOOKUP(C1639,'Clients List'!$A:$F,2,FALSE),"")</f>
        <v/>
      </c>
      <c r="F1639" s="1" t="str">
        <f>IF(OR(C1639="",NOT(ISNUMBER(SEARCH("Package",D1639)))),"",VLOOKUP(C1639,'Clients List'!$A:$F,4,FALSE)-SUMIFS($E$2:$E1639,$C$2:$C1639,C1639,$D$2:$D1639,"*Package*"))</f>
        <v/>
      </c>
      <c r="G1639" t="str">
        <f t="shared" si="56"/>
        <v/>
      </c>
      <c r="H1639" s="33">
        <f>IF(ISNUMBER(SEARCH("Group",D1639)),IF(G1639="",E1639,IFERROR(E1639/COUNTIF($G2:$G6000,G1639),E1639)),E1639)</f>
        <v>0</v>
      </c>
      <c r="I1639" s="1" t="str">
        <f>IFERROR(VLOOKUP(C1639,'Clients List'!A:F,6,FALSE),"")</f>
        <v/>
      </c>
    </row>
    <row r="1640" spans="4:9" x14ac:dyDescent="0.45">
      <c r="D1640" t="str">
        <f>IFERROR(VLOOKUP(C1640,'Clients List'!$A:$F,2,FALSE),"")</f>
        <v/>
      </c>
      <c r="F1640" s="1" t="str">
        <f>IF(OR(C1640="",NOT(ISNUMBER(SEARCH("Package",D1640)))),"",VLOOKUP(C1640,'Clients List'!$A:$F,4,FALSE)-SUMIFS($E$2:$E1640,$C$2:$C1640,C1640,$D$2:$D1640,"*Package*"))</f>
        <v/>
      </c>
      <c r="G1640" t="str">
        <f t="shared" ref="G1640:G1671" si="57">IF(ISNUMBER(SEARCH("Group",D1640)),IFERROR("GRP-"&amp;TEXT(IF(ISNUMBER(A1640),A1640,DATEVALUE(A1640)),"yyyymmdd"),""),"" )</f>
        <v/>
      </c>
      <c r="H1640" s="33">
        <f>IF(ISNUMBER(SEARCH("Group",D1640)),IF(G1640="",E1640,IFERROR(E1640/COUNTIF($G2:$G6000,G1640),E1640)),E1640)</f>
        <v>0</v>
      </c>
      <c r="I1640" s="1" t="str">
        <f>IFERROR(VLOOKUP(C1640,'Clients List'!A:F,6,FALSE),"")</f>
        <v/>
      </c>
    </row>
    <row r="1641" spans="4:9" x14ac:dyDescent="0.45">
      <c r="D1641" t="str">
        <f>IFERROR(VLOOKUP(C1641,'Clients List'!$A:$F,2,FALSE),"")</f>
        <v/>
      </c>
      <c r="F1641" s="1" t="str">
        <f>IF(OR(C1641="",NOT(ISNUMBER(SEARCH("Package",D1641)))),"",VLOOKUP(C1641,'Clients List'!$A:$F,4,FALSE)-SUMIFS($E$2:$E1641,$C$2:$C1641,C1641,$D$2:$D1641,"*Package*"))</f>
        <v/>
      </c>
      <c r="G1641" t="str">
        <f t="shared" si="57"/>
        <v/>
      </c>
      <c r="H1641" s="33">
        <f>IF(ISNUMBER(SEARCH("Group",D1641)),IF(G1641="",E1641,IFERROR(E1641/COUNTIF($G2:$G6000,G1641),E1641)),E1641)</f>
        <v>0</v>
      </c>
      <c r="I1641" s="1" t="str">
        <f>IFERROR(VLOOKUP(C1641,'Clients List'!A:F,6,FALSE),"")</f>
        <v/>
      </c>
    </row>
    <row r="1642" spans="4:9" x14ac:dyDescent="0.45">
      <c r="D1642" t="str">
        <f>IFERROR(VLOOKUP(C1642,'Clients List'!$A:$F,2,FALSE),"")</f>
        <v/>
      </c>
      <c r="F1642" s="1" t="str">
        <f>IF(OR(C1642="",NOT(ISNUMBER(SEARCH("Package",D1642)))),"",VLOOKUP(C1642,'Clients List'!$A:$F,4,FALSE)-SUMIFS($E$2:$E1642,$C$2:$C1642,C1642,$D$2:$D1642,"*Package*"))</f>
        <v/>
      </c>
      <c r="G1642" t="str">
        <f t="shared" si="57"/>
        <v/>
      </c>
      <c r="H1642" s="33">
        <f>IF(ISNUMBER(SEARCH("Group",D1642)),IF(G1642="",E1642,IFERROR(E1642/COUNTIF($G2:$G6000,G1642),E1642)),E1642)</f>
        <v>0</v>
      </c>
      <c r="I1642" s="1" t="str">
        <f>IFERROR(VLOOKUP(C1642,'Clients List'!A:F,6,FALSE),"")</f>
        <v/>
      </c>
    </row>
    <row r="1643" spans="4:9" x14ac:dyDescent="0.45">
      <c r="D1643" t="str">
        <f>IFERROR(VLOOKUP(C1643,'Clients List'!$A:$F,2,FALSE),"")</f>
        <v/>
      </c>
      <c r="F1643" s="1" t="str">
        <f>IF(OR(C1643="",NOT(ISNUMBER(SEARCH("Package",D1643)))),"",VLOOKUP(C1643,'Clients List'!$A:$F,4,FALSE)-SUMIFS($E$2:$E1643,$C$2:$C1643,C1643,$D$2:$D1643,"*Package*"))</f>
        <v/>
      </c>
      <c r="G1643" t="str">
        <f t="shared" si="57"/>
        <v/>
      </c>
      <c r="H1643" s="33">
        <f>IF(ISNUMBER(SEARCH("Group",D1643)),IF(G1643="",E1643,IFERROR(E1643/COUNTIF($G2:$G6000,G1643),E1643)),E1643)</f>
        <v>0</v>
      </c>
      <c r="I1643" s="1" t="str">
        <f>IFERROR(VLOOKUP(C1643,'Clients List'!A:F,6,FALSE),"")</f>
        <v/>
      </c>
    </row>
    <row r="1644" spans="4:9" x14ac:dyDescent="0.45">
      <c r="D1644" t="str">
        <f>IFERROR(VLOOKUP(C1644,'Clients List'!$A:$F,2,FALSE),"")</f>
        <v/>
      </c>
      <c r="F1644" s="1" t="str">
        <f>IF(OR(C1644="",NOT(ISNUMBER(SEARCH("Package",D1644)))),"",VLOOKUP(C1644,'Clients List'!$A:$F,4,FALSE)-SUMIFS($E$2:$E1644,$C$2:$C1644,C1644,$D$2:$D1644,"*Package*"))</f>
        <v/>
      </c>
      <c r="G1644" t="str">
        <f t="shared" si="57"/>
        <v/>
      </c>
      <c r="H1644" s="33">
        <f>IF(ISNUMBER(SEARCH("Group",D1644)),IF(G1644="",E1644,IFERROR(E1644/COUNTIF($G2:$G6000,G1644),E1644)),E1644)</f>
        <v>0</v>
      </c>
      <c r="I1644" s="1" t="str">
        <f>IFERROR(VLOOKUP(C1644,'Clients List'!A:F,6,FALSE),"")</f>
        <v/>
      </c>
    </row>
    <row r="1645" spans="4:9" x14ac:dyDescent="0.45">
      <c r="D1645" t="str">
        <f>IFERROR(VLOOKUP(C1645,'Clients List'!$A:$F,2,FALSE),"")</f>
        <v/>
      </c>
      <c r="F1645" s="1" t="str">
        <f>IF(OR(C1645="",NOT(ISNUMBER(SEARCH("Package",D1645)))),"",VLOOKUP(C1645,'Clients List'!$A:$F,4,FALSE)-SUMIFS($E$2:$E1645,$C$2:$C1645,C1645,$D$2:$D1645,"*Package*"))</f>
        <v/>
      </c>
      <c r="G1645" t="str">
        <f t="shared" si="57"/>
        <v/>
      </c>
      <c r="H1645" s="33">
        <f>IF(ISNUMBER(SEARCH("Group",D1645)),IF(G1645="",E1645,IFERROR(E1645/COUNTIF($G2:$G6000,G1645),E1645)),E1645)</f>
        <v>0</v>
      </c>
      <c r="I1645" s="1" t="str">
        <f>IFERROR(VLOOKUP(C1645,'Clients List'!A:F,6,FALSE),"")</f>
        <v/>
      </c>
    </row>
    <row r="1646" spans="4:9" x14ac:dyDescent="0.45">
      <c r="D1646" t="str">
        <f>IFERROR(VLOOKUP(C1646,'Clients List'!$A:$F,2,FALSE),"")</f>
        <v/>
      </c>
      <c r="F1646" s="1" t="str">
        <f>IF(OR(C1646="",NOT(ISNUMBER(SEARCH("Package",D1646)))),"",VLOOKUP(C1646,'Clients List'!$A:$F,4,FALSE)-SUMIFS($E$2:$E1646,$C$2:$C1646,C1646,$D$2:$D1646,"*Package*"))</f>
        <v/>
      </c>
      <c r="G1646" t="str">
        <f t="shared" si="57"/>
        <v/>
      </c>
      <c r="H1646" s="33">
        <f>IF(ISNUMBER(SEARCH("Group",D1646)),IF(G1646="",E1646,IFERROR(E1646/COUNTIF($G2:$G6000,G1646),E1646)),E1646)</f>
        <v>0</v>
      </c>
      <c r="I1646" s="1" t="str">
        <f>IFERROR(VLOOKUP(C1646,'Clients List'!A:F,6,FALSE),"")</f>
        <v/>
      </c>
    </row>
    <row r="1647" spans="4:9" x14ac:dyDescent="0.45">
      <c r="D1647" t="str">
        <f>IFERROR(VLOOKUP(C1647,'Clients List'!$A:$F,2,FALSE),"")</f>
        <v/>
      </c>
      <c r="F1647" s="1" t="str">
        <f>IF(OR(C1647="",NOT(ISNUMBER(SEARCH("Package",D1647)))),"",VLOOKUP(C1647,'Clients List'!$A:$F,4,FALSE)-SUMIFS($E$2:$E1647,$C$2:$C1647,C1647,$D$2:$D1647,"*Package*"))</f>
        <v/>
      </c>
      <c r="G1647" t="str">
        <f t="shared" si="57"/>
        <v/>
      </c>
      <c r="H1647" s="33">
        <f>IF(ISNUMBER(SEARCH("Group",D1647)),IF(G1647="",E1647,IFERROR(E1647/COUNTIF($G2:$G6000,G1647),E1647)),E1647)</f>
        <v>0</v>
      </c>
      <c r="I1647" s="1" t="str">
        <f>IFERROR(VLOOKUP(C1647,'Clients List'!A:F,6,FALSE),"")</f>
        <v/>
      </c>
    </row>
    <row r="1648" spans="4:9" x14ac:dyDescent="0.45">
      <c r="D1648" t="str">
        <f>IFERROR(VLOOKUP(C1648,'Clients List'!$A:$F,2,FALSE),"")</f>
        <v/>
      </c>
      <c r="F1648" s="1" t="str">
        <f>IF(OR(C1648="",NOT(ISNUMBER(SEARCH("Package",D1648)))),"",VLOOKUP(C1648,'Clients List'!$A:$F,4,FALSE)-SUMIFS($E$2:$E1648,$C$2:$C1648,C1648,$D$2:$D1648,"*Package*"))</f>
        <v/>
      </c>
      <c r="G1648" t="str">
        <f t="shared" si="57"/>
        <v/>
      </c>
      <c r="H1648" s="33">
        <f>IF(ISNUMBER(SEARCH("Group",D1648)),IF(G1648="",E1648,IFERROR(E1648/COUNTIF($G2:$G6000,G1648),E1648)),E1648)</f>
        <v>0</v>
      </c>
      <c r="I1648" s="1" t="str">
        <f>IFERROR(VLOOKUP(C1648,'Clients List'!A:F,6,FALSE),"")</f>
        <v/>
      </c>
    </row>
    <row r="1649" spans="4:9" x14ac:dyDescent="0.45">
      <c r="D1649" t="str">
        <f>IFERROR(VLOOKUP(C1649,'Clients List'!$A:$F,2,FALSE),"")</f>
        <v/>
      </c>
      <c r="F1649" s="1" t="str">
        <f>IF(OR(C1649="",NOT(ISNUMBER(SEARCH("Package",D1649)))),"",VLOOKUP(C1649,'Clients List'!$A:$F,4,FALSE)-SUMIFS($E$2:$E1649,$C$2:$C1649,C1649,$D$2:$D1649,"*Package*"))</f>
        <v/>
      </c>
      <c r="G1649" t="str">
        <f t="shared" si="57"/>
        <v/>
      </c>
      <c r="H1649" s="33">
        <f>IF(ISNUMBER(SEARCH("Group",D1649)),IF(G1649="",E1649,IFERROR(E1649/COUNTIF($G2:$G6000,G1649),E1649)),E1649)</f>
        <v>0</v>
      </c>
      <c r="I1649" s="1" t="str">
        <f>IFERROR(VLOOKUP(C1649,'Clients List'!A:F,6,FALSE),"")</f>
        <v/>
      </c>
    </row>
    <row r="1650" spans="4:9" x14ac:dyDescent="0.45">
      <c r="D1650" t="str">
        <f>IFERROR(VLOOKUP(C1650,'Clients List'!$A:$F,2,FALSE),"")</f>
        <v/>
      </c>
      <c r="F1650" s="1" t="str">
        <f>IF(OR(C1650="",NOT(ISNUMBER(SEARCH("Package",D1650)))),"",VLOOKUP(C1650,'Clients List'!$A:$F,4,FALSE)-SUMIFS($E$2:$E1650,$C$2:$C1650,C1650,$D$2:$D1650,"*Package*"))</f>
        <v/>
      </c>
      <c r="G1650" t="str">
        <f t="shared" si="57"/>
        <v/>
      </c>
      <c r="H1650" s="33">
        <f>IF(ISNUMBER(SEARCH("Group",D1650)),IF(G1650="",E1650,IFERROR(E1650/COUNTIF($G2:$G6000,G1650),E1650)),E1650)</f>
        <v>0</v>
      </c>
      <c r="I1650" s="1" t="str">
        <f>IFERROR(VLOOKUP(C1650,'Clients List'!A:F,6,FALSE),"")</f>
        <v/>
      </c>
    </row>
    <row r="1651" spans="4:9" x14ac:dyDescent="0.45">
      <c r="D1651" t="str">
        <f>IFERROR(VLOOKUP(C1651,'Clients List'!$A:$F,2,FALSE),"")</f>
        <v/>
      </c>
      <c r="F1651" s="1" t="str">
        <f>IF(OR(C1651="",NOT(ISNUMBER(SEARCH("Package",D1651)))),"",VLOOKUP(C1651,'Clients List'!$A:$F,4,FALSE)-SUMIFS($E$2:$E1651,$C$2:$C1651,C1651,$D$2:$D1651,"*Package*"))</f>
        <v/>
      </c>
      <c r="G1651" t="str">
        <f t="shared" si="57"/>
        <v/>
      </c>
      <c r="H1651" s="33">
        <f>IF(ISNUMBER(SEARCH("Group",D1651)),IF(G1651="",E1651,IFERROR(E1651/COUNTIF($G2:$G6000,G1651),E1651)),E1651)</f>
        <v>0</v>
      </c>
      <c r="I1651" s="1" t="str">
        <f>IFERROR(VLOOKUP(C1651,'Clients List'!A:F,6,FALSE),"")</f>
        <v/>
      </c>
    </row>
    <row r="1652" spans="4:9" x14ac:dyDescent="0.45">
      <c r="D1652" t="str">
        <f>IFERROR(VLOOKUP(C1652,'Clients List'!$A:$F,2,FALSE),"")</f>
        <v/>
      </c>
      <c r="F1652" s="1" t="str">
        <f>IF(OR(C1652="",NOT(ISNUMBER(SEARCH("Package",D1652)))),"",VLOOKUP(C1652,'Clients List'!$A:$F,4,FALSE)-SUMIFS($E$2:$E1652,$C$2:$C1652,C1652,$D$2:$D1652,"*Package*"))</f>
        <v/>
      </c>
      <c r="G1652" t="str">
        <f t="shared" si="57"/>
        <v/>
      </c>
      <c r="H1652" s="33">
        <f>IF(ISNUMBER(SEARCH("Group",D1652)),IF(G1652="",E1652,IFERROR(E1652/COUNTIF($G2:$G6000,G1652),E1652)),E1652)</f>
        <v>0</v>
      </c>
      <c r="I1652" s="1" t="str">
        <f>IFERROR(VLOOKUP(C1652,'Clients List'!A:F,6,FALSE),"")</f>
        <v/>
      </c>
    </row>
    <row r="1653" spans="4:9" x14ac:dyDescent="0.45">
      <c r="D1653" t="str">
        <f>IFERROR(VLOOKUP(C1653,'Clients List'!$A:$F,2,FALSE),"")</f>
        <v/>
      </c>
      <c r="F1653" s="1" t="str">
        <f>IF(OR(C1653="",NOT(ISNUMBER(SEARCH("Package",D1653)))),"",VLOOKUP(C1653,'Clients List'!$A:$F,4,FALSE)-SUMIFS($E$2:$E1653,$C$2:$C1653,C1653,$D$2:$D1653,"*Package*"))</f>
        <v/>
      </c>
      <c r="G1653" t="str">
        <f t="shared" si="57"/>
        <v/>
      </c>
      <c r="H1653" s="33">
        <f>IF(ISNUMBER(SEARCH("Group",D1653)),IF(G1653="",E1653,IFERROR(E1653/COUNTIF($G2:$G6000,G1653),E1653)),E1653)</f>
        <v>0</v>
      </c>
      <c r="I1653" s="1" t="str">
        <f>IFERROR(VLOOKUP(C1653,'Clients List'!A:F,6,FALSE),"")</f>
        <v/>
      </c>
    </row>
    <row r="1654" spans="4:9" x14ac:dyDescent="0.45">
      <c r="D1654" t="str">
        <f>IFERROR(VLOOKUP(C1654,'Clients List'!$A:$F,2,FALSE),"")</f>
        <v/>
      </c>
      <c r="F1654" s="1" t="str">
        <f>IF(OR(C1654="",NOT(ISNUMBER(SEARCH("Package",D1654)))),"",VLOOKUP(C1654,'Clients List'!$A:$F,4,FALSE)-SUMIFS($E$2:$E1654,$C$2:$C1654,C1654,$D$2:$D1654,"*Package*"))</f>
        <v/>
      </c>
      <c r="G1654" t="str">
        <f t="shared" si="57"/>
        <v/>
      </c>
      <c r="H1654" s="33">
        <f>IF(ISNUMBER(SEARCH("Group",D1654)),IF(G1654="",E1654,IFERROR(E1654/COUNTIF($G2:$G6000,G1654),E1654)),E1654)</f>
        <v>0</v>
      </c>
      <c r="I1654" s="1" t="str">
        <f>IFERROR(VLOOKUP(C1654,'Clients List'!A:F,6,FALSE),"")</f>
        <v/>
      </c>
    </row>
    <row r="1655" spans="4:9" x14ac:dyDescent="0.45">
      <c r="D1655" t="str">
        <f>IFERROR(VLOOKUP(C1655,'Clients List'!$A:$F,2,FALSE),"")</f>
        <v/>
      </c>
      <c r="F1655" s="1" t="str">
        <f>IF(OR(C1655="",NOT(ISNUMBER(SEARCH("Package",D1655)))),"",VLOOKUP(C1655,'Clients List'!$A:$F,4,FALSE)-SUMIFS($E$2:$E1655,$C$2:$C1655,C1655,$D$2:$D1655,"*Package*"))</f>
        <v/>
      </c>
      <c r="G1655" t="str">
        <f t="shared" si="57"/>
        <v/>
      </c>
      <c r="H1655" s="33">
        <f>IF(ISNUMBER(SEARCH("Group",D1655)),IF(G1655="",E1655,IFERROR(E1655/COUNTIF($G2:$G6000,G1655),E1655)),E1655)</f>
        <v>0</v>
      </c>
      <c r="I1655" s="1" t="str">
        <f>IFERROR(VLOOKUP(C1655,'Clients List'!A:F,6,FALSE),"")</f>
        <v/>
      </c>
    </row>
    <row r="1656" spans="4:9" x14ac:dyDescent="0.45">
      <c r="D1656" t="str">
        <f>IFERROR(VLOOKUP(C1656,'Clients List'!$A:$F,2,FALSE),"")</f>
        <v/>
      </c>
      <c r="F1656" s="1" t="str">
        <f>IF(OR(C1656="",NOT(ISNUMBER(SEARCH("Package",D1656)))),"",VLOOKUP(C1656,'Clients List'!$A:$F,4,FALSE)-SUMIFS($E$2:$E1656,$C$2:$C1656,C1656,$D$2:$D1656,"*Package*"))</f>
        <v/>
      </c>
      <c r="G1656" t="str">
        <f t="shared" si="57"/>
        <v/>
      </c>
      <c r="H1656" s="33">
        <f>IF(ISNUMBER(SEARCH("Group",D1656)),IF(G1656="",E1656,IFERROR(E1656/COUNTIF($G2:$G6000,G1656),E1656)),E1656)</f>
        <v>0</v>
      </c>
      <c r="I1656" s="1" t="str">
        <f>IFERROR(VLOOKUP(C1656,'Clients List'!A:F,6,FALSE),"")</f>
        <v/>
      </c>
    </row>
    <row r="1657" spans="4:9" x14ac:dyDescent="0.45">
      <c r="D1657" t="str">
        <f>IFERROR(VLOOKUP(C1657,'Clients List'!$A:$F,2,FALSE),"")</f>
        <v/>
      </c>
      <c r="F1657" s="1" t="str">
        <f>IF(OR(C1657="",NOT(ISNUMBER(SEARCH("Package",D1657)))),"",VLOOKUP(C1657,'Clients List'!$A:$F,4,FALSE)-SUMIFS($E$2:$E1657,$C$2:$C1657,C1657,$D$2:$D1657,"*Package*"))</f>
        <v/>
      </c>
      <c r="G1657" t="str">
        <f t="shared" si="57"/>
        <v/>
      </c>
      <c r="H1657" s="33">
        <f>IF(ISNUMBER(SEARCH("Group",D1657)),IF(G1657="",E1657,IFERROR(E1657/COUNTIF($G2:$G6000,G1657),E1657)),E1657)</f>
        <v>0</v>
      </c>
      <c r="I1657" s="1" t="str">
        <f>IFERROR(VLOOKUP(C1657,'Clients List'!A:F,6,FALSE),"")</f>
        <v/>
      </c>
    </row>
    <row r="1658" spans="4:9" x14ac:dyDescent="0.45">
      <c r="D1658" t="str">
        <f>IFERROR(VLOOKUP(C1658,'Clients List'!$A:$F,2,FALSE),"")</f>
        <v/>
      </c>
      <c r="F1658" s="1" t="str">
        <f>IF(OR(C1658="",NOT(ISNUMBER(SEARCH("Package",D1658)))),"",VLOOKUP(C1658,'Clients List'!$A:$F,4,FALSE)-SUMIFS($E$2:$E1658,$C$2:$C1658,C1658,$D$2:$D1658,"*Package*"))</f>
        <v/>
      </c>
      <c r="G1658" t="str">
        <f t="shared" si="57"/>
        <v/>
      </c>
      <c r="H1658" s="33">
        <f>IF(ISNUMBER(SEARCH("Group",D1658)),IF(G1658="",E1658,IFERROR(E1658/COUNTIF($G2:$G6000,G1658),E1658)),E1658)</f>
        <v>0</v>
      </c>
      <c r="I1658" s="1" t="str">
        <f>IFERROR(VLOOKUP(C1658,'Clients List'!A:F,6,FALSE),"")</f>
        <v/>
      </c>
    </row>
    <row r="1659" spans="4:9" x14ac:dyDescent="0.45">
      <c r="D1659" t="str">
        <f>IFERROR(VLOOKUP(C1659,'Clients List'!$A:$F,2,FALSE),"")</f>
        <v/>
      </c>
      <c r="F1659" s="1" t="str">
        <f>IF(OR(C1659="",NOT(ISNUMBER(SEARCH("Package",D1659)))),"",VLOOKUP(C1659,'Clients List'!$A:$F,4,FALSE)-SUMIFS($E$2:$E1659,$C$2:$C1659,C1659,$D$2:$D1659,"*Package*"))</f>
        <v/>
      </c>
      <c r="G1659" t="str">
        <f t="shared" si="57"/>
        <v/>
      </c>
      <c r="H1659" s="33">
        <f>IF(ISNUMBER(SEARCH("Group",D1659)),IF(G1659="",E1659,IFERROR(E1659/COUNTIF($G2:$G6000,G1659),E1659)),E1659)</f>
        <v>0</v>
      </c>
      <c r="I1659" s="1" t="str">
        <f>IFERROR(VLOOKUP(C1659,'Clients List'!A:F,6,FALSE),"")</f>
        <v/>
      </c>
    </row>
    <row r="1660" spans="4:9" x14ac:dyDescent="0.45">
      <c r="D1660" t="str">
        <f>IFERROR(VLOOKUP(C1660,'Clients List'!$A:$F,2,FALSE),"")</f>
        <v/>
      </c>
      <c r="F1660" s="1" t="str">
        <f>IF(OR(C1660="",NOT(ISNUMBER(SEARCH("Package",D1660)))),"",VLOOKUP(C1660,'Clients List'!$A:$F,4,FALSE)-SUMIFS($E$2:$E1660,$C$2:$C1660,C1660,$D$2:$D1660,"*Package*"))</f>
        <v/>
      </c>
      <c r="G1660" t="str">
        <f t="shared" si="57"/>
        <v/>
      </c>
      <c r="H1660" s="33">
        <f>IF(ISNUMBER(SEARCH("Group",D1660)),IF(G1660="",E1660,IFERROR(E1660/COUNTIF($G2:$G6000,G1660),E1660)),E1660)</f>
        <v>0</v>
      </c>
      <c r="I1660" s="1" t="str">
        <f>IFERROR(VLOOKUP(C1660,'Clients List'!A:F,6,FALSE),"")</f>
        <v/>
      </c>
    </row>
    <row r="1661" spans="4:9" x14ac:dyDescent="0.45">
      <c r="D1661" t="str">
        <f>IFERROR(VLOOKUP(C1661,'Clients List'!$A:$F,2,FALSE),"")</f>
        <v/>
      </c>
      <c r="F1661" s="1" t="str">
        <f>IF(OR(C1661="",NOT(ISNUMBER(SEARCH("Package",D1661)))),"",VLOOKUP(C1661,'Clients List'!$A:$F,4,FALSE)-SUMIFS($E$2:$E1661,$C$2:$C1661,C1661,$D$2:$D1661,"*Package*"))</f>
        <v/>
      </c>
      <c r="G1661" t="str">
        <f t="shared" si="57"/>
        <v/>
      </c>
      <c r="H1661" s="33">
        <f>IF(ISNUMBER(SEARCH("Group",D1661)),IF(G1661="",E1661,IFERROR(E1661/COUNTIF($G2:$G6000,G1661),E1661)),E1661)</f>
        <v>0</v>
      </c>
      <c r="I1661" s="1" t="str">
        <f>IFERROR(VLOOKUP(C1661,'Clients List'!A:F,6,FALSE),"")</f>
        <v/>
      </c>
    </row>
    <row r="1662" spans="4:9" x14ac:dyDescent="0.45">
      <c r="D1662" t="str">
        <f>IFERROR(VLOOKUP(C1662,'Clients List'!$A:$F,2,FALSE),"")</f>
        <v/>
      </c>
      <c r="F1662" s="1" t="str">
        <f>IF(OR(C1662="",NOT(ISNUMBER(SEARCH("Package",D1662)))),"",VLOOKUP(C1662,'Clients List'!$A:$F,4,FALSE)-SUMIFS($E$2:$E1662,$C$2:$C1662,C1662,$D$2:$D1662,"*Package*"))</f>
        <v/>
      </c>
      <c r="G1662" t="str">
        <f t="shared" si="57"/>
        <v/>
      </c>
      <c r="H1662" s="33">
        <f>IF(ISNUMBER(SEARCH("Group",D1662)),IF(G1662="",E1662,IFERROR(E1662/COUNTIF($G2:$G6000,G1662),E1662)),E1662)</f>
        <v>0</v>
      </c>
      <c r="I1662" s="1" t="str">
        <f>IFERROR(VLOOKUP(C1662,'Clients List'!A:F,6,FALSE),"")</f>
        <v/>
      </c>
    </row>
    <row r="1663" spans="4:9" x14ac:dyDescent="0.45">
      <c r="D1663" t="str">
        <f>IFERROR(VLOOKUP(C1663,'Clients List'!$A:$F,2,FALSE),"")</f>
        <v/>
      </c>
      <c r="F1663" s="1" t="str">
        <f>IF(OR(C1663="",NOT(ISNUMBER(SEARCH("Package",D1663)))),"",VLOOKUP(C1663,'Clients List'!$A:$F,4,FALSE)-SUMIFS($E$2:$E1663,$C$2:$C1663,C1663,$D$2:$D1663,"*Package*"))</f>
        <v/>
      </c>
      <c r="G1663" t="str">
        <f t="shared" si="57"/>
        <v/>
      </c>
      <c r="H1663" s="33">
        <f>IF(ISNUMBER(SEARCH("Group",D1663)),IF(G1663="",E1663,IFERROR(E1663/COUNTIF($G2:$G6000,G1663),E1663)),E1663)</f>
        <v>0</v>
      </c>
      <c r="I1663" s="1" t="str">
        <f>IFERROR(VLOOKUP(C1663,'Clients List'!A:F,6,FALSE),"")</f>
        <v/>
      </c>
    </row>
    <row r="1664" spans="4:9" x14ac:dyDescent="0.45">
      <c r="D1664" t="str">
        <f>IFERROR(VLOOKUP(C1664,'Clients List'!$A:$F,2,FALSE),"")</f>
        <v/>
      </c>
      <c r="F1664" s="1" t="str">
        <f>IF(OR(C1664="",NOT(ISNUMBER(SEARCH("Package",D1664)))),"",VLOOKUP(C1664,'Clients List'!$A:$F,4,FALSE)-SUMIFS($E$2:$E1664,$C$2:$C1664,C1664,$D$2:$D1664,"*Package*"))</f>
        <v/>
      </c>
      <c r="G1664" t="str">
        <f t="shared" si="57"/>
        <v/>
      </c>
      <c r="H1664" s="33">
        <f>IF(ISNUMBER(SEARCH("Group",D1664)),IF(G1664="",E1664,IFERROR(E1664/COUNTIF($G2:$G6000,G1664),E1664)),E1664)</f>
        <v>0</v>
      </c>
      <c r="I1664" s="1" t="str">
        <f>IFERROR(VLOOKUP(C1664,'Clients List'!A:F,6,FALSE),"")</f>
        <v/>
      </c>
    </row>
    <row r="1665" spans="4:9" x14ac:dyDescent="0.45">
      <c r="D1665" t="str">
        <f>IFERROR(VLOOKUP(C1665,'Clients List'!$A:$F,2,FALSE),"")</f>
        <v/>
      </c>
      <c r="F1665" s="1" t="str">
        <f>IF(OR(C1665="",NOT(ISNUMBER(SEARCH("Package",D1665)))),"",VLOOKUP(C1665,'Clients List'!$A:$F,4,FALSE)-SUMIFS($E$2:$E1665,$C$2:$C1665,C1665,$D$2:$D1665,"*Package*"))</f>
        <v/>
      </c>
      <c r="G1665" t="str">
        <f t="shared" si="57"/>
        <v/>
      </c>
      <c r="H1665" s="33">
        <f>IF(ISNUMBER(SEARCH("Group",D1665)),IF(G1665="",E1665,IFERROR(E1665/COUNTIF($G2:$G6000,G1665),E1665)),E1665)</f>
        <v>0</v>
      </c>
      <c r="I1665" s="1" t="str">
        <f>IFERROR(VLOOKUP(C1665,'Clients List'!A:F,6,FALSE),"")</f>
        <v/>
      </c>
    </row>
    <row r="1666" spans="4:9" x14ac:dyDescent="0.45">
      <c r="D1666" t="str">
        <f>IFERROR(VLOOKUP(C1666,'Clients List'!$A:$F,2,FALSE),"")</f>
        <v/>
      </c>
      <c r="F1666" s="1" t="str">
        <f>IF(OR(C1666="",NOT(ISNUMBER(SEARCH("Package",D1666)))),"",VLOOKUP(C1666,'Clients List'!$A:$F,4,FALSE)-SUMIFS($E$2:$E1666,$C$2:$C1666,C1666,$D$2:$D1666,"*Package*"))</f>
        <v/>
      </c>
      <c r="G1666" t="str">
        <f t="shared" si="57"/>
        <v/>
      </c>
      <c r="H1666" s="33">
        <f>IF(ISNUMBER(SEARCH("Group",D1666)),IF(G1666="",E1666,IFERROR(E1666/COUNTIF($G2:$G6000,G1666),E1666)),E1666)</f>
        <v>0</v>
      </c>
      <c r="I1666" s="1" t="str">
        <f>IFERROR(VLOOKUP(C1666,'Clients List'!A:F,6,FALSE),"")</f>
        <v/>
      </c>
    </row>
    <row r="1667" spans="4:9" x14ac:dyDescent="0.45">
      <c r="D1667" t="str">
        <f>IFERROR(VLOOKUP(C1667,'Clients List'!$A:$F,2,FALSE),"")</f>
        <v/>
      </c>
      <c r="F1667" s="1" t="str">
        <f>IF(OR(C1667="",NOT(ISNUMBER(SEARCH("Package",D1667)))),"",VLOOKUP(C1667,'Clients List'!$A:$F,4,FALSE)-SUMIFS($E$2:$E1667,$C$2:$C1667,C1667,$D$2:$D1667,"*Package*"))</f>
        <v/>
      </c>
      <c r="G1667" t="str">
        <f t="shared" si="57"/>
        <v/>
      </c>
      <c r="H1667" s="33">
        <f>IF(ISNUMBER(SEARCH("Group",D1667)),IF(G1667="",E1667,IFERROR(E1667/COUNTIF($G2:$G6000,G1667),E1667)),E1667)</f>
        <v>0</v>
      </c>
      <c r="I1667" s="1" t="str">
        <f>IFERROR(VLOOKUP(C1667,'Clients List'!A:F,6,FALSE),"")</f>
        <v/>
      </c>
    </row>
    <row r="1668" spans="4:9" x14ac:dyDescent="0.45">
      <c r="D1668" t="str">
        <f>IFERROR(VLOOKUP(C1668,'Clients List'!$A:$F,2,FALSE),"")</f>
        <v/>
      </c>
      <c r="F1668" s="1" t="str">
        <f>IF(OR(C1668="",NOT(ISNUMBER(SEARCH("Package",D1668)))),"",VLOOKUP(C1668,'Clients List'!$A:$F,4,FALSE)-SUMIFS($E$2:$E1668,$C$2:$C1668,C1668,$D$2:$D1668,"*Package*"))</f>
        <v/>
      </c>
      <c r="G1668" t="str">
        <f t="shared" si="57"/>
        <v/>
      </c>
      <c r="H1668" s="33">
        <f>IF(ISNUMBER(SEARCH("Group",D1668)),IF(G1668="",E1668,IFERROR(E1668/COUNTIF($G2:$G6000,G1668),E1668)),E1668)</f>
        <v>0</v>
      </c>
      <c r="I1668" s="1" t="str">
        <f>IFERROR(VLOOKUP(C1668,'Clients List'!A:F,6,FALSE),"")</f>
        <v/>
      </c>
    </row>
    <row r="1669" spans="4:9" x14ac:dyDescent="0.45">
      <c r="D1669" t="str">
        <f>IFERROR(VLOOKUP(C1669,'Clients List'!$A:$F,2,FALSE),"")</f>
        <v/>
      </c>
      <c r="F1669" s="1" t="str">
        <f>IF(OR(C1669="",NOT(ISNUMBER(SEARCH("Package",D1669)))),"",VLOOKUP(C1669,'Clients List'!$A:$F,4,FALSE)-SUMIFS($E$2:$E1669,$C$2:$C1669,C1669,$D$2:$D1669,"*Package*"))</f>
        <v/>
      </c>
      <c r="G1669" t="str">
        <f t="shared" si="57"/>
        <v/>
      </c>
      <c r="H1669" s="33">
        <f>IF(ISNUMBER(SEARCH("Group",D1669)),IF(G1669="",E1669,IFERROR(E1669/COUNTIF($G2:$G6000,G1669),E1669)),E1669)</f>
        <v>0</v>
      </c>
      <c r="I1669" s="1" t="str">
        <f>IFERROR(VLOOKUP(C1669,'Clients List'!A:F,6,FALSE),"")</f>
        <v/>
      </c>
    </row>
    <row r="1670" spans="4:9" x14ac:dyDescent="0.45">
      <c r="D1670" t="str">
        <f>IFERROR(VLOOKUP(C1670,'Clients List'!$A:$F,2,FALSE),"")</f>
        <v/>
      </c>
      <c r="F1670" s="1" t="str">
        <f>IF(OR(C1670="",NOT(ISNUMBER(SEARCH("Package",D1670)))),"",VLOOKUP(C1670,'Clients List'!$A:$F,4,FALSE)-SUMIFS($E$2:$E1670,$C$2:$C1670,C1670,$D$2:$D1670,"*Package*"))</f>
        <v/>
      </c>
      <c r="G1670" t="str">
        <f t="shared" si="57"/>
        <v/>
      </c>
      <c r="H1670" s="33">
        <f>IF(ISNUMBER(SEARCH("Group",D1670)),IF(G1670="",E1670,IFERROR(E1670/COUNTIF($G2:$G6000,G1670),E1670)),E1670)</f>
        <v>0</v>
      </c>
      <c r="I1670" s="1" t="str">
        <f>IFERROR(VLOOKUP(C1670,'Clients List'!A:F,6,FALSE),"")</f>
        <v/>
      </c>
    </row>
    <row r="1671" spans="4:9" x14ac:dyDescent="0.45">
      <c r="D1671" t="str">
        <f>IFERROR(VLOOKUP(C1671,'Clients List'!$A:$F,2,FALSE),"")</f>
        <v/>
      </c>
      <c r="F1671" s="1" t="str">
        <f>IF(OR(C1671="",NOT(ISNUMBER(SEARCH("Package",D1671)))),"",VLOOKUP(C1671,'Clients List'!$A:$F,4,FALSE)-SUMIFS($E$2:$E1671,$C$2:$C1671,C1671,$D$2:$D1671,"*Package*"))</f>
        <v/>
      </c>
      <c r="G1671" t="str">
        <f t="shared" si="57"/>
        <v/>
      </c>
      <c r="H1671" s="33">
        <f>IF(ISNUMBER(SEARCH("Group",D1671)),IF(G1671="",E1671,IFERROR(E1671/COUNTIF($G2:$G6000,G1671),E1671)),E1671)</f>
        <v>0</v>
      </c>
      <c r="I1671" s="1" t="str">
        <f>IFERROR(VLOOKUP(C1671,'Clients List'!A:F,6,FALSE),"")</f>
        <v/>
      </c>
    </row>
    <row r="1672" spans="4:9" x14ac:dyDescent="0.45">
      <c r="D1672" t="str">
        <f>IFERROR(VLOOKUP(C1672,'Clients List'!$A:$F,2,FALSE),"")</f>
        <v/>
      </c>
      <c r="F1672" s="1" t="str">
        <f>IF(OR(C1672="",NOT(ISNUMBER(SEARCH("Package",D1672)))),"",VLOOKUP(C1672,'Clients List'!$A:$F,4,FALSE)-SUMIFS($E$2:$E1672,$C$2:$C1672,C1672,$D$2:$D1672,"*Package*"))</f>
        <v/>
      </c>
      <c r="G1672" t="str">
        <f t="shared" ref="G1672:G1703" si="58">IF(ISNUMBER(SEARCH("Group",D1672)),IFERROR("GRP-"&amp;TEXT(IF(ISNUMBER(A1672),A1672,DATEVALUE(A1672)),"yyyymmdd"),""),"" )</f>
        <v/>
      </c>
      <c r="H1672" s="33">
        <f>IF(ISNUMBER(SEARCH("Group",D1672)),IF(G1672="",E1672,IFERROR(E1672/COUNTIF($G2:$G6000,G1672),E1672)),E1672)</f>
        <v>0</v>
      </c>
      <c r="I1672" s="1" t="str">
        <f>IFERROR(VLOOKUP(C1672,'Clients List'!A:F,6,FALSE),"")</f>
        <v/>
      </c>
    </row>
    <row r="1673" spans="4:9" x14ac:dyDescent="0.45">
      <c r="D1673" t="str">
        <f>IFERROR(VLOOKUP(C1673,'Clients List'!$A:$F,2,FALSE),"")</f>
        <v/>
      </c>
      <c r="F1673" s="1" t="str">
        <f>IF(OR(C1673="",NOT(ISNUMBER(SEARCH("Package",D1673)))),"",VLOOKUP(C1673,'Clients List'!$A:$F,4,FALSE)-SUMIFS($E$2:$E1673,$C$2:$C1673,C1673,$D$2:$D1673,"*Package*"))</f>
        <v/>
      </c>
      <c r="G1673" t="str">
        <f t="shared" si="58"/>
        <v/>
      </c>
      <c r="H1673" s="33">
        <f>IF(ISNUMBER(SEARCH("Group",D1673)),IF(G1673="",E1673,IFERROR(E1673/COUNTIF($G2:$G6000,G1673),E1673)),E1673)</f>
        <v>0</v>
      </c>
      <c r="I1673" s="1" t="str">
        <f>IFERROR(VLOOKUP(C1673,'Clients List'!A:F,6,FALSE),"")</f>
        <v/>
      </c>
    </row>
    <row r="1674" spans="4:9" x14ac:dyDescent="0.45">
      <c r="D1674" t="str">
        <f>IFERROR(VLOOKUP(C1674,'Clients List'!$A:$F,2,FALSE),"")</f>
        <v/>
      </c>
      <c r="F1674" s="1" t="str">
        <f>IF(OR(C1674="",NOT(ISNUMBER(SEARCH("Package",D1674)))),"",VLOOKUP(C1674,'Clients List'!$A:$F,4,FALSE)-SUMIFS($E$2:$E1674,$C$2:$C1674,C1674,$D$2:$D1674,"*Package*"))</f>
        <v/>
      </c>
      <c r="G1674" t="str">
        <f t="shared" si="58"/>
        <v/>
      </c>
      <c r="H1674" s="33">
        <f>IF(ISNUMBER(SEARCH("Group",D1674)),IF(G1674="",E1674,IFERROR(E1674/COUNTIF($G2:$G6000,G1674),E1674)),E1674)</f>
        <v>0</v>
      </c>
      <c r="I1674" s="1" t="str">
        <f>IFERROR(VLOOKUP(C1674,'Clients List'!A:F,6,FALSE),"")</f>
        <v/>
      </c>
    </row>
    <row r="1675" spans="4:9" x14ac:dyDescent="0.45">
      <c r="D1675" t="str">
        <f>IFERROR(VLOOKUP(C1675,'Clients List'!$A:$F,2,FALSE),"")</f>
        <v/>
      </c>
      <c r="F1675" s="1" t="str">
        <f>IF(OR(C1675="",NOT(ISNUMBER(SEARCH("Package",D1675)))),"",VLOOKUP(C1675,'Clients List'!$A:$F,4,FALSE)-SUMIFS($E$2:$E1675,$C$2:$C1675,C1675,$D$2:$D1675,"*Package*"))</f>
        <v/>
      </c>
      <c r="G1675" t="str">
        <f t="shared" si="58"/>
        <v/>
      </c>
      <c r="H1675" s="33">
        <f>IF(ISNUMBER(SEARCH("Group",D1675)),IF(G1675="",E1675,IFERROR(E1675/COUNTIF($G2:$G6000,G1675),E1675)),E1675)</f>
        <v>0</v>
      </c>
      <c r="I1675" s="1" t="str">
        <f>IFERROR(VLOOKUP(C1675,'Clients List'!A:F,6,FALSE),"")</f>
        <v/>
      </c>
    </row>
    <row r="1676" spans="4:9" x14ac:dyDescent="0.45">
      <c r="D1676" t="str">
        <f>IFERROR(VLOOKUP(C1676,'Clients List'!$A:$F,2,FALSE),"")</f>
        <v/>
      </c>
      <c r="F1676" s="1" t="str">
        <f>IF(OR(C1676="",NOT(ISNUMBER(SEARCH("Package",D1676)))),"",VLOOKUP(C1676,'Clients List'!$A:$F,4,FALSE)-SUMIFS($E$2:$E1676,$C$2:$C1676,C1676,$D$2:$D1676,"*Package*"))</f>
        <v/>
      </c>
      <c r="G1676" t="str">
        <f t="shared" si="58"/>
        <v/>
      </c>
      <c r="H1676" s="33">
        <f>IF(ISNUMBER(SEARCH("Group",D1676)),IF(G1676="",E1676,IFERROR(E1676/COUNTIF($G2:$G6000,G1676),E1676)),E1676)</f>
        <v>0</v>
      </c>
      <c r="I1676" s="1" t="str">
        <f>IFERROR(VLOOKUP(C1676,'Clients List'!A:F,6,FALSE),"")</f>
        <v/>
      </c>
    </row>
    <row r="1677" spans="4:9" x14ac:dyDescent="0.45">
      <c r="D1677" t="str">
        <f>IFERROR(VLOOKUP(C1677,'Clients List'!$A:$F,2,FALSE),"")</f>
        <v/>
      </c>
      <c r="F1677" s="1" t="str">
        <f>IF(OR(C1677="",NOT(ISNUMBER(SEARCH("Package",D1677)))),"",VLOOKUP(C1677,'Clients List'!$A:$F,4,FALSE)-SUMIFS($E$2:$E1677,$C$2:$C1677,C1677,$D$2:$D1677,"*Package*"))</f>
        <v/>
      </c>
      <c r="G1677" t="str">
        <f t="shared" si="58"/>
        <v/>
      </c>
      <c r="H1677" s="33">
        <f>IF(ISNUMBER(SEARCH("Group",D1677)),IF(G1677="",E1677,IFERROR(E1677/COUNTIF($G2:$G6000,G1677),E1677)),E1677)</f>
        <v>0</v>
      </c>
      <c r="I1677" s="1" t="str">
        <f>IFERROR(VLOOKUP(C1677,'Clients List'!A:F,6,FALSE),"")</f>
        <v/>
      </c>
    </row>
    <row r="1678" spans="4:9" x14ac:dyDescent="0.45">
      <c r="D1678" t="str">
        <f>IFERROR(VLOOKUP(C1678,'Clients List'!$A:$F,2,FALSE),"")</f>
        <v/>
      </c>
      <c r="F1678" s="1" t="str">
        <f>IF(OR(C1678="",NOT(ISNUMBER(SEARCH("Package",D1678)))),"",VLOOKUP(C1678,'Clients List'!$A:$F,4,FALSE)-SUMIFS($E$2:$E1678,$C$2:$C1678,C1678,$D$2:$D1678,"*Package*"))</f>
        <v/>
      </c>
      <c r="G1678" t="str">
        <f t="shared" si="58"/>
        <v/>
      </c>
      <c r="H1678" s="33">
        <f>IF(ISNUMBER(SEARCH("Group",D1678)),IF(G1678="",E1678,IFERROR(E1678/COUNTIF($G2:$G6000,G1678),E1678)),E1678)</f>
        <v>0</v>
      </c>
      <c r="I1678" s="1" t="str">
        <f>IFERROR(VLOOKUP(C1678,'Clients List'!A:F,6,FALSE),"")</f>
        <v/>
      </c>
    </row>
    <row r="1679" spans="4:9" x14ac:dyDescent="0.45">
      <c r="D1679" t="str">
        <f>IFERROR(VLOOKUP(C1679,'Clients List'!$A:$F,2,FALSE),"")</f>
        <v/>
      </c>
      <c r="F1679" s="1" t="str">
        <f>IF(OR(C1679="",NOT(ISNUMBER(SEARCH("Package",D1679)))),"",VLOOKUP(C1679,'Clients List'!$A:$F,4,FALSE)-SUMIFS($E$2:$E1679,$C$2:$C1679,C1679,$D$2:$D1679,"*Package*"))</f>
        <v/>
      </c>
      <c r="G1679" t="str">
        <f t="shared" si="58"/>
        <v/>
      </c>
      <c r="H1679" s="33">
        <f>IF(ISNUMBER(SEARCH("Group",D1679)),IF(G1679="",E1679,IFERROR(E1679/COUNTIF($G2:$G6000,G1679),E1679)),E1679)</f>
        <v>0</v>
      </c>
      <c r="I1679" s="1" t="str">
        <f>IFERROR(VLOOKUP(C1679,'Clients List'!A:F,6,FALSE),"")</f>
        <v/>
      </c>
    </row>
    <row r="1680" spans="4:9" x14ac:dyDescent="0.45">
      <c r="D1680" t="str">
        <f>IFERROR(VLOOKUP(C1680,'Clients List'!$A:$F,2,FALSE),"")</f>
        <v/>
      </c>
      <c r="F1680" s="1" t="str">
        <f>IF(OR(C1680="",NOT(ISNUMBER(SEARCH("Package",D1680)))),"",VLOOKUP(C1680,'Clients List'!$A:$F,4,FALSE)-SUMIFS($E$2:$E1680,$C$2:$C1680,C1680,$D$2:$D1680,"*Package*"))</f>
        <v/>
      </c>
      <c r="G1680" t="str">
        <f t="shared" si="58"/>
        <v/>
      </c>
      <c r="H1680" s="33">
        <f>IF(ISNUMBER(SEARCH("Group",D1680)),IF(G1680="",E1680,IFERROR(E1680/COUNTIF($G2:$G6000,G1680),E1680)),E1680)</f>
        <v>0</v>
      </c>
      <c r="I1680" s="1" t="str">
        <f>IFERROR(VLOOKUP(C1680,'Clients List'!A:F,6,FALSE),"")</f>
        <v/>
      </c>
    </row>
    <row r="1681" spans="4:9" x14ac:dyDescent="0.45">
      <c r="D1681" t="str">
        <f>IFERROR(VLOOKUP(C1681,'Clients List'!$A:$F,2,FALSE),"")</f>
        <v/>
      </c>
      <c r="F1681" s="1" t="str">
        <f>IF(OR(C1681="",NOT(ISNUMBER(SEARCH("Package",D1681)))),"",VLOOKUP(C1681,'Clients List'!$A:$F,4,FALSE)-SUMIFS($E$2:$E1681,$C$2:$C1681,C1681,$D$2:$D1681,"*Package*"))</f>
        <v/>
      </c>
      <c r="G1681" t="str">
        <f t="shared" si="58"/>
        <v/>
      </c>
      <c r="H1681" s="33">
        <f>IF(ISNUMBER(SEARCH("Group",D1681)),IF(G1681="",E1681,IFERROR(E1681/COUNTIF($G2:$G6000,G1681),E1681)),E1681)</f>
        <v>0</v>
      </c>
      <c r="I1681" s="1" t="str">
        <f>IFERROR(VLOOKUP(C1681,'Clients List'!A:F,6,FALSE),"")</f>
        <v/>
      </c>
    </row>
    <row r="1682" spans="4:9" x14ac:dyDescent="0.45">
      <c r="D1682" t="str">
        <f>IFERROR(VLOOKUP(C1682,'Clients List'!$A:$F,2,FALSE),"")</f>
        <v/>
      </c>
      <c r="F1682" s="1" t="str">
        <f>IF(OR(C1682="",NOT(ISNUMBER(SEARCH("Package",D1682)))),"",VLOOKUP(C1682,'Clients List'!$A:$F,4,FALSE)-SUMIFS($E$2:$E1682,$C$2:$C1682,C1682,$D$2:$D1682,"*Package*"))</f>
        <v/>
      </c>
      <c r="G1682" t="str">
        <f t="shared" si="58"/>
        <v/>
      </c>
      <c r="H1682" s="33">
        <f>IF(ISNUMBER(SEARCH("Group",D1682)),IF(G1682="",E1682,IFERROR(E1682/COUNTIF($G2:$G6000,G1682),E1682)),E1682)</f>
        <v>0</v>
      </c>
      <c r="I1682" s="1" t="str">
        <f>IFERROR(VLOOKUP(C1682,'Clients List'!A:F,6,FALSE),"")</f>
        <v/>
      </c>
    </row>
    <row r="1683" spans="4:9" x14ac:dyDescent="0.45">
      <c r="D1683" t="str">
        <f>IFERROR(VLOOKUP(C1683,'Clients List'!$A:$F,2,FALSE),"")</f>
        <v/>
      </c>
      <c r="F1683" s="1" t="str">
        <f>IF(OR(C1683="",NOT(ISNUMBER(SEARCH("Package",D1683)))),"",VLOOKUP(C1683,'Clients List'!$A:$F,4,FALSE)-SUMIFS($E$2:$E1683,$C$2:$C1683,C1683,$D$2:$D1683,"*Package*"))</f>
        <v/>
      </c>
      <c r="G1683" t="str">
        <f t="shared" si="58"/>
        <v/>
      </c>
      <c r="H1683" s="33">
        <f>IF(ISNUMBER(SEARCH("Group",D1683)),IF(G1683="",E1683,IFERROR(E1683/COUNTIF($G2:$G6000,G1683),E1683)),E1683)</f>
        <v>0</v>
      </c>
      <c r="I1683" s="1" t="str">
        <f>IFERROR(VLOOKUP(C1683,'Clients List'!A:F,6,FALSE),"")</f>
        <v/>
      </c>
    </row>
    <row r="1684" spans="4:9" x14ac:dyDescent="0.45">
      <c r="D1684" t="str">
        <f>IFERROR(VLOOKUP(C1684,'Clients List'!$A:$F,2,FALSE),"")</f>
        <v/>
      </c>
      <c r="F1684" s="1" t="str">
        <f>IF(OR(C1684="",NOT(ISNUMBER(SEARCH("Package",D1684)))),"",VLOOKUP(C1684,'Clients List'!$A:$F,4,FALSE)-SUMIFS($E$2:$E1684,$C$2:$C1684,C1684,$D$2:$D1684,"*Package*"))</f>
        <v/>
      </c>
      <c r="G1684" t="str">
        <f t="shared" si="58"/>
        <v/>
      </c>
      <c r="H1684" s="33">
        <f>IF(ISNUMBER(SEARCH("Group",D1684)),IF(G1684="",E1684,IFERROR(E1684/COUNTIF($G2:$G6000,G1684),E1684)),E1684)</f>
        <v>0</v>
      </c>
      <c r="I1684" s="1" t="str">
        <f>IFERROR(VLOOKUP(C1684,'Clients List'!A:F,6,FALSE),"")</f>
        <v/>
      </c>
    </row>
    <row r="1685" spans="4:9" x14ac:dyDescent="0.45">
      <c r="D1685" t="str">
        <f>IFERROR(VLOOKUP(C1685,'Clients List'!$A:$F,2,FALSE),"")</f>
        <v/>
      </c>
      <c r="F1685" s="1" t="str">
        <f>IF(OR(C1685="",NOT(ISNUMBER(SEARCH("Package",D1685)))),"",VLOOKUP(C1685,'Clients List'!$A:$F,4,FALSE)-SUMIFS($E$2:$E1685,$C$2:$C1685,C1685,$D$2:$D1685,"*Package*"))</f>
        <v/>
      </c>
      <c r="G1685" t="str">
        <f t="shared" si="58"/>
        <v/>
      </c>
      <c r="H1685" s="33">
        <f>IF(ISNUMBER(SEARCH("Group",D1685)),IF(G1685="",E1685,IFERROR(E1685/COUNTIF($G2:$G6000,G1685),E1685)),E1685)</f>
        <v>0</v>
      </c>
      <c r="I1685" s="1" t="str">
        <f>IFERROR(VLOOKUP(C1685,'Clients List'!A:F,6,FALSE),"")</f>
        <v/>
      </c>
    </row>
    <row r="1686" spans="4:9" x14ac:dyDescent="0.45">
      <c r="D1686" t="str">
        <f>IFERROR(VLOOKUP(C1686,'Clients List'!$A:$F,2,FALSE),"")</f>
        <v/>
      </c>
      <c r="F1686" s="1" t="str">
        <f>IF(OR(C1686="",NOT(ISNUMBER(SEARCH("Package",D1686)))),"",VLOOKUP(C1686,'Clients List'!$A:$F,4,FALSE)-SUMIFS($E$2:$E1686,$C$2:$C1686,C1686,$D$2:$D1686,"*Package*"))</f>
        <v/>
      </c>
      <c r="G1686" t="str">
        <f t="shared" si="58"/>
        <v/>
      </c>
      <c r="H1686" s="33">
        <f>IF(ISNUMBER(SEARCH("Group",D1686)),IF(G1686="",E1686,IFERROR(E1686/COUNTIF($G2:$G6000,G1686),E1686)),E1686)</f>
        <v>0</v>
      </c>
      <c r="I1686" s="1" t="str">
        <f>IFERROR(VLOOKUP(C1686,'Clients List'!A:F,6,FALSE),"")</f>
        <v/>
      </c>
    </row>
    <row r="1687" spans="4:9" x14ac:dyDescent="0.45">
      <c r="D1687" t="str">
        <f>IFERROR(VLOOKUP(C1687,'Clients List'!$A:$F,2,FALSE),"")</f>
        <v/>
      </c>
      <c r="F1687" s="1" t="str">
        <f>IF(OR(C1687="",NOT(ISNUMBER(SEARCH("Package",D1687)))),"",VLOOKUP(C1687,'Clients List'!$A:$F,4,FALSE)-SUMIFS($E$2:$E1687,$C$2:$C1687,C1687,$D$2:$D1687,"*Package*"))</f>
        <v/>
      </c>
      <c r="G1687" t="str">
        <f t="shared" si="58"/>
        <v/>
      </c>
      <c r="H1687" s="33">
        <f>IF(ISNUMBER(SEARCH("Group",D1687)),IF(G1687="",E1687,IFERROR(E1687/COUNTIF($G2:$G6000,G1687),E1687)),E1687)</f>
        <v>0</v>
      </c>
      <c r="I1687" s="1" t="str">
        <f>IFERROR(VLOOKUP(C1687,'Clients List'!A:F,6,FALSE),"")</f>
        <v/>
      </c>
    </row>
    <row r="1688" spans="4:9" x14ac:dyDescent="0.45">
      <c r="D1688" t="str">
        <f>IFERROR(VLOOKUP(C1688,'Clients List'!$A:$F,2,FALSE),"")</f>
        <v/>
      </c>
      <c r="F1688" s="1" t="str">
        <f>IF(OR(C1688="",NOT(ISNUMBER(SEARCH("Package",D1688)))),"",VLOOKUP(C1688,'Clients List'!$A:$F,4,FALSE)-SUMIFS($E$2:$E1688,$C$2:$C1688,C1688,$D$2:$D1688,"*Package*"))</f>
        <v/>
      </c>
      <c r="G1688" t="str">
        <f t="shared" si="58"/>
        <v/>
      </c>
      <c r="H1688" s="33">
        <f>IF(ISNUMBER(SEARCH("Group",D1688)),IF(G1688="",E1688,IFERROR(E1688/COUNTIF($G2:$G6000,G1688),E1688)),E1688)</f>
        <v>0</v>
      </c>
      <c r="I1688" s="1" t="str">
        <f>IFERROR(VLOOKUP(C1688,'Clients List'!A:F,6,FALSE),"")</f>
        <v/>
      </c>
    </row>
    <row r="1689" spans="4:9" x14ac:dyDescent="0.45">
      <c r="D1689" t="str">
        <f>IFERROR(VLOOKUP(C1689,'Clients List'!$A:$F,2,FALSE),"")</f>
        <v/>
      </c>
      <c r="F1689" s="1" t="str">
        <f>IF(OR(C1689="",NOT(ISNUMBER(SEARCH("Package",D1689)))),"",VLOOKUP(C1689,'Clients List'!$A:$F,4,FALSE)-SUMIFS($E$2:$E1689,$C$2:$C1689,C1689,$D$2:$D1689,"*Package*"))</f>
        <v/>
      </c>
      <c r="G1689" t="str">
        <f t="shared" si="58"/>
        <v/>
      </c>
      <c r="H1689" s="33">
        <f>IF(ISNUMBER(SEARCH("Group",D1689)),IF(G1689="",E1689,IFERROR(E1689/COUNTIF($G2:$G6000,G1689),E1689)),E1689)</f>
        <v>0</v>
      </c>
      <c r="I1689" s="1" t="str">
        <f>IFERROR(VLOOKUP(C1689,'Clients List'!A:F,6,FALSE),"")</f>
        <v/>
      </c>
    </row>
    <row r="1690" spans="4:9" x14ac:dyDescent="0.45">
      <c r="D1690" t="str">
        <f>IFERROR(VLOOKUP(C1690,'Clients List'!$A:$F,2,FALSE),"")</f>
        <v/>
      </c>
      <c r="F1690" s="1" t="str">
        <f>IF(OR(C1690="",NOT(ISNUMBER(SEARCH("Package",D1690)))),"",VLOOKUP(C1690,'Clients List'!$A:$F,4,FALSE)-SUMIFS($E$2:$E1690,$C$2:$C1690,C1690,$D$2:$D1690,"*Package*"))</f>
        <v/>
      </c>
      <c r="G1690" t="str">
        <f t="shared" si="58"/>
        <v/>
      </c>
      <c r="H1690" s="33">
        <f>IF(ISNUMBER(SEARCH("Group",D1690)),IF(G1690="",E1690,IFERROR(E1690/COUNTIF($G2:$G6000,G1690),E1690)),E1690)</f>
        <v>0</v>
      </c>
      <c r="I1690" s="1" t="str">
        <f>IFERROR(VLOOKUP(C1690,'Clients List'!A:F,6,FALSE),"")</f>
        <v/>
      </c>
    </row>
    <row r="1691" spans="4:9" x14ac:dyDescent="0.45">
      <c r="D1691" t="str">
        <f>IFERROR(VLOOKUP(C1691,'Clients List'!$A:$F,2,FALSE),"")</f>
        <v/>
      </c>
      <c r="F1691" s="1" t="str">
        <f>IF(OR(C1691="",NOT(ISNUMBER(SEARCH("Package",D1691)))),"",VLOOKUP(C1691,'Clients List'!$A:$F,4,FALSE)-SUMIFS($E$2:$E1691,$C$2:$C1691,C1691,$D$2:$D1691,"*Package*"))</f>
        <v/>
      </c>
      <c r="G1691" t="str">
        <f t="shared" si="58"/>
        <v/>
      </c>
      <c r="H1691" s="33">
        <f>IF(ISNUMBER(SEARCH("Group",D1691)),IF(G1691="",E1691,IFERROR(E1691/COUNTIF($G2:$G6000,G1691),E1691)),E1691)</f>
        <v>0</v>
      </c>
      <c r="I1691" s="1" t="str">
        <f>IFERROR(VLOOKUP(C1691,'Clients List'!A:F,6,FALSE),"")</f>
        <v/>
      </c>
    </row>
    <row r="1692" spans="4:9" x14ac:dyDescent="0.45">
      <c r="D1692" t="str">
        <f>IFERROR(VLOOKUP(C1692,'Clients List'!$A:$F,2,FALSE),"")</f>
        <v/>
      </c>
      <c r="F1692" s="1" t="str">
        <f>IF(OR(C1692="",NOT(ISNUMBER(SEARCH("Package",D1692)))),"",VLOOKUP(C1692,'Clients List'!$A:$F,4,FALSE)-SUMIFS($E$2:$E1692,$C$2:$C1692,C1692,$D$2:$D1692,"*Package*"))</f>
        <v/>
      </c>
      <c r="G1692" t="str">
        <f t="shared" si="58"/>
        <v/>
      </c>
      <c r="H1692" s="33">
        <f>IF(ISNUMBER(SEARCH("Group",D1692)),IF(G1692="",E1692,IFERROR(E1692/COUNTIF($G2:$G6000,G1692),E1692)),E1692)</f>
        <v>0</v>
      </c>
      <c r="I1692" s="1" t="str">
        <f>IFERROR(VLOOKUP(C1692,'Clients List'!A:F,6,FALSE),"")</f>
        <v/>
      </c>
    </row>
    <row r="1693" spans="4:9" x14ac:dyDescent="0.45">
      <c r="D1693" t="str">
        <f>IFERROR(VLOOKUP(C1693,'Clients List'!$A:$F,2,FALSE),"")</f>
        <v/>
      </c>
      <c r="F1693" s="1" t="str">
        <f>IF(OR(C1693="",NOT(ISNUMBER(SEARCH("Package",D1693)))),"",VLOOKUP(C1693,'Clients List'!$A:$F,4,FALSE)-SUMIFS($E$2:$E1693,$C$2:$C1693,C1693,$D$2:$D1693,"*Package*"))</f>
        <v/>
      </c>
      <c r="G1693" t="str">
        <f t="shared" si="58"/>
        <v/>
      </c>
      <c r="H1693" s="33">
        <f>IF(ISNUMBER(SEARCH("Group",D1693)),IF(G1693="",E1693,IFERROR(E1693/COUNTIF($G2:$G6000,G1693),E1693)),E1693)</f>
        <v>0</v>
      </c>
      <c r="I1693" s="1" t="str">
        <f>IFERROR(VLOOKUP(C1693,'Clients List'!A:F,6,FALSE),"")</f>
        <v/>
      </c>
    </row>
    <row r="1694" spans="4:9" x14ac:dyDescent="0.45">
      <c r="D1694" t="str">
        <f>IFERROR(VLOOKUP(C1694,'Clients List'!$A:$F,2,FALSE),"")</f>
        <v/>
      </c>
      <c r="F1694" s="1" t="str">
        <f>IF(OR(C1694="",NOT(ISNUMBER(SEARCH("Package",D1694)))),"",VLOOKUP(C1694,'Clients List'!$A:$F,4,FALSE)-SUMIFS($E$2:$E1694,$C$2:$C1694,C1694,$D$2:$D1694,"*Package*"))</f>
        <v/>
      </c>
      <c r="G1694" t="str">
        <f t="shared" si="58"/>
        <v/>
      </c>
      <c r="H1694" s="33">
        <f>IF(ISNUMBER(SEARCH("Group",D1694)),IF(G1694="",E1694,IFERROR(E1694/COUNTIF($G2:$G6000,G1694),E1694)),E1694)</f>
        <v>0</v>
      </c>
      <c r="I1694" s="1" t="str">
        <f>IFERROR(VLOOKUP(C1694,'Clients List'!A:F,6,FALSE),"")</f>
        <v/>
      </c>
    </row>
    <row r="1695" spans="4:9" x14ac:dyDescent="0.45">
      <c r="D1695" t="str">
        <f>IFERROR(VLOOKUP(C1695,'Clients List'!$A:$F,2,FALSE),"")</f>
        <v/>
      </c>
      <c r="F1695" s="1" t="str">
        <f>IF(OR(C1695="",NOT(ISNUMBER(SEARCH("Package",D1695)))),"",VLOOKUP(C1695,'Clients List'!$A:$F,4,FALSE)-SUMIFS($E$2:$E1695,$C$2:$C1695,C1695,$D$2:$D1695,"*Package*"))</f>
        <v/>
      </c>
      <c r="G1695" t="str">
        <f t="shared" si="58"/>
        <v/>
      </c>
      <c r="H1695" s="33">
        <f>IF(ISNUMBER(SEARCH("Group",D1695)),IF(G1695="",E1695,IFERROR(E1695/COUNTIF($G2:$G6000,G1695),E1695)),E1695)</f>
        <v>0</v>
      </c>
      <c r="I1695" s="1" t="str">
        <f>IFERROR(VLOOKUP(C1695,'Clients List'!A:F,6,FALSE),"")</f>
        <v/>
      </c>
    </row>
    <row r="1696" spans="4:9" x14ac:dyDescent="0.45">
      <c r="D1696" t="str">
        <f>IFERROR(VLOOKUP(C1696,'Clients List'!$A:$F,2,FALSE),"")</f>
        <v/>
      </c>
      <c r="F1696" s="1" t="str">
        <f>IF(OR(C1696="",NOT(ISNUMBER(SEARCH("Package",D1696)))),"",VLOOKUP(C1696,'Clients List'!$A:$F,4,FALSE)-SUMIFS($E$2:$E1696,$C$2:$C1696,C1696,$D$2:$D1696,"*Package*"))</f>
        <v/>
      </c>
      <c r="G1696" t="str">
        <f t="shared" si="58"/>
        <v/>
      </c>
      <c r="H1696" s="33">
        <f>IF(ISNUMBER(SEARCH("Group",D1696)),IF(G1696="",E1696,IFERROR(E1696/COUNTIF($G2:$G6000,G1696),E1696)),E1696)</f>
        <v>0</v>
      </c>
      <c r="I1696" s="1" t="str">
        <f>IFERROR(VLOOKUP(C1696,'Clients List'!A:F,6,FALSE),"")</f>
        <v/>
      </c>
    </row>
    <row r="1697" spans="4:9" x14ac:dyDescent="0.45">
      <c r="D1697" t="str">
        <f>IFERROR(VLOOKUP(C1697,'Clients List'!$A:$F,2,FALSE),"")</f>
        <v/>
      </c>
      <c r="F1697" s="1" t="str">
        <f>IF(OR(C1697="",NOT(ISNUMBER(SEARCH("Package",D1697)))),"",VLOOKUP(C1697,'Clients List'!$A:$F,4,FALSE)-SUMIFS($E$2:$E1697,$C$2:$C1697,C1697,$D$2:$D1697,"*Package*"))</f>
        <v/>
      </c>
      <c r="G1697" t="str">
        <f t="shared" si="58"/>
        <v/>
      </c>
      <c r="H1697" s="33">
        <f>IF(ISNUMBER(SEARCH("Group",D1697)),IF(G1697="",E1697,IFERROR(E1697/COUNTIF($G2:$G6000,G1697),E1697)),E1697)</f>
        <v>0</v>
      </c>
      <c r="I1697" s="1" t="str">
        <f>IFERROR(VLOOKUP(C1697,'Clients List'!A:F,6,FALSE),"")</f>
        <v/>
      </c>
    </row>
    <row r="1698" spans="4:9" x14ac:dyDescent="0.45">
      <c r="D1698" t="str">
        <f>IFERROR(VLOOKUP(C1698,'Clients List'!$A:$F,2,FALSE),"")</f>
        <v/>
      </c>
      <c r="F1698" s="1" t="str">
        <f>IF(OR(C1698="",NOT(ISNUMBER(SEARCH("Package",D1698)))),"",VLOOKUP(C1698,'Clients List'!$A:$F,4,FALSE)-SUMIFS($E$2:$E1698,$C$2:$C1698,C1698,$D$2:$D1698,"*Package*"))</f>
        <v/>
      </c>
      <c r="G1698" t="str">
        <f t="shared" si="58"/>
        <v/>
      </c>
      <c r="H1698" s="33">
        <f>IF(ISNUMBER(SEARCH("Group",D1698)),IF(G1698="",E1698,IFERROR(E1698/COUNTIF($G2:$G6000,G1698),E1698)),E1698)</f>
        <v>0</v>
      </c>
      <c r="I1698" s="1" t="str">
        <f>IFERROR(VLOOKUP(C1698,'Clients List'!A:F,6,FALSE),"")</f>
        <v/>
      </c>
    </row>
    <row r="1699" spans="4:9" x14ac:dyDescent="0.45">
      <c r="D1699" t="str">
        <f>IFERROR(VLOOKUP(C1699,'Clients List'!$A:$F,2,FALSE),"")</f>
        <v/>
      </c>
      <c r="F1699" s="1" t="str">
        <f>IF(OR(C1699="",NOT(ISNUMBER(SEARCH("Package",D1699)))),"",VLOOKUP(C1699,'Clients List'!$A:$F,4,FALSE)-SUMIFS($E$2:$E1699,$C$2:$C1699,C1699,$D$2:$D1699,"*Package*"))</f>
        <v/>
      </c>
      <c r="G1699" t="str">
        <f t="shared" si="58"/>
        <v/>
      </c>
      <c r="H1699" s="33">
        <f>IF(ISNUMBER(SEARCH("Group",D1699)),IF(G1699="",E1699,IFERROR(E1699/COUNTIF($G2:$G6000,G1699),E1699)),E1699)</f>
        <v>0</v>
      </c>
      <c r="I1699" s="1" t="str">
        <f>IFERROR(VLOOKUP(C1699,'Clients List'!A:F,6,FALSE),"")</f>
        <v/>
      </c>
    </row>
    <row r="1700" spans="4:9" x14ac:dyDescent="0.45">
      <c r="D1700" t="str">
        <f>IFERROR(VLOOKUP(C1700,'Clients List'!$A:$F,2,FALSE),"")</f>
        <v/>
      </c>
      <c r="F1700" s="1" t="str">
        <f>IF(OR(C1700="",NOT(ISNUMBER(SEARCH("Package",D1700)))),"",VLOOKUP(C1700,'Clients List'!$A:$F,4,FALSE)-SUMIFS($E$2:$E1700,$C$2:$C1700,C1700,$D$2:$D1700,"*Package*"))</f>
        <v/>
      </c>
      <c r="G1700" t="str">
        <f t="shared" si="58"/>
        <v/>
      </c>
      <c r="H1700" s="33">
        <f>IF(ISNUMBER(SEARCH("Group",D1700)),IF(G1700="",E1700,IFERROR(E1700/COUNTIF($G2:$G6000,G1700),E1700)),E1700)</f>
        <v>0</v>
      </c>
      <c r="I1700" s="1" t="str">
        <f>IFERROR(VLOOKUP(C1700,'Clients List'!A:F,6,FALSE),"")</f>
        <v/>
      </c>
    </row>
    <row r="1701" spans="4:9" x14ac:dyDescent="0.45">
      <c r="D1701" t="str">
        <f>IFERROR(VLOOKUP(C1701,'Clients List'!$A:$F,2,FALSE),"")</f>
        <v/>
      </c>
      <c r="F1701" s="1" t="str">
        <f>IF(OR(C1701="",NOT(ISNUMBER(SEARCH("Package",D1701)))),"",VLOOKUP(C1701,'Clients List'!$A:$F,4,FALSE)-SUMIFS($E$2:$E1701,$C$2:$C1701,C1701,$D$2:$D1701,"*Package*"))</f>
        <v/>
      </c>
      <c r="G1701" t="str">
        <f t="shared" si="58"/>
        <v/>
      </c>
      <c r="H1701" s="33">
        <f>IF(ISNUMBER(SEARCH("Group",D1701)),IF(G1701="",E1701,IFERROR(E1701/COUNTIF($G2:$G6000,G1701),E1701)),E1701)</f>
        <v>0</v>
      </c>
      <c r="I1701" s="1" t="str">
        <f>IFERROR(VLOOKUP(C1701,'Clients List'!A:F,6,FALSE),"")</f>
        <v/>
      </c>
    </row>
    <row r="1702" spans="4:9" x14ac:dyDescent="0.45">
      <c r="D1702" t="str">
        <f>IFERROR(VLOOKUP(C1702,'Clients List'!$A:$F,2,FALSE),"")</f>
        <v/>
      </c>
      <c r="F1702" s="1" t="str">
        <f>IF(OR(C1702="",NOT(ISNUMBER(SEARCH("Package",D1702)))),"",VLOOKUP(C1702,'Clients List'!$A:$F,4,FALSE)-SUMIFS($E$2:$E1702,$C$2:$C1702,C1702,$D$2:$D1702,"*Package*"))</f>
        <v/>
      </c>
      <c r="G1702" t="str">
        <f t="shared" si="58"/>
        <v/>
      </c>
      <c r="H1702" s="33">
        <f>IF(ISNUMBER(SEARCH("Group",D1702)),IF(G1702="",E1702,IFERROR(E1702/COUNTIF($G2:$G6000,G1702),E1702)),E1702)</f>
        <v>0</v>
      </c>
      <c r="I1702" s="1" t="str">
        <f>IFERROR(VLOOKUP(C1702,'Clients List'!A:F,6,FALSE),"")</f>
        <v/>
      </c>
    </row>
    <row r="1703" spans="4:9" x14ac:dyDescent="0.45">
      <c r="D1703" t="str">
        <f>IFERROR(VLOOKUP(C1703,'Clients List'!$A:$F,2,FALSE),"")</f>
        <v/>
      </c>
      <c r="F1703" s="1" t="str">
        <f>IF(OR(C1703="",NOT(ISNUMBER(SEARCH("Package",D1703)))),"",VLOOKUP(C1703,'Clients List'!$A:$F,4,FALSE)-SUMIFS($E$2:$E1703,$C$2:$C1703,C1703,$D$2:$D1703,"*Package*"))</f>
        <v/>
      </c>
      <c r="G1703" t="str">
        <f t="shared" si="58"/>
        <v/>
      </c>
      <c r="H1703" s="33">
        <f>IF(ISNUMBER(SEARCH("Group",D1703)),IF(G1703="",E1703,IFERROR(E1703/COUNTIF($G2:$G6000,G1703),E1703)),E1703)</f>
        <v>0</v>
      </c>
      <c r="I1703" s="1" t="str">
        <f>IFERROR(VLOOKUP(C1703,'Clients List'!A:F,6,FALSE),"")</f>
        <v/>
      </c>
    </row>
    <row r="1704" spans="4:9" x14ac:dyDescent="0.45">
      <c r="D1704" t="str">
        <f>IFERROR(VLOOKUP(C1704,'Clients List'!$A:$F,2,FALSE),"")</f>
        <v/>
      </c>
      <c r="F1704" s="1" t="str">
        <f>IF(OR(C1704="",NOT(ISNUMBER(SEARCH("Package",D1704)))),"",VLOOKUP(C1704,'Clients List'!$A:$F,4,FALSE)-SUMIFS($E$2:$E1704,$C$2:$C1704,C1704,$D$2:$D1704,"*Package*"))</f>
        <v/>
      </c>
      <c r="G1704" t="str">
        <f t="shared" ref="G1704:G1715" si="59">IF(ISNUMBER(SEARCH("Group",D1704)),IFERROR("GRP-"&amp;TEXT(IF(ISNUMBER(A1704),A1704,DATEVALUE(A1704)),"yyyymmdd"),""),"" )</f>
        <v/>
      </c>
      <c r="H1704" s="33">
        <f>IF(ISNUMBER(SEARCH("Group",D1704)),IF(G1704="",E1704,IFERROR(E1704/COUNTIF($G2:$G6000,G1704),E1704)),E1704)</f>
        <v>0</v>
      </c>
      <c r="I1704" s="1" t="str">
        <f>IFERROR(VLOOKUP(C1704,'Clients List'!A:F,6,FALSE),"")</f>
        <v/>
      </c>
    </row>
    <row r="1705" spans="4:9" x14ac:dyDescent="0.45">
      <c r="D1705" t="str">
        <f>IFERROR(VLOOKUP(C1705,'Clients List'!$A:$F,2,FALSE),"")</f>
        <v/>
      </c>
      <c r="F1705" s="1" t="str">
        <f>IF(OR(C1705="",NOT(ISNUMBER(SEARCH("Package",D1705)))),"",VLOOKUP(C1705,'Clients List'!$A:$F,4,FALSE)-SUMIFS($E$2:$E1705,$C$2:$C1705,C1705,$D$2:$D1705,"*Package*"))</f>
        <v/>
      </c>
      <c r="G1705" t="str">
        <f t="shared" si="59"/>
        <v/>
      </c>
      <c r="H1705" s="33">
        <f>IF(ISNUMBER(SEARCH("Group",D1705)),IF(G1705="",E1705,IFERROR(E1705/COUNTIF($G2:$G6000,G1705),E1705)),E1705)</f>
        <v>0</v>
      </c>
      <c r="I1705" s="1" t="str">
        <f>IFERROR(VLOOKUP(C1705,'Clients List'!A:F,6,FALSE),"")</f>
        <v/>
      </c>
    </row>
    <row r="1706" spans="4:9" x14ac:dyDescent="0.45">
      <c r="D1706" t="str">
        <f>IFERROR(VLOOKUP(C1706,'Clients List'!$A:$F,2,FALSE),"")</f>
        <v/>
      </c>
      <c r="F1706" s="1" t="str">
        <f>IF(OR(C1706="",NOT(ISNUMBER(SEARCH("Package",D1706)))),"",VLOOKUP(C1706,'Clients List'!$A:$F,4,FALSE)-SUMIFS($E$2:$E1706,$C$2:$C1706,C1706,$D$2:$D1706,"*Package*"))</f>
        <v/>
      </c>
      <c r="G1706" t="str">
        <f t="shared" si="59"/>
        <v/>
      </c>
      <c r="H1706" s="33">
        <f>IF(ISNUMBER(SEARCH("Group",D1706)),IF(G1706="",E1706,IFERROR(E1706/COUNTIF($G2:$G6000,G1706),E1706)),E1706)</f>
        <v>0</v>
      </c>
      <c r="I1706" s="1" t="str">
        <f>IFERROR(VLOOKUP(C1706,'Clients List'!A:F,6,FALSE),"")</f>
        <v/>
      </c>
    </row>
    <row r="1707" spans="4:9" x14ac:dyDescent="0.45">
      <c r="D1707" t="str">
        <f>IFERROR(VLOOKUP(C1707,'Clients List'!$A:$F,2,FALSE),"")</f>
        <v/>
      </c>
      <c r="F1707" s="1" t="str">
        <f>IF(OR(C1707="",NOT(ISNUMBER(SEARCH("Package",D1707)))),"",VLOOKUP(C1707,'Clients List'!$A:$F,4,FALSE)-SUMIFS($E$2:$E1707,$C$2:$C1707,C1707,$D$2:$D1707,"*Package*"))</f>
        <v/>
      </c>
      <c r="G1707" t="str">
        <f t="shared" si="59"/>
        <v/>
      </c>
      <c r="H1707" s="33">
        <f>IF(ISNUMBER(SEARCH("Group",D1707)),IF(G1707="",E1707,IFERROR(E1707/COUNTIF($G2:$G6000,G1707),E1707)),E1707)</f>
        <v>0</v>
      </c>
      <c r="I1707" s="1" t="str">
        <f>IFERROR(VLOOKUP(C1707,'Clients List'!A:F,6,FALSE),"")</f>
        <v/>
      </c>
    </row>
    <row r="1708" spans="4:9" x14ac:dyDescent="0.45">
      <c r="D1708" t="str">
        <f>IFERROR(VLOOKUP(C1708,'Clients List'!$A:$F,2,FALSE),"")</f>
        <v/>
      </c>
      <c r="F1708" s="1" t="str">
        <f>IF(OR(C1708="",NOT(ISNUMBER(SEARCH("Package",D1708)))),"",VLOOKUP(C1708,'Clients List'!$A:$F,4,FALSE)-SUMIFS($E$2:$E1708,$C$2:$C1708,C1708,$D$2:$D1708,"*Package*"))</f>
        <v/>
      </c>
      <c r="G1708" t="str">
        <f t="shared" si="59"/>
        <v/>
      </c>
      <c r="H1708" s="33">
        <f>IF(ISNUMBER(SEARCH("Group",D1708)),IF(G1708="",E1708,IFERROR(E1708/COUNTIF($G2:$G6000,G1708),E1708)),E1708)</f>
        <v>0</v>
      </c>
      <c r="I1708" s="1" t="str">
        <f>IFERROR(VLOOKUP(C1708,'Clients List'!A:F,6,FALSE),"")</f>
        <v/>
      </c>
    </row>
    <row r="1709" spans="4:9" x14ac:dyDescent="0.45">
      <c r="D1709" t="str">
        <f>IFERROR(VLOOKUP(C1709,'Clients List'!$A:$F,2,FALSE),"")</f>
        <v/>
      </c>
      <c r="F1709" s="1" t="str">
        <f>IF(OR(C1709="",NOT(ISNUMBER(SEARCH("Package",D1709)))),"",VLOOKUP(C1709,'Clients List'!$A:$F,4,FALSE)-SUMIFS($E$2:$E1709,$C$2:$C1709,C1709,$D$2:$D1709,"*Package*"))</f>
        <v/>
      </c>
      <c r="G1709" t="str">
        <f t="shared" si="59"/>
        <v/>
      </c>
      <c r="H1709" s="33">
        <f>IF(ISNUMBER(SEARCH("Group",D1709)),IF(G1709="",E1709,IFERROR(E1709/COUNTIF($G2:$G6000,G1709),E1709)),E1709)</f>
        <v>0</v>
      </c>
      <c r="I1709" s="1" t="str">
        <f>IFERROR(VLOOKUP(C1709,'Clients List'!A:F,6,FALSE),"")</f>
        <v/>
      </c>
    </row>
    <row r="1710" spans="4:9" x14ac:dyDescent="0.45">
      <c r="D1710" t="str">
        <f>IFERROR(VLOOKUP(C1710,'Clients List'!$A:$F,2,FALSE),"")</f>
        <v/>
      </c>
      <c r="F1710" s="1" t="str">
        <f>IF(OR(C1710="",NOT(ISNUMBER(SEARCH("Package",D1710)))),"",VLOOKUP(C1710,'Clients List'!$A:$F,4,FALSE)-SUMIFS($E$2:$E1710,$C$2:$C1710,C1710,$D$2:$D1710,"*Package*"))</f>
        <v/>
      </c>
      <c r="G1710" t="str">
        <f t="shared" si="59"/>
        <v/>
      </c>
      <c r="H1710" s="33">
        <f>IF(ISNUMBER(SEARCH("Group",D1710)),IF(G1710="",E1710,IFERROR(E1710/COUNTIF($G2:$G6000,G1710),E1710)),E1710)</f>
        <v>0</v>
      </c>
      <c r="I1710" s="1" t="str">
        <f>IFERROR(VLOOKUP(C1710,'Clients List'!A:F,6,FALSE),"")</f>
        <v/>
      </c>
    </row>
    <row r="1711" spans="4:9" x14ac:dyDescent="0.45">
      <c r="D1711" t="str">
        <f>IFERROR(VLOOKUP(C1711,'Clients List'!$A:$F,2,FALSE),"")</f>
        <v/>
      </c>
      <c r="F1711" s="1" t="str">
        <f>IF(OR(C1711="",NOT(ISNUMBER(SEARCH("Package",D1711)))),"",VLOOKUP(C1711,'Clients List'!$A:$F,4,FALSE)-SUMIFS($E$2:$E1711,$C$2:$C1711,C1711,$D$2:$D1711,"*Package*"))</f>
        <v/>
      </c>
      <c r="G1711" t="str">
        <f t="shared" si="59"/>
        <v/>
      </c>
      <c r="H1711" s="33">
        <f>IF(ISNUMBER(SEARCH("Group",D1711)),IF(G1711="",E1711,IFERROR(E1711/COUNTIF($G2:$G6000,G1711),E1711)),E1711)</f>
        <v>0</v>
      </c>
      <c r="I1711" s="1" t="str">
        <f>IFERROR(VLOOKUP(C1711,'Clients List'!A:F,6,FALSE),"")</f>
        <v/>
      </c>
    </row>
    <row r="1712" spans="4:9" x14ac:dyDescent="0.45">
      <c r="D1712" t="str">
        <f>IFERROR(VLOOKUP(C1712,'Clients List'!$A:$F,2,FALSE),"")</f>
        <v/>
      </c>
      <c r="F1712" s="1" t="str">
        <f>IF(OR(C1712="",NOT(ISNUMBER(SEARCH("Package",D1712)))),"",VLOOKUP(C1712,'Clients List'!$A:$F,4,FALSE)-SUMIFS($E$2:$E1712,$C$2:$C1712,C1712,$D$2:$D1712,"*Package*"))</f>
        <v/>
      </c>
      <c r="G1712" t="str">
        <f t="shared" si="59"/>
        <v/>
      </c>
      <c r="H1712" s="33">
        <f>IF(ISNUMBER(SEARCH("Group",D1712)),IF(G1712="",E1712,IFERROR(E1712/COUNTIF($G2:$G6000,G1712),E1712)),E1712)</f>
        <v>0</v>
      </c>
      <c r="I1712" s="1" t="str">
        <f>IFERROR(VLOOKUP(C1712,'Clients List'!A:F,6,FALSE),"")</f>
        <v/>
      </c>
    </row>
    <row r="1713" spans="1:9" x14ac:dyDescent="0.45">
      <c r="D1713" t="str">
        <f>IFERROR(VLOOKUP(C1713,'Clients List'!$A:$F,2,FALSE),"")</f>
        <v/>
      </c>
      <c r="F1713" s="1" t="str">
        <f>IF(OR(C1713="",NOT(ISNUMBER(SEARCH("Package",D1713)))),"",VLOOKUP(C1713,'Clients List'!$A:$F,4,FALSE)-SUMIFS($E$2:$E1713,$C$2:$C1713,C1713,$D$2:$D1713,"*Package*"))</f>
        <v/>
      </c>
      <c r="G1713" t="str">
        <f t="shared" si="59"/>
        <v/>
      </c>
      <c r="H1713" s="33">
        <f>IF(ISNUMBER(SEARCH("Group",D1713)),IF(G1713="",E1713,IFERROR(E1713/COUNTIF($G2:$G6000,G1713),E1713)),E1713)</f>
        <v>0</v>
      </c>
      <c r="I1713" s="1" t="str">
        <f>IFERROR(VLOOKUP(C1713,'Clients List'!A:F,6,FALSE),"")</f>
        <v/>
      </c>
    </row>
    <row r="1714" spans="1:9" x14ac:dyDescent="0.45">
      <c r="D1714" t="str">
        <f>IFERROR(VLOOKUP(C1714,'Clients List'!$A:$F,2,FALSE),"")</f>
        <v/>
      </c>
      <c r="F1714" s="1" t="str">
        <f>IF(OR(C1714="",NOT(ISNUMBER(SEARCH("Package",D1714)))),"",VLOOKUP(C1714,'Clients List'!$A:$F,4,FALSE)-SUMIFS($E$2:$E1714,$C$2:$C1714,C1714,$D$2:$D1714,"*Package*"))</f>
        <v/>
      </c>
      <c r="G1714" t="str">
        <f t="shared" si="59"/>
        <v/>
      </c>
      <c r="H1714" s="33">
        <f>IF(ISNUMBER(SEARCH("Group",D1714)),IF(G1714="",E1714,IFERROR(E1714/COUNTIF($G2:$G6000,G1714),E1714)),E1714)</f>
        <v>0</v>
      </c>
      <c r="I1714" s="1" t="str">
        <f>IFERROR(VLOOKUP(C1714,'Clients List'!A:F,6,FALSE),"")</f>
        <v/>
      </c>
    </row>
    <row r="1715" spans="1:9" x14ac:dyDescent="0.45">
      <c r="D1715" t="str">
        <f>IFERROR(VLOOKUP(C1715,'Clients List'!$A:$F,2,FALSE),"")</f>
        <v/>
      </c>
      <c r="F1715" s="1" t="str">
        <f>IF(OR(C1715="",NOT(ISNUMBER(SEARCH("Package",D1715)))),"",VLOOKUP(C1715,'Clients List'!$A:$F,4,FALSE)-SUMIFS($E$2:$E1715,$C$2:$C1715,C1715,$D$2:$D1715,"*Package*"))</f>
        <v/>
      </c>
      <c r="G1715" t="str">
        <f t="shared" si="59"/>
        <v/>
      </c>
      <c r="H1715" s="33">
        <f>IF(ISNUMBER(SEARCH("Group",D1715)),IF(G1715="",E1715,IFERROR(E1715/COUNTIF($G2:$G6000,G1715),E1715)),E1715)</f>
        <v>0</v>
      </c>
      <c r="I1715" s="1" t="str">
        <f>IFERROR(VLOOKUP(C1715,'Clients List'!A:F,6,FALSE),"")</f>
        <v/>
      </c>
    </row>
    <row r="1716" spans="1:9" x14ac:dyDescent="0.45">
      <c r="A1716" s="8"/>
      <c r="C1716" s="9"/>
      <c r="D1716" s="10" t="str">
        <f>IFERROR(VLOOKUP(C1716,'Clients List'!$A:$F,2,FALSE),"")</f>
        <v/>
      </c>
      <c r="E1716" s="21">
        <f>SUM(E1576:E1715)</f>
        <v>0</v>
      </c>
      <c r="F1716" s="1" t="str">
        <f>IF(OR(C1716="",NOT(ISNUMBER(SEARCH("Package",D1716)))),"",VLOOKUP(C1716,'Clients List'!$A:$F,4,FALSE)-SUMIFS($E$2:$E1716,$C$2:$C1716,C1716,$D$2:$D1716,"*Package*"))</f>
        <v/>
      </c>
      <c r="H1716" s="33">
        <f>SUM(H1576:H1715)</f>
        <v>0</v>
      </c>
      <c r="I1716" s="11" t="str">
        <f>IFERROR(VLOOKUP(C1716,'Clients List'!A:F,6,FALSE),"")</f>
        <v/>
      </c>
    </row>
    <row r="1717" spans="1:9" x14ac:dyDescent="0.45">
      <c r="D1717" t="str">
        <f>IFERROR(VLOOKUP(C1717,'Clients List'!$A:$F,2,FALSE),"")</f>
        <v/>
      </c>
      <c r="F1717" s="1" t="str">
        <f>IF(OR(C1717="",NOT(ISNUMBER(SEARCH("Package",D1717)))),"",VLOOKUP(C1717,'Clients List'!$A:$F,4,FALSE)-SUMIFS($E$2:$E1717,$C$2:$C1717,C1717,$D$2:$D1717,"*Package*"))</f>
        <v/>
      </c>
      <c r="G1717" t="str">
        <f t="shared" ref="G1717:G1780" si="60">IF(ISNUMBER(SEARCH("Group",D1717)),IFERROR("GRP-"&amp;TEXT(IF(ISNUMBER(A1717),A1717,DATEVALUE(A1717)),"yyyymmdd"),""),"" )</f>
        <v/>
      </c>
      <c r="H1717" s="33">
        <f>IF(ISNUMBER(SEARCH("Group",D1717)),IF(G1717="",E1717,IFERROR(E1717/COUNTIF($G2:$G6000,G1717),E1717)),E1717)</f>
        <v>0</v>
      </c>
      <c r="I1717" s="1" t="str">
        <f>IFERROR(VLOOKUP(C1717,'Clients List'!A:F,6,FALSE),"")</f>
        <v/>
      </c>
    </row>
    <row r="1718" spans="1:9" x14ac:dyDescent="0.45">
      <c r="D1718" t="str">
        <f>IFERROR(VLOOKUP(C1718,'Clients List'!$A:$F,2,FALSE),"")</f>
        <v/>
      </c>
      <c r="F1718" s="1" t="str">
        <f>IF(OR(C1718="",NOT(ISNUMBER(SEARCH("Package",D1718)))),"",VLOOKUP(C1718,'Clients List'!$A:$F,4,FALSE)-SUMIFS($E$2:$E1718,$C$2:$C1718,C1718,$D$2:$D1718,"*Package*"))</f>
        <v/>
      </c>
      <c r="G1718" t="str">
        <f t="shared" si="60"/>
        <v/>
      </c>
      <c r="H1718" s="33">
        <f>IF(ISNUMBER(SEARCH("Group",D1718)),IF(G1718="",E1718,IFERROR(E1718/COUNTIF($G2:$G6000,G1718),E1718)),E1718)</f>
        <v>0</v>
      </c>
      <c r="I1718" s="1" t="str">
        <f>IFERROR(VLOOKUP(C1718,'Clients List'!A:F,6,FALSE),"")</f>
        <v/>
      </c>
    </row>
    <row r="1719" spans="1:9" x14ac:dyDescent="0.45">
      <c r="D1719" t="str">
        <f>IFERROR(VLOOKUP(C1719,'Clients List'!$A:$F,2,FALSE),"")</f>
        <v/>
      </c>
      <c r="F1719" s="1" t="str">
        <f>IF(OR(C1719="",NOT(ISNUMBER(SEARCH("Package",D1719)))),"",VLOOKUP(C1719,'Clients List'!$A:$F,4,FALSE)-SUMIFS($E$2:$E1719,$C$2:$C1719,C1719,$D$2:$D1719,"*Package*"))</f>
        <v/>
      </c>
      <c r="G1719" t="str">
        <f t="shared" si="60"/>
        <v/>
      </c>
      <c r="H1719" s="33">
        <f>IF(ISNUMBER(SEARCH("Group",D1719)),IF(G1719="",E1719,IFERROR(E1719/COUNTIF($G2:$G6000,G1719),E1719)),E1719)</f>
        <v>0</v>
      </c>
      <c r="I1719" s="1" t="str">
        <f>IFERROR(VLOOKUP(C1719,'Clients List'!A:F,6,FALSE),"")</f>
        <v/>
      </c>
    </row>
    <row r="1720" spans="1:9" x14ac:dyDescent="0.45">
      <c r="D1720" t="str">
        <f>IFERROR(VLOOKUP(C1720,'Clients List'!$A:$F,2,FALSE),"")</f>
        <v/>
      </c>
      <c r="F1720" s="1" t="str">
        <f>IF(OR(C1720="",NOT(ISNUMBER(SEARCH("Package",D1720)))),"",VLOOKUP(C1720,'Clients List'!$A:$F,4,FALSE)-SUMIFS($E$2:$E1720,$C$2:$C1720,C1720,$D$2:$D1720,"*Package*"))</f>
        <v/>
      </c>
      <c r="G1720" t="str">
        <f t="shared" si="60"/>
        <v/>
      </c>
      <c r="H1720" s="33">
        <f>IF(ISNUMBER(SEARCH("Group",D1720)),IF(G1720="",E1720,IFERROR(E1720/COUNTIF($G2:$G6000,G1720),E1720)),E1720)</f>
        <v>0</v>
      </c>
      <c r="I1720" s="1" t="str">
        <f>IFERROR(VLOOKUP(C1720,'Clients List'!A:F,6,FALSE),"")</f>
        <v/>
      </c>
    </row>
    <row r="1721" spans="1:9" x14ac:dyDescent="0.45">
      <c r="D1721" t="str">
        <f>IFERROR(VLOOKUP(C1721,'Clients List'!$A:$F,2,FALSE),"")</f>
        <v/>
      </c>
      <c r="F1721" s="1" t="str">
        <f>IF(OR(C1721="",NOT(ISNUMBER(SEARCH("Package",D1721)))),"",VLOOKUP(C1721,'Clients List'!$A:$F,4,FALSE)-SUMIFS($E$2:$E1721,$C$2:$C1721,C1721,$D$2:$D1721,"*Package*"))</f>
        <v/>
      </c>
      <c r="G1721" t="str">
        <f t="shared" si="60"/>
        <v/>
      </c>
      <c r="H1721" s="33">
        <f>IF(ISNUMBER(SEARCH("Group",D1721)),IF(G1721="",E1721,IFERROR(E1721/COUNTIF($G2:$G6000,G1721),E1721)),E1721)</f>
        <v>0</v>
      </c>
      <c r="I1721" s="1" t="str">
        <f>IFERROR(VLOOKUP(C1721,'Clients List'!A:F,6,FALSE),"")</f>
        <v/>
      </c>
    </row>
    <row r="1722" spans="1:9" x14ac:dyDescent="0.45">
      <c r="D1722" t="str">
        <f>IFERROR(VLOOKUP(C1722,'Clients List'!$A:$F,2,FALSE),"")</f>
        <v/>
      </c>
      <c r="F1722" s="1" t="str">
        <f>IF(OR(C1722="",NOT(ISNUMBER(SEARCH("Package",D1722)))),"",VLOOKUP(C1722,'Clients List'!$A:$F,4,FALSE)-SUMIFS($E$2:$E1722,$C$2:$C1722,C1722,$D$2:$D1722,"*Package*"))</f>
        <v/>
      </c>
      <c r="G1722" t="str">
        <f t="shared" si="60"/>
        <v/>
      </c>
      <c r="H1722" s="33">
        <f>IF(ISNUMBER(SEARCH("Group",D1722)),IF(G1722="",E1722,IFERROR(E1722/COUNTIF($G2:$G6000,G1722),E1722)),E1722)</f>
        <v>0</v>
      </c>
      <c r="I1722" s="1" t="str">
        <f>IFERROR(VLOOKUP(C1722,'Clients List'!A:F,6,FALSE),"")</f>
        <v/>
      </c>
    </row>
    <row r="1723" spans="1:9" x14ac:dyDescent="0.45">
      <c r="D1723" t="str">
        <f>IFERROR(VLOOKUP(C1723,'Clients List'!$A:$F,2,FALSE),"")</f>
        <v/>
      </c>
      <c r="F1723" s="1" t="str">
        <f>IF(OR(C1723="",NOT(ISNUMBER(SEARCH("Package",D1723)))),"",VLOOKUP(C1723,'Clients List'!$A:$F,4,FALSE)-SUMIFS($E$2:$E1723,$C$2:$C1723,C1723,$D$2:$D1723,"*Package*"))</f>
        <v/>
      </c>
      <c r="G1723" t="str">
        <f t="shared" si="60"/>
        <v/>
      </c>
      <c r="H1723" s="33">
        <f>IF(ISNUMBER(SEARCH("Group",D1723)),IF(G1723="",E1723,IFERROR(E1723/COUNTIF($G2:$G6000,G1723),E1723)),E1723)</f>
        <v>0</v>
      </c>
      <c r="I1723" s="1" t="str">
        <f>IFERROR(VLOOKUP(C1723,'Clients List'!A:F,6,FALSE),"")</f>
        <v/>
      </c>
    </row>
    <row r="1724" spans="1:9" x14ac:dyDescent="0.45">
      <c r="D1724" t="str">
        <f>IFERROR(VLOOKUP(C1724,'Clients List'!$A:$F,2,FALSE),"")</f>
        <v/>
      </c>
      <c r="F1724" s="1" t="str">
        <f>IF(OR(C1724="",NOT(ISNUMBER(SEARCH("Package",D1724)))),"",VLOOKUP(C1724,'Clients List'!$A:$F,4,FALSE)-SUMIFS($E$2:$E1724,$C$2:$C1724,C1724,$D$2:$D1724,"*Package*"))</f>
        <v/>
      </c>
      <c r="G1724" t="str">
        <f t="shared" si="60"/>
        <v/>
      </c>
      <c r="H1724" s="33">
        <f>IF(ISNUMBER(SEARCH("Group",D1724)),IF(G1724="",E1724,IFERROR(E1724/COUNTIF($G2:$G6000,G1724),E1724)),E1724)</f>
        <v>0</v>
      </c>
      <c r="I1724" s="1" t="str">
        <f>IFERROR(VLOOKUP(C1724,'Clients List'!A:F,6,FALSE),"")</f>
        <v/>
      </c>
    </row>
    <row r="1725" spans="1:9" x14ac:dyDescent="0.45">
      <c r="D1725" t="str">
        <f>IFERROR(VLOOKUP(C1725,'Clients List'!$A:$F,2,FALSE),"")</f>
        <v/>
      </c>
      <c r="F1725" s="1" t="str">
        <f>IF(OR(C1725="",NOT(ISNUMBER(SEARCH("Package",D1725)))),"",VLOOKUP(C1725,'Clients List'!$A:$F,4,FALSE)-SUMIFS($E$2:$E1725,$C$2:$C1725,C1725,$D$2:$D1725,"*Package*"))</f>
        <v/>
      </c>
      <c r="G1725" t="str">
        <f t="shared" si="60"/>
        <v/>
      </c>
      <c r="H1725" s="33">
        <f>IF(ISNUMBER(SEARCH("Group",D1725)),IF(G1725="",E1725,IFERROR(E1725/COUNTIF($G2:$G6000,G1725),E1725)),E1725)</f>
        <v>0</v>
      </c>
      <c r="I1725" s="1" t="str">
        <f>IFERROR(VLOOKUP(C1725,'Clients List'!A:F,6,FALSE),"")</f>
        <v/>
      </c>
    </row>
    <row r="1726" spans="1:9" x14ac:dyDescent="0.45">
      <c r="D1726" t="str">
        <f>IFERROR(VLOOKUP(C1726,'Clients List'!$A:$F,2,FALSE),"")</f>
        <v/>
      </c>
      <c r="F1726" s="1" t="str">
        <f>IF(OR(C1726="",NOT(ISNUMBER(SEARCH("Package",D1726)))),"",VLOOKUP(C1726,'Clients List'!$A:$F,4,FALSE)-SUMIFS($E$2:$E1726,$C$2:$C1726,C1726,$D$2:$D1726,"*Package*"))</f>
        <v/>
      </c>
      <c r="G1726" t="str">
        <f t="shared" si="60"/>
        <v/>
      </c>
      <c r="H1726" s="33">
        <f>IF(ISNUMBER(SEARCH("Group",D1726)),IF(G1726="",E1726,IFERROR(E1726/COUNTIF($G2:$G6000,G1726),E1726)),E1726)</f>
        <v>0</v>
      </c>
      <c r="I1726" s="1" t="str">
        <f>IFERROR(VLOOKUP(C1726,'Clients List'!A:F,6,FALSE),"")</f>
        <v/>
      </c>
    </row>
    <row r="1727" spans="1:9" x14ac:dyDescent="0.45">
      <c r="D1727" t="str">
        <f>IFERROR(VLOOKUP(C1727,'Clients List'!$A:$F,2,FALSE),"")</f>
        <v/>
      </c>
      <c r="F1727" s="1" t="str">
        <f>IF(OR(C1727="",NOT(ISNUMBER(SEARCH("Package",D1727)))),"",VLOOKUP(C1727,'Clients List'!$A:$F,4,FALSE)-SUMIFS($E$2:$E1727,$C$2:$C1727,C1727,$D$2:$D1727,"*Package*"))</f>
        <v/>
      </c>
      <c r="G1727" t="str">
        <f t="shared" si="60"/>
        <v/>
      </c>
      <c r="H1727" s="33">
        <f>IF(ISNUMBER(SEARCH("Group",D1727)),IF(G1727="",E1727,IFERROR(E1727/COUNTIF($G2:$G6000,G1727),E1727)),E1727)</f>
        <v>0</v>
      </c>
      <c r="I1727" s="1" t="str">
        <f>IFERROR(VLOOKUP(C1727,'Clients List'!A:F,6,FALSE),"")</f>
        <v/>
      </c>
    </row>
    <row r="1728" spans="1:9" x14ac:dyDescent="0.45">
      <c r="D1728" t="str">
        <f>IFERROR(VLOOKUP(C1728,'Clients List'!$A:$F,2,FALSE),"")</f>
        <v/>
      </c>
      <c r="F1728" s="1" t="str">
        <f>IF(OR(C1728="",NOT(ISNUMBER(SEARCH("Package",D1728)))),"",VLOOKUP(C1728,'Clients List'!$A:$F,4,FALSE)-SUMIFS($E$2:$E1728,$C$2:$C1728,C1728,$D$2:$D1728,"*Package*"))</f>
        <v/>
      </c>
      <c r="G1728" t="str">
        <f t="shared" si="60"/>
        <v/>
      </c>
      <c r="H1728" s="33">
        <f>IF(ISNUMBER(SEARCH("Group",D1728)),IF(G1728="",E1728,IFERROR(E1728/COUNTIF($G2:$G6000,G1728),E1728)),E1728)</f>
        <v>0</v>
      </c>
      <c r="I1728" s="1" t="str">
        <f>IFERROR(VLOOKUP(C1728,'Clients List'!A:F,6,FALSE),"")</f>
        <v/>
      </c>
    </row>
    <row r="1729" spans="4:9" x14ac:dyDescent="0.45">
      <c r="D1729" t="str">
        <f>IFERROR(VLOOKUP(C1729,'Clients List'!$A:$F,2,FALSE),"")</f>
        <v/>
      </c>
      <c r="F1729" s="1" t="str">
        <f>IF(OR(C1729="",NOT(ISNUMBER(SEARCH("Package",D1729)))),"",VLOOKUP(C1729,'Clients List'!$A:$F,4,FALSE)-SUMIFS($E$2:$E1729,$C$2:$C1729,C1729,$D$2:$D1729,"*Package*"))</f>
        <v/>
      </c>
      <c r="G1729" t="str">
        <f t="shared" si="60"/>
        <v/>
      </c>
      <c r="H1729" s="33">
        <f>IF(ISNUMBER(SEARCH("Group",D1729)),IF(G1729="",E1729,IFERROR(E1729/COUNTIF($G2:$G6000,G1729),E1729)),E1729)</f>
        <v>0</v>
      </c>
      <c r="I1729" s="1" t="str">
        <f>IFERROR(VLOOKUP(C1729,'Clients List'!A:F,6,FALSE),"")</f>
        <v/>
      </c>
    </row>
    <row r="1730" spans="4:9" x14ac:dyDescent="0.45">
      <c r="D1730" t="str">
        <f>IFERROR(VLOOKUP(C1730,'Clients List'!$A:$F,2,FALSE),"")</f>
        <v/>
      </c>
      <c r="F1730" s="1" t="str">
        <f>IF(OR(C1730="",NOT(ISNUMBER(SEARCH("Package",D1730)))),"",VLOOKUP(C1730,'Clients List'!$A:$F,4,FALSE)-SUMIFS($E$2:$E1730,$C$2:$C1730,C1730,$D$2:$D1730,"*Package*"))</f>
        <v/>
      </c>
      <c r="G1730" t="str">
        <f t="shared" si="60"/>
        <v/>
      </c>
      <c r="H1730" s="33">
        <f>IF(ISNUMBER(SEARCH("Group",D1730)),IF(G1730="",E1730,IFERROR(E1730/COUNTIF($G2:$G6000,G1730),E1730)),E1730)</f>
        <v>0</v>
      </c>
      <c r="I1730" s="1" t="str">
        <f>IFERROR(VLOOKUP(C1730,'Clients List'!A:F,6,FALSE),"")</f>
        <v/>
      </c>
    </row>
    <row r="1731" spans="4:9" x14ac:dyDescent="0.45">
      <c r="D1731" t="str">
        <f>IFERROR(VLOOKUP(C1731,'Clients List'!$A:$F,2,FALSE),"")</f>
        <v/>
      </c>
      <c r="F1731" s="1" t="str">
        <f>IF(OR(C1731="",NOT(ISNUMBER(SEARCH("Package",D1731)))),"",VLOOKUP(C1731,'Clients List'!$A:$F,4,FALSE)-SUMIFS($E$2:$E1731,$C$2:$C1731,C1731,$D$2:$D1731,"*Package*"))</f>
        <v/>
      </c>
      <c r="G1731" t="str">
        <f t="shared" si="60"/>
        <v/>
      </c>
      <c r="H1731" s="33">
        <f>IF(ISNUMBER(SEARCH("Group",D1731)),IF(G1731="",E1731,IFERROR(E1731/COUNTIF($G2:$G6000,G1731),E1731)),E1731)</f>
        <v>0</v>
      </c>
      <c r="I1731" s="1" t="str">
        <f>IFERROR(VLOOKUP(C1731,'Clients List'!A:F,6,FALSE),"")</f>
        <v/>
      </c>
    </row>
    <row r="1732" spans="4:9" x14ac:dyDescent="0.45">
      <c r="D1732" t="str">
        <f>IFERROR(VLOOKUP(C1732,'Clients List'!$A:$F,2,FALSE),"")</f>
        <v/>
      </c>
      <c r="F1732" s="1" t="str">
        <f>IF(OR(C1732="",NOT(ISNUMBER(SEARCH("Package",D1732)))),"",VLOOKUP(C1732,'Clients List'!$A:$F,4,FALSE)-SUMIFS($E$2:$E1732,$C$2:$C1732,C1732,$D$2:$D1732,"*Package*"))</f>
        <v/>
      </c>
      <c r="G1732" t="str">
        <f t="shared" si="60"/>
        <v/>
      </c>
      <c r="H1732" s="33">
        <f>IF(ISNUMBER(SEARCH("Group",D1732)),IF(G1732="",E1732,IFERROR(E1732/COUNTIF($G2:$G6000,G1732),E1732)),E1732)</f>
        <v>0</v>
      </c>
      <c r="I1732" s="1" t="str">
        <f>IFERROR(VLOOKUP(C1732,'Clients List'!A:F,6,FALSE),"")</f>
        <v/>
      </c>
    </row>
    <row r="1733" spans="4:9" x14ac:dyDescent="0.45">
      <c r="D1733" t="str">
        <f>IFERROR(VLOOKUP(C1733,'Clients List'!$A:$F,2,FALSE),"")</f>
        <v/>
      </c>
      <c r="F1733" s="1" t="str">
        <f>IF(OR(C1733="",NOT(ISNUMBER(SEARCH("Package",D1733)))),"",VLOOKUP(C1733,'Clients List'!$A:$F,4,FALSE)-SUMIFS($E$2:$E1733,$C$2:$C1733,C1733,$D$2:$D1733,"*Package*"))</f>
        <v/>
      </c>
      <c r="G1733" t="str">
        <f t="shared" si="60"/>
        <v/>
      </c>
      <c r="H1733" s="33">
        <f>IF(ISNUMBER(SEARCH("Group",D1733)),IF(G1733="",E1733,IFERROR(E1733/COUNTIF($G2:$G6000,G1733),E1733)),E1733)</f>
        <v>0</v>
      </c>
      <c r="I1733" s="1" t="str">
        <f>IFERROR(VLOOKUP(C1733,'Clients List'!A:F,6,FALSE),"")</f>
        <v/>
      </c>
    </row>
    <row r="1734" spans="4:9" x14ac:dyDescent="0.45">
      <c r="D1734" t="str">
        <f>IFERROR(VLOOKUP(C1734,'Clients List'!$A:$F,2,FALSE),"")</f>
        <v/>
      </c>
      <c r="F1734" s="1" t="str">
        <f>IF(OR(C1734="",NOT(ISNUMBER(SEARCH("Package",D1734)))),"",VLOOKUP(C1734,'Clients List'!$A:$F,4,FALSE)-SUMIFS($E$2:$E1734,$C$2:$C1734,C1734,$D$2:$D1734,"*Package*"))</f>
        <v/>
      </c>
      <c r="G1734" t="str">
        <f t="shared" si="60"/>
        <v/>
      </c>
      <c r="H1734" s="33">
        <f>IF(ISNUMBER(SEARCH("Group",D1734)),IF(G1734="",E1734,IFERROR(E1734/COUNTIF($G2:$G6000,G1734),E1734)),E1734)</f>
        <v>0</v>
      </c>
      <c r="I1734" s="1" t="str">
        <f>IFERROR(VLOOKUP(C1734,'Clients List'!A:F,6,FALSE),"")</f>
        <v/>
      </c>
    </row>
    <row r="1735" spans="4:9" x14ac:dyDescent="0.45">
      <c r="D1735" t="str">
        <f>IFERROR(VLOOKUP(C1735,'Clients List'!$A:$F,2,FALSE),"")</f>
        <v/>
      </c>
      <c r="F1735" s="1" t="str">
        <f>IF(OR(C1735="",NOT(ISNUMBER(SEARCH("Package",D1735)))),"",VLOOKUP(C1735,'Clients List'!$A:$F,4,FALSE)-SUMIFS($E$2:$E1735,$C$2:$C1735,C1735,$D$2:$D1735,"*Package*"))</f>
        <v/>
      </c>
      <c r="G1735" t="str">
        <f t="shared" si="60"/>
        <v/>
      </c>
      <c r="H1735" s="33">
        <f>IF(ISNUMBER(SEARCH("Group",D1735)),IF(G1735="",E1735,IFERROR(E1735/COUNTIF($G2:$G6000,G1735),E1735)),E1735)</f>
        <v>0</v>
      </c>
      <c r="I1735" s="1" t="str">
        <f>IFERROR(VLOOKUP(C1735,'Clients List'!A:F,6,FALSE),"")</f>
        <v/>
      </c>
    </row>
    <row r="1736" spans="4:9" x14ac:dyDescent="0.45">
      <c r="D1736" t="str">
        <f>IFERROR(VLOOKUP(C1736,'Clients List'!$A:$F,2,FALSE),"")</f>
        <v/>
      </c>
      <c r="F1736" s="1" t="str">
        <f>IF(OR(C1736="",NOT(ISNUMBER(SEARCH("Package",D1736)))),"",VLOOKUP(C1736,'Clients List'!$A:$F,4,FALSE)-SUMIFS($E$2:$E1736,$C$2:$C1736,C1736,$D$2:$D1736,"*Package*"))</f>
        <v/>
      </c>
      <c r="G1736" t="str">
        <f t="shared" si="60"/>
        <v/>
      </c>
      <c r="H1736" s="33">
        <f>IF(ISNUMBER(SEARCH("Group",D1736)),IF(G1736="",E1736,IFERROR(E1736/COUNTIF($G2:$G6000,G1736),E1736)),E1736)</f>
        <v>0</v>
      </c>
      <c r="I1736" s="1" t="str">
        <f>IFERROR(VLOOKUP(C1736,'Clients List'!A:F,6,FALSE),"")</f>
        <v/>
      </c>
    </row>
    <row r="1737" spans="4:9" x14ac:dyDescent="0.45">
      <c r="D1737" t="str">
        <f>IFERROR(VLOOKUP(C1737,'Clients List'!$A:$F,2,FALSE),"")</f>
        <v/>
      </c>
      <c r="F1737" s="1" t="str">
        <f>IF(OR(C1737="",NOT(ISNUMBER(SEARCH("Package",D1737)))),"",VLOOKUP(C1737,'Clients List'!$A:$F,4,FALSE)-SUMIFS($E$2:$E1737,$C$2:$C1737,C1737,$D$2:$D1737,"*Package*"))</f>
        <v/>
      </c>
      <c r="G1737" t="str">
        <f t="shared" si="60"/>
        <v/>
      </c>
      <c r="H1737" s="33">
        <f>IF(ISNUMBER(SEARCH("Group",D1737)),IF(G1737="",E1737,IFERROR(E1737/COUNTIF($G2:$G6000,G1737),E1737)),E1737)</f>
        <v>0</v>
      </c>
      <c r="I1737" s="1" t="str">
        <f>IFERROR(VLOOKUP(C1737,'Clients List'!A:F,6,FALSE),"")</f>
        <v/>
      </c>
    </row>
    <row r="1738" spans="4:9" x14ac:dyDescent="0.45">
      <c r="D1738" t="str">
        <f>IFERROR(VLOOKUP(C1738,'Clients List'!$A:$F,2,FALSE),"")</f>
        <v/>
      </c>
      <c r="F1738" s="1" t="str">
        <f>IF(OR(C1738="",NOT(ISNUMBER(SEARCH("Package",D1738)))),"",VLOOKUP(C1738,'Clients List'!$A:$F,4,FALSE)-SUMIFS($E$2:$E1738,$C$2:$C1738,C1738,$D$2:$D1738,"*Package*"))</f>
        <v/>
      </c>
      <c r="G1738" t="str">
        <f t="shared" si="60"/>
        <v/>
      </c>
      <c r="H1738" s="33">
        <f>IF(ISNUMBER(SEARCH("Group",D1738)),IF(G1738="",E1738,IFERROR(E1738/COUNTIF($G2:$G6000,G1738),E1738)),E1738)</f>
        <v>0</v>
      </c>
      <c r="I1738" s="1" t="str">
        <f>IFERROR(VLOOKUP(C1738,'Clients List'!A:F,6,FALSE),"")</f>
        <v/>
      </c>
    </row>
    <row r="1739" spans="4:9" x14ac:dyDescent="0.45">
      <c r="D1739" t="str">
        <f>IFERROR(VLOOKUP(C1739,'Clients List'!$A:$F,2,FALSE),"")</f>
        <v/>
      </c>
      <c r="F1739" s="1" t="str">
        <f>IF(OR(C1739="",NOT(ISNUMBER(SEARCH("Package",D1739)))),"",VLOOKUP(C1739,'Clients List'!$A:$F,4,FALSE)-SUMIFS($E$2:$E1739,$C$2:$C1739,C1739,$D$2:$D1739,"*Package*"))</f>
        <v/>
      </c>
      <c r="G1739" t="str">
        <f t="shared" si="60"/>
        <v/>
      </c>
      <c r="H1739" s="33">
        <f>IF(ISNUMBER(SEARCH("Group",D1739)),IF(G1739="",E1739,IFERROR(E1739/COUNTIF($G2:$G6000,G1739),E1739)),E1739)</f>
        <v>0</v>
      </c>
      <c r="I1739" s="1" t="str">
        <f>IFERROR(VLOOKUP(C1739,'Clients List'!A:F,6,FALSE),"")</f>
        <v/>
      </c>
    </row>
    <row r="1740" spans="4:9" x14ac:dyDescent="0.45">
      <c r="D1740" t="str">
        <f>IFERROR(VLOOKUP(C1740,'Clients List'!$A:$F,2,FALSE),"")</f>
        <v/>
      </c>
      <c r="F1740" s="1" t="str">
        <f>IF(OR(C1740="",NOT(ISNUMBER(SEARCH("Package",D1740)))),"",VLOOKUP(C1740,'Clients List'!$A:$F,4,FALSE)-SUMIFS($E$2:$E1740,$C$2:$C1740,C1740,$D$2:$D1740,"*Package*"))</f>
        <v/>
      </c>
      <c r="G1740" t="str">
        <f t="shared" si="60"/>
        <v/>
      </c>
      <c r="H1740" s="33">
        <f>IF(ISNUMBER(SEARCH("Group",D1740)),IF(G1740="",E1740,IFERROR(E1740/COUNTIF($G2:$G6000,G1740),E1740)),E1740)</f>
        <v>0</v>
      </c>
      <c r="I1740" s="1" t="str">
        <f>IFERROR(VLOOKUP(C1740,'Clients List'!A:F,6,FALSE),"")</f>
        <v/>
      </c>
    </row>
    <row r="1741" spans="4:9" x14ac:dyDescent="0.45">
      <c r="D1741" t="str">
        <f>IFERROR(VLOOKUP(C1741,'Clients List'!$A:$F,2,FALSE),"")</f>
        <v/>
      </c>
      <c r="F1741" s="1" t="str">
        <f>IF(OR(C1741="",NOT(ISNUMBER(SEARCH("Package",D1741)))),"",VLOOKUP(C1741,'Clients List'!$A:$F,4,FALSE)-SUMIFS($E$2:$E1741,$C$2:$C1741,C1741,$D$2:$D1741,"*Package*"))</f>
        <v/>
      </c>
      <c r="G1741" t="str">
        <f t="shared" si="60"/>
        <v/>
      </c>
      <c r="H1741" s="33">
        <f>IF(ISNUMBER(SEARCH("Group",D1741)),IF(G1741="",E1741,IFERROR(E1741/COUNTIF($G2:$G6000,G1741),E1741)),E1741)</f>
        <v>0</v>
      </c>
      <c r="I1741" s="1" t="str">
        <f>IFERROR(VLOOKUP(C1741,'Clients List'!A:F,6,FALSE),"")</f>
        <v/>
      </c>
    </row>
    <row r="1742" spans="4:9" x14ac:dyDescent="0.45">
      <c r="D1742" t="str">
        <f>IFERROR(VLOOKUP(C1742,'Clients List'!$A:$F,2,FALSE),"")</f>
        <v/>
      </c>
      <c r="F1742" s="1" t="str">
        <f>IF(OR(C1742="",NOT(ISNUMBER(SEARCH("Package",D1742)))),"",VLOOKUP(C1742,'Clients List'!$A:$F,4,FALSE)-SUMIFS($E$2:$E1742,$C$2:$C1742,C1742,$D$2:$D1742,"*Package*"))</f>
        <v/>
      </c>
      <c r="G1742" t="str">
        <f t="shared" si="60"/>
        <v/>
      </c>
      <c r="H1742" s="33">
        <f>IF(ISNUMBER(SEARCH("Group",D1742)),IF(G1742="",E1742,IFERROR(E1742/COUNTIF($G2:$G6000,G1742),E1742)),E1742)</f>
        <v>0</v>
      </c>
      <c r="I1742" s="1" t="str">
        <f>IFERROR(VLOOKUP(C1742,'Clients List'!A:F,6,FALSE),"")</f>
        <v/>
      </c>
    </row>
    <row r="1743" spans="4:9" x14ac:dyDescent="0.45">
      <c r="D1743" t="str">
        <f>IFERROR(VLOOKUP(C1743,'Clients List'!$A:$F,2,FALSE),"")</f>
        <v/>
      </c>
      <c r="F1743" s="1" t="str">
        <f>IF(OR(C1743="",NOT(ISNUMBER(SEARCH("Package",D1743)))),"",VLOOKUP(C1743,'Clients List'!$A:$F,4,FALSE)-SUMIFS($E$2:$E1743,$C$2:$C1743,C1743,$D$2:$D1743,"*Package*"))</f>
        <v/>
      </c>
      <c r="G1743" t="str">
        <f t="shared" si="60"/>
        <v/>
      </c>
      <c r="H1743" s="33">
        <f>IF(ISNUMBER(SEARCH("Group",D1743)),IF(G1743="",E1743,IFERROR(E1743/COUNTIF($G2:$G6000,G1743),E1743)),E1743)</f>
        <v>0</v>
      </c>
      <c r="I1743" s="1" t="str">
        <f>IFERROR(VLOOKUP(C1743,'Clients List'!A:F,6,FALSE),"")</f>
        <v/>
      </c>
    </row>
    <row r="1744" spans="4:9" x14ac:dyDescent="0.45">
      <c r="D1744" t="str">
        <f>IFERROR(VLOOKUP(C1744,'Clients List'!$A:$F,2,FALSE),"")</f>
        <v/>
      </c>
      <c r="F1744" s="1" t="str">
        <f>IF(OR(C1744="",NOT(ISNUMBER(SEARCH("Package",D1744)))),"",VLOOKUP(C1744,'Clients List'!$A:$F,4,FALSE)-SUMIFS($E$2:$E1744,$C$2:$C1744,C1744,$D$2:$D1744,"*Package*"))</f>
        <v/>
      </c>
      <c r="G1744" t="str">
        <f t="shared" si="60"/>
        <v/>
      </c>
      <c r="H1744" s="33">
        <f>IF(ISNUMBER(SEARCH("Group",D1744)),IF(G1744="",E1744,IFERROR(E1744/COUNTIF($G2:$G6000,G1744),E1744)),E1744)</f>
        <v>0</v>
      </c>
      <c r="I1744" s="1" t="str">
        <f>IFERROR(VLOOKUP(C1744,'Clients List'!A:F,6,FALSE),"")</f>
        <v/>
      </c>
    </row>
    <row r="1745" spans="4:9" x14ac:dyDescent="0.45">
      <c r="D1745" t="str">
        <f>IFERROR(VLOOKUP(C1745,'Clients List'!$A:$F,2,FALSE),"")</f>
        <v/>
      </c>
      <c r="F1745" s="1" t="str">
        <f>IF(OR(C1745="",NOT(ISNUMBER(SEARCH("Package",D1745)))),"",VLOOKUP(C1745,'Clients List'!$A:$F,4,FALSE)-SUMIFS($E$2:$E1745,$C$2:$C1745,C1745,$D$2:$D1745,"*Package*"))</f>
        <v/>
      </c>
      <c r="G1745" t="str">
        <f t="shared" si="60"/>
        <v/>
      </c>
      <c r="H1745" s="33">
        <f>IF(ISNUMBER(SEARCH("Group",D1745)),IF(G1745="",E1745,IFERROR(E1745/COUNTIF($G2:$G6000,G1745),E1745)),E1745)</f>
        <v>0</v>
      </c>
      <c r="I1745" s="1" t="str">
        <f>IFERROR(VLOOKUP(C1745,'Clients List'!A:F,6,FALSE),"")</f>
        <v/>
      </c>
    </row>
    <row r="1746" spans="4:9" x14ac:dyDescent="0.45">
      <c r="D1746" t="str">
        <f>IFERROR(VLOOKUP(C1746,'Clients List'!$A:$F,2,FALSE),"")</f>
        <v/>
      </c>
      <c r="F1746" s="1" t="str">
        <f>IF(OR(C1746="",NOT(ISNUMBER(SEARCH("Package",D1746)))),"",VLOOKUP(C1746,'Clients List'!$A:$F,4,FALSE)-SUMIFS($E$2:$E1746,$C$2:$C1746,C1746,$D$2:$D1746,"*Package*"))</f>
        <v/>
      </c>
      <c r="G1746" t="str">
        <f t="shared" si="60"/>
        <v/>
      </c>
      <c r="H1746" s="33">
        <f>IF(ISNUMBER(SEARCH("Group",D1746)),IF(G1746="",E1746,IFERROR(E1746/COUNTIF($G2:$G6000,G1746),E1746)),E1746)</f>
        <v>0</v>
      </c>
      <c r="I1746" s="1" t="str">
        <f>IFERROR(VLOOKUP(C1746,'Clients List'!A:F,6,FALSE),"")</f>
        <v/>
      </c>
    </row>
    <row r="1747" spans="4:9" x14ac:dyDescent="0.45">
      <c r="D1747" t="str">
        <f>IFERROR(VLOOKUP(C1747,'Clients List'!$A:$F,2,FALSE),"")</f>
        <v/>
      </c>
      <c r="F1747" s="1" t="str">
        <f>IF(OR(C1747="",NOT(ISNUMBER(SEARCH("Package",D1747)))),"",VLOOKUP(C1747,'Clients List'!$A:$F,4,FALSE)-SUMIFS($E$2:$E1747,$C$2:$C1747,C1747,$D$2:$D1747,"*Package*"))</f>
        <v/>
      </c>
      <c r="G1747" t="str">
        <f t="shared" si="60"/>
        <v/>
      </c>
      <c r="H1747" s="33">
        <f>IF(ISNUMBER(SEARCH("Group",D1747)),IF(G1747="",E1747,IFERROR(E1747/COUNTIF($G2:$G6000,G1747),E1747)),E1747)</f>
        <v>0</v>
      </c>
      <c r="I1747" s="1" t="str">
        <f>IFERROR(VLOOKUP(C1747,'Clients List'!A:F,6,FALSE),"")</f>
        <v/>
      </c>
    </row>
    <row r="1748" spans="4:9" x14ac:dyDescent="0.45">
      <c r="D1748" t="str">
        <f>IFERROR(VLOOKUP(C1748,'Clients List'!$A:$F,2,FALSE),"")</f>
        <v/>
      </c>
      <c r="F1748" s="1" t="str">
        <f>IF(OR(C1748="",NOT(ISNUMBER(SEARCH("Package",D1748)))),"",VLOOKUP(C1748,'Clients List'!$A:$F,4,FALSE)-SUMIFS($E$2:$E1748,$C$2:$C1748,C1748,$D$2:$D1748,"*Package*"))</f>
        <v/>
      </c>
      <c r="G1748" t="str">
        <f t="shared" si="60"/>
        <v/>
      </c>
      <c r="H1748" s="33">
        <f>IF(ISNUMBER(SEARCH("Group",D1748)),IF(G1748="",E1748,IFERROR(E1748/COUNTIF($G2:$G6000,G1748),E1748)),E1748)</f>
        <v>0</v>
      </c>
      <c r="I1748" s="1" t="str">
        <f>IFERROR(VLOOKUP(C1748,'Clients List'!A:F,6,FALSE),"")</f>
        <v/>
      </c>
    </row>
    <row r="1749" spans="4:9" x14ac:dyDescent="0.45">
      <c r="D1749" t="str">
        <f>IFERROR(VLOOKUP(C1749,'Clients List'!$A:$F,2,FALSE),"")</f>
        <v/>
      </c>
      <c r="F1749" s="1" t="str">
        <f>IF(OR(C1749="",NOT(ISNUMBER(SEARCH("Package",D1749)))),"",VLOOKUP(C1749,'Clients List'!$A:$F,4,FALSE)-SUMIFS($E$2:$E1749,$C$2:$C1749,C1749,$D$2:$D1749,"*Package*"))</f>
        <v/>
      </c>
      <c r="G1749" t="str">
        <f t="shared" si="60"/>
        <v/>
      </c>
      <c r="H1749" s="33">
        <f>IF(ISNUMBER(SEARCH("Group",D1749)),IF(G1749="",E1749,IFERROR(E1749/COUNTIF($G2:$G6000,G1749),E1749)),E1749)</f>
        <v>0</v>
      </c>
      <c r="I1749" s="1" t="str">
        <f>IFERROR(VLOOKUP(C1749,'Clients List'!A:F,6,FALSE),"")</f>
        <v/>
      </c>
    </row>
    <row r="1750" spans="4:9" x14ac:dyDescent="0.45">
      <c r="D1750" t="str">
        <f>IFERROR(VLOOKUP(C1750,'Clients List'!$A:$F,2,FALSE),"")</f>
        <v/>
      </c>
      <c r="F1750" s="1" t="str">
        <f>IF(OR(C1750="",NOT(ISNUMBER(SEARCH("Package",D1750)))),"",VLOOKUP(C1750,'Clients List'!$A:$F,4,FALSE)-SUMIFS($E$2:$E1750,$C$2:$C1750,C1750,$D$2:$D1750,"*Package*"))</f>
        <v/>
      </c>
      <c r="G1750" t="str">
        <f t="shared" si="60"/>
        <v/>
      </c>
      <c r="H1750" s="33">
        <f>IF(ISNUMBER(SEARCH("Group",D1750)),IF(G1750="",E1750,IFERROR(E1750/COUNTIF($G2:$G6000,G1750),E1750)),E1750)</f>
        <v>0</v>
      </c>
      <c r="I1750" s="1" t="str">
        <f>IFERROR(VLOOKUP(C1750,'Clients List'!A:F,6,FALSE),"")</f>
        <v/>
      </c>
    </row>
    <row r="1751" spans="4:9" x14ac:dyDescent="0.45">
      <c r="D1751" t="str">
        <f>IFERROR(VLOOKUP(C1751,'Clients List'!$A:$F,2,FALSE),"")</f>
        <v/>
      </c>
      <c r="F1751" s="1" t="str">
        <f>IF(OR(C1751="",NOT(ISNUMBER(SEARCH("Package",D1751)))),"",VLOOKUP(C1751,'Clients List'!$A:$F,4,FALSE)-SUMIFS($E$2:$E1751,$C$2:$C1751,C1751,$D$2:$D1751,"*Package*"))</f>
        <v/>
      </c>
      <c r="G1751" t="str">
        <f t="shared" si="60"/>
        <v/>
      </c>
      <c r="H1751" s="33">
        <f>IF(ISNUMBER(SEARCH("Group",D1751)),IF(G1751="",E1751,IFERROR(E1751/COUNTIF($G2:$G6000,G1751),E1751)),E1751)</f>
        <v>0</v>
      </c>
      <c r="I1751" s="1" t="str">
        <f>IFERROR(VLOOKUP(C1751,'Clients List'!A:F,6,FALSE),"")</f>
        <v/>
      </c>
    </row>
    <row r="1752" spans="4:9" x14ac:dyDescent="0.45">
      <c r="D1752" t="str">
        <f>IFERROR(VLOOKUP(C1752,'Clients List'!$A:$F,2,FALSE),"")</f>
        <v/>
      </c>
      <c r="F1752" s="1" t="str">
        <f>IF(OR(C1752="",NOT(ISNUMBER(SEARCH("Package",D1752)))),"",VLOOKUP(C1752,'Clients List'!$A:$F,4,FALSE)-SUMIFS($E$2:$E1752,$C$2:$C1752,C1752,$D$2:$D1752,"*Package*"))</f>
        <v/>
      </c>
      <c r="G1752" t="str">
        <f t="shared" si="60"/>
        <v/>
      </c>
      <c r="H1752" s="33">
        <f>IF(ISNUMBER(SEARCH("Group",D1752)),IF(G1752="",E1752,IFERROR(E1752/COUNTIF($G2:$G6000,G1752),E1752)),E1752)</f>
        <v>0</v>
      </c>
      <c r="I1752" s="1" t="str">
        <f>IFERROR(VLOOKUP(C1752,'Clients List'!A:F,6,FALSE),"")</f>
        <v/>
      </c>
    </row>
    <row r="1753" spans="4:9" x14ac:dyDescent="0.45">
      <c r="D1753" t="str">
        <f>IFERROR(VLOOKUP(C1753,'Clients List'!$A:$F,2,FALSE),"")</f>
        <v/>
      </c>
      <c r="F1753" s="1" t="str">
        <f>IF(OR(C1753="",NOT(ISNUMBER(SEARCH("Package",D1753)))),"",VLOOKUP(C1753,'Clients List'!$A:$F,4,FALSE)-SUMIFS($E$2:$E1753,$C$2:$C1753,C1753,$D$2:$D1753,"*Package*"))</f>
        <v/>
      </c>
      <c r="G1753" t="str">
        <f t="shared" si="60"/>
        <v/>
      </c>
      <c r="H1753" s="33">
        <f>IF(ISNUMBER(SEARCH("Group",D1753)),IF(G1753="",E1753,IFERROR(E1753/COUNTIF($G2:$G6000,G1753),E1753)),E1753)</f>
        <v>0</v>
      </c>
      <c r="I1753" s="1" t="str">
        <f>IFERROR(VLOOKUP(C1753,'Clients List'!A:F,6,FALSE),"")</f>
        <v/>
      </c>
    </row>
    <row r="1754" spans="4:9" x14ac:dyDescent="0.45">
      <c r="D1754" t="str">
        <f>IFERROR(VLOOKUP(C1754,'Clients List'!$A:$F,2,FALSE),"")</f>
        <v/>
      </c>
      <c r="F1754" s="1" t="str">
        <f>IF(OR(C1754="",NOT(ISNUMBER(SEARCH("Package",D1754)))),"",VLOOKUP(C1754,'Clients List'!$A:$F,4,FALSE)-SUMIFS($E$2:$E1754,$C$2:$C1754,C1754,$D$2:$D1754,"*Package*"))</f>
        <v/>
      </c>
      <c r="G1754" t="str">
        <f t="shared" si="60"/>
        <v/>
      </c>
      <c r="H1754" s="33">
        <f>IF(ISNUMBER(SEARCH("Group",D1754)),IF(G1754="",E1754,IFERROR(E1754/COUNTIF($G2:$G6000,G1754),E1754)),E1754)</f>
        <v>0</v>
      </c>
      <c r="I1754" s="1" t="str">
        <f>IFERROR(VLOOKUP(C1754,'Clients List'!A:F,6,FALSE),"")</f>
        <v/>
      </c>
    </row>
    <row r="1755" spans="4:9" x14ac:dyDescent="0.45">
      <c r="D1755" t="str">
        <f>IFERROR(VLOOKUP(C1755,'Clients List'!$A:$F,2,FALSE),"")</f>
        <v/>
      </c>
      <c r="F1755" s="1" t="str">
        <f>IF(OR(C1755="",NOT(ISNUMBER(SEARCH("Package",D1755)))),"",VLOOKUP(C1755,'Clients List'!$A:$F,4,FALSE)-SUMIFS($E$2:$E1755,$C$2:$C1755,C1755,$D$2:$D1755,"*Package*"))</f>
        <v/>
      </c>
      <c r="G1755" t="str">
        <f t="shared" si="60"/>
        <v/>
      </c>
      <c r="H1755" s="33">
        <f>IF(ISNUMBER(SEARCH("Group",D1755)),IF(G1755="",E1755,IFERROR(E1755/COUNTIF($G2:$G6000,G1755),E1755)),E1755)</f>
        <v>0</v>
      </c>
      <c r="I1755" s="1" t="str">
        <f>IFERROR(VLOOKUP(C1755,'Clients List'!A:F,6,FALSE),"")</f>
        <v/>
      </c>
    </row>
    <row r="1756" spans="4:9" x14ac:dyDescent="0.45">
      <c r="D1756" t="str">
        <f>IFERROR(VLOOKUP(C1756,'Clients List'!$A:$F,2,FALSE),"")</f>
        <v/>
      </c>
      <c r="F1756" s="1" t="str">
        <f>IF(OR(C1756="",NOT(ISNUMBER(SEARCH("Package",D1756)))),"",VLOOKUP(C1756,'Clients List'!$A:$F,4,FALSE)-SUMIFS($E$2:$E1756,$C$2:$C1756,C1756,$D$2:$D1756,"*Package*"))</f>
        <v/>
      </c>
      <c r="G1756" t="str">
        <f t="shared" si="60"/>
        <v/>
      </c>
      <c r="H1756" s="33">
        <f>IF(ISNUMBER(SEARCH("Group",D1756)),IF(G1756="",E1756,IFERROR(E1756/COUNTIF($G2:$G6000,G1756),E1756)),E1756)</f>
        <v>0</v>
      </c>
      <c r="I1756" s="1" t="str">
        <f>IFERROR(VLOOKUP(C1756,'Clients List'!A:F,6,FALSE),"")</f>
        <v/>
      </c>
    </row>
    <row r="1757" spans="4:9" x14ac:dyDescent="0.45">
      <c r="D1757" t="str">
        <f>IFERROR(VLOOKUP(C1757,'Clients List'!$A:$F,2,FALSE),"")</f>
        <v/>
      </c>
      <c r="F1757" s="1" t="str">
        <f>IF(OR(C1757="",NOT(ISNUMBER(SEARCH("Package",D1757)))),"",VLOOKUP(C1757,'Clients List'!$A:$F,4,FALSE)-SUMIFS($E$2:$E1757,$C$2:$C1757,C1757,$D$2:$D1757,"*Package*"))</f>
        <v/>
      </c>
      <c r="G1757" t="str">
        <f t="shared" si="60"/>
        <v/>
      </c>
      <c r="H1757" s="33">
        <f>IF(ISNUMBER(SEARCH("Group",D1757)),IF(G1757="",E1757,IFERROR(E1757/COUNTIF($G2:$G6000,G1757),E1757)),E1757)</f>
        <v>0</v>
      </c>
      <c r="I1757" s="1" t="str">
        <f>IFERROR(VLOOKUP(C1757,'Clients List'!A:F,6,FALSE),"")</f>
        <v/>
      </c>
    </row>
    <row r="1758" spans="4:9" x14ac:dyDescent="0.45">
      <c r="D1758" t="str">
        <f>IFERROR(VLOOKUP(C1758,'Clients List'!$A:$F,2,FALSE),"")</f>
        <v/>
      </c>
      <c r="F1758" s="1" t="str">
        <f>IF(OR(C1758="",NOT(ISNUMBER(SEARCH("Package",D1758)))),"",VLOOKUP(C1758,'Clients List'!$A:$F,4,FALSE)-SUMIFS($E$2:$E1758,$C$2:$C1758,C1758,$D$2:$D1758,"*Package*"))</f>
        <v/>
      </c>
      <c r="G1758" t="str">
        <f t="shared" si="60"/>
        <v/>
      </c>
      <c r="H1758" s="33">
        <f>IF(ISNUMBER(SEARCH("Group",D1758)),IF(G1758="",E1758,IFERROR(E1758/COUNTIF($G2:$G6000,G1758),E1758)),E1758)</f>
        <v>0</v>
      </c>
      <c r="I1758" s="1" t="str">
        <f>IFERROR(VLOOKUP(C1758,'Clients List'!A:F,6,FALSE),"")</f>
        <v/>
      </c>
    </row>
    <row r="1759" spans="4:9" x14ac:dyDescent="0.45">
      <c r="D1759" t="str">
        <f>IFERROR(VLOOKUP(C1759,'Clients List'!$A:$F,2,FALSE),"")</f>
        <v/>
      </c>
      <c r="F1759" s="1" t="str">
        <f>IF(OR(C1759="",NOT(ISNUMBER(SEARCH("Package",D1759)))),"",VLOOKUP(C1759,'Clients List'!$A:$F,4,FALSE)-SUMIFS($E$2:$E1759,$C$2:$C1759,C1759,$D$2:$D1759,"*Package*"))</f>
        <v/>
      </c>
      <c r="G1759" t="str">
        <f t="shared" si="60"/>
        <v/>
      </c>
      <c r="H1759" s="33">
        <f>IF(ISNUMBER(SEARCH("Group",D1759)),IF(G1759="",E1759,IFERROR(E1759/COUNTIF($G2:$G6000,G1759),E1759)),E1759)</f>
        <v>0</v>
      </c>
      <c r="I1759" s="1" t="str">
        <f>IFERROR(VLOOKUP(C1759,'Clients List'!A:F,6,FALSE),"")</f>
        <v/>
      </c>
    </row>
    <row r="1760" spans="4:9" x14ac:dyDescent="0.45">
      <c r="D1760" t="str">
        <f>IFERROR(VLOOKUP(C1760,'Clients List'!$A:$F,2,FALSE),"")</f>
        <v/>
      </c>
      <c r="F1760" s="1" t="str">
        <f>IF(OR(C1760="",NOT(ISNUMBER(SEARCH("Package",D1760)))),"",VLOOKUP(C1760,'Clients List'!$A:$F,4,FALSE)-SUMIFS($E$2:$E1760,$C$2:$C1760,C1760,$D$2:$D1760,"*Package*"))</f>
        <v/>
      </c>
      <c r="G1760" t="str">
        <f t="shared" si="60"/>
        <v/>
      </c>
      <c r="H1760" s="33">
        <f>IF(ISNUMBER(SEARCH("Group",D1760)),IF(G1760="",E1760,IFERROR(E1760/COUNTIF($G2:$G6000,G1760),E1760)),E1760)</f>
        <v>0</v>
      </c>
      <c r="I1760" s="1" t="str">
        <f>IFERROR(VLOOKUP(C1760,'Clients List'!A:F,6,FALSE),"")</f>
        <v/>
      </c>
    </row>
    <row r="1761" spans="4:9" x14ac:dyDescent="0.45">
      <c r="D1761" t="str">
        <f>IFERROR(VLOOKUP(C1761,'Clients List'!$A:$F,2,FALSE),"")</f>
        <v/>
      </c>
      <c r="F1761" s="1" t="str">
        <f>IF(OR(C1761="",NOT(ISNUMBER(SEARCH("Package",D1761)))),"",VLOOKUP(C1761,'Clients List'!$A:$F,4,FALSE)-SUMIFS($E$2:$E1761,$C$2:$C1761,C1761,$D$2:$D1761,"*Package*"))</f>
        <v/>
      </c>
      <c r="G1761" t="str">
        <f t="shared" si="60"/>
        <v/>
      </c>
      <c r="H1761" s="33">
        <f>IF(ISNUMBER(SEARCH("Group",D1761)),IF(G1761="",E1761,IFERROR(E1761/COUNTIF($G2:$G6000,G1761),E1761)),E1761)</f>
        <v>0</v>
      </c>
      <c r="I1761" s="1" t="str">
        <f>IFERROR(VLOOKUP(C1761,'Clients List'!A:F,6,FALSE),"")</f>
        <v/>
      </c>
    </row>
    <row r="1762" spans="4:9" x14ac:dyDescent="0.45">
      <c r="D1762" t="str">
        <f>IFERROR(VLOOKUP(C1762,'Clients List'!$A:$F,2,FALSE),"")</f>
        <v/>
      </c>
      <c r="F1762" s="1" t="str">
        <f>IF(OR(C1762="",NOT(ISNUMBER(SEARCH("Package",D1762)))),"",VLOOKUP(C1762,'Clients List'!$A:$F,4,FALSE)-SUMIFS($E$2:$E1762,$C$2:$C1762,C1762,$D$2:$D1762,"*Package*"))</f>
        <v/>
      </c>
      <c r="G1762" t="str">
        <f t="shared" si="60"/>
        <v/>
      </c>
      <c r="H1762" s="33">
        <f>IF(ISNUMBER(SEARCH("Group",D1762)),IF(G1762="",E1762,IFERROR(E1762/COUNTIF($G2:$G6000,G1762),E1762)),E1762)</f>
        <v>0</v>
      </c>
      <c r="I1762" s="1" t="str">
        <f>IFERROR(VLOOKUP(C1762,'Clients List'!A:F,6,FALSE),"")</f>
        <v/>
      </c>
    </row>
    <row r="1763" spans="4:9" x14ac:dyDescent="0.45">
      <c r="D1763" t="str">
        <f>IFERROR(VLOOKUP(C1763,'Clients List'!$A:$F,2,FALSE),"")</f>
        <v/>
      </c>
      <c r="F1763" s="1" t="str">
        <f>IF(OR(C1763="",NOT(ISNUMBER(SEARCH("Package",D1763)))),"",VLOOKUP(C1763,'Clients List'!$A:$F,4,FALSE)-SUMIFS($E$2:$E1763,$C$2:$C1763,C1763,$D$2:$D1763,"*Package*"))</f>
        <v/>
      </c>
      <c r="G1763" t="str">
        <f t="shared" si="60"/>
        <v/>
      </c>
      <c r="H1763" s="33">
        <f>IF(ISNUMBER(SEARCH("Group",D1763)),IF(G1763="",E1763,IFERROR(E1763/COUNTIF($G2:$G6000,G1763),E1763)),E1763)</f>
        <v>0</v>
      </c>
      <c r="I1763" s="1" t="str">
        <f>IFERROR(VLOOKUP(C1763,'Clients List'!A:F,6,FALSE),"")</f>
        <v/>
      </c>
    </row>
    <row r="1764" spans="4:9" x14ac:dyDescent="0.45">
      <c r="D1764" t="str">
        <f>IFERROR(VLOOKUP(C1764,'Clients List'!$A:$F,2,FALSE),"")</f>
        <v/>
      </c>
      <c r="F1764" s="1" t="str">
        <f>IF(OR(C1764="",NOT(ISNUMBER(SEARCH("Package",D1764)))),"",VLOOKUP(C1764,'Clients List'!$A:$F,4,FALSE)-SUMIFS($E$2:$E1764,$C$2:$C1764,C1764,$D$2:$D1764,"*Package*"))</f>
        <v/>
      </c>
      <c r="G1764" t="str">
        <f t="shared" si="60"/>
        <v/>
      </c>
      <c r="H1764" s="33">
        <f>IF(ISNUMBER(SEARCH("Group",D1764)),IF(G1764="",E1764,IFERROR(E1764/COUNTIF($G2:$G6000,G1764),E1764)),E1764)</f>
        <v>0</v>
      </c>
      <c r="I1764" s="1" t="str">
        <f>IFERROR(VLOOKUP(C1764,'Clients List'!A:F,6,FALSE),"")</f>
        <v/>
      </c>
    </row>
    <row r="1765" spans="4:9" x14ac:dyDescent="0.45">
      <c r="D1765" t="str">
        <f>IFERROR(VLOOKUP(C1765,'Clients List'!$A:$F,2,FALSE),"")</f>
        <v/>
      </c>
      <c r="F1765" s="1" t="str">
        <f>IF(OR(C1765="",NOT(ISNUMBER(SEARCH("Package",D1765)))),"",VLOOKUP(C1765,'Clients List'!$A:$F,4,FALSE)-SUMIFS($E$2:$E1765,$C$2:$C1765,C1765,$D$2:$D1765,"*Package*"))</f>
        <v/>
      </c>
      <c r="G1765" t="str">
        <f t="shared" si="60"/>
        <v/>
      </c>
      <c r="H1765" s="33">
        <f>IF(ISNUMBER(SEARCH("Group",D1765)),IF(G1765="",E1765,IFERROR(E1765/COUNTIF($G2:$G6000,G1765),E1765)),E1765)</f>
        <v>0</v>
      </c>
      <c r="I1765" s="1" t="str">
        <f>IFERROR(VLOOKUP(C1765,'Clients List'!A:F,6,FALSE),"")</f>
        <v/>
      </c>
    </row>
    <row r="1766" spans="4:9" x14ac:dyDescent="0.45">
      <c r="D1766" t="str">
        <f>IFERROR(VLOOKUP(C1766,'Clients List'!$A:$F,2,FALSE),"")</f>
        <v/>
      </c>
      <c r="F1766" s="1" t="str">
        <f>IF(OR(C1766="",NOT(ISNUMBER(SEARCH("Package",D1766)))),"",VLOOKUP(C1766,'Clients List'!$A:$F,4,FALSE)-SUMIFS($E$2:$E1766,$C$2:$C1766,C1766,$D$2:$D1766,"*Package*"))</f>
        <v/>
      </c>
      <c r="G1766" t="str">
        <f t="shared" si="60"/>
        <v/>
      </c>
      <c r="H1766" s="33">
        <f>IF(ISNUMBER(SEARCH("Group",D1766)),IF(G1766="",E1766,IFERROR(E1766/COUNTIF($G2:$G6000,G1766),E1766)),E1766)</f>
        <v>0</v>
      </c>
      <c r="I1766" s="1" t="str">
        <f>IFERROR(VLOOKUP(C1766,'Clients List'!A:F,6,FALSE),"")</f>
        <v/>
      </c>
    </row>
    <row r="1767" spans="4:9" x14ac:dyDescent="0.45">
      <c r="D1767" t="str">
        <f>IFERROR(VLOOKUP(C1767,'Clients List'!$A:$F,2,FALSE),"")</f>
        <v/>
      </c>
      <c r="F1767" s="1" t="str">
        <f>IF(OR(C1767="",NOT(ISNUMBER(SEARCH("Package",D1767)))),"",VLOOKUP(C1767,'Clients List'!$A:$F,4,FALSE)-SUMIFS($E$2:$E1767,$C$2:$C1767,C1767,$D$2:$D1767,"*Package*"))</f>
        <v/>
      </c>
      <c r="G1767" t="str">
        <f t="shared" si="60"/>
        <v/>
      </c>
      <c r="H1767" s="33">
        <f>IF(ISNUMBER(SEARCH("Group",D1767)),IF(G1767="",E1767,IFERROR(E1767/COUNTIF($G2:$G6000,G1767),E1767)),E1767)</f>
        <v>0</v>
      </c>
      <c r="I1767" s="1" t="str">
        <f>IFERROR(VLOOKUP(C1767,'Clients List'!A:F,6,FALSE),"")</f>
        <v/>
      </c>
    </row>
    <row r="1768" spans="4:9" x14ac:dyDescent="0.45">
      <c r="D1768" t="str">
        <f>IFERROR(VLOOKUP(C1768,'Clients List'!$A:$F,2,FALSE),"")</f>
        <v/>
      </c>
      <c r="F1768" s="1" t="str">
        <f>IF(OR(C1768="",NOT(ISNUMBER(SEARCH("Package",D1768)))),"",VLOOKUP(C1768,'Clients List'!$A:$F,4,FALSE)-SUMIFS($E$2:$E1768,$C$2:$C1768,C1768,$D$2:$D1768,"*Package*"))</f>
        <v/>
      </c>
      <c r="G1768" t="str">
        <f t="shared" si="60"/>
        <v/>
      </c>
      <c r="H1768" s="33">
        <f>IF(ISNUMBER(SEARCH("Group",D1768)),IF(G1768="",E1768,IFERROR(E1768/COUNTIF($G2:$G6000,G1768),E1768)),E1768)</f>
        <v>0</v>
      </c>
      <c r="I1768" s="1" t="str">
        <f>IFERROR(VLOOKUP(C1768,'Clients List'!A:F,6,FALSE),"")</f>
        <v/>
      </c>
    </row>
    <row r="1769" spans="4:9" x14ac:dyDescent="0.45">
      <c r="D1769" t="str">
        <f>IFERROR(VLOOKUP(C1769,'Clients List'!$A:$F,2,FALSE),"")</f>
        <v/>
      </c>
      <c r="F1769" s="1" t="str">
        <f>IF(OR(C1769="",NOT(ISNUMBER(SEARCH("Package",D1769)))),"",VLOOKUP(C1769,'Clients List'!$A:$F,4,FALSE)-SUMIFS($E$2:$E1769,$C$2:$C1769,C1769,$D$2:$D1769,"*Package*"))</f>
        <v/>
      </c>
      <c r="G1769" t="str">
        <f t="shared" si="60"/>
        <v/>
      </c>
      <c r="H1769" s="33">
        <f>IF(ISNUMBER(SEARCH("Group",D1769)),IF(G1769="",E1769,IFERROR(E1769/COUNTIF($G2:$G6000,G1769),E1769)),E1769)</f>
        <v>0</v>
      </c>
      <c r="I1769" s="1" t="str">
        <f>IFERROR(VLOOKUP(C1769,'Clients List'!A:F,6,FALSE),"")</f>
        <v/>
      </c>
    </row>
    <row r="1770" spans="4:9" x14ac:dyDescent="0.45">
      <c r="D1770" t="str">
        <f>IFERROR(VLOOKUP(C1770,'Clients List'!$A:$F,2,FALSE),"")</f>
        <v/>
      </c>
      <c r="F1770" s="1" t="str">
        <f>IF(OR(C1770="",NOT(ISNUMBER(SEARCH("Package",D1770)))),"",VLOOKUP(C1770,'Clients List'!$A:$F,4,FALSE)-SUMIFS($E$2:$E1770,$C$2:$C1770,C1770,$D$2:$D1770,"*Package*"))</f>
        <v/>
      </c>
      <c r="G1770" t="str">
        <f t="shared" si="60"/>
        <v/>
      </c>
      <c r="H1770" s="33">
        <f>IF(ISNUMBER(SEARCH("Group",D1770)),IF(G1770="",E1770,IFERROR(E1770/COUNTIF($G2:$G6000,G1770),E1770)),E1770)</f>
        <v>0</v>
      </c>
      <c r="I1770" s="1" t="str">
        <f>IFERROR(VLOOKUP(C1770,'Clients List'!A:F,6,FALSE),"")</f>
        <v/>
      </c>
    </row>
    <row r="1771" spans="4:9" x14ac:dyDescent="0.45">
      <c r="D1771" t="str">
        <f>IFERROR(VLOOKUP(C1771,'Clients List'!$A:$F,2,FALSE),"")</f>
        <v/>
      </c>
      <c r="F1771" s="1" t="str">
        <f>IF(OR(C1771="",NOT(ISNUMBER(SEARCH("Package",D1771)))),"",VLOOKUP(C1771,'Clients List'!$A:$F,4,FALSE)-SUMIFS($E$2:$E1771,$C$2:$C1771,C1771,$D$2:$D1771,"*Package*"))</f>
        <v/>
      </c>
      <c r="G1771" t="str">
        <f t="shared" si="60"/>
        <v/>
      </c>
      <c r="H1771" s="33">
        <f>IF(ISNUMBER(SEARCH("Group",D1771)),IF(G1771="",E1771,IFERROR(E1771/COUNTIF($G2:$G6000,G1771),E1771)),E1771)</f>
        <v>0</v>
      </c>
      <c r="I1771" s="1" t="str">
        <f>IFERROR(VLOOKUP(C1771,'Clients List'!A:F,6,FALSE),"")</f>
        <v/>
      </c>
    </row>
    <row r="1772" spans="4:9" x14ac:dyDescent="0.45">
      <c r="D1772" t="str">
        <f>IFERROR(VLOOKUP(C1772,'Clients List'!$A:$F,2,FALSE),"")</f>
        <v/>
      </c>
      <c r="F1772" s="1" t="str">
        <f>IF(OR(C1772="",NOT(ISNUMBER(SEARCH("Package",D1772)))),"",VLOOKUP(C1772,'Clients List'!$A:$F,4,FALSE)-SUMIFS($E$2:$E1772,$C$2:$C1772,C1772,$D$2:$D1772,"*Package*"))</f>
        <v/>
      </c>
      <c r="G1772" t="str">
        <f t="shared" si="60"/>
        <v/>
      </c>
      <c r="H1772" s="33">
        <f>IF(ISNUMBER(SEARCH("Group",D1772)),IF(G1772="",E1772,IFERROR(E1772/COUNTIF($G2:$G6000,G1772),E1772)),E1772)</f>
        <v>0</v>
      </c>
      <c r="I1772" s="1" t="str">
        <f>IFERROR(VLOOKUP(C1772,'Clients List'!A:F,6,FALSE),"")</f>
        <v/>
      </c>
    </row>
    <row r="1773" spans="4:9" x14ac:dyDescent="0.45">
      <c r="D1773" t="str">
        <f>IFERROR(VLOOKUP(C1773,'Clients List'!$A:$F,2,FALSE),"")</f>
        <v/>
      </c>
      <c r="F1773" s="1" t="str">
        <f>IF(OR(C1773="",NOT(ISNUMBER(SEARCH("Package",D1773)))),"",VLOOKUP(C1773,'Clients List'!$A:$F,4,FALSE)-SUMIFS($E$2:$E1773,$C$2:$C1773,C1773,$D$2:$D1773,"*Package*"))</f>
        <v/>
      </c>
      <c r="G1773" t="str">
        <f t="shared" si="60"/>
        <v/>
      </c>
      <c r="H1773" s="33">
        <f>IF(ISNUMBER(SEARCH("Group",D1773)),IF(G1773="",E1773,IFERROR(E1773/COUNTIF($G2:$G6000,G1773),E1773)),E1773)</f>
        <v>0</v>
      </c>
      <c r="I1773" s="1" t="str">
        <f>IFERROR(VLOOKUP(C1773,'Clients List'!A:F,6,FALSE),"")</f>
        <v/>
      </c>
    </row>
    <row r="1774" spans="4:9" x14ac:dyDescent="0.45">
      <c r="D1774" t="str">
        <f>IFERROR(VLOOKUP(C1774,'Clients List'!$A:$F,2,FALSE),"")</f>
        <v/>
      </c>
      <c r="F1774" s="1" t="str">
        <f>IF(OR(C1774="",NOT(ISNUMBER(SEARCH("Package",D1774)))),"",VLOOKUP(C1774,'Clients List'!$A:$F,4,FALSE)-SUMIFS($E$2:$E1774,$C$2:$C1774,C1774,$D$2:$D1774,"*Package*"))</f>
        <v/>
      </c>
      <c r="G1774" t="str">
        <f t="shared" si="60"/>
        <v/>
      </c>
      <c r="H1774" s="33">
        <f>IF(ISNUMBER(SEARCH("Group",D1774)),IF(G1774="",E1774,IFERROR(E1774/COUNTIF($G2:$G6000,G1774),E1774)),E1774)</f>
        <v>0</v>
      </c>
      <c r="I1774" s="1" t="str">
        <f>IFERROR(VLOOKUP(C1774,'Clients List'!A:F,6,FALSE),"")</f>
        <v/>
      </c>
    </row>
    <row r="1775" spans="4:9" x14ac:dyDescent="0.45">
      <c r="D1775" t="str">
        <f>IFERROR(VLOOKUP(C1775,'Clients List'!$A:$F,2,FALSE),"")</f>
        <v/>
      </c>
      <c r="F1775" s="1" t="str">
        <f>IF(OR(C1775="",NOT(ISNUMBER(SEARCH("Package",D1775)))),"",VLOOKUP(C1775,'Clients List'!$A:$F,4,FALSE)-SUMIFS($E$2:$E1775,$C$2:$C1775,C1775,$D$2:$D1775,"*Package*"))</f>
        <v/>
      </c>
      <c r="G1775" t="str">
        <f t="shared" si="60"/>
        <v/>
      </c>
      <c r="H1775" s="33">
        <f>IF(ISNUMBER(SEARCH("Group",D1775)),IF(G1775="",E1775,IFERROR(E1775/COUNTIF($G2:$G6000,G1775),E1775)),E1775)</f>
        <v>0</v>
      </c>
      <c r="I1775" s="1" t="str">
        <f>IFERROR(VLOOKUP(C1775,'Clients List'!A:F,6,FALSE),"")</f>
        <v/>
      </c>
    </row>
    <row r="1776" spans="4:9" x14ac:dyDescent="0.45">
      <c r="D1776" t="str">
        <f>IFERROR(VLOOKUP(C1776,'Clients List'!$A:$F,2,FALSE),"")</f>
        <v/>
      </c>
      <c r="F1776" s="1" t="str">
        <f>IF(OR(C1776="",NOT(ISNUMBER(SEARCH("Package",D1776)))),"",VLOOKUP(C1776,'Clients List'!$A:$F,4,FALSE)-SUMIFS($E$2:$E1776,$C$2:$C1776,C1776,$D$2:$D1776,"*Package*"))</f>
        <v/>
      </c>
      <c r="G1776" t="str">
        <f t="shared" si="60"/>
        <v/>
      </c>
      <c r="H1776" s="33">
        <f>IF(ISNUMBER(SEARCH("Group",D1776)),IF(G1776="",E1776,IFERROR(E1776/COUNTIF($G2:$G6000,G1776),E1776)),E1776)</f>
        <v>0</v>
      </c>
      <c r="I1776" s="1" t="str">
        <f>IFERROR(VLOOKUP(C1776,'Clients List'!A:F,6,FALSE),"")</f>
        <v/>
      </c>
    </row>
    <row r="1777" spans="4:9" x14ac:dyDescent="0.45">
      <c r="D1777" t="str">
        <f>IFERROR(VLOOKUP(C1777,'Clients List'!$A:$F,2,FALSE),"")</f>
        <v/>
      </c>
      <c r="F1777" s="1" t="str">
        <f>IF(OR(C1777="",NOT(ISNUMBER(SEARCH("Package",D1777)))),"",VLOOKUP(C1777,'Clients List'!$A:$F,4,FALSE)-SUMIFS($E$2:$E1777,$C$2:$C1777,C1777,$D$2:$D1777,"*Package*"))</f>
        <v/>
      </c>
      <c r="G1777" t="str">
        <f t="shared" si="60"/>
        <v/>
      </c>
      <c r="H1777" s="33">
        <f>IF(ISNUMBER(SEARCH("Group",D1777)),IF(G1777="",E1777,IFERROR(E1777/COUNTIF($G2:$G6000,G1777),E1777)),E1777)</f>
        <v>0</v>
      </c>
      <c r="I1777" s="1" t="str">
        <f>IFERROR(VLOOKUP(C1777,'Clients List'!A:F,6,FALSE),"")</f>
        <v/>
      </c>
    </row>
    <row r="1778" spans="4:9" x14ac:dyDescent="0.45">
      <c r="D1778" t="str">
        <f>IFERROR(VLOOKUP(C1778,'Clients List'!$A:$F,2,FALSE),"")</f>
        <v/>
      </c>
      <c r="F1778" s="1" t="str">
        <f>IF(OR(C1778="",NOT(ISNUMBER(SEARCH("Package",D1778)))),"",VLOOKUP(C1778,'Clients List'!$A:$F,4,FALSE)-SUMIFS($E$2:$E1778,$C$2:$C1778,C1778,$D$2:$D1778,"*Package*"))</f>
        <v/>
      </c>
      <c r="G1778" t="str">
        <f t="shared" si="60"/>
        <v/>
      </c>
      <c r="H1778" s="33">
        <f>IF(ISNUMBER(SEARCH("Group",D1778)),IF(G1778="",E1778,IFERROR(E1778/COUNTIF($G2:$G6000,G1778),E1778)),E1778)</f>
        <v>0</v>
      </c>
      <c r="I1778" s="1" t="str">
        <f>IFERROR(VLOOKUP(C1778,'Clients List'!A:F,6,FALSE),"")</f>
        <v/>
      </c>
    </row>
    <row r="1779" spans="4:9" x14ac:dyDescent="0.45">
      <c r="D1779" t="str">
        <f>IFERROR(VLOOKUP(C1779,'Clients List'!$A:$F,2,FALSE),"")</f>
        <v/>
      </c>
      <c r="F1779" s="1" t="str">
        <f>IF(OR(C1779="",NOT(ISNUMBER(SEARCH("Package",D1779)))),"",VLOOKUP(C1779,'Clients List'!$A:$F,4,FALSE)-SUMIFS($E$2:$E1779,$C$2:$C1779,C1779,$D$2:$D1779,"*Package*"))</f>
        <v/>
      </c>
      <c r="G1779" t="str">
        <f t="shared" si="60"/>
        <v/>
      </c>
      <c r="H1779" s="33">
        <f>IF(ISNUMBER(SEARCH("Group",D1779)),IF(G1779="",E1779,IFERROR(E1779/COUNTIF($G2:$G6000,G1779),E1779)),E1779)</f>
        <v>0</v>
      </c>
      <c r="I1779" s="1" t="str">
        <f>IFERROR(VLOOKUP(C1779,'Clients List'!A:F,6,FALSE),"")</f>
        <v/>
      </c>
    </row>
    <row r="1780" spans="4:9" x14ac:dyDescent="0.45">
      <c r="D1780" t="str">
        <f>IFERROR(VLOOKUP(C1780,'Clients List'!$A:$F,2,FALSE),"")</f>
        <v/>
      </c>
      <c r="F1780" s="1" t="str">
        <f>IF(OR(C1780="",NOT(ISNUMBER(SEARCH("Package",D1780)))),"",VLOOKUP(C1780,'Clients List'!$A:$F,4,FALSE)-SUMIFS($E$2:$E1780,$C$2:$C1780,C1780,$D$2:$D1780,"*Package*"))</f>
        <v/>
      </c>
      <c r="G1780" t="str">
        <f t="shared" si="60"/>
        <v/>
      </c>
      <c r="H1780" s="33">
        <f>IF(ISNUMBER(SEARCH("Group",D1780)),IF(G1780="",E1780,IFERROR(E1780/COUNTIF($G2:$G6000,G1780),E1780)),E1780)</f>
        <v>0</v>
      </c>
      <c r="I1780" s="1" t="str">
        <f>IFERROR(VLOOKUP(C1780,'Clients List'!A:F,6,FALSE),"")</f>
        <v/>
      </c>
    </row>
    <row r="1781" spans="4:9" x14ac:dyDescent="0.45">
      <c r="D1781" t="str">
        <f>IFERROR(VLOOKUP(C1781,'Clients List'!$A:$F,2,FALSE),"")</f>
        <v/>
      </c>
      <c r="F1781" s="1" t="str">
        <f>IF(OR(C1781="",NOT(ISNUMBER(SEARCH("Package",D1781)))),"",VLOOKUP(C1781,'Clients List'!$A:$F,4,FALSE)-SUMIFS($E$2:$E1781,$C$2:$C1781,C1781,$D$2:$D1781,"*Package*"))</f>
        <v/>
      </c>
      <c r="G1781" t="str">
        <f t="shared" ref="G1781:G1844" si="61">IF(ISNUMBER(SEARCH("Group",D1781)),IFERROR("GRP-"&amp;TEXT(IF(ISNUMBER(A1781),A1781,DATEVALUE(A1781)),"yyyymmdd"),""),"" )</f>
        <v/>
      </c>
      <c r="H1781" s="33">
        <f>IF(ISNUMBER(SEARCH("Group",D1781)),IF(G1781="",E1781,IFERROR(E1781/COUNTIF($G2:$G6000,G1781),E1781)),E1781)</f>
        <v>0</v>
      </c>
      <c r="I1781" s="1" t="str">
        <f>IFERROR(VLOOKUP(C1781,'Clients List'!A:F,6,FALSE),"")</f>
        <v/>
      </c>
    </row>
    <row r="1782" spans="4:9" x14ac:dyDescent="0.45">
      <c r="D1782" t="str">
        <f>IFERROR(VLOOKUP(C1782,'Clients List'!$A:$F,2,FALSE),"")</f>
        <v/>
      </c>
      <c r="F1782" s="1" t="str">
        <f>IF(OR(C1782="",NOT(ISNUMBER(SEARCH("Package",D1782)))),"",VLOOKUP(C1782,'Clients List'!$A:$F,4,FALSE)-SUMIFS($E$2:$E1782,$C$2:$C1782,C1782,$D$2:$D1782,"*Package*"))</f>
        <v/>
      </c>
      <c r="G1782" t="str">
        <f t="shared" si="61"/>
        <v/>
      </c>
      <c r="H1782" s="33">
        <f>IF(ISNUMBER(SEARCH("Group",D1782)),IF(G1782="",E1782,IFERROR(E1782/COUNTIF($G2:$G6000,G1782),E1782)),E1782)</f>
        <v>0</v>
      </c>
      <c r="I1782" s="1" t="str">
        <f>IFERROR(VLOOKUP(C1782,'Clients List'!A:F,6,FALSE),"")</f>
        <v/>
      </c>
    </row>
    <row r="1783" spans="4:9" x14ac:dyDescent="0.45">
      <c r="D1783" t="str">
        <f>IFERROR(VLOOKUP(C1783,'Clients List'!$A:$F,2,FALSE),"")</f>
        <v/>
      </c>
      <c r="F1783" s="1" t="str">
        <f>IF(OR(C1783="",NOT(ISNUMBER(SEARCH("Package",D1783)))),"",VLOOKUP(C1783,'Clients List'!$A:$F,4,FALSE)-SUMIFS($E$2:$E1783,$C$2:$C1783,C1783,$D$2:$D1783,"*Package*"))</f>
        <v/>
      </c>
      <c r="G1783" t="str">
        <f t="shared" si="61"/>
        <v/>
      </c>
      <c r="H1783" s="33">
        <f>IF(ISNUMBER(SEARCH("Group",D1783)),IF(G1783="",E1783,IFERROR(E1783/COUNTIF($G2:$G6000,G1783),E1783)),E1783)</f>
        <v>0</v>
      </c>
      <c r="I1783" s="1" t="str">
        <f>IFERROR(VLOOKUP(C1783,'Clients List'!A:F,6,FALSE),"")</f>
        <v/>
      </c>
    </row>
    <row r="1784" spans="4:9" x14ac:dyDescent="0.45">
      <c r="D1784" t="str">
        <f>IFERROR(VLOOKUP(C1784,'Clients List'!$A:$F,2,FALSE),"")</f>
        <v/>
      </c>
      <c r="F1784" s="1" t="str">
        <f>IF(OR(C1784="",NOT(ISNUMBER(SEARCH("Package",D1784)))),"",VLOOKUP(C1784,'Clients List'!$A:$F,4,FALSE)-SUMIFS($E$2:$E1784,$C$2:$C1784,C1784,$D$2:$D1784,"*Package*"))</f>
        <v/>
      </c>
      <c r="G1784" t="str">
        <f t="shared" si="61"/>
        <v/>
      </c>
      <c r="H1784" s="33">
        <f>IF(ISNUMBER(SEARCH("Group",D1784)),IF(G1784="",E1784,IFERROR(E1784/COUNTIF($G2:$G6000,G1784),E1784)),E1784)</f>
        <v>0</v>
      </c>
      <c r="I1784" s="1" t="str">
        <f>IFERROR(VLOOKUP(C1784,'Clients List'!A:F,6,FALSE),"")</f>
        <v/>
      </c>
    </row>
    <row r="1785" spans="4:9" x14ac:dyDescent="0.45">
      <c r="D1785" t="str">
        <f>IFERROR(VLOOKUP(C1785,'Clients List'!$A:$F,2,FALSE),"")</f>
        <v/>
      </c>
      <c r="F1785" s="1" t="str">
        <f>IF(OR(C1785="",NOT(ISNUMBER(SEARCH("Package",D1785)))),"",VLOOKUP(C1785,'Clients List'!$A:$F,4,FALSE)-SUMIFS($E$2:$E1785,$C$2:$C1785,C1785,$D$2:$D1785,"*Package*"))</f>
        <v/>
      </c>
      <c r="G1785" t="str">
        <f t="shared" si="61"/>
        <v/>
      </c>
      <c r="H1785" s="33">
        <f>IF(ISNUMBER(SEARCH("Group",D1785)),IF(G1785="",E1785,IFERROR(E1785/COUNTIF($G2:$G6000,G1785),E1785)),E1785)</f>
        <v>0</v>
      </c>
      <c r="I1785" s="1" t="str">
        <f>IFERROR(VLOOKUP(C1785,'Clients List'!A:F,6,FALSE),"")</f>
        <v/>
      </c>
    </row>
    <row r="1786" spans="4:9" x14ac:dyDescent="0.45">
      <c r="D1786" t="str">
        <f>IFERROR(VLOOKUP(C1786,'Clients List'!$A:$F,2,FALSE),"")</f>
        <v/>
      </c>
      <c r="F1786" s="1" t="str">
        <f>IF(OR(C1786="",NOT(ISNUMBER(SEARCH("Package",D1786)))),"",VLOOKUP(C1786,'Clients List'!$A:$F,4,FALSE)-SUMIFS($E$2:$E1786,$C$2:$C1786,C1786,$D$2:$D1786,"*Package*"))</f>
        <v/>
      </c>
      <c r="G1786" t="str">
        <f t="shared" si="61"/>
        <v/>
      </c>
      <c r="H1786" s="33">
        <f>IF(ISNUMBER(SEARCH("Group",D1786)),IF(G1786="",E1786,IFERROR(E1786/COUNTIF($G2:$G6000,G1786),E1786)),E1786)</f>
        <v>0</v>
      </c>
      <c r="I1786" s="1" t="str">
        <f>IFERROR(VLOOKUP(C1786,'Clients List'!A:F,6,FALSE),"")</f>
        <v/>
      </c>
    </row>
    <row r="1787" spans="4:9" x14ac:dyDescent="0.45">
      <c r="D1787" t="str">
        <f>IFERROR(VLOOKUP(C1787,'Clients List'!$A:$F,2,FALSE),"")</f>
        <v/>
      </c>
      <c r="F1787" s="1" t="str">
        <f>IF(OR(C1787="",NOT(ISNUMBER(SEARCH("Package",D1787)))),"",VLOOKUP(C1787,'Clients List'!$A:$F,4,FALSE)-SUMIFS($E$2:$E1787,$C$2:$C1787,C1787,$D$2:$D1787,"*Package*"))</f>
        <v/>
      </c>
      <c r="G1787" t="str">
        <f t="shared" si="61"/>
        <v/>
      </c>
      <c r="H1787" s="33">
        <f>IF(ISNUMBER(SEARCH("Group",D1787)),IF(G1787="",E1787,IFERROR(E1787/COUNTIF($G2:$G6000,G1787),E1787)),E1787)</f>
        <v>0</v>
      </c>
      <c r="I1787" s="1" t="str">
        <f>IFERROR(VLOOKUP(C1787,'Clients List'!A:F,6,FALSE),"")</f>
        <v/>
      </c>
    </row>
    <row r="1788" spans="4:9" x14ac:dyDescent="0.45">
      <c r="D1788" t="str">
        <f>IFERROR(VLOOKUP(C1788,'Clients List'!$A:$F,2,FALSE),"")</f>
        <v/>
      </c>
      <c r="F1788" s="1" t="str">
        <f>IF(OR(C1788="",NOT(ISNUMBER(SEARCH("Package",D1788)))),"",VLOOKUP(C1788,'Clients List'!$A:$F,4,FALSE)-SUMIFS($E$2:$E1788,$C$2:$C1788,C1788,$D$2:$D1788,"*Package*"))</f>
        <v/>
      </c>
      <c r="G1788" t="str">
        <f t="shared" si="61"/>
        <v/>
      </c>
      <c r="H1788" s="33">
        <f>IF(ISNUMBER(SEARCH("Group",D1788)),IF(G1788="",E1788,IFERROR(E1788/COUNTIF($G2:$G6000,G1788),E1788)),E1788)</f>
        <v>0</v>
      </c>
      <c r="I1788" s="1" t="str">
        <f>IFERROR(VLOOKUP(C1788,'Clients List'!A:F,6,FALSE),"")</f>
        <v/>
      </c>
    </row>
    <row r="1789" spans="4:9" x14ac:dyDescent="0.45">
      <c r="D1789" t="str">
        <f>IFERROR(VLOOKUP(C1789,'Clients List'!$A:$F,2,FALSE),"")</f>
        <v/>
      </c>
      <c r="F1789" s="1" t="str">
        <f>IF(OR(C1789="",NOT(ISNUMBER(SEARCH("Package",D1789)))),"",VLOOKUP(C1789,'Clients List'!$A:$F,4,FALSE)-SUMIFS($E$2:$E1789,$C$2:$C1789,C1789,$D$2:$D1789,"*Package*"))</f>
        <v/>
      </c>
      <c r="G1789" t="str">
        <f t="shared" si="61"/>
        <v/>
      </c>
      <c r="H1789" s="33">
        <f>IF(ISNUMBER(SEARCH("Group",D1789)),IF(G1789="",E1789,IFERROR(E1789/COUNTIF($G2:$G6000,G1789),E1789)),E1789)</f>
        <v>0</v>
      </c>
      <c r="I1789" s="1" t="str">
        <f>IFERROR(VLOOKUP(C1789,'Clients List'!A:F,6,FALSE),"")</f>
        <v/>
      </c>
    </row>
    <row r="1790" spans="4:9" x14ac:dyDescent="0.45">
      <c r="D1790" t="str">
        <f>IFERROR(VLOOKUP(C1790,'Clients List'!$A:$F,2,FALSE),"")</f>
        <v/>
      </c>
      <c r="F1790" s="1" t="str">
        <f>IF(OR(C1790="",NOT(ISNUMBER(SEARCH("Package",D1790)))),"",VLOOKUP(C1790,'Clients List'!$A:$F,4,FALSE)-SUMIFS($E$2:$E1790,$C$2:$C1790,C1790,$D$2:$D1790,"*Package*"))</f>
        <v/>
      </c>
      <c r="G1790" t="str">
        <f t="shared" si="61"/>
        <v/>
      </c>
      <c r="H1790" s="33">
        <f>IF(ISNUMBER(SEARCH("Group",D1790)),IF(G1790="",E1790,IFERROR(E1790/COUNTIF($G2:$G6000,G1790),E1790)),E1790)</f>
        <v>0</v>
      </c>
      <c r="I1790" s="1" t="str">
        <f>IFERROR(VLOOKUP(C1790,'Clients List'!A:F,6,FALSE),"")</f>
        <v/>
      </c>
    </row>
    <row r="1791" spans="4:9" x14ac:dyDescent="0.45">
      <c r="D1791" t="str">
        <f>IFERROR(VLOOKUP(C1791,'Clients List'!$A:$F,2,FALSE),"")</f>
        <v/>
      </c>
      <c r="F1791" s="1" t="str">
        <f>IF(OR(C1791="",NOT(ISNUMBER(SEARCH("Package",D1791)))),"",VLOOKUP(C1791,'Clients List'!$A:$F,4,FALSE)-SUMIFS($E$2:$E1791,$C$2:$C1791,C1791,$D$2:$D1791,"*Package*"))</f>
        <v/>
      </c>
      <c r="G1791" t="str">
        <f t="shared" si="61"/>
        <v/>
      </c>
      <c r="H1791" s="33">
        <f>IF(ISNUMBER(SEARCH("Group",D1791)),IF(G1791="",E1791,IFERROR(E1791/COUNTIF($G2:$G6000,G1791),E1791)),E1791)</f>
        <v>0</v>
      </c>
      <c r="I1791" s="1" t="str">
        <f>IFERROR(VLOOKUP(C1791,'Clients List'!A:F,6,FALSE),"")</f>
        <v/>
      </c>
    </row>
    <row r="1792" spans="4:9" x14ac:dyDescent="0.45">
      <c r="D1792" t="str">
        <f>IFERROR(VLOOKUP(C1792,'Clients List'!$A:$F,2,FALSE),"")</f>
        <v/>
      </c>
      <c r="F1792" s="1" t="str">
        <f>IF(OR(C1792="",NOT(ISNUMBER(SEARCH("Package",D1792)))),"",VLOOKUP(C1792,'Clients List'!$A:$F,4,FALSE)-SUMIFS($E$2:$E1792,$C$2:$C1792,C1792,$D$2:$D1792,"*Package*"))</f>
        <v/>
      </c>
      <c r="G1792" t="str">
        <f t="shared" si="61"/>
        <v/>
      </c>
      <c r="H1792" s="33">
        <f>IF(ISNUMBER(SEARCH("Group",D1792)),IF(G1792="",E1792,IFERROR(E1792/COUNTIF($G2:$G6000,G1792),E1792)),E1792)</f>
        <v>0</v>
      </c>
      <c r="I1792" s="1" t="str">
        <f>IFERROR(VLOOKUP(C1792,'Clients List'!A:F,6,FALSE),"")</f>
        <v/>
      </c>
    </row>
    <row r="1793" spans="4:9" x14ac:dyDescent="0.45">
      <c r="D1793" t="str">
        <f>IFERROR(VLOOKUP(C1793,'Clients List'!$A:$F,2,FALSE),"")</f>
        <v/>
      </c>
      <c r="F1793" s="1" t="str">
        <f>IF(OR(C1793="",NOT(ISNUMBER(SEARCH("Package",D1793)))),"",VLOOKUP(C1793,'Clients List'!$A:$F,4,FALSE)-SUMIFS($E$2:$E1793,$C$2:$C1793,C1793,$D$2:$D1793,"*Package*"))</f>
        <v/>
      </c>
      <c r="G1793" t="str">
        <f t="shared" si="61"/>
        <v/>
      </c>
      <c r="H1793" s="33">
        <f>IF(ISNUMBER(SEARCH("Group",D1793)),IF(G1793="",E1793,IFERROR(E1793/COUNTIF($G2:$G6000,G1793),E1793)),E1793)</f>
        <v>0</v>
      </c>
      <c r="I1793" s="1" t="str">
        <f>IFERROR(VLOOKUP(C1793,'Clients List'!A:F,6,FALSE),"")</f>
        <v/>
      </c>
    </row>
    <row r="1794" spans="4:9" x14ac:dyDescent="0.45">
      <c r="D1794" t="str">
        <f>IFERROR(VLOOKUP(C1794,'Clients List'!$A:$F,2,FALSE),"")</f>
        <v/>
      </c>
      <c r="F1794" s="1" t="str">
        <f>IF(OR(C1794="",NOT(ISNUMBER(SEARCH("Package",D1794)))),"",VLOOKUP(C1794,'Clients List'!$A:$F,4,FALSE)-SUMIFS($E$2:$E1794,$C$2:$C1794,C1794,$D$2:$D1794,"*Package*"))</f>
        <v/>
      </c>
      <c r="G1794" t="str">
        <f t="shared" si="61"/>
        <v/>
      </c>
      <c r="H1794" s="33">
        <f>IF(ISNUMBER(SEARCH("Group",D1794)),IF(G1794="",E1794,IFERROR(E1794/COUNTIF($G2:$G6000,G1794),E1794)),E1794)</f>
        <v>0</v>
      </c>
      <c r="I1794" s="1" t="str">
        <f>IFERROR(VLOOKUP(C1794,'Clients List'!A:F,6,FALSE),"")</f>
        <v/>
      </c>
    </row>
    <row r="1795" spans="4:9" x14ac:dyDescent="0.45">
      <c r="D1795" t="str">
        <f>IFERROR(VLOOKUP(C1795,'Clients List'!$A:$F,2,FALSE),"")</f>
        <v/>
      </c>
      <c r="F1795" s="1" t="str">
        <f>IF(OR(C1795="",NOT(ISNUMBER(SEARCH("Package",D1795)))),"",VLOOKUP(C1795,'Clients List'!$A:$F,4,FALSE)-SUMIFS($E$2:$E1795,$C$2:$C1795,C1795,$D$2:$D1795,"*Package*"))</f>
        <v/>
      </c>
      <c r="G1795" t="str">
        <f t="shared" si="61"/>
        <v/>
      </c>
      <c r="H1795" s="33">
        <f>IF(ISNUMBER(SEARCH("Group",D1795)),IF(G1795="",E1795,IFERROR(E1795/COUNTIF($G2:$G6000,G1795),E1795)),E1795)</f>
        <v>0</v>
      </c>
      <c r="I1795" s="1" t="str">
        <f>IFERROR(VLOOKUP(C1795,'Clients List'!A:F,6,FALSE),"")</f>
        <v/>
      </c>
    </row>
    <row r="1796" spans="4:9" x14ac:dyDescent="0.45">
      <c r="D1796" t="str">
        <f>IFERROR(VLOOKUP(C1796,'Clients List'!$A:$F,2,FALSE),"")</f>
        <v/>
      </c>
      <c r="F1796" s="1" t="str">
        <f>IF(OR(C1796="",NOT(ISNUMBER(SEARCH("Package",D1796)))),"",VLOOKUP(C1796,'Clients List'!$A:$F,4,FALSE)-SUMIFS($E$2:$E1796,$C$2:$C1796,C1796,$D$2:$D1796,"*Package*"))</f>
        <v/>
      </c>
      <c r="G1796" t="str">
        <f t="shared" si="61"/>
        <v/>
      </c>
      <c r="H1796" s="33">
        <f>IF(ISNUMBER(SEARCH("Group",D1796)),IF(G1796="",E1796,IFERROR(E1796/COUNTIF($G2:$G6000,G1796),E1796)),E1796)</f>
        <v>0</v>
      </c>
      <c r="I1796" s="1" t="str">
        <f>IFERROR(VLOOKUP(C1796,'Clients List'!A:F,6,FALSE),"")</f>
        <v/>
      </c>
    </row>
    <row r="1797" spans="4:9" x14ac:dyDescent="0.45">
      <c r="D1797" t="str">
        <f>IFERROR(VLOOKUP(C1797,'Clients List'!$A:$F,2,FALSE),"")</f>
        <v/>
      </c>
      <c r="F1797" s="1" t="str">
        <f>IF(OR(C1797="",NOT(ISNUMBER(SEARCH("Package",D1797)))),"",VLOOKUP(C1797,'Clients List'!$A:$F,4,FALSE)-SUMIFS($E$2:$E1797,$C$2:$C1797,C1797,$D$2:$D1797,"*Package*"))</f>
        <v/>
      </c>
      <c r="G1797" t="str">
        <f t="shared" si="61"/>
        <v/>
      </c>
      <c r="H1797" s="33">
        <f>IF(ISNUMBER(SEARCH("Group",D1797)),IF(G1797="",E1797,IFERROR(E1797/COUNTIF($G2:$G6000,G1797),E1797)),E1797)</f>
        <v>0</v>
      </c>
      <c r="I1797" s="1" t="str">
        <f>IFERROR(VLOOKUP(C1797,'Clients List'!A:F,6,FALSE),"")</f>
        <v/>
      </c>
    </row>
    <row r="1798" spans="4:9" x14ac:dyDescent="0.45">
      <c r="D1798" t="str">
        <f>IFERROR(VLOOKUP(C1798,'Clients List'!$A:$F,2,FALSE),"")</f>
        <v/>
      </c>
      <c r="F1798" s="1" t="str">
        <f>IF(OR(C1798="",NOT(ISNUMBER(SEARCH("Package",D1798)))),"",VLOOKUP(C1798,'Clients List'!$A:$F,4,FALSE)-SUMIFS($E$2:$E1798,$C$2:$C1798,C1798,$D$2:$D1798,"*Package*"))</f>
        <v/>
      </c>
      <c r="G1798" t="str">
        <f t="shared" si="61"/>
        <v/>
      </c>
      <c r="H1798" s="33">
        <f>IF(ISNUMBER(SEARCH("Group",D1798)),IF(G1798="",E1798,IFERROR(E1798/COUNTIF($G2:$G6000,G1798),E1798)),E1798)</f>
        <v>0</v>
      </c>
      <c r="I1798" s="1" t="str">
        <f>IFERROR(VLOOKUP(C1798,'Clients List'!A:F,6,FALSE),"")</f>
        <v/>
      </c>
    </row>
    <row r="1799" spans="4:9" x14ac:dyDescent="0.45">
      <c r="D1799" t="str">
        <f>IFERROR(VLOOKUP(C1799,'Clients List'!$A:$F,2,FALSE),"")</f>
        <v/>
      </c>
      <c r="F1799" s="1" t="str">
        <f>IF(OR(C1799="",NOT(ISNUMBER(SEARCH("Package",D1799)))),"",VLOOKUP(C1799,'Clients List'!$A:$F,4,FALSE)-SUMIFS($E$2:$E1799,$C$2:$C1799,C1799,$D$2:$D1799,"*Package*"))</f>
        <v/>
      </c>
      <c r="G1799" t="str">
        <f t="shared" si="61"/>
        <v/>
      </c>
      <c r="H1799" s="33">
        <f>IF(ISNUMBER(SEARCH("Group",D1799)),IF(G1799="",E1799,IFERROR(E1799/COUNTIF($G2:$G6000,G1799),E1799)),E1799)</f>
        <v>0</v>
      </c>
      <c r="I1799" s="1" t="str">
        <f>IFERROR(VLOOKUP(C1799,'Clients List'!A:F,6,FALSE),"")</f>
        <v/>
      </c>
    </row>
    <row r="1800" spans="4:9" x14ac:dyDescent="0.45">
      <c r="D1800" t="str">
        <f>IFERROR(VLOOKUP(C1800,'Clients List'!$A:$F,2,FALSE),"")</f>
        <v/>
      </c>
      <c r="F1800" s="1" t="str">
        <f>IF(OR(C1800="",NOT(ISNUMBER(SEARCH("Package",D1800)))),"",VLOOKUP(C1800,'Clients List'!$A:$F,4,FALSE)-SUMIFS($E$2:$E1800,$C$2:$C1800,C1800,$D$2:$D1800,"*Package*"))</f>
        <v/>
      </c>
      <c r="G1800" t="str">
        <f t="shared" si="61"/>
        <v/>
      </c>
      <c r="H1800" s="33">
        <f>IF(ISNUMBER(SEARCH("Group",D1800)),IF(G1800="",E1800,IFERROR(E1800/COUNTIF($G2:$G6000,G1800),E1800)),E1800)</f>
        <v>0</v>
      </c>
      <c r="I1800" s="1" t="str">
        <f>IFERROR(VLOOKUP(C1800,'Clients List'!A:F,6,FALSE),"")</f>
        <v/>
      </c>
    </row>
    <row r="1801" spans="4:9" x14ac:dyDescent="0.45">
      <c r="D1801" t="str">
        <f>IFERROR(VLOOKUP(C1801,'Clients List'!$A:$F,2,FALSE),"")</f>
        <v/>
      </c>
      <c r="F1801" s="1" t="str">
        <f>IF(OR(C1801="",NOT(ISNUMBER(SEARCH("Package",D1801)))),"",VLOOKUP(C1801,'Clients List'!$A:$F,4,FALSE)-SUMIFS($E$2:$E1801,$C$2:$C1801,C1801,$D$2:$D1801,"*Package*"))</f>
        <v/>
      </c>
      <c r="G1801" t="str">
        <f t="shared" si="61"/>
        <v/>
      </c>
      <c r="H1801" s="33">
        <f>IF(ISNUMBER(SEARCH("Group",D1801)),IF(G1801="",E1801,IFERROR(E1801/COUNTIF($G2:$G6000,G1801),E1801)),E1801)</f>
        <v>0</v>
      </c>
      <c r="I1801" s="1" t="str">
        <f>IFERROR(VLOOKUP(C1801,'Clients List'!A:F,6,FALSE),"")</f>
        <v/>
      </c>
    </row>
    <row r="1802" spans="4:9" x14ac:dyDescent="0.45">
      <c r="D1802" t="str">
        <f>IFERROR(VLOOKUP(C1802,'Clients List'!$A:$F,2,FALSE),"")</f>
        <v/>
      </c>
      <c r="F1802" s="1" t="str">
        <f>IF(OR(C1802="",NOT(ISNUMBER(SEARCH("Package",D1802)))),"",VLOOKUP(C1802,'Clients List'!$A:$F,4,FALSE)-SUMIFS($E$2:$E1802,$C$2:$C1802,C1802,$D$2:$D1802,"*Package*"))</f>
        <v/>
      </c>
      <c r="G1802" t="str">
        <f t="shared" si="61"/>
        <v/>
      </c>
      <c r="H1802" s="33">
        <f>IF(ISNUMBER(SEARCH("Group",D1802)),IF(G1802="",E1802,IFERROR(E1802/COUNTIF($G2:$G6000,G1802),E1802)),E1802)</f>
        <v>0</v>
      </c>
      <c r="I1802" s="1" t="str">
        <f>IFERROR(VLOOKUP(C1802,'Clients List'!A:F,6,FALSE),"")</f>
        <v/>
      </c>
    </row>
    <row r="1803" spans="4:9" x14ac:dyDescent="0.45">
      <c r="D1803" t="str">
        <f>IFERROR(VLOOKUP(C1803,'Clients List'!$A:$F,2,FALSE),"")</f>
        <v/>
      </c>
      <c r="F1803" s="1" t="str">
        <f>IF(OR(C1803="",NOT(ISNUMBER(SEARCH("Package",D1803)))),"",VLOOKUP(C1803,'Clients List'!$A:$F,4,FALSE)-SUMIFS($E$2:$E1803,$C$2:$C1803,C1803,$D$2:$D1803,"*Package*"))</f>
        <v/>
      </c>
      <c r="G1803" t="str">
        <f t="shared" si="61"/>
        <v/>
      </c>
      <c r="H1803" s="33">
        <f>IF(ISNUMBER(SEARCH("Group",D1803)),IF(G1803="",E1803,IFERROR(E1803/COUNTIF($G2:$G6000,G1803),E1803)),E1803)</f>
        <v>0</v>
      </c>
      <c r="I1803" s="1" t="str">
        <f>IFERROR(VLOOKUP(C1803,'Clients List'!A:F,6,FALSE),"")</f>
        <v/>
      </c>
    </row>
    <row r="1804" spans="4:9" x14ac:dyDescent="0.45">
      <c r="D1804" t="str">
        <f>IFERROR(VLOOKUP(C1804,'Clients List'!$A:$F,2,FALSE),"")</f>
        <v/>
      </c>
      <c r="F1804" s="1" t="str">
        <f>IF(OR(C1804="",NOT(ISNUMBER(SEARCH("Package",D1804)))),"",VLOOKUP(C1804,'Clients List'!$A:$F,4,FALSE)-SUMIFS($E$2:$E1804,$C$2:$C1804,C1804,$D$2:$D1804,"*Package*"))</f>
        <v/>
      </c>
      <c r="G1804" t="str">
        <f t="shared" si="61"/>
        <v/>
      </c>
      <c r="H1804" s="33">
        <f>IF(ISNUMBER(SEARCH("Group",D1804)),IF(G1804="",E1804,IFERROR(E1804/COUNTIF($G2:$G6000,G1804),E1804)),E1804)</f>
        <v>0</v>
      </c>
      <c r="I1804" s="1" t="str">
        <f>IFERROR(VLOOKUP(C1804,'Clients List'!A:F,6,FALSE),"")</f>
        <v/>
      </c>
    </row>
    <row r="1805" spans="4:9" x14ac:dyDescent="0.45">
      <c r="D1805" t="str">
        <f>IFERROR(VLOOKUP(C1805,'Clients List'!$A:$F,2,FALSE),"")</f>
        <v/>
      </c>
      <c r="F1805" s="1" t="str">
        <f>IF(OR(C1805="",NOT(ISNUMBER(SEARCH("Package",D1805)))),"",VLOOKUP(C1805,'Clients List'!$A:$F,4,FALSE)-SUMIFS($E$2:$E1805,$C$2:$C1805,C1805,$D$2:$D1805,"*Package*"))</f>
        <v/>
      </c>
      <c r="G1805" t="str">
        <f t="shared" si="61"/>
        <v/>
      </c>
      <c r="H1805" s="33">
        <f>IF(ISNUMBER(SEARCH("Group",D1805)),IF(G1805="",E1805,IFERROR(E1805/COUNTIF($G2:$G6000,G1805),E1805)),E1805)</f>
        <v>0</v>
      </c>
      <c r="I1805" s="1" t="str">
        <f>IFERROR(VLOOKUP(C1805,'Clients List'!A:F,6,FALSE),"")</f>
        <v/>
      </c>
    </row>
    <row r="1806" spans="4:9" x14ac:dyDescent="0.45">
      <c r="D1806" t="str">
        <f>IFERROR(VLOOKUP(C1806,'Clients List'!$A:$F,2,FALSE),"")</f>
        <v/>
      </c>
      <c r="F1806" s="1" t="str">
        <f>IF(OR(C1806="",NOT(ISNUMBER(SEARCH("Package",D1806)))),"",VLOOKUP(C1806,'Clients List'!$A:$F,4,FALSE)-SUMIFS($E$2:$E1806,$C$2:$C1806,C1806,$D$2:$D1806,"*Package*"))</f>
        <v/>
      </c>
      <c r="G1806" t="str">
        <f t="shared" si="61"/>
        <v/>
      </c>
      <c r="H1806" s="33">
        <f>IF(ISNUMBER(SEARCH("Group",D1806)),IF(G1806="",E1806,IFERROR(E1806/COUNTIF($G2:$G6000,G1806),E1806)),E1806)</f>
        <v>0</v>
      </c>
      <c r="I1806" s="1" t="str">
        <f>IFERROR(VLOOKUP(C1806,'Clients List'!A:F,6,FALSE),"")</f>
        <v/>
      </c>
    </row>
    <row r="1807" spans="4:9" x14ac:dyDescent="0.45">
      <c r="D1807" t="str">
        <f>IFERROR(VLOOKUP(C1807,'Clients List'!$A:$F,2,FALSE),"")</f>
        <v/>
      </c>
      <c r="F1807" s="1" t="str">
        <f>IF(OR(C1807="",NOT(ISNUMBER(SEARCH("Package",D1807)))),"",VLOOKUP(C1807,'Clients List'!$A:$F,4,FALSE)-SUMIFS($E$2:$E1807,$C$2:$C1807,C1807,$D$2:$D1807,"*Package*"))</f>
        <v/>
      </c>
      <c r="G1807" t="str">
        <f t="shared" si="61"/>
        <v/>
      </c>
      <c r="H1807" s="33">
        <f>IF(ISNUMBER(SEARCH("Group",D1807)),IF(G1807="",E1807,IFERROR(E1807/COUNTIF($G2:$G6000,G1807),E1807)),E1807)</f>
        <v>0</v>
      </c>
      <c r="I1807" s="1" t="str">
        <f>IFERROR(VLOOKUP(C1807,'Clients List'!A:F,6,FALSE),"")</f>
        <v/>
      </c>
    </row>
    <row r="1808" spans="4:9" x14ac:dyDescent="0.45">
      <c r="D1808" t="str">
        <f>IFERROR(VLOOKUP(C1808,'Clients List'!$A:$F,2,FALSE),"")</f>
        <v/>
      </c>
      <c r="F1808" s="1" t="str">
        <f>IF(OR(C1808="",NOT(ISNUMBER(SEARCH("Package",D1808)))),"",VLOOKUP(C1808,'Clients List'!$A:$F,4,FALSE)-SUMIFS($E$2:$E1808,$C$2:$C1808,C1808,$D$2:$D1808,"*Package*"))</f>
        <v/>
      </c>
      <c r="G1808" t="str">
        <f t="shared" si="61"/>
        <v/>
      </c>
      <c r="H1808" s="33">
        <f>IF(ISNUMBER(SEARCH("Group",D1808)),IF(G1808="",E1808,IFERROR(E1808/COUNTIF($G2:$G6000,G1808),E1808)),E1808)</f>
        <v>0</v>
      </c>
      <c r="I1808" s="1" t="str">
        <f>IFERROR(VLOOKUP(C1808,'Clients List'!A:F,6,FALSE),"")</f>
        <v/>
      </c>
    </row>
    <row r="1809" spans="4:9" x14ac:dyDescent="0.45">
      <c r="D1809" t="str">
        <f>IFERROR(VLOOKUP(C1809,'Clients List'!$A:$F,2,FALSE),"")</f>
        <v/>
      </c>
      <c r="F1809" s="1" t="str">
        <f>IF(OR(C1809="",NOT(ISNUMBER(SEARCH("Package",D1809)))),"",VLOOKUP(C1809,'Clients List'!$A:$F,4,FALSE)-SUMIFS($E$2:$E1809,$C$2:$C1809,C1809,$D$2:$D1809,"*Package*"))</f>
        <v/>
      </c>
      <c r="G1809" t="str">
        <f t="shared" si="61"/>
        <v/>
      </c>
      <c r="H1809" s="33">
        <f>IF(ISNUMBER(SEARCH("Group",D1809)),IF(G1809="",E1809,IFERROR(E1809/COUNTIF($G2:$G6000,G1809),E1809)),E1809)</f>
        <v>0</v>
      </c>
      <c r="I1809" s="1" t="str">
        <f>IFERROR(VLOOKUP(C1809,'Clients List'!A:F,6,FALSE),"")</f>
        <v/>
      </c>
    </row>
    <row r="1810" spans="4:9" x14ac:dyDescent="0.45">
      <c r="D1810" t="str">
        <f>IFERROR(VLOOKUP(C1810,'Clients List'!$A:$F,2,FALSE),"")</f>
        <v/>
      </c>
      <c r="F1810" s="1" t="str">
        <f>IF(OR(C1810="",NOT(ISNUMBER(SEARCH("Package",D1810)))),"",VLOOKUP(C1810,'Clients List'!$A:$F,4,FALSE)-SUMIFS($E$2:$E1810,$C$2:$C1810,C1810,$D$2:$D1810,"*Package*"))</f>
        <v/>
      </c>
      <c r="G1810" t="str">
        <f t="shared" si="61"/>
        <v/>
      </c>
      <c r="H1810" s="33">
        <f>IF(ISNUMBER(SEARCH("Group",D1810)),IF(G1810="",E1810,IFERROR(E1810/COUNTIF($G2:$G6000,G1810),E1810)),E1810)</f>
        <v>0</v>
      </c>
      <c r="I1810" s="1" t="str">
        <f>IFERROR(VLOOKUP(C1810,'Clients List'!A:F,6,FALSE),"")</f>
        <v/>
      </c>
    </row>
    <row r="1811" spans="4:9" x14ac:dyDescent="0.45">
      <c r="D1811" t="str">
        <f>IFERROR(VLOOKUP(C1811,'Clients List'!$A:$F,2,FALSE),"")</f>
        <v/>
      </c>
      <c r="F1811" s="1" t="str">
        <f>IF(OR(C1811="",NOT(ISNUMBER(SEARCH("Package",D1811)))),"",VLOOKUP(C1811,'Clients List'!$A:$F,4,FALSE)-SUMIFS($E$2:$E1811,$C$2:$C1811,C1811,$D$2:$D1811,"*Package*"))</f>
        <v/>
      </c>
      <c r="G1811" t="str">
        <f t="shared" si="61"/>
        <v/>
      </c>
      <c r="H1811" s="33">
        <f>IF(ISNUMBER(SEARCH("Group",D1811)),IF(G1811="",E1811,IFERROR(E1811/COUNTIF($G2:$G6000,G1811),E1811)),E1811)</f>
        <v>0</v>
      </c>
      <c r="I1811" s="1" t="str">
        <f>IFERROR(VLOOKUP(C1811,'Clients List'!A:F,6,FALSE),"")</f>
        <v/>
      </c>
    </row>
    <row r="1812" spans="4:9" x14ac:dyDescent="0.45">
      <c r="D1812" t="str">
        <f>IFERROR(VLOOKUP(C1812,'Clients List'!$A:$F,2,FALSE),"")</f>
        <v/>
      </c>
      <c r="F1812" s="1" t="str">
        <f>IF(OR(C1812="",NOT(ISNUMBER(SEARCH("Package",D1812)))),"",VLOOKUP(C1812,'Clients List'!$A:$F,4,FALSE)-SUMIFS($E$2:$E1812,$C$2:$C1812,C1812,$D$2:$D1812,"*Package*"))</f>
        <v/>
      </c>
      <c r="G1812" t="str">
        <f t="shared" si="61"/>
        <v/>
      </c>
      <c r="H1812" s="33">
        <f>IF(ISNUMBER(SEARCH("Group",D1812)),IF(G1812="",E1812,IFERROR(E1812/COUNTIF($G2:$G6000,G1812),E1812)),E1812)</f>
        <v>0</v>
      </c>
      <c r="I1812" s="1" t="str">
        <f>IFERROR(VLOOKUP(C1812,'Clients List'!A:F,6,FALSE),"")</f>
        <v/>
      </c>
    </row>
    <row r="1813" spans="4:9" x14ac:dyDescent="0.45">
      <c r="D1813" t="str">
        <f>IFERROR(VLOOKUP(C1813,'Clients List'!$A:$F,2,FALSE),"")</f>
        <v/>
      </c>
      <c r="F1813" s="1" t="str">
        <f>IF(OR(C1813="",NOT(ISNUMBER(SEARCH("Package",D1813)))),"",VLOOKUP(C1813,'Clients List'!$A:$F,4,FALSE)-SUMIFS($E$2:$E1813,$C$2:$C1813,C1813,$D$2:$D1813,"*Package*"))</f>
        <v/>
      </c>
      <c r="G1813" t="str">
        <f t="shared" si="61"/>
        <v/>
      </c>
      <c r="H1813" s="33">
        <f>IF(ISNUMBER(SEARCH("Group",D1813)),IF(G1813="",E1813,IFERROR(E1813/COUNTIF($G2:$G6000,G1813),E1813)),E1813)</f>
        <v>0</v>
      </c>
      <c r="I1813" s="1" t="str">
        <f>IFERROR(VLOOKUP(C1813,'Clients List'!A:F,6,FALSE),"")</f>
        <v/>
      </c>
    </row>
    <row r="1814" spans="4:9" x14ac:dyDescent="0.45">
      <c r="D1814" t="str">
        <f>IFERROR(VLOOKUP(C1814,'Clients List'!$A:$F,2,FALSE),"")</f>
        <v/>
      </c>
      <c r="F1814" s="1" t="str">
        <f>IF(OR(C1814="",NOT(ISNUMBER(SEARCH("Package",D1814)))),"",VLOOKUP(C1814,'Clients List'!$A:$F,4,FALSE)-SUMIFS($E$2:$E1814,$C$2:$C1814,C1814,$D$2:$D1814,"*Package*"))</f>
        <v/>
      </c>
      <c r="G1814" t="str">
        <f t="shared" si="61"/>
        <v/>
      </c>
      <c r="H1814" s="33">
        <f>IF(ISNUMBER(SEARCH("Group",D1814)),IF(G1814="",E1814,IFERROR(E1814/COUNTIF($G2:$G6000,G1814),E1814)),E1814)</f>
        <v>0</v>
      </c>
      <c r="I1814" s="1" t="str">
        <f>IFERROR(VLOOKUP(C1814,'Clients List'!A:F,6,FALSE),"")</f>
        <v/>
      </c>
    </row>
    <row r="1815" spans="4:9" x14ac:dyDescent="0.45">
      <c r="D1815" t="str">
        <f>IFERROR(VLOOKUP(C1815,'Clients List'!$A:$F,2,FALSE),"")</f>
        <v/>
      </c>
      <c r="F1815" s="1" t="str">
        <f>IF(OR(C1815="",NOT(ISNUMBER(SEARCH("Package",D1815)))),"",VLOOKUP(C1815,'Clients List'!$A:$F,4,FALSE)-SUMIFS($E$2:$E1815,$C$2:$C1815,C1815,$D$2:$D1815,"*Package*"))</f>
        <v/>
      </c>
      <c r="G1815" t="str">
        <f t="shared" si="61"/>
        <v/>
      </c>
      <c r="H1815" s="33">
        <f>IF(ISNUMBER(SEARCH("Group",D1815)),IF(G1815="",E1815,IFERROR(E1815/COUNTIF($G2:$G6000,G1815),E1815)),E1815)</f>
        <v>0</v>
      </c>
      <c r="I1815" s="1" t="str">
        <f>IFERROR(VLOOKUP(C1815,'Clients List'!A:F,6,FALSE),"")</f>
        <v/>
      </c>
    </row>
    <row r="1816" spans="4:9" x14ac:dyDescent="0.45">
      <c r="D1816" t="str">
        <f>IFERROR(VLOOKUP(C1816,'Clients List'!$A:$F,2,FALSE),"")</f>
        <v/>
      </c>
      <c r="F1816" s="1" t="str">
        <f>IF(OR(C1816="",NOT(ISNUMBER(SEARCH("Package",D1816)))),"",VLOOKUP(C1816,'Clients List'!$A:$F,4,FALSE)-SUMIFS($E$2:$E1816,$C$2:$C1816,C1816,$D$2:$D1816,"*Package*"))</f>
        <v/>
      </c>
      <c r="G1816" t="str">
        <f t="shared" si="61"/>
        <v/>
      </c>
      <c r="H1816" s="33">
        <f>IF(ISNUMBER(SEARCH("Group",D1816)),IF(G1816="",E1816,IFERROR(E1816/COUNTIF($G2:$G6000,G1816),E1816)),E1816)</f>
        <v>0</v>
      </c>
      <c r="I1816" s="1" t="str">
        <f>IFERROR(VLOOKUP(C1816,'Clients List'!A:F,6,FALSE),"")</f>
        <v/>
      </c>
    </row>
    <row r="1817" spans="4:9" x14ac:dyDescent="0.45">
      <c r="D1817" t="str">
        <f>IFERROR(VLOOKUP(C1817,'Clients List'!$A:$F,2,FALSE),"")</f>
        <v/>
      </c>
      <c r="F1817" s="1" t="str">
        <f>IF(OR(C1817="",NOT(ISNUMBER(SEARCH("Package",D1817)))),"",VLOOKUP(C1817,'Clients List'!$A:$F,4,FALSE)-SUMIFS($E$2:$E1817,$C$2:$C1817,C1817,$D$2:$D1817,"*Package*"))</f>
        <v/>
      </c>
      <c r="G1817" t="str">
        <f t="shared" si="61"/>
        <v/>
      </c>
      <c r="H1817" s="33">
        <f>IF(ISNUMBER(SEARCH("Group",D1817)),IF(G1817="",E1817,IFERROR(E1817/COUNTIF($G2:$G6000,G1817),E1817)),E1817)</f>
        <v>0</v>
      </c>
      <c r="I1817" s="1" t="str">
        <f>IFERROR(VLOOKUP(C1817,'Clients List'!A:F,6,FALSE),"")</f>
        <v/>
      </c>
    </row>
    <row r="1818" spans="4:9" x14ac:dyDescent="0.45">
      <c r="D1818" t="str">
        <f>IFERROR(VLOOKUP(C1818,'Clients List'!$A:$F,2,FALSE),"")</f>
        <v/>
      </c>
      <c r="F1818" s="1" t="str">
        <f>IF(OR(C1818="",NOT(ISNUMBER(SEARCH("Package",D1818)))),"",VLOOKUP(C1818,'Clients List'!$A:$F,4,FALSE)-SUMIFS($E$2:$E1818,$C$2:$C1818,C1818,$D$2:$D1818,"*Package*"))</f>
        <v/>
      </c>
      <c r="G1818" t="str">
        <f t="shared" si="61"/>
        <v/>
      </c>
      <c r="H1818" s="33">
        <f>IF(ISNUMBER(SEARCH("Group",D1818)),IF(G1818="",E1818,IFERROR(E1818/COUNTIF($G2:$G6000,G1818),E1818)),E1818)</f>
        <v>0</v>
      </c>
      <c r="I1818" s="1" t="str">
        <f>IFERROR(VLOOKUP(C1818,'Clients List'!A:F,6,FALSE),"")</f>
        <v/>
      </c>
    </row>
    <row r="1819" spans="4:9" x14ac:dyDescent="0.45">
      <c r="D1819" t="str">
        <f>IFERROR(VLOOKUP(C1819,'Clients List'!$A:$F,2,FALSE),"")</f>
        <v/>
      </c>
      <c r="F1819" s="1" t="str">
        <f>IF(OR(C1819="",NOT(ISNUMBER(SEARCH("Package",D1819)))),"",VLOOKUP(C1819,'Clients List'!$A:$F,4,FALSE)-SUMIFS($E$2:$E1819,$C$2:$C1819,C1819,$D$2:$D1819,"*Package*"))</f>
        <v/>
      </c>
      <c r="G1819" t="str">
        <f t="shared" si="61"/>
        <v/>
      </c>
      <c r="H1819" s="33">
        <f>IF(ISNUMBER(SEARCH("Group",D1819)),IF(G1819="",E1819,IFERROR(E1819/COUNTIF($G2:$G6000,G1819),E1819)),E1819)</f>
        <v>0</v>
      </c>
      <c r="I1819" s="1" t="str">
        <f>IFERROR(VLOOKUP(C1819,'Clients List'!A:F,6,FALSE),"")</f>
        <v/>
      </c>
    </row>
    <row r="1820" spans="4:9" x14ac:dyDescent="0.45">
      <c r="D1820" t="str">
        <f>IFERROR(VLOOKUP(C1820,'Clients List'!$A:$F,2,FALSE),"")</f>
        <v/>
      </c>
      <c r="F1820" s="1" t="str">
        <f>IF(OR(C1820="",NOT(ISNUMBER(SEARCH("Package",D1820)))),"",VLOOKUP(C1820,'Clients List'!$A:$F,4,FALSE)-SUMIFS($E$2:$E1820,$C$2:$C1820,C1820,$D$2:$D1820,"*Package*"))</f>
        <v/>
      </c>
      <c r="G1820" t="str">
        <f t="shared" si="61"/>
        <v/>
      </c>
      <c r="H1820" s="33">
        <f>IF(ISNUMBER(SEARCH("Group",D1820)),IF(G1820="",E1820,IFERROR(E1820/COUNTIF($G2:$G6000,G1820),E1820)),E1820)</f>
        <v>0</v>
      </c>
      <c r="I1820" s="1" t="str">
        <f>IFERROR(VLOOKUP(C1820,'Clients List'!A:F,6,FALSE),"")</f>
        <v/>
      </c>
    </row>
    <row r="1821" spans="4:9" x14ac:dyDescent="0.45">
      <c r="D1821" t="str">
        <f>IFERROR(VLOOKUP(C1821,'Clients List'!$A:$F,2,FALSE),"")</f>
        <v/>
      </c>
      <c r="F1821" s="1" t="str">
        <f>IF(OR(C1821="",NOT(ISNUMBER(SEARCH("Package",D1821)))),"",VLOOKUP(C1821,'Clients List'!$A:$F,4,FALSE)-SUMIFS($E$2:$E1821,$C$2:$C1821,C1821,$D$2:$D1821,"*Package*"))</f>
        <v/>
      </c>
      <c r="G1821" t="str">
        <f t="shared" si="61"/>
        <v/>
      </c>
      <c r="H1821" s="33">
        <f>IF(ISNUMBER(SEARCH("Group",D1821)),IF(G1821="",E1821,IFERROR(E1821/COUNTIF($G2:$G6000,G1821),E1821)),E1821)</f>
        <v>0</v>
      </c>
      <c r="I1821" s="1" t="str">
        <f>IFERROR(VLOOKUP(C1821,'Clients List'!A:F,6,FALSE),"")</f>
        <v/>
      </c>
    </row>
    <row r="1822" spans="4:9" x14ac:dyDescent="0.45">
      <c r="D1822" t="str">
        <f>IFERROR(VLOOKUP(C1822,'Clients List'!$A:$F,2,FALSE),"")</f>
        <v/>
      </c>
      <c r="F1822" s="1" t="str">
        <f>IF(OR(C1822="",NOT(ISNUMBER(SEARCH("Package",D1822)))),"",VLOOKUP(C1822,'Clients List'!$A:$F,4,FALSE)-SUMIFS($E$2:$E1822,$C$2:$C1822,C1822,$D$2:$D1822,"*Package*"))</f>
        <v/>
      </c>
      <c r="G1822" t="str">
        <f t="shared" si="61"/>
        <v/>
      </c>
      <c r="H1822" s="33">
        <f>IF(ISNUMBER(SEARCH("Group",D1822)),IF(G1822="",E1822,IFERROR(E1822/COUNTIF($G2:$G6000,G1822),E1822)),E1822)</f>
        <v>0</v>
      </c>
      <c r="I1822" s="1" t="str">
        <f>IFERROR(VLOOKUP(C1822,'Clients List'!A:F,6,FALSE),"")</f>
        <v/>
      </c>
    </row>
    <row r="1823" spans="4:9" x14ac:dyDescent="0.45">
      <c r="D1823" t="str">
        <f>IFERROR(VLOOKUP(C1823,'Clients List'!$A:$F,2,FALSE),"")</f>
        <v/>
      </c>
      <c r="F1823" s="1" t="str">
        <f>IF(OR(C1823="",NOT(ISNUMBER(SEARCH("Package",D1823)))),"",VLOOKUP(C1823,'Clients List'!$A:$F,4,FALSE)-SUMIFS($E$2:$E1823,$C$2:$C1823,C1823,$D$2:$D1823,"*Package*"))</f>
        <v/>
      </c>
      <c r="G1823" t="str">
        <f t="shared" si="61"/>
        <v/>
      </c>
      <c r="H1823" s="33">
        <f>IF(ISNUMBER(SEARCH("Group",D1823)),IF(G1823="",E1823,IFERROR(E1823/COUNTIF($G2:$G6000,G1823),E1823)),E1823)</f>
        <v>0</v>
      </c>
      <c r="I1823" s="1" t="str">
        <f>IFERROR(VLOOKUP(C1823,'Clients List'!A:F,6,FALSE),"")</f>
        <v/>
      </c>
    </row>
    <row r="1824" spans="4:9" x14ac:dyDescent="0.45">
      <c r="D1824" t="str">
        <f>IFERROR(VLOOKUP(C1824,'Clients List'!$A:$F,2,FALSE),"")</f>
        <v/>
      </c>
      <c r="F1824" s="1" t="str">
        <f>IF(OR(C1824="",NOT(ISNUMBER(SEARCH("Package",D1824)))),"",VLOOKUP(C1824,'Clients List'!$A:$F,4,FALSE)-SUMIFS($E$2:$E1824,$C$2:$C1824,C1824,$D$2:$D1824,"*Package*"))</f>
        <v/>
      </c>
      <c r="G1824" t="str">
        <f t="shared" si="61"/>
        <v/>
      </c>
      <c r="H1824" s="33">
        <f>IF(ISNUMBER(SEARCH("Group",D1824)),IF(G1824="",E1824,IFERROR(E1824/COUNTIF($G2:$G6000,G1824),E1824)),E1824)</f>
        <v>0</v>
      </c>
      <c r="I1824" s="1" t="str">
        <f>IFERROR(VLOOKUP(C1824,'Clients List'!A:F,6,FALSE),"")</f>
        <v/>
      </c>
    </row>
    <row r="1825" spans="4:9" x14ac:dyDescent="0.45">
      <c r="D1825" t="str">
        <f>IFERROR(VLOOKUP(C1825,'Clients List'!$A:$F,2,FALSE),"")</f>
        <v/>
      </c>
      <c r="F1825" s="1" t="str">
        <f>IF(OR(C1825="",NOT(ISNUMBER(SEARCH("Package",D1825)))),"",VLOOKUP(C1825,'Clients List'!$A:$F,4,FALSE)-SUMIFS($E$2:$E1825,$C$2:$C1825,C1825,$D$2:$D1825,"*Package*"))</f>
        <v/>
      </c>
      <c r="G1825" t="str">
        <f t="shared" si="61"/>
        <v/>
      </c>
      <c r="H1825" s="33">
        <f>IF(ISNUMBER(SEARCH("Group",D1825)),IF(G1825="",E1825,IFERROR(E1825/COUNTIF($G2:$G6000,G1825),E1825)),E1825)</f>
        <v>0</v>
      </c>
      <c r="I1825" s="1" t="str">
        <f>IFERROR(VLOOKUP(C1825,'Clients List'!A:F,6,FALSE),"")</f>
        <v/>
      </c>
    </row>
    <row r="1826" spans="4:9" x14ac:dyDescent="0.45">
      <c r="D1826" t="str">
        <f>IFERROR(VLOOKUP(C1826,'Clients List'!$A:$F,2,FALSE),"")</f>
        <v/>
      </c>
      <c r="F1826" s="1" t="str">
        <f>IF(OR(C1826="",NOT(ISNUMBER(SEARCH("Package",D1826)))),"",VLOOKUP(C1826,'Clients List'!$A:$F,4,FALSE)-SUMIFS($E$2:$E1826,$C$2:$C1826,C1826,$D$2:$D1826,"*Package*"))</f>
        <v/>
      </c>
      <c r="G1826" t="str">
        <f t="shared" si="61"/>
        <v/>
      </c>
      <c r="H1826" s="33">
        <f>IF(ISNUMBER(SEARCH("Group",D1826)),IF(G1826="",E1826,IFERROR(E1826/COUNTIF($G2:$G6000,G1826),E1826)),E1826)</f>
        <v>0</v>
      </c>
      <c r="I1826" s="1" t="str">
        <f>IFERROR(VLOOKUP(C1826,'Clients List'!A:F,6,FALSE),"")</f>
        <v/>
      </c>
    </row>
    <row r="1827" spans="4:9" x14ac:dyDescent="0.45">
      <c r="D1827" t="str">
        <f>IFERROR(VLOOKUP(C1827,'Clients List'!$A:$F,2,FALSE),"")</f>
        <v/>
      </c>
      <c r="F1827" s="1" t="str">
        <f>IF(OR(C1827="",NOT(ISNUMBER(SEARCH("Package",D1827)))),"",VLOOKUP(C1827,'Clients List'!$A:$F,4,FALSE)-SUMIFS($E$2:$E1827,$C$2:$C1827,C1827,$D$2:$D1827,"*Package*"))</f>
        <v/>
      </c>
      <c r="G1827" t="str">
        <f t="shared" si="61"/>
        <v/>
      </c>
      <c r="H1827" s="33">
        <f>IF(ISNUMBER(SEARCH("Group",D1827)),IF(G1827="",E1827,IFERROR(E1827/COUNTIF($G2:$G6000,G1827),E1827)),E1827)</f>
        <v>0</v>
      </c>
      <c r="I1827" s="1" t="str">
        <f>IFERROR(VLOOKUP(C1827,'Clients List'!A:F,6,FALSE),"")</f>
        <v/>
      </c>
    </row>
    <row r="1828" spans="4:9" x14ac:dyDescent="0.45">
      <c r="D1828" t="str">
        <f>IFERROR(VLOOKUP(C1828,'Clients List'!$A:$F,2,FALSE),"")</f>
        <v/>
      </c>
      <c r="F1828" s="1" t="str">
        <f>IF(OR(C1828="",NOT(ISNUMBER(SEARCH("Package",D1828)))),"",VLOOKUP(C1828,'Clients List'!$A:$F,4,FALSE)-SUMIFS($E$2:$E1828,$C$2:$C1828,C1828,$D$2:$D1828,"*Package*"))</f>
        <v/>
      </c>
      <c r="G1828" t="str">
        <f t="shared" si="61"/>
        <v/>
      </c>
      <c r="H1828" s="33">
        <f>IF(ISNUMBER(SEARCH("Group",D1828)),IF(G1828="",E1828,IFERROR(E1828/COUNTIF($G2:$G6000,G1828),E1828)),E1828)</f>
        <v>0</v>
      </c>
      <c r="I1828" s="1" t="str">
        <f>IFERROR(VLOOKUP(C1828,'Clients List'!A:F,6,FALSE),"")</f>
        <v/>
      </c>
    </row>
    <row r="1829" spans="4:9" x14ac:dyDescent="0.45">
      <c r="D1829" t="str">
        <f>IFERROR(VLOOKUP(C1829,'Clients List'!$A:$F,2,FALSE),"")</f>
        <v/>
      </c>
      <c r="F1829" s="1" t="str">
        <f>IF(OR(C1829="",NOT(ISNUMBER(SEARCH("Package",D1829)))),"",VLOOKUP(C1829,'Clients List'!$A:$F,4,FALSE)-SUMIFS($E$2:$E1829,$C$2:$C1829,C1829,$D$2:$D1829,"*Package*"))</f>
        <v/>
      </c>
      <c r="G1829" t="str">
        <f t="shared" si="61"/>
        <v/>
      </c>
      <c r="H1829" s="33">
        <f>IF(ISNUMBER(SEARCH("Group",D1829)),IF(G1829="",E1829,IFERROR(E1829/COUNTIF($G2:$G6000,G1829),E1829)),E1829)</f>
        <v>0</v>
      </c>
      <c r="I1829" s="1" t="str">
        <f>IFERROR(VLOOKUP(C1829,'Clients List'!A:F,6,FALSE),"")</f>
        <v/>
      </c>
    </row>
    <row r="1830" spans="4:9" x14ac:dyDescent="0.45">
      <c r="D1830" t="str">
        <f>IFERROR(VLOOKUP(C1830,'Clients List'!$A:$F,2,FALSE),"")</f>
        <v/>
      </c>
      <c r="F1830" s="1" t="str">
        <f>IF(OR(C1830="",NOT(ISNUMBER(SEARCH("Package",D1830)))),"",VLOOKUP(C1830,'Clients List'!$A:$F,4,FALSE)-SUMIFS($E$2:$E1830,$C$2:$C1830,C1830,$D$2:$D1830,"*Package*"))</f>
        <v/>
      </c>
      <c r="G1830" t="str">
        <f t="shared" si="61"/>
        <v/>
      </c>
      <c r="H1830" s="33">
        <f>IF(ISNUMBER(SEARCH("Group",D1830)),IF(G1830="",E1830,IFERROR(E1830/COUNTIF($G2:$G6000,G1830),E1830)),E1830)</f>
        <v>0</v>
      </c>
      <c r="I1830" s="1" t="str">
        <f>IFERROR(VLOOKUP(C1830,'Clients List'!A:F,6,FALSE),"")</f>
        <v/>
      </c>
    </row>
    <row r="1831" spans="4:9" x14ac:dyDescent="0.45">
      <c r="D1831" t="str">
        <f>IFERROR(VLOOKUP(C1831,'Clients List'!$A:$F,2,FALSE),"")</f>
        <v/>
      </c>
      <c r="F1831" s="1" t="str">
        <f>IF(OR(C1831="",NOT(ISNUMBER(SEARCH("Package",D1831)))),"",VLOOKUP(C1831,'Clients List'!$A:$F,4,FALSE)-SUMIFS($E$2:$E1831,$C$2:$C1831,C1831,$D$2:$D1831,"*Package*"))</f>
        <v/>
      </c>
      <c r="G1831" t="str">
        <f t="shared" si="61"/>
        <v/>
      </c>
      <c r="H1831" s="33">
        <f>IF(ISNUMBER(SEARCH("Group",D1831)),IF(G1831="",E1831,IFERROR(E1831/COUNTIF($G2:$G6000,G1831),E1831)),E1831)</f>
        <v>0</v>
      </c>
      <c r="I1831" s="1" t="str">
        <f>IFERROR(VLOOKUP(C1831,'Clients List'!A:F,6,FALSE),"")</f>
        <v/>
      </c>
    </row>
    <row r="1832" spans="4:9" x14ac:dyDescent="0.45">
      <c r="D1832" t="str">
        <f>IFERROR(VLOOKUP(C1832,'Clients List'!$A:$F,2,FALSE),"")</f>
        <v/>
      </c>
      <c r="F1832" s="1" t="str">
        <f>IF(OR(C1832="",NOT(ISNUMBER(SEARCH("Package",D1832)))),"",VLOOKUP(C1832,'Clients List'!$A:$F,4,FALSE)-SUMIFS($E$2:$E1832,$C$2:$C1832,C1832,$D$2:$D1832,"*Package*"))</f>
        <v/>
      </c>
      <c r="G1832" t="str">
        <f t="shared" si="61"/>
        <v/>
      </c>
      <c r="H1832" s="33">
        <f>IF(ISNUMBER(SEARCH("Group",D1832)),IF(G1832="",E1832,IFERROR(E1832/COUNTIF($G2:$G6000,G1832),E1832)),E1832)</f>
        <v>0</v>
      </c>
      <c r="I1832" s="1" t="str">
        <f>IFERROR(VLOOKUP(C1832,'Clients List'!A:F,6,FALSE),"")</f>
        <v/>
      </c>
    </row>
    <row r="1833" spans="4:9" x14ac:dyDescent="0.45">
      <c r="D1833" t="str">
        <f>IFERROR(VLOOKUP(C1833,'Clients List'!$A:$F,2,FALSE),"")</f>
        <v/>
      </c>
      <c r="F1833" s="1" t="str">
        <f>IF(OR(C1833="",NOT(ISNUMBER(SEARCH("Package",D1833)))),"",VLOOKUP(C1833,'Clients List'!$A:$F,4,FALSE)-SUMIFS($E$2:$E1833,$C$2:$C1833,C1833,$D$2:$D1833,"*Package*"))</f>
        <v/>
      </c>
      <c r="G1833" t="str">
        <f t="shared" si="61"/>
        <v/>
      </c>
      <c r="H1833" s="33">
        <f>IF(ISNUMBER(SEARCH("Group",D1833)),IF(G1833="",E1833,IFERROR(E1833/COUNTIF($G2:$G6000,G1833),E1833)),E1833)</f>
        <v>0</v>
      </c>
      <c r="I1833" s="1" t="str">
        <f>IFERROR(VLOOKUP(C1833,'Clients List'!A:F,6,FALSE),"")</f>
        <v/>
      </c>
    </row>
    <row r="1834" spans="4:9" x14ac:dyDescent="0.45">
      <c r="D1834" t="str">
        <f>IFERROR(VLOOKUP(C1834,'Clients List'!$A:$F,2,FALSE),"")</f>
        <v/>
      </c>
      <c r="F1834" s="1" t="str">
        <f>IF(OR(C1834="",NOT(ISNUMBER(SEARCH("Package",D1834)))),"",VLOOKUP(C1834,'Clients List'!$A:$F,4,FALSE)-SUMIFS($E$2:$E1834,$C$2:$C1834,C1834,$D$2:$D1834,"*Package*"))</f>
        <v/>
      </c>
      <c r="G1834" t="str">
        <f t="shared" si="61"/>
        <v/>
      </c>
      <c r="H1834" s="33">
        <f>IF(ISNUMBER(SEARCH("Group",D1834)),IF(G1834="",E1834,IFERROR(E1834/COUNTIF($G2:$G6000,G1834),E1834)),E1834)</f>
        <v>0</v>
      </c>
      <c r="I1834" s="1" t="str">
        <f>IFERROR(VLOOKUP(C1834,'Clients List'!A:F,6,FALSE),"")</f>
        <v/>
      </c>
    </row>
    <row r="1835" spans="4:9" x14ac:dyDescent="0.45">
      <c r="D1835" t="str">
        <f>IFERROR(VLOOKUP(C1835,'Clients List'!$A:$F,2,FALSE),"")</f>
        <v/>
      </c>
      <c r="F1835" s="1" t="str">
        <f>IF(OR(C1835="",NOT(ISNUMBER(SEARCH("Package",D1835)))),"",VLOOKUP(C1835,'Clients List'!$A:$F,4,FALSE)-SUMIFS($E$2:$E1835,$C$2:$C1835,C1835,$D$2:$D1835,"*Package*"))</f>
        <v/>
      </c>
      <c r="G1835" t="str">
        <f t="shared" si="61"/>
        <v/>
      </c>
      <c r="H1835" s="33">
        <f>IF(ISNUMBER(SEARCH("Group",D1835)),IF(G1835="",E1835,IFERROR(E1835/COUNTIF($G2:$G6000,G1835),E1835)),E1835)</f>
        <v>0</v>
      </c>
      <c r="I1835" s="1" t="str">
        <f>IFERROR(VLOOKUP(C1835,'Clients List'!A:F,6,FALSE),"")</f>
        <v/>
      </c>
    </row>
    <row r="1836" spans="4:9" x14ac:dyDescent="0.45">
      <c r="D1836" t="str">
        <f>IFERROR(VLOOKUP(C1836,'Clients List'!$A:$F,2,FALSE),"")</f>
        <v/>
      </c>
      <c r="F1836" s="1" t="str">
        <f>IF(OR(C1836="",NOT(ISNUMBER(SEARCH("Package",D1836)))),"",VLOOKUP(C1836,'Clients List'!$A:$F,4,FALSE)-SUMIFS($E$2:$E1836,$C$2:$C1836,C1836,$D$2:$D1836,"*Package*"))</f>
        <v/>
      </c>
      <c r="G1836" t="str">
        <f t="shared" si="61"/>
        <v/>
      </c>
      <c r="H1836" s="33">
        <f>IF(ISNUMBER(SEARCH("Group",D1836)),IF(G1836="",E1836,IFERROR(E1836/COUNTIF($G2:$G6000,G1836),E1836)),E1836)</f>
        <v>0</v>
      </c>
      <c r="I1836" s="1" t="str">
        <f>IFERROR(VLOOKUP(C1836,'Clients List'!A:F,6,FALSE),"")</f>
        <v/>
      </c>
    </row>
    <row r="1837" spans="4:9" x14ac:dyDescent="0.45">
      <c r="D1837" t="str">
        <f>IFERROR(VLOOKUP(C1837,'Clients List'!$A:$F,2,FALSE),"")</f>
        <v/>
      </c>
      <c r="F1837" s="1" t="str">
        <f>IF(OR(C1837="",NOT(ISNUMBER(SEARCH("Package",D1837)))),"",VLOOKUP(C1837,'Clients List'!$A:$F,4,FALSE)-SUMIFS($E$2:$E1837,$C$2:$C1837,C1837,$D$2:$D1837,"*Package*"))</f>
        <v/>
      </c>
      <c r="G1837" t="str">
        <f t="shared" si="61"/>
        <v/>
      </c>
      <c r="H1837" s="33">
        <f>IF(ISNUMBER(SEARCH("Group",D1837)),IF(G1837="",E1837,IFERROR(E1837/COUNTIF($G2:$G6000,G1837),E1837)),E1837)</f>
        <v>0</v>
      </c>
      <c r="I1837" s="1" t="str">
        <f>IFERROR(VLOOKUP(C1837,'Clients List'!A:F,6,FALSE),"")</f>
        <v/>
      </c>
    </row>
    <row r="1838" spans="4:9" x14ac:dyDescent="0.45">
      <c r="D1838" t="str">
        <f>IFERROR(VLOOKUP(C1838,'Clients List'!$A:$F,2,FALSE),"")</f>
        <v/>
      </c>
      <c r="F1838" s="1" t="str">
        <f>IF(OR(C1838="",NOT(ISNUMBER(SEARCH("Package",D1838)))),"",VLOOKUP(C1838,'Clients List'!$A:$F,4,FALSE)-SUMIFS($E$2:$E1838,$C$2:$C1838,C1838,$D$2:$D1838,"*Package*"))</f>
        <v/>
      </c>
      <c r="G1838" t="str">
        <f t="shared" si="61"/>
        <v/>
      </c>
      <c r="H1838" s="33">
        <f>IF(ISNUMBER(SEARCH("Group",D1838)),IF(G1838="",E1838,IFERROR(E1838/COUNTIF($G2:$G6000,G1838),E1838)),E1838)</f>
        <v>0</v>
      </c>
      <c r="I1838" s="1" t="str">
        <f>IFERROR(VLOOKUP(C1838,'Clients List'!A:F,6,FALSE),"")</f>
        <v/>
      </c>
    </row>
    <row r="1839" spans="4:9" x14ac:dyDescent="0.45">
      <c r="D1839" t="str">
        <f>IFERROR(VLOOKUP(C1839,'Clients List'!$A:$F,2,FALSE),"")</f>
        <v/>
      </c>
      <c r="F1839" s="1" t="str">
        <f>IF(OR(C1839="",NOT(ISNUMBER(SEARCH("Package",D1839)))),"",VLOOKUP(C1839,'Clients List'!$A:$F,4,FALSE)-SUMIFS($E$2:$E1839,$C$2:$C1839,C1839,$D$2:$D1839,"*Package*"))</f>
        <v/>
      </c>
      <c r="G1839" t="str">
        <f t="shared" si="61"/>
        <v/>
      </c>
      <c r="H1839" s="33">
        <f>IF(ISNUMBER(SEARCH("Group",D1839)),IF(G1839="",E1839,IFERROR(E1839/COUNTIF($G2:$G6000,G1839),E1839)),E1839)</f>
        <v>0</v>
      </c>
      <c r="I1839" s="1" t="str">
        <f>IFERROR(VLOOKUP(C1839,'Clients List'!A:F,6,FALSE),"")</f>
        <v/>
      </c>
    </row>
    <row r="1840" spans="4:9" x14ac:dyDescent="0.45">
      <c r="D1840" t="str">
        <f>IFERROR(VLOOKUP(C1840,'Clients List'!$A:$F,2,FALSE),"")</f>
        <v/>
      </c>
      <c r="F1840" s="1" t="str">
        <f>IF(OR(C1840="",NOT(ISNUMBER(SEARCH("Package",D1840)))),"",VLOOKUP(C1840,'Clients List'!$A:$F,4,FALSE)-SUMIFS($E$2:$E1840,$C$2:$C1840,C1840,$D$2:$D1840,"*Package*"))</f>
        <v/>
      </c>
      <c r="G1840" t="str">
        <f t="shared" si="61"/>
        <v/>
      </c>
      <c r="H1840" s="33">
        <f>IF(ISNUMBER(SEARCH("Group",D1840)),IF(G1840="",E1840,IFERROR(E1840/COUNTIF($G2:$G6000,G1840),E1840)),E1840)</f>
        <v>0</v>
      </c>
      <c r="I1840" s="1" t="str">
        <f>IFERROR(VLOOKUP(C1840,'Clients List'!A:F,6,FALSE),"")</f>
        <v/>
      </c>
    </row>
    <row r="1841" spans="4:9" x14ac:dyDescent="0.45">
      <c r="D1841" t="str">
        <f>IFERROR(VLOOKUP(C1841,'Clients List'!$A:$F,2,FALSE),"")</f>
        <v/>
      </c>
      <c r="F1841" s="1" t="str">
        <f>IF(OR(C1841="",NOT(ISNUMBER(SEARCH("Package",D1841)))),"",VLOOKUP(C1841,'Clients List'!$A:$F,4,FALSE)-SUMIFS($E$2:$E1841,$C$2:$C1841,C1841,$D$2:$D1841,"*Package*"))</f>
        <v/>
      </c>
      <c r="G1841" t="str">
        <f t="shared" si="61"/>
        <v/>
      </c>
      <c r="H1841" s="33">
        <f>IF(ISNUMBER(SEARCH("Group",D1841)),IF(G1841="",E1841,IFERROR(E1841/COUNTIF($G2:$G6000,G1841),E1841)),E1841)</f>
        <v>0</v>
      </c>
      <c r="I1841" s="1" t="str">
        <f>IFERROR(VLOOKUP(C1841,'Clients List'!A:F,6,FALSE),"")</f>
        <v/>
      </c>
    </row>
    <row r="1842" spans="4:9" x14ac:dyDescent="0.45">
      <c r="D1842" t="str">
        <f>IFERROR(VLOOKUP(C1842,'Clients List'!$A:$F,2,FALSE),"")</f>
        <v/>
      </c>
      <c r="F1842" s="1" t="str">
        <f>IF(OR(C1842="",NOT(ISNUMBER(SEARCH("Package",D1842)))),"",VLOOKUP(C1842,'Clients List'!$A:$F,4,FALSE)-SUMIFS($E$2:$E1842,$C$2:$C1842,C1842,$D$2:$D1842,"*Package*"))</f>
        <v/>
      </c>
      <c r="G1842" t="str">
        <f t="shared" si="61"/>
        <v/>
      </c>
      <c r="H1842" s="33">
        <f>IF(ISNUMBER(SEARCH("Group",D1842)),IF(G1842="",E1842,IFERROR(E1842/COUNTIF($G2:$G6000,G1842),E1842)),E1842)</f>
        <v>0</v>
      </c>
      <c r="I1842" s="1" t="str">
        <f>IFERROR(VLOOKUP(C1842,'Clients List'!A:F,6,FALSE),"")</f>
        <v/>
      </c>
    </row>
    <row r="1843" spans="4:9" x14ac:dyDescent="0.45">
      <c r="D1843" t="str">
        <f>IFERROR(VLOOKUP(C1843,'Clients List'!$A:$F,2,FALSE),"")</f>
        <v/>
      </c>
      <c r="F1843" s="1" t="str">
        <f>IF(OR(C1843="",NOT(ISNUMBER(SEARCH("Package",D1843)))),"",VLOOKUP(C1843,'Clients List'!$A:$F,4,FALSE)-SUMIFS($E$2:$E1843,$C$2:$C1843,C1843,$D$2:$D1843,"*Package*"))</f>
        <v/>
      </c>
      <c r="G1843" t="str">
        <f t="shared" si="61"/>
        <v/>
      </c>
      <c r="H1843" s="33">
        <f>IF(ISNUMBER(SEARCH("Group",D1843)),IF(G1843="",E1843,IFERROR(E1843/COUNTIF($G2:$G6000,G1843),E1843)),E1843)</f>
        <v>0</v>
      </c>
      <c r="I1843" s="1" t="str">
        <f>IFERROR(VLOOKUP(C1843,'Clients List'!A:F,6,FALSE),"")</f>
        <v/>
      </c>
    </row>
    <row r="1844" spans="4:9" x14ac:dyDescent="0.45">
      <c r="D1844" t="str">
        <f>IFERROR(VLOOKUP(C1844,'Clients List'!$A:$F,2,FALSE),"")</f>
        <v/>
      </c>
      <c r="F1844" s="1" t="str">
        <f>IF(OR(C1844="",NOT(ISNUMBER(SEARCH("Package",D1844)))),"",VLOOKUP(C1844,'Clients List'!$A:$F,4,FALSE)-SUMIFS($E$2:$E1844,$C$2:$C1844,C1844,$D$2:$D1844,"*Package*"))</f>
        <v/>
      </c>
      <c r="G1844" t="str">
        <f t="shared" si="61"/>
        <v/>
      </c>
      <c r="H1844" s="33">
        <f>IF(ISNUMBER(SEARCH("Group",D1844)),IF(G1844="",E1844,IFERROR(E1844/COUNTIF($G2:$G6000,G1844),E1844)),E1844)</f>
        <v>0</v>
      </c>
      <c r="I1844" s="1" t="str">
        <f>IFERROR(VLOOKUP(C1844,'Clients List'!A:F,6,FALSE),"")</f>
        <v/>
      </c>
    </row>
    <row r="1845" spans="4:9" x14ac:dyDescent="0.45">
      <c r="D1845" t="str">
        <f>IFERROR(VLOOKUP(C1845,'Clients List'!$A:$F,2,FALSE),"")</f>
        <v/>
      </c>
      <c r="F1845" s="1" t="str">
        <f>IF(OR(C1845="",NOT(ISNUMBER(SEARCH("Package",D1845)))),"",VLOOKUP(C1845,'Clients List'!$A:$F,4,FALSE)-SUMIFS($E$2:$E1845,$C$2:$C1845,C1845,$D$2:$D1845,"*Package*"))</f>
        <v/>
      </c>
      <c r="G1845" t="str">
        <f t="shared" ref="G1845:G1908" si="62">IF(ISNUMBER(SEARCH("Group",D1845)),IFERROR("GRP-"&amp;TEXT(IF(ISNUMBER(A1845),A1845,DATEVALUE(A1845)),"yyyymmdd"),""),"" )</f>
        <v/>
      </c>
      <c r="H1845" s="33">
        <f>IF(ISNUMBER(SEARCH("Group",D1845)),IF(G1845="",E1845,IFERROR(E1845/COUNTIF($G2:$G6000,G1845),E1845)),E1845)</f>
        <v>0</v>
      </c>
      <c r="I1845" s="1" t="str">
        <f>IFERROR(VLOOKUP(C1845,'Clients List'!A:F,6,FALSE),"")</f>
        <v/>
      </c>
    </row>
    <row r="1846" spans="4:9" x14ac:dyDescent="0.45">
      <c r="D1846" t="str">
        <f>IFERROR(VLOOKUP(C1846,'Clients List'!$A:$F,2,FALSE),"")</f>
        <v/>
      </c>
      <c r="F1846" s="1" t="str">
        <f>IF(OR(C1846="",NOT(ISNUMBER(SEARCH("Package",D1846)))),"",VLOOKUP(C1846,'Clients List'!$A:$F,4,FALSE)-SUMIFS($E$2:$E1846,$C$2:$C1846,C1846,$D$2:$D1846,"*Package*"))</f>
        <v/>
      </c>
      <c r="G1846" t="str">
        <f t="shared" si="62"/>
        <v/>
      </c>
      <c r="H1846" s="33">
        <f>IF(ISNUMBER(SEARCH("Group",D1846)),IF(G1846="",E1846,IFERROR(E1846/COUNTIF($G2:$G6000,G1846),E1846)),E1846)</f>
        <v>0</v>
      </c>
      <c r="I1846" s="1" t="str">
        <f>IFERROR(VLOOKUP(C1846,'Clients List'!A:F,6,FALSE),"")</f>
        <v/>
      </c>
    </row>
    <row r="1847" spans="4:9" x14ac:dyDescent="0.45">
      <c r="D1847" t="str">
        <f>IFERROR(VLOOKUP(C1847,'Clients List'!$A:$F,2,FALSE),"")</f>
        <v/>
      </c>
      <c r="F1847" s="1" t="str">
        <f>IF(OR(C1847="",NOT(ISNUMBER(SEARCH("Package",D1847)))),"",VLOOKUP(C1847,'Clients List'!$A:$F,4,FALSE)-SUMIFS($E$2:$E1847,$C$2:$C1847,C1847,$D$2:$D1847,"*Package*"))</f>
        <v/>
      </c>
      <c r="G1847" t="str">
        <f t="shared" si="62"/>
        <v/>
      </c>
      <c r="H1847" s="33">
        <f>IF(ISNUMBER(SEARCH("Group",D1847)),IF(G1847="",E1847,IFERROR(E1847/COUNTIF($G2:$G6000,G1847),E1847)),E1847)</f>
        <v>0</v>
      </c>
      <c r="I1847" s="1" t="str">
        <f>IFERROR(VLOOKUP(C1847,'Clients List'!A:F,6,FALSE),"")</f>
        <v/>
      </c>
    </row>
    <row r="1848" spans="4:9" x14ac:dyDescent="0.45">
      <c r="D1848" t="str">
        <f>IFERROR(VLOOKUP(C1848,'Clients List'!$A:$F,2,FALSE),"")</f>
        <v/>
      </c>
      <c r="F1848" s="1" t="str">
        <f>IF(OR(C1848="",NOT(ISNUMBER(SEARCH("Package",D1848)))),"",VLOOKUP(C1848,'Clients List'!$A:$F,4,FALSE)-SUMIFS($E$2:$E1848,$C$2:$C1848,C1848,$D$2:$D1848,"*Package*"))</f>
        <v/>
      </c>
      <c r="G1848" t="str">
        <f t="shared" si="62"/>
        <v/>
      </c>
      <c r="H1848" s="33">
        <f>IF(ISNUMBER(SEARCH("Group",D1848)),IF(G1848="",E1848,IFERROR(E1848/COUNTIF($G2:$G6000,G1848),E1848)),E1848)</f>
        <v>0</v>
      </c>
      <c r="I1848" s="1" t="str">
        <f>IFERROR(VLOOKUP(C1848,'Clients List'!A:F,6,FALSE),"")</f>
        <v/>
      </c>
    </row>
    <row r="1849" spans="4:9" x14ac:dyDescent="0.45">
      <c r="D1849" t="str">
        <f>IFERROR(VLOOKUP(C1849,'Clients List'!$A:$F,2,FALSE),"")</f>
        <v/>
      </c>
      <c r="F1849" s="1" t="str">
        <f>IF(OR(C1849="",NOT(ISNUMBER(SEARCH("Package",D1849)))),"",VLOOKUP(C1849,'Clients List'!$A:$F,4,FALSE)-SUMIFS($E$2:$E1849,$C$2:$C1849,C1849,$D$2:$D1849,"*Package*"))</f>
        <v/>
      </c>
      <c r="G1849" t="str">
        <f t="shared" si="62"/>
        <v/>
      </c>
      <c r="H1849" s="33">
        <f>IF(ISNUMBER(SEARCH("Group",D1849)),IF(G1849="",E1849,IFERROR(E1849/COUNTIF($G2:$G6000,G1849),E1849)),E1849)</f>
        <v>0</v>
      </c>
      <c r="I1849" s="1" t="str">
        <f>IFERROR(VLOOKUP(C1849,'Clients List'!A:F,6,FALSE),"")</f>
        <v/>
      </c>
    </row>
    <row r="1850" spans="4:9" x14ac:dyDescent="0.45">
      <c r="D1850" t="str">
        <f>IFERROR(VLOOKUP(C1850,'Clients List'!$A:$F,2,FALSE),"")</f>
        <v/>
      </c>
      <c r="F1850" s="1" t="str">
        <f>IF(OR(C1850="",NOT(ISNUMBER(SEARCH("Package",D1850)))),"",VLOOKUP(C1850,'Clients List'!$A:$F,4,FALSE)-SUMIFS($E$2:$E1850,$C$2:$C1850,C1850,$D$2:$D1850,"*Package*"))</f>
        <v/>
      </c>
      <c r="G1850" t="str">
        <f t="shared" si="62"/>
        <v/>
      </c>
      <c r="H1850" s="33">
        <f>IF(ISNUMBER(SEARCH("Group",D1850)),IF(G1850="",E1850,IFERROR(E1850/COUNTIF($G2:$G6000,G1850),E1850)),E1850)</f>
        <v>0</v>
      </c>
      <c r="I1850" s="1" t="str">
        <f>IFERROR(VLOOKUP(C1850,'Clients List'!A:F,6,FALSE),"")</f>
        <v/>
      </c>
    </row>
    <row r="1851" spans="4:9" x14ac:dyDescent="0.45">
      <c r="D1851" t="str">
        <f>IFERROR(VLOOKUP(C1851,'Clients List'!$A:$F,2,FALSE),"")</f>
        <v/>
      </c>
      <c r="F1851" s="1" t="str">
        <f>IF(OR(C1851="",NOT(ISNUMBER(SEARCH("Package",D1851)))),"",VLOOKUP(C1851,'Clients List'!$A:$F,4,FALSE)-SUMIFS($E$2:$E1851,$C$2:$C1851,C1851,$D$2:$D1851,"*Package*"))</f>
        <v/>
      </c>
      <c r="G1851" t="str">
        <f t="shared" si="62"/>
        <v/>
      </c>
      <c r="H1851" s="33">
        <f>IF(ISNUMBER(SEARCH("Group",D1851)),IF(G1851="",E1851,IFERROR(E1851/COUNTIF($G2:$G6000,G1851),E1851)),E1851)</f>
        <v>0</v>
      </c>
      <c r="I1851" s="1" t="str">
        <f>IFERROR(VLOOKUP(C1851,'Clients List'!A:F,6,FALSE),"")</f>
        <v/>
      </c>
    </row>
    <row r="1852" spans="4:9" x14ac:dyDescent="0.45">
      <c r="D1852" t="str">
        <f>IFERROR(VLOOKUP(C1852,'Clients List'!$A:$F,2,FALSE),"")</f>
        <v/>
      </c>
      <c r="F1852" s="1" t="str">
        <f>IF(OR(C1852="",NOT(ISNUMBER(SEARCH("Package",D1852)))),"",VLOOKUP(C1852,'Clients List'!$A:$F,4,FALSE)-SUMIFS($E$2:$E1852,$C$2:$C1852,C1852,$D$2:$D1852,"*Package*"))</f>
        <v/>
      </c>
      <c r="G1852" t="str">
        <f t="shared" si="62"/>
        <v/>
      </c>
      <c r="H1852" s="33">
        <f>IF(ISNUMBER(SEARCH("Group",D1852)),IF(G1852="",E1852,IFERROR(E1852/COUNTIF($G2:$G6000,G1852),E1852)),E1852)</f>
        <v>0</v>
      </c>
      <c r="I1852" s="1" t="str">
        <f>IFERROR(VLOOKUP(C1852,'Clients List'!A:F,6,FALSE),"")</f>
        <v/>
      </c>
    </row>
    <row r="1853" spans="4:9" x14ac:dyDescent="0.45">
      <c r="D1853" t="str">
        <f>IFERROR(VLOOKUP(C1853,'Clients List'!$A:$F,2,FALSE),"")</f>
        <v/>
      </c>
      <c r="F1853" s="1" t="str">
        <f>IF(OR(C1853="",NOT(ISNUMBER(SEARCH("Package",D1853)))),"",VLOOKUP(C1853,'Clients List'!$A:$F,4,FALSE)-SUMIFS($E$2:$E1853,$C$2:$C1853,C1853,$D$2:$D1853,"*Package*"))</f>
        <v/>
      </c>
      <c r="G1853" t="str">
        <f t="shared" si="62"/>
        <v/>
      </c>
      <c r="H1853" s="33">
        <f>IF(ISNUMBER(SEARCH("Group",D1853)),IF(G1853="",E1853,IFERROR(E1853/COUNTIF($G2:$G6000,G1853),E1853)),E1853)</f>
        <v>0</v>
      </c>
      <c r="I1853" s="1" t="str">
        <f>IFERROR(VLOOKUP(C1853,'Clients List'!A:F,6,FALSE),"")</f>
        <v/>
      </c>
    </row>
    <row r="1854" spans="4:9" x14ac:dyDescent="0.45">
      <c r="D1854" t="str">
        <f>IFERROR(VLOOKUP(C1854,'Clients List'!$A:$F,2,FALSE),"")</f>
        <v/>
      </c>
      <c r="F1854" s="1" t="str">
        <f>IF(OR(C1854="",NOT(ISNUMBER(SEARCH("Package",D1854)))),"",VLOOKUP(C1854,'Clients List'!$A:$F,4,FALSE)-SUMIFS($E$2:$E1854,$C$2:$C1854,C1854,$D$2:$D1854,"*Package*"))</f>
        <v/>
      </c>
      <c r="G1854" t="str">
        <f t="shared" si="62"/>
        <v/>
      </c>
      <c r="H1854" s="33">
        <f>IF(ISNUMBER(SEARCH("Group",D1854)),IF(G1854="",E1854,IFERROR(E1854/COUNTIF($G2:$G6000,G1854),E1854)),E1854)</f>
        <v>0</v>
      </c>
      <c r="I1854" s="1" t="str">
        <f>IFERROR(VLOOKUP(C1854,'Clients List'!A:F,6,FALSE),"")</f>
        <v/>
      </c>
    </row>
    <row r="1855" spans="4:9" x14ac:dyDescent="0.45">
      <c r="D1855" t="str">
        <f>IFERROR(VLOOKUP(C1855,'Clients List'!$A:$F,2,FALSE),"")</f>
        <v/>
      </c>
      <c r="F1855" s="1" t="str">
        <f>IF(OR(C1855="",NOT(ISNUMBER(SEARCH("Package",D1855)))),"",VLOOKUP(C1855,'Clients List'!$A:$F,4,FALSE)-SUMIFS($E$2:$E1855,$C$2:$C1855,C1855,$D$2:$D1855,"*Package*"))</f>
        <v/>
      </c>
      <c r="G1855" t="str">
        <f t="shared" si="62"/>
        <v/>
      </c>
      <c r="H1855" s="33">
        <f>IF(ISNUMBER(SEARCH("Group",D1855)),IF(G1855="",E1855,IFERROR(E1855/COUNTIF($G2:$G6000,G1855),E1855)),E1855)</f>
        <v>0</v>
      </c>
      <c r="I1855" s="1" t="str">
        <f>IFERROR(VLOOKUP(C1855,'Clients List'!A:F,6,FALSE),"")</f>
        <v/>
      </c>
    </row>
    <row r="1856" spans="4:9" x14ac:dyDescent="0.45">
      <c r="D1856" t="str">
        <f>IFERROR(VLOOKUP(C1856,'Clients List'!$A:$F,2,FALSE),"")</f>
        <v/>
      </c>
      <c r="F1856" s="1" t="str">
        <f>IF(OR(C1856="",NOT(ISNUMBER(SEARCH("Package",D1856)))),"",VLOOKUP(C1856,'Clients List'!$A:$F,4,FALSE)-SUMIFS($E$2:$E1856,$C$2:$C1856,C1856,$D$2:$D1856,"*Package*"))</f>
        <v/>
      </c>
      <c r="G1856" t="str">
        <f t="shared" si="62"/>
        <v/>
      </c>
      <c r="H1856" s="33">
        <f>IF(ISNUMBER(SEARCH("Group",D1856)),IF(G1856="",E1856,IFERROR(E1856/COUNTIF($G2:$G6000,G1856),E1856)),E1856)</f>
        <v>0</v>
      </c>
      <c r="I1856" s="1" t="str">
        <f>IFERROR(VLOOKUP(C1856,'Clients List'!A:F,6,FALSE),"")</f>
        <v/>
      </c>
    </row>
    <row r="1857" spans="4:9" x14ac:dyDescent="0.45">
      <c r="D1857" t="str">
        <f>IFERROR(VLOOKUP(C1857,'Clients List'!$A:$F,2,FALSE),"")</f>
        <v/>
      </c>
      <c r="F1857" s="1" t="str">
        <f>IF(OR(C1857="",NOT(ISNUMBER(SEARCH("Package",D1857)))),"",VLOOKUP(C1857,'Clients List'!$A:$F,4,FALSE)-SUMIFS($E$2:$E1857,$C$2:$C1857,C1857,$D$2:$D1857,"*Package*"))</f>
        <v/>
      </c>
      <c r="G1857" t="str">
        <f t="shared" si="62"/>
        <v/>
      </c>
      <c r="H1857" s="33">
        <f>IF(ISNUMBER(SEARCH("Group",D1857)),IF(G1857="",E1857,IFERROR(E1857/COUNTIF($G2:$G6000,G1857),E1857)),E1857)</f>
        <v>0</v>
      </c>
      <c r="I1857" s="1" t="str">
        <f>IFERROR(VLOOKUP(C1857,'Clients List'!A:F,6,FALSE),"")</f>
        <v/>
      </c>
    </row>
    <row r="1858" spans="4:9" x14ac:dyDescent="0.45">
      <c r="D1858" t="str">
        <f>IFERROR(VLOOKUP(C1858,'Clients List'!$A:$F,2,FALSE),"")</f>
        <v/>
      </c>
      <c r="F1858" s="1" t="str">
        <f>IF(OR(C1858="",NOT(ISNUMBER(SEARCH("Package",D1858)))),"",VLOOKUP(C1858,'Clients List'!$A:$F,4,FALSE)-SUMIFS($E$2:$E1858,$C$2:$C1858,C1858,$D$2:$D1858,"*Package*"))</f>
        <v/>
      </c>
      <c r="G1858" t="str">
        <f t="shared" si="62"/>
        <v/>
      </c>
      <c r="H1858" s="33">
        <f>IF(ISNUMBER(SEARCH("Group",D1858)),IF(G1858="",E1858,IFERROR(E1858/COUNTIF($G2:$G6000,G1858),E1858)),E1858)</f>
        <v>0</v>
      </c>
      <c r="I1858" s="1" t="str">
        <f>IFERROR(VLOOKUP(C1858,'Clients List'!A:F,6,FALSE),"")</f>
        <v/>
      </c>
    </row>
    <row r="1859" spans="4:9" x14ac:dyDescent="0.45">
      <c r="D1859" t="str">
        <f>IFERROR(VLOOKUP(C1859,'Clients List'!$A:$F,2,FALSE),"")</f>
        <v/>
      </c>
      <c r="F1859" s="1" t="str">
        <f>IF(OR(C1859="",NOT(ISNUMBER(SEARCH("Package",D1859)))),"",VLOOKUP(C1859,'Clients List'!$A:$F,4,FALSE)-SUMIFS($E$2:$E1859,$C$2:$C1859,C1859,$D$2:$D1859,"*Package*"))</f>
        <v/>
      </c>
      <c r="G1859" t="str">
        <f t="shared" si="62"/>
        <v/>
      </c>
      <c r="H1859" s="33">
        <f>IF(ISNUMBER(SEARCH("Group",D1859)),IF(G1859="",E1859,IFERROR(E1859/COUNTIF($G2:$G6000,G1859),E1859)),E1859)</f>
        <v>0</v>
      </c>
      <c r="I1859" s="1" t="str">
        <f>IFERROR(VLOOKUP(C1859,'Clients List'!A:F,6,FALSE),"")</f>
        <v/>
      </c>
    </row>
    <row r="1860" spans="4:9" x14ac:dyDescent="0.45">
      <c r="D1860" t="str">
        <f>IFERROR(VLOOKUP(C1860,'Clients List'!$A:$F,2,FALSE),"")</f>
        <v/>
      </c>
      <c r="F1860" s="1" t="str">
        <f>IF(OR(C1860="",NOT(ISNUMBER(SEARCH("Package",D1860)))),"",VLOOKUP(C1860,'Clients List'!$A:$F,4,FALSE)-SUMIFS($E$2:$E1860,$C$2:$C1860,C1860,$D$2:$D1860,"*Package*"))</f>
        <v/>
      </c>
      <c r="G1860" t="str">
        <f t="shared" si="62"/>
        <v/>
      </c>
      <c r="H1860" s="33">
        <f>IF(ISNUMBER(SEARCH("Group",D1860)),IF(G1860="",E1860,IFERROR(E1860/COUNTIF($G2:$G6000,G1860),E1860)),E1860)</f>
        <v>0</v>
      </c>
      <c r="I1860" s="1" t="str">
        <f>IFERROR(VLOOKUP(C1860,'Clients List'!A:F,6,FALSE),"")</f>
        <v/>
      </c>
    </row>
    <row r="1861" spans="4:9" x14ac:dyDescent="0.45">
      <c r="D1861" t="str">
        <f>IFERROR(VLOOKUP(C1861,'Clients List'!$A:$F,2,FALSE),"")</f>
        <v/>
      </c>
      <c r="F1861" s="1" t="str">
        <f>IF(OR(C1861="",NOT(ISNUMBER(SEARCH("Package",D1861)))),"",VLOOKUP(C1861,'Clients List'!$A:$F,4,FALSE)-SUMIFS($E$2:$E1861,$C$2:$C1861,C1861,$D$2:$D1861,"*Package*"))</f>
        <v/>
      </c>
      <c r="G1861" t="str">
        <f t="shared" si="62"/>
        <v/>
      </c>
      <c r="H1861" s="33">
        <f>IF(ISNUMBER(SEARCH("Group",D1861)),IF(G1861="",E1861,IFERROR(E1861/COUNTIF($G2:$G6000,G1861),E1861)),E1861)</f>
        <v>0</v>
      </c>
      <c r="I1861" s="1" t="str">
        <f>IFERROR(VLOOKUP(C1861,'Clients List'!A:F,6,FALSE),"")</f>
        <v/>
      </c>
    </row>
    <row r="1862" spans="4:9" x14ac:dyDescent="0.45">
      <c r="D1862" t="str">
        <f>IFERROR(VLOOKUP(C1862,'Clients List'!$A:$F,2,FALSE),"")</f>
        <v/>
      </c>
      <c r="F1862" s="1" t="str">
        <f>IF(OR(C1862="",NOT(ISNUMBER(SEARCH("Package",D1862)))),"",VLOOKUP(C1862,'Clients List'!$A:$F,4,FALSE)-SUMIFS($E$2:$E1862,$C$2:$C1862,C1862,$D$2:$D1862,"*Package*"))</f>
        <v/>
      </c>
      <c r="G1862" t="str">
        <f t="shared" si="62"/>
        <v/>
      </c>
      <c r="H1862" s="33">
        <f>IF(ISNUMBER(SEARCH("Group",D1862)),IF(G1862="",E1862,IFERROR(E1862/COUNTIF($G2:$G6000,G1862),E1862)),E1862)</f>
        <v>0</v>
      </c>
      <c r="I1862" s="1" t="str">
        <f>IFERROR(VLOOKUP(C1862,'Clients List'!A:F,6,FALSE),"")</f>
        <v/>
      </c>
    </row>
    <row r="1863" spans="4:9" x14ac:dyDescent="0.45">
      <c r="D1863" t="str">
        <f>IFERROR(VLOOKUP(C1863,'Clients List'!$A:$F,2,FALSE),"")</f>
        <v/>
      </c>
      <c r="F1863" s="1" t="str">
        <f>IF(OR(C1863="",NOT(ISNUMBER(SEARCH("Package",D1863)))),"",VLOOKUP(C1863,'Clients List'!$A:$F,4,FALSE)-SUMIFS($E$2:$E1863,$C$2:$C1863,C1863,$D$2:$D1863,"*Package*"))</f>
        <v/>
      </c>
      <c r="G1863" t="str">
        <f t="shared" si="62"/>
        <v/>
      </c>
      <c r="H1863" s="33">
        <f>IF(ISNUMBER(SEARCH("Group",D1863)),IF(G1863="",E1863,IFERROR(E1863/COUNTIF($G2:$G6000,G1863),E1863)),E1863)</f>
        <v>0</v>
      </c>
      <c r="I1863" s="1" t="str">
        <f>IFERROR(VLOOKUP(C1863,'Clients List'!A:F,6,FALSE),"")</f>
        <v/>
      </c>
    </row>
    <row r="1864" spans="4:9" x14ac:dyDescent="0.45">
      <c r="D1864" t="str">
        <f>IFERROR(VLOOKUP(C1864,'Clients List'!$A:$F,2,FALSE),"")</f>
        <v/>
      </c>
      <c r="F1864" s="1" t="str">
        <f>IF(OR(C1864="",NOT(ISNUMBER(SEARCH("Package",D1864)))),"",VLOOKUP(C1864,'Clients List'!$A:$F,4,FALSE)-SUMIFS($E$2:$E1864,$C$2:$C1864,C1864,$D$2:$D1864,"*Package*"))</f>
        <v/>
      </c>
      <c r="G1864" t="str">
        <f t="shared" si="62"/>
        <v/>
      </c>
      <c r="H1864" s="33">
        <f>IF(ISNUMBER(SEARCH("Group",D1864)),IF(G1864="",E1864,IFERROR(E1864/COUNTIF($G2:$G6000,G1864),E1864)),E1864)</f>
        <v>0</v>
      </c>
      <c r="I1864" s="1" t="str">
        <f>IFERROR(VLOOKUP(C1864,'Clients List'!A:F,6,FALSE),"")</f>
        <v/>
      </c>
    </row>
    <row r="1865" spans="4:9" x14ac:dyDescent="0.45">
      <c r="D1865" t="str">
        <f>IFERROR(VLOOKUP(C1865,'Clients List'!$A:$F,2,FALSE),"")</f>
        <v/>
      </c>
      <c r="F1865" s="1" t="str">
        <f>IF(OR(C1865="",NOT(ISNUMBER(SEARCH("Package",D1865)))),"",VLOOKUP(C1865,'Clients List'!$A:$F,4,FALSE)-SUMIFS($E$2:$E1865,$C$2:$C1865,C1865,$D$2:$D1865,"*Package*"))</f>
        <v/>
      </c>
      <c r="G1865" t="str">
        <f t="shared" si="62"/>
        <v/>
      </c>
      <c r="H1865" s="33">
        <f>IF(ISNUMBER(SEARCH("Group",D1865)),IF(G1865="",E1865,IFERROR(E1865/COUNTIF($G2:$G6000,G1865),E1865)),E1865)</f>
        <v>0</v>
      </c>
      <c r="I1865" s="1" t="str">
        <f>IFERROR(VLOOKUP(C1865,'Clients List'!A:F,6,FALSE),"")</f>
        <v/>
      </c>
    </row>
    <row r="1866" spans="4:9" x14ac:dyDescent="0.45">
      <c r="D1866" t="str">
        <f>IFERROR(VLOOKUP(C1866,'Clients List'!$A:$F,2,FALSE),"")</f>
        <v/>
      </c>
      <c r="F1866" s="1" t="str">
        <f>IF(OR(C1866="",NOT(ISNUMBER(SEARCH("Package",D1866)))),"",VLOOKUP(C1866,'Clients List'!$A:$F,4,FALSE)-SUMIFS($E$2:$E1866,$C$2:$C1866,C1866,$D$2:$D1866,"*Package*"))</f>
        <v/>
      </c>
      <c r="G1866" t="str">
        <f t="shared" si="62"/>
        <v/>
      </c>
      <c r="H1866" s="33">
        <f>IF(ISNUMBER(SEARCH("Group",D1866)),IF(G1866="",E1866,IFERROR(E1866/COUNTIF($G2:$G6000,G1866),E1866)),E1866)</f>
        <v>0</v>
      </c>
      <c r="I1866" s="1" t="str">
        <f>IFERROR(VLOOKUP(C1866,'Clients List'!A:F,6,FALSE),"")</f>
        <v/>
      </c>
    </row>
    <row r="1867" spans="4:9" x14ac:dyDescent="0.45">
      <c r="D1867" t="str">
        <f>IFERROR(VLOOKUP(C1867,'Clients List'!$A:$F,2,FALSE),"")</f>
        <v/>
      </c>
      <c r="F1867" s="1" t="str">
        <f>IF(OR(C1867="",NOT(ISNUMBER(SEARCH("Package",D1867)))),"",VLOOKUP(C1867,'Clients List'!$A:$F,4,FALSE)-SUMIFS($E$2:$E1867,$C$2:$C1867,C1867,$D$2:$D1867,"*Package*"))</f>
        <v/>
      </c>
      <c r="G1867" t="str">
        <f t="shared" si="62"/>
        <v/>
      </c>
      <c r="H1867" s="33">
        <f>IF(ISNUMBER(SEARCH("Group",D1867)),IF(G1867="",E1867,IFERROR(E1867/COUNTIF($G2:$G6000,G1867),E1867)),E1867)</f>
        <v>0</v>
      </c>
      <c r="I1867" s="1" t="str">
        <f>IFERROR(VLOOKUP(C1867,'Clients List'!A:F,6,FALSE),"")</f>
        <v/>
      </c>
    </row>
    <row r="1868" spans="4:9" x14ac:dyDescent="0.45">
      <c r="D1868" t="str">
        <f>IFERROR(VLOOKUP(C1868,'Clients List'!$A:$F,2,FALSE),"")</f>
        <v/>
      </c>
      <c r="F1868" s="1" t="str">
        <f>IF(OR(C1868="",NOT(ISNUMBER(SEARCH("Package",D1868)))),"",VLOOKUP(C1868,'Clients List'!$A:$F,4,FALSE)-SUMIFS($E$2:$E1868,$C$2:$C1868,C1868,$D$2:$D1868,"*Package*"))</f>
        <v/>
      </c>
      <c r="G1868" t="str">
        <f t="shared" si="62"/>
        <v/>
      </c>
      <c r="H1868" s="33">
        <f>IF(ISNUMBER(SEARCH("Group",D1868)),IF(G1868="",E1868,IFERROR(E1868/COUNTIF($G2:$G6000,G1868),E1868)),E1868)</f>
        <v>0</v>
      </c>
      <c r="I1868" s="1" t="str">
        <f>IFERROR(VLOOKUP(C1868,'Clients List'!A:F,6,FALSE),"")</f>
        <v/>
      </c>
    </row>
    <row r="1869" spans="4:9" x14ac:dyDescent="0.45">
      <c r="D1869" t="str">
        <f>IFERROR(VLOOKUP(C1869,'Clients List'!$A:$F,2,FALSE),"")</f>
        <v/>
      </c>
      <c r="F1869" s="1" t="str">
        <f>IF(OR(C1869="",NOT(ISNUMBER(SEARCH("Package",D1869)))),"",VLOOKUP(C1869,'Clients List'!$A:$F,4,FALSE)-SUMIFS($E$2:$E1869,$C$2:$C1869,C1869,$D$2:$D1869,"*Package*"))</f>
        <v/>
      </c>
      <c r="G1869" t="str">
        <f t="shared" si="62"/>
        <v/>
      </c>
      <c r="H1869" s="33">
        <f>IF(ISNUMBER(SEARCH("Group",D1869)),IF(G1869="",E1869,IFERROR(E1869/COUNTIF($G2:$G6000,G1869),E1869)),E1869)</f>
        <v>0</v>
      </c>
      <c r="I1869" s="1" t="str">
        <f>IFERROR(VLOOKUP(C1869,'Clients List'!A:F,6,FALSE),"")</f>
        <v/>
      </c>
    </row>
    <row r="1870" spans="4:9" x14ac:dyDescent="0.45">
      <c r="D1870" t="str">
        <f>IFERROR(VLOOKUP(C1870,'Clients List'!$A:$F,2,FALSE),"")</f>
        <v/>
      </c>
      <c r="F1870" s="1" t="str">
        <f>IF(OR(C1870="",NOT(ISNUMBER(SEARCH("Package",D1870)))),"",VLOOKUP(C1870,'Clients List'!$A:$F,4,FALSE)-SUMIFS($E$2:$E1870,$C$2:$C1870,C1870,$D$2:$D1870,"*Package*"))</f>
        <v/>
      </c>
      <c r="G1870" t="str">
        <f t="shared" si="62"/>
        <v/>
      </c>
      <c r="H1870" s="33">
        <f>IF(ISNUMBER(SEARCH("Group",D1870)),IF(G1870="",E1870,IFERROR(E1870/COUNTIF($G2:$G6000,G1870),E1870)),E1870)</f>
        <v>0</v>
      </c>
      <c r="I1870" s="1" t="str">
        <f>IFERROR(VLOOKUP(C1870,'Clients List'!A:F,6,FALSE),"")</f>
        <v/>
      </c>
    </row>
    <row r="1871" spans="4:9" x14ac:dyDescent="0.45">
      <c r="D1871" t="str">
        <f>IFERROR(VLOOKUP(C1871,'Clients List'!$A:$F,2,FALSE),"")</f>
        <v/>
      </c>
      <c r="F1871" s="1" t="str">
        <f>IF(OR(C1871="",NOT(ISNUMBER(SEARCH("Package",D1871)))),"",VLOOKUP(C1871,'Clients List'!$A:$F,4,FALSE)-SUMIFS($E$2:$E1871,$C$2:$C1871,C1871,$D$2:$D1871,"*Package*"))</f>
        <v/>
      </c>
      <c r="G1871" t="str">
        <f t="shared" si="62"/>
        <v/>
      </c>
      <c r="H1871" s="33">
        <f>IF(ISNUMBER(SEARCH("Group",D1871)),IF(G1871="",E1871,IFERROR(E1871/COUNTIF($G2:$G6000,G1871),E1871)),E1871)</f>
        <v>0</v>
      </c>
      <c r="I1871" s="1" t="str">
        <f>IFERROR(VLOOKUP(C1871,'Clients List'!A:F,6,FALSE),"")</f>
        <v/>
      </c>
    </row>
    <row r="1872" spans="4:9" x14ac:dyDescent="0.45">
      <c r="D1872" t="str">
        <f>IFERROR(VLOOKUP(C1872,'Clients List'!$A:$F,2,FALSE),"")</f>
        <v/>
      </c>
      <c r="F1872" s="1" t="str">
        <f>IF(OR(C1872="",NOT(ISNUMBER(SEARCH("Package",D1872)))),"",VLOOKUP(C1872,'Clients List'!$A:$F,4,FALSE)-SUMIFS($E$2:$E1872,$C$2:$C1872,C1872,$D$2:$D1872,"*Package*"))</f>
        <v/>
      </c>
      <c r="G1872" t="str">
        <f t="shared" si="62"/>
        <v/>
      </c>
      <c r="H1872" s="33">
        <f>IF(ISNUMBER(SEARCH("Group",D1872)),IF(G1872="",E1872,IFERROR(E1872/COUNTIF($G2:$G6000,G1872),E1872)),E1872)</f>
        <v>0</v>
      </c>
      <c r="I1872" s="1" t="str">
        <f>IFERROR(VLOOKUP(C1872,'Clients List'!A:F,6,FALSE),"")</f>
        <v/>
      </c>
    </row>
    <row r="1873" spans="4:9" x14ac:dyDescent="0.45">
      <c r="D1873" t="str">
        <f>IFERROR(VLOOKUP(C1873,'Clients List'!$A:$F,2,FALSE),"")</f>
        <v/>
      </c>
      <c r="F1873" s="1" t="str">
        <f>IF(OR(C1873="",NOT(ISNUMBER(SEARCH("Package",D1873)))),"",VLOOKUP(C1873,'Clients List'!$A:$F,4,FALSE)-SUMIFS($E$2:$E1873,$C$2:$C1873,C1873,$D$2:$D1873,"*Package*"))</f>
        <v/>
      </c>
      <c r="G1873" t="str">
        <f t="shared" si="62"/>
        <v/>
      </c>
      <c r="H1873" s="33">
        <f>IF(ISNUMBER(SEARCH("Group",D1873)),IF(G1873="",E1873,IFERROR(E1873/COUNTIF($G2:$G6000,G1873),E1873)),E1873)</f>
        <v>0</v>
      </c>
      <c r="I1873" s="1" t="str">
        <f>IFERROR(VLOOKUP(C1873,'Clients List'!A:F,6,FALSE),"")</f>
        <v/>
      </c>
    </row>
    <row r="1874" spans="4:9" x14ac:dyDescent="0.45">
      <c r="D1874" t="str">
        <f>IFERROR(VLOOKUP(C1874,'Clients List'!$A:$F,2,FALSE),"")</f>
        <v/>
      </c>
      <c r="F1874" s="1" t="str">
        <f>IF(OR(C1874="",NOT(ISNUMBER(SEARCH("Package",D1874)))),"",VLOOKUP(C1874,'Clients List'!$A:$F,4,FALSE)-SUMIFS($E$2:$E1874,$C$2:$C1874,C1874,$D$2:$D1874,"*Package*"))</f>
        <v/>
      </c>
      <c r="G1874" t="str">
        <f t="shared" si="62"/>
        <v/>
      </c>
      <c r="H1874" s="33">
        <f>IF(ISNUMBER(SEARCH("Group",D1874)),IF(G1874="",E1874,IFERROR(E1874/COUNTIF($G2:$G6000,G1874),E1874)),E1874)</f>
        <v>0</v>
      </c>
      <c r="I1874" s="1" t="str">
        <f>IFERROR(VLOOKUP(C1874,'Clients List'!A:F,6,FALSE),"")</f>
        <v/>
      </c>
    </row>
    <row r="1875" spans="4:9" x14ac:dyDescent="0.45">
      <c r="D1875" t="str">
        <f>IFERROR(VLOOKUP(C1875,'Clients List'!$A:$F,2,FALSE),"")</f>
        <v/>
      </c>
      <c r="F1875" s="1" t="str">
        <f>IF(OR(C1875="",NOT(ISNUMBER(SEARCH("Package",D1875)))),"",VLOOKUP(C1875,'Clients List'!$A:$F,4,FALSE)-SUMIFS($E$2:$E1875,$C$2:$C1875,C1875,$D$2:$D1875,"*Package*"))</f>
        <v/>
      </c>
      <c r="G1875" t="str">
        <f t="shared" si="62"/>
        <v/>
      </c>
      <c r="H1875" s="33">
        <f>IF(ISNUMBER(SEARCH("Group",D1875)),IF(G1875="",E1875,IFERROR(E1875/COUNTIF($G2:$G6000,G1875),E1875)),E1875)</f>
        <v>0</v>
      </c>
      <c r="I1875" s="1" t="str">
        <f>IFERROR(VLOOKUP(C1875,'Clients List'!A:F,6,FALSE),"")</f>
        <v/>
      </c>
    </row>
    <row r="1876" spans="4:9" x14ac:dyDescent="0.45">
      <c r="D1876" t="str">
        <f>IFERROR(VLOOKUP(C1876,'Clients List'!$A:$F,2,FALSE),"")</f>
        <v/>
      </c>
      <c r="F1876" s="1" t="str">
        <f>IF(OR(C1876="",NOT(ISNUMBER(SEARCH("Package",D1876)))),"",VLOOKUP(C1876,'Clients List'!$A:$F,4,FALSE)-SUMIFS($E$2:$E1876,$C$2:$C1876,C1876,$D$2:$D1876,"*Package*"))</f>
        <v/>
      </c>
      <c r="G1876" t="str">
        <f t="shared" si="62"/>
        <v/>
      </c>
      <c r="H1876" s="33">
        <f>IF(ISNUMBER(SEARCH("Group",D1876)),IF(G1876="",E1876,IFERROR(E1876/COUNTIF($G2:$G6000,G1876),E1876)),E1876)</f>
        <v>0</v>
      </c>
      <c r="I1876" s="1" t="str">
        <f>IFERROR(VLOOKUP(C1876,'Clients List'!A:F,6,FALSE),"")</f>
        <v/>
      </c>
    </row>
    <row r="1877" spans="4:9" x14ac:dyDescent="0.45">
      <c r="D1877" t="str">
        <f>IFERROR(VLOOKUP(C1877,'Clients List'!$A:$F,2,FALSE),"")</f>
        <v/>
      </c>
      <c r="F1877" s="1" t="str">
        <f>IF(OR(C1877="",NOT(ISNUMBER(SEARCH("Package",D1877)))),"",VLOOKUP(C1877,'Clients List'!$A:$F,4,FALSE)-SUMIFS($E$2:$E1877,$C$2:$C1877,C1877,$D$2:$D1877,"*Package*"))</f>
        <v/>
      </c>
      <c r="G1877" t="str">
        <f t="shared" si="62"/>
        <v/>
      </c>
      <c r="H1877" s="33">
        <f>IF(ISNUMBER(SEARCH("Group",D1877)),IF(G1877="",E1877,IFERROR(E1877/COUNTIF($G2:$G6000,G1877),E1877)),E1877)</f>
        <v>0</v>
      </c>
      <c r="I1877" s="1" t="str">
        <f>IFERROR(VLOOKUP(C1877,'Clients List'!A:F,6,FALSE),"")</f>
        <v/>
      </c>
    </row>
    <row r="1878" spans="4:9" x14ac:dyDescent="0.45">
      <c r="D1878" t="str">
        <f>IFERROR(VLOOKUP(C1878,'Clients List'!$A:$F,2,FALSE),"")</f>
        <v/>
      </c>
      <c r="F1878" s="1" t="str">
        <f>IF(OR(C1878="",NOT(ISNUMBER(SEARCH("Package",D1878)))),"",VLOOKUP(C1878,'Clients List'!$A:$F,4,FALSE)-SUMIFS($E$2:$E1878,$C$2:$C1878,C1878,$D$2:$D1878,"*Package*"))</f>
        <v/>
      </c>
      <c r="G1878" t="str">
        <f t="shared" si="62"/>
        <v/>
      </c>
      <c r="H1878" s="33">
        <f>IF(ISNUMBER(SEARCH("Group",D1878)),IF(G1878="",E1878,IFERROR(E1878/COUNTIF($G2:$G6000,G1878),E1878)),E1878)</f>
        <v>0</v>
      </c>
      <c r="I1878" s="1" t="str">
        <f>IFERROR(VLOOKUP(C1878,'Clients List'!A:F,6,FALSE),"")</f>
        <v/>
      </c>
    </row>
    <row r="1879" spans="4:9" x14ac:dyDescent="0.45">
      <c r="D1879" t="str">
        <f>IFERROR(VLOOKUP(C1879,'Clients List'!$A:$F,2,FALSE),"")</f>
        <v/>
      </c>
      <c r="F1879" s="1" t="str">
        <f>IF(OR(C1879="",NOT(ISNUMBER(SEARCH("Package",D1879)))),"",VLOOKUP(C1879,'Clients List'!$A:$F,4,FALSE)-SUMIFS($E$2:$E1879,$C$2:$C1879,C1879,$D$2:$D1879,"*Package*"))</f>
        <v/>
      </c>
      <c r="G1879" t="str">
        <f t="shared" si="62"/>
        <v/>
      </c>
      <c r="H1879" s="33">
        <f>IF(ISNUMBER(SEARCH("Group",D1879)),IF(G1879="",E1879,IFERROR(E1879/COUNTIF($G2:$G6000,G1879),E1879)),E1879)</f>
        <v>0</v>
      </c>
      <c r="I1879" s="1" t="str">
        <f>IFERROR(VLOOKUP(C1879,'Clients List'!A:F,6,FALSE),"")</f>
        <v/>
      </c>
    </row>
    <row r="1880" spans="4:9" x14ac:dyDescent="0.45">
      <c r="D1880" t="str">
        <f>IFERROR(VLOOKUP(C1880,'Clients List'!$A:$F,2,FALSE),"")</f>
        <v/>
      </c>
      <c r="F1880" s="1" t="str">
        <f>IF(OR(C1880="",NOT(ISNUMBER(SEARCH("Package",D1880)))),"",VLOOKUP(C1880,'Clients List'!$A:$F,4,FALSE)-SUMIFS($E$2:$E1880,$C$2:$C1880,C1880,$D$2:$D1880,"*Package*"))</f>
        <v/>
      </c>
      <c r="G1880" t="str">
        <f t="shared" si="62"/>
        <v/>
      </c>
      <c r="H1880" s="33">
        <f>IF(ISNUMBER(SEARCH("Group",D1880)),IF(G1880="",E1880,IFERROR(E1880/COUNTIF($G2:$G6000,G1880),E1880)),E1880)</f>
        <v>0</v>
      </c>
      <c r="I1880" s="1" t="str">
        <f>IFERROR(VLOOKUP(C1880,'Clients List'!A:F,6,FALSE),"")</f>
        <v/>
      </c>
    </row>
    <row r="1881" spans="4:9" x14ac:dyDescent="0.45">
      <c r="D1881" t="str">
        <f>IFERROR(VLOOKUP(C1881,'Clients List'!$A:$F,2,FALSE),"")</f>
        <v/>
      </c>
      <c r="F1881" s="1" t="str">
        <f>IF(OR(C1881="",NOT(ISNUMBER(SEARCH("Package",D1881)))),"",VLOOKUP(C1881,'Clients List'!$A:$F,4,FALSE)-SUMIFS($E$2:$E1881,$C$2:$C1881,C1881,$D$2:$D1881,"*Package*"))</f>
        <v/>
      </c>
      <c r="G1881" t="str">
        <f t="shared" si="62"/>
        <v/>
      </c>
      <c r="H1881" s="33">
        <f>IF(ISNUMBER(SEARCH("Group",D1881)),IF(G1881="",E1881,IFERROR(E1881/COUNTIF($G2:$G6000,G1881),E1881)),E1881)</f>
        <v>0</v>
      </c>
      <c r="I1881" s="1" t="str">
        <f>IFERROR(VLOOKUP(C1881,'Clients List'!A:F,6,FALSE),"")</f>
        <v/>
      </c>
    </row>
    <row r="1882" spans="4:9" x14ac:dyDescent="0.45">
      <c r="D1882" t="str">
        <f>IFERROR(VLOOKUP(C1882,'Clients List'!$A:$F,2,FALSE),"")</f>
        <v/>
      </c>
      <c r="F1882" s="1" t="str">
        <f>IF(OR(C1882="",NOT(ISNUMBER(SEARCH("Package",D1882)))),"",VLOOKUP(C1882,'Clients List'!$A:$F,4,FALSE)-SUMIFS($E$2:$E1882,$C$2:$C1882,C1882,$D$2:$D1882,"*Package*"))</f>
        <v/>
      </c>
      <c r="G1882" t="str">
        <f t="shared" si="62"/>
        <v/>
      </c>
      <c r="H1882" s="33">
        <f>IF(ISNUMBER(SEARCH("Group",D1882)),IF(G1882="",E1882,IFERROR(E1882/COUNTIF($G2:$G6000,G1882),E1882)),E1882)</f>
        <v>0</v>
      </c>
      <c r="I1882" s="1" t="str">
        <f>IFERROR(VLOOKUP(C1882,'Clients List'!A:F,6,FALSE),"")</f>
        <v/>
      </c>
    </row>
    <row r="1883" spans="4:9" x14ac:dyDescent="0.45">
      <c r="D1883" t="str">
        <f>IFERROR(VLOOKUP(C1883,'Clients List'!$A:$F,2,FALSE),"")</f>
        <v/>
      </c>
      <c r="F1883" s="1" t="str">
        <f>IF(OR(C1883="",NOT(ISNUMBER(SEARCH("Package",D1883)))),"",VLOOKUP(C1883,'Clients List'!$A:$F,4,FALSE)-SUMIFS($E$2:$E1883,$C$2:$C1883,C1883,$D$2:$D1883,"*Package*"))</f>
        <v/>
      </c>
      <c r="G1883" t="str">
        <f t="shared" si="62"/>
        <v/>
      </c>
      <c r="H1883" s="33">
        <f>IF(ISNUMBER(SEARCH("Group",D1883)),IF(G1883="",E1883,IFERROR(E1883/COUNTIF($G2:$G6000,G1883),E1883)),E1883)</f>
        <v>0</v>
      </c>
      <c r="I1883" s="1" t="str">
        <f>IFERROR(VLOOKUP(C1883,'Clients List'!A:F,6,FALSE),"")</f>
        <v/>
      </c>
    </row>
    <row r="1884" spans="4:9" x14ac:dyDescent="0.45">
      <c r="D1884" t="str">
        <f>IFERROR(VLOOKUP(C1884,'Clients List'!$A:$F,2,FALSE),"")</f>
        <v/>
      </c>
      <c r="F1884" s="1" t="str">
        <f>IF(OR(C1884="",NOT(ISNUMBER(SEARCH("Package",D1884)))),"",VLOOKUP(C1884,'Clients List'!$A:$F,4,FALSE)-SUMIFS($E$2:$E1884,$C$2:$C1884,C1884,$D$2:$D1884,"*Package*"))</f>
        <v/>
      </c>
      <c r="G1884" t="str">
        <f t="shared" si="62"/>
        <v/>
      </c>
      <c r="H1884" s="33">
        <f>IF(ISNUMBER(SEARCH("Group",D1884)),IF(G1884="",E1884,IFERROR(E1884/COUNTIF($G2:$G6000,G1884),E1884)),E1884)</f>
        <v>0</v>
      </c>
      <c r="I1884" s="1" t="str">
        <f>IFERROR(VLOOKUP(C1884,'Clients List'!A:F,6,FALSE),"")</f>
        <v/>
      </c>
    </row>
    <row r="1885" spans="4:9" x14ac:dyDescent="0.45">
      <c r="D1885" t="str">
        <f>IFERROR(VLOOKUP(C1885,'Clients List'!$A:$F,2,FALSE),"")</f>
        <v/>
      </c>
      <c r="F1885" s="1" t="str">
        <f>IF(OR(C1885="",NOT(ISNUMBER(SEARCH("Package",D1885)))),"",VLOOKUP(C1885,'Clients List'!$A:$F,4,FALSE)-SUMIFS($E$2:$E1885,$C$2:$C1885,C1885,$D$2:$D1885,"*Package*"))</f>
        <v/>
      </c>
      <c r="G1885" t="str">
        <f t="shared" si="62"/>
        <v/>
      </c>
      <c r="H1885" s="33">
        <f>IF(ISNUMBER(SEARCH("Group",D1885)),IF(G1885="",E1885,IFERROR(E1885/COUNTIF($G2:$G6000,G1885),E1885)),E1885)</f>
        <v>0</v>
      </c>
      <c r="I1885" s="1" t="str">
        <f>IFERROR(VLOOKUP(C1885,'Clients List'!A:F,6,FALSE),"")</f>
        <v/>
      </c>
    </row>
    <row r="1886" spans="4:9" x14ac:dyDescent="0.45">
      <c r="D1886" t="str">
        <f>IFERROR(VLOOKUP(C1886,'Clients List'!$A:$F,2,FALSE),"")</f>
        <v/>
      </c>
      <c r="F1886" s="1" t="str">
        <f>IF(OR(C1886="",NOT(ISNUMBER(SEARCH("Package",D1886)))),"",VLOOKUP(C1886,'Clients List'!$A:$F,4,FALSE)-SUMIFS($E$2:$E1886,$C$2:$C1886,C1886,$D$2:$D1886,"*Package*"))</f>
        <v/>
      </c>
      <c r="G1886" t="str">
        <f t="shared" si="62"/>
        <v/>
      </c>
      <c r="H1886" s="33">
        <f>IF(ISNUMBER(SEARCH("Group",D1886)),IF(G1886="",E1886,IFERROR(E1886/COUNTIF($G2:$G6000,G1886),E1886)),E1886)</f>
        <v>0</v>
      </c>
      <c r="I1886" s="1" t="str">
        <f>IFERROR(VLOOKUP(C1886,'Clients List'!A:F,6,FALSE),"")</f>
        <v/>
      </c>
    </row>
    <row r="1887" spans="4:9" x14ac:dyDescent="0.45">
      <c r="D1887" t="str">
        <f>IFERROR(VLOOKUP(C1887,'Clients List'!$A:$F,2,FALSE),"")</f>
        <v/>
      </c>
      <c r="F1887" s="1" t="str">
        <f>IF(OR(C1887="",NOT(ISNUMBER(SEARCH("Package",D1887)))),"",VLOOKUP(C1887,'Clients List'!$A:$F,4,FALSE)-SUMIFS($E$2:$E1887,$C$2:$C1887,C1887,$D$2:$D1887,"*Package*"))</f>
        <v/>
      </c>
      <c r="G1887" t="str">
        <f t="shared" si="62"/>
        <v/>
      </c>
      <c r="H1887" s="33">
        <f>IF(ISNUMBER(SEARCH("Group",D1887)),IF(G1887="",E1887,IFERROR(E1887/COUNTIF($G2:$G6000,G1887),E1887)),E1887)</f>
        <v>0</v>
      </c>
      <c r="I1887" s="1" t="str">
        <f>IFERROR(VLOOKUP(C1887,'Clients List'!A:F,6,FALSE),"")</f>
        <v/>
      </c>
    </row>
    <row r="1888" spans="4:9" x14ac:dyDescent="0.45">
      <c r="D1888" t="str">
        <f>IFERROR(VLOOKUP(C1888,'Clients List'!$A:$F,2,FALSE),"")</f>
        <v/>
      </c>
      <c r="F1888" s="1" t="str">
        <f>IF(OR(C1888="",NOT(ISNUMBER(SEARCH("Package",D1888)))),"",VLOOKUP(C1888,'Clients List'!$A:$F,4,FALSE)-SUMIFS($E$2:$E1888,$C$2:$C1888,C1888,$D$2:$D1888,"*Package*"))</f>
        <v/>
      </c>
      <c r="G1888" t="str">
        <f t="shared" si="62"/>
        <v/>
      </c>
      <c r="H1888" s="33">
        <f>IF(ISNUMBER(SEARCH("Group",D1888)),IF(G1888="",E1888,IFERROR(E1888/COUNTIF($G2:$G6000,G1888),E1888)),E1888)</f>
        <v>0</v>
      </c>
      <c r="I1888" s="1" t="str">
        <f>IFERROR(VLOOKUP(C1888,'Clients List'!A:F,6,FALSE),"")</f>
        <v/>
      </c>
    </row>
    <row r="1889" spans="4:9" x14ac:dyDescent="0.45">
      <c r="D1889" t="str">
        <f>IFERROR(VLOOKUP(C1889,'Clients List'!$A:$F,2,FALSE),"")</f>
        <v/>
      </c>
      <c r="F1889" s="1" t="str">
        <f>IF(OR(C1889="",NOT(ISNUMBER(SEARCH("Package",D1889)))),"",VLOOKUP(C1889,'Clients List'!$A:$F,4,FALSE)-SUMIFS($E$2:$E1889,$C$2:$C1889,C1889,$D$2:$D1889,"*Package*"))</f>
        <v/>
      </c>
      <c r="G1889" t="str">
        <f t="shared" si="62"/>
        <v/>
      </c>
      <c r="H1889" s="33">
        <f>IF(ISNUMBER(SEARCH("Group",D1889)),IF(G1889="",E1889,IFERROR(E1889/COUNTIF($G2:$G6000,G1889),E1889)),E1889)</f>
        <v>0</v>
      </c>
      <c r="I1889" s="1" t="str">
        <f>IFERROR(VLOOKUP(C1889,'Clients List'!A:F,6,FALSE),"")</f>
        <v/>
      </c>
    </row>
    <row r="1890" spans="4:9" x14ac:dyDescent="0.45">
      <c r="D1890" t="str">
        <f>IFERROR(VLOOKUP(C1890,'Clients List'!$A:$F,2,FALSE),"")</f>
        <v/>
      </c>
      <c r="F1890" s="1" t="str">
        <f>IF(OR(C1890="",NOT(ISNUMBER(SEARCH("Package",D1890)))),"",VLOOKUP(C1890,'Clients List'!$A:$F,4,FALSE)-SUMIFS($E$2:$E1890,$C$2:$C1890,C1890,$D$2:$D1890,"*Package*"))</f>
        <v/>
      </c>
      <c r="G1890" t="str">
        <f t="shared" si="62"/>
        <v/>
      </c>
      <c r="H1890" s="33">
        <f>IF(ISNUMBER(SEARCH("Group",D1890)),IF(G1890="",E1890,IFERROR(E1890/COUNTIF($G2:$G6000,G1890),E1890)),E1890)</f>
        <v>0</v>
      </c>
      <c r="I1890" s="1" t="str">
        <f>IFERROR(VLOOKUP(C1890,'Clients List'!A:F,6,FALSE),"")</f>
        <v/>
      </c>
    </row>
    <row r="1891" spans="4:9" x14ac:dyDescent="0.45">
      <c r="D1891" t="str">
        <f>IFERROR(VLOOKUP(C1891,'Clients List'!$A:$F,2,FALSE),"")</f>
        <v/>
      </c>
      <c r="F1891" s="1" t="str">
        <f>IF(OR(C1891="",NOT(ISNUMBER(SEARCH("Package",D1891)))),"",VLOOKUP(C1891,'Clients List'!$A:$F,4,FALSE)-SUMIFS($E$2:$E1891,$C$2:$C1891,C1891,$D$2:$D1891,"*Package*"))</f>
        <v/>
      </c>
      <c r="G1891" t="str">
        <f t="shared" si="62"/>
        <v/>
      </c>
      <c r="H1891" s="33">
        <f>IF(ISNUMBER(SEARCH("Group",D1891)),IF(G1891="",E1891,IFERROR(E1891/COUNTIF($G2:$G6000,G1891),E1891)),E1891)</f>
        <v>0</v>
      </c>
      <c r="I1891" s="1" t="str">
        <f>IFERROR(VLOOKUP(C1891,'Clients List'!A:F,6,FALSE),"")</f>
        <v/>
      </c>
    </row>
    <row r="1892" spans="4:9" x14ac:dyDescent="0.45">
      <c r="D1892" t="str">
        <f>IFERROR(VLOOKUP(C1892,'Clients List'!$A:$F,2,FALSE),"")</f>
        <v/>
      </c>
      <c r="F1892" s="1" t="str">
        <f>IF(OR(C1892="",NOT(ISNUMBER(SEARCH("Package",D1892)))),"",VLOOKUP(C1892,'Clients List'!$A:$F,4,FALSE)-SUMIFS($E$2:$E1892,$C$2:$C1892,C1892,$D$2:$D1892,"*Package*"))</f>
        <v/>
      </c>
      <c r="G1892" t="str">
        <f t="shared" si="62"/>
        <v/>
      </c>
      <c r="H1892" s="33">
        <f>IF(ISNUMBER(SEARCH("Group",D1892)),IF(G1892="",E1892,IFERROR(E1892/COUNTIF($G2:$G6000,G1892),E1892)),E1892)</f>
        <v>0</v>
      </c>
      <c r="I1892" s="1" t="str">
        <f>IFERROR(VLOOKUP(C1892,'Clients List'!A:F,6,FALSE),"")</f>
        <v/>
      </c>
    </row>
    <row r="1893" spans="4:9" x14ac:dyDescent="0.45">
      <c r="D1893" t="str">
        <f>IFERROR(VLOOKUP(C1893,'Clients List'!$A:$F,2,FALSE),"")</f>
        <v/>
      </c>
      <c r="F1893" s="1" t="str">
        <f>IF(OR(C1893="",NOT(ISNUMBER(SEARCH("Package",D1893)))),"",VLOOKUP(C1893,'Clients List'!$A:$F,4,FALSE)-SUMIFS($E$2:$E1893,$C$2:$C1893,C1893,$D$2:$D1893,"*Package*"))</f>
        <v/>
      </c>
      <c r="G1893" t="str">
        <f t="shared" si="62"/>
        <v/>
      </c>
      <c r="H1893" s="33">
        <f>IF(ISNUMBER(SEARCH("Group",D1893)),IF(G1893="",E1893,IFERROR(E1893/COUNTIF($G2:$G6000,G1893),E1893)),E1893)</f>
        <v>0</v>
      </c>
      <c r="I1893" s="1" t="str">
        <f>IFERROR(VLOOKUP(C1893,'Clients List'!A:F,6,FALSE),"")</f>
        <v/>
      </c>
    </row>
    <row r="1894" spans="4:9" x14ac:dyDescent="0.45">
      <c r="D1894" t="str">
        <f>IFERROR(VLOOKUP(C1894,'Clients List'!$A:$F,2,FALSE),"")</f>
        <v/>
      </c>
      <c r="F1894" s="1" t="str">
        <f>IF(OR(C1894="",NOT(ISNUMBER(SEARCH("Package",D1894)))),"",VLOOKUP(C1894,'Clients List'!$A:$F,4,FALSE)-SUMIFS($E$2:$E1894,$C$2:$C1894,C1894,$D$2:$D1894,"*Package*"))</f>
        <v/>
      </c>
      <c r="G1894" t="str">
        <f t="shared" si="62"/>
        <v/>
      </c>
      <c r="H1894" s="33">
        <f>IF(ISNUMBER(SEARCH("Group",D1894)),IF(G1894="",E1894,IFERROR(E1894/COUNTIF($G2:$G6000,G1894),E1894)),E1894)</f>
        <v>0</v>
      </c>
      <c r="I1894" s="1" t="str">
        <f>IFERROR(VLOOKUP(C1894,'Clients List'!A:F,6,FALSE),"")</f>
        <v/>
      </c>
    </row>
    <row r="1895" spans="4:9" x14ac:dyDescent="0.45">
      <c r="D1895" t="str">
        <f>IFERROR(VLOOKUP(C1895,'Clients List'!$A:$F,2,FALSE),"")</f>
        <v/>
      </c>
      <c r="F1895" s="1" t="str">
        <f>IF(OR(C1895="",NOT(ISNUMBER(SEARCH("Package",D1895)))),"",VLOOKUP(C1895,'Clients List'!$A:$F,4,FALSE)-SUMIFS($E$2:$E1895,$C$2:$C1895,C1895,$D$2:$D1895,"*Package*"))</f>
        <v/>
      </c>
      <c r="G1895" t="str">
        <f t="shared" si="62"/>
        <v/>
      </c>
      <c r="H1895" s="33">
        <f>IF(ISNUMBER(SEARCH("Group",D1895)),IF(G1895="",E1895,IFERROR(E1895/COUNTIF($G2:$G6000,G1895),E1895)),E1895)</f>
        <v>0</v>
      </c>
      <c r="I1895" s="1" t="str">
        <f>IFERROR(VLOOKUP(C1895,'Clients List'!A:F,6,FALSE),"")</f>
        <v/>
      </c>
    </row>
    <row r="1896" spans="4:9" x14ac:dyDescent="0.45">
      <c r="D1896" t="str">
        <f>IFERROR(VLOOKUP(C1896,'Clients List'!$A:$F,2,FALSE),"")</f>
        <v/>
      </c>
      <c r="F1896" s="1" t="str">
        <f>IF(OR(C1896="",NOT(ISNUMBER(SEARCH("Package",D1896)))),"",VLOOKUP(C1896,'Clients List'!$A:$F,4,FALSE)-SUMIFS($E$2:$E1896,$C$2:$C1896,C1896,$D$2:$D1896,"*Package*"))</f>
        <v/>
      </c>
      <c r="G1896" t="str">
        <f t="shared" si="62"/>
        <v/>
      </c>
      <c r="H1896" s="33">
        <f>IF(ISNUMBER(SEARCH("Group",D1896)),IF(G1896="",E1896,IFERROR(E1896/COUNTIF($G2:$G6000,G1896),E1896)),E1896)</f>
        <v>0</v>
      </c>
      <c r="I1896" s="1" t="str">
        <f>IFERROR(VLOOKUP(C1896,'Clients List'!A:F,6,FALSE),"")</f>
        <v/>
      </c>
    </row>
    <row r="1897" spans="4:9" x14ac:dyDescent="0.45">
      <c r="D1897" t="str">
        <f>IFERROR(VLOOKUP(C1897,'Clients List'!$A:$F,2,FALSE),"")</f>
        <v/>
      </c>
      <c r="F1897" s="1" t="str">
        <f>IF(OR(C1897="",NOT(ISNUMBER(SEARCH("Package",D1897)))),"",VLOOKUP(C1897,'Clients List'!$A:$F,4,FALSE)-SUMIFS($E$2:$E1897,$C$2:$C1897,C1897,$D$2:$D1897,"*Package*"))</f>
        <v/>
      </c>
      <c r="G1897" t="str">
        <f t="shared" si="62"/>
        <v/>
      </c>
      <c r="H1897" s="33">
        <f>IF(ISNUMBER(SEARCH("Group",D1897)),IF(G1897="",E1897,IFERROR(E1897/COUNTIF($G2:$G6000,G1897),E1897)),E1897)</f>
        <v>0</v>
      </c>
      <c r="I1897" s="1" t="str">
        <f>IFERROR(VLOOKUP(C1897,'Clients List'!A:F,6,FALSE),"")</f>
        <v/>
      </c>
    </row>
    <row r="1898" spans="4:9" x14ac:dyDescent="0.45">
      <c r="D1898" t="str">
        <f>IFERROR(VLOOKUP(C1898,'Clients List'!$A:$F,2,FALSE),"")</f>
        <v/>
      </c>
      <c r="F1898" s="1" t="str">
        <f>IF(OR(C1898="",NOT(ISNUMBER(SEARCH("Package",D1898)))),"",VLOOKUP(C1898,'Clients List'!$A:$F,4,FALSE)-SUMIFS($E$2:$E1898,$C$2:$C1898,C1898,$D$2:$D1898,"*Package*"))</f>
        <v/>
      </c>
      <c r="G1898" t="str">
        <f t="shared" si="62"/>
        <v/>
      </c>
      <c r="H1898" s="33">
        <f>IF(ISNUMBER(SEARCH("Group",D1898)),IF(G1898="",E1898,IFERROR(E1898/COUNTIF($G2:$G6000,G1898),E1898)),E1898)</f>
        <v>0</v>
      </c>
      <c r="I1898" s="1" t="str">
        <f>IFERROR(VLOOKUP(C1898,'Clients List'!A:F,6,FALSE),"")</f>
        <v/>
      </c>
    </row>
    <row r="1899" spans="4:9" x14ac:dyDescent="0.45">
      <c r="D1899" t="str">
        <f>IFERROR(VLOOKUP(C1899,'Clients List'!$A:$F,2,FALSE),"")</f>
        <v/>
      </c>
      <c r="F1899" s="1" t="str">
        <f>IF(OR(C1899="",NOT(ISNUMBER(SEARCH("Package",D1899)))),"",VLOOKUP(C1899,'Clients List'!$A:$F,4,FALSE)-SUMIFS($E$2:$E1899,$C$2:$C1899,C1899,$D$2:$D1899,"*Package*"))</f>
        <v/>
      </c>
      <c r="G1899" t="str">
        <f t="shared" si="62"/>
        <v/>
      </c>
      <c r="H1899" s="33">
        <f>IF(ISNUMBER(SEARCH("Group",D1899)),IF(G1899="",E1899,IFERROR(E1899/COUNTIF($G2:$G6000,G1899),E1899)),E1899)</f>
        <v>0</v>
      </c>
      <c r="I1899" s="1" t="str">
        <f>IFERROR(VLOOKUP(C1899,'Clients List'!A:F,6,FALSE),"")</f>
        <v/>
      </c>
    </row>
    <row r="1900" spans="4:9" x14ac:dyDescent="0.45">
      <c r="D1900" t="str">
        <f>IFERROR(VLOOKUP(C1900,'Clients List'!$A:$F,2,FALSE),"")</f>
        <v/>
      </c>
      <c r="F1900" s="1" t="str">
        <f>IF(OR(C1900="",NOT(ISNUMBER(SEARCH("Package",D1900)))),"",VLOOKUP(C1900,'Clients List'!$A:$F,4,FALSE)-SUMIFS($E$2:$E1900,$C$2:$C1900,C1900,$D$2:$D1900,"*Package*"))</f>
        <v/>
      </c>
      <c r="G1900" t="str">
        <f t="shared" si="62"/>
        <v/>
      </c>
      <c r="H1900" s="33">
        <f>IF(ISNUMBER(SEARCH("Group",D1900)),IF(G1900="",E1900,IFERROR(E1900/COUNTIF($G2:$G6000,G1900),E1900)),E1900)</f>
        <v>0</v>
      </c>
      <c r="I1900" s="1" t="str">
        <f>IFERROR(VLOOKUP(C1900,'Clients List'!A:F,6,FALSE),"")</f>
        <v/>
      </c>
    </row>
    <row r="1901" spans="4:9" x14ac:dyDescent="0.45">
      <c r="D1901" t="str">
        <f>IFERROR(VLOOKUP(C1901,'Clients List'!$A:$F,2,FALSE),"")</f>
        <v/>
      </c>
      <c r="F1901" s="1" t="str">
        <f>IF(OR(C1901="",NOT(ISNUMBER(SEARCH("Package",D1901)))),"",VLOOKUP(C1901,'Clients List'!$A:$F,4,FALSE)-SUMIFS($E$2:$E1901,$C$2:$C1901,C1901,$D$2:$D1901,"*Package*"))</f>
        <v/>
      </c>
      <c r="G1901" t="str">
        <f t="shared" si="62"/>
        <v/>
      </c>
      <c r="H1901" s="33">
        <f>IF(ISNUMBER(SEARCH("Group",D1901)),IF(G1901="",E1901,IFERROR(E1901/COUNTIF($G2:$G6000,G1901),E1901)),E1901)</f>
        <v>0</v>
      </c>
      <c r="I1901" s="1" t="str">
        <f>IFERROR(VLOOKUP(C1901,'Clients List'!A:F,6,FALSE),"")</f>
        <v/>
      </c>
    </row>
    <row r="1902" spans="4:9" x14ac:dyDescent="0.45">
      <c r="D1902" t="str">
        <f>IFERROR(VLOOKUP(C1902,'Clients List'!$A:$F,2,FALSE),"")</f>
        <v/>
      </c>
      <c r="F1902" s="1" t="str">
        <f>IF(OR(C1902="",NOT(ISNUMBER(SEARCH("Package",D1902)))),"",VLOOKUP(C1902,'Clients List'!$A:$F,4,FALSE)-SUMIFS($E$2:$E1902,$C$2:$C1902,C1902,$D$2:$D1902,"*Package*"))</f>
        <v/>
      </c>
      <c r="G1902" t="str">
        <f t="shared" si="62"/>
        <v/>
      </c>
      <c r="H1902" s="33">
        <f>IF(ISNUMBER(SEARCH("Group",D1902)),IF(G1902="",E1902,IFERROR(E1902/COUNTIF($G2:$G6000,G1902),E1902)),E1902)</f>
        <v>0</v>
      </c>
      <c r="I1902" s="1" t="str">
        <f>IFERROR(VLOOKUP(C1902,'Clients List'!A:F,6,FALSE),"")</f>
        <v/>
      </c>
    </row>
    <row r="1903" spans="4:9" x14ac:dyDescent="0.45">
      <c r="D1903" t="str">
        <f>IFERROR(VLOOKUP(C1903,'Clients List'!$A:$F,2,FALSE),"")</f>
        <v/>
      </c>
      <c r="F1903" s="1" t="str">
        <f>IF(OR(C1903="",NOT(ISNUMBER(SEARCH("Package",D1903)))),"",VLOOKUP(C1903,'Clients List'!$A:$F,4,FALSE)-SUMIFS($E$2:$E1903,$C$2:$C1903,C1903,$D$2:$D1903,"*Package*"))</f>
        <v/>
      </c>
      <c r="G1903" t="str">
        <f t="shared" si="62"/>
        <v/>
      </c>
      <c r="H1903" s="33">
        <f>IF(ISNUMBER(SEARCH("Group",D1903)),IF(G1903="",E1903,IFERROR(E1903/COUNTIF($G2:$G6000,G1903),E1903)),E1903)</f>
        <v>0</v>
      </c>
      <c r="I1903" s="1" t="str">
        <f>IFERROR(VLOOKUP(C1903,'Clients List'!A:F,6,FALSE),"")</f>
        <v/>
      </c>
    </row>
    <row r="1904" spans="4:9" x14ac:dyDescent="0.45">
      <c r="D1904" t="str">
        <f>IFERROR(VLOOKUP(C1904,'Clients List'!$A:$F,2,FALSE),"")</f>
        <v/>
      </c>
      <c r="F1904" s="1" t="str">
        <f>IF(OR(C1904="",NOT(ISNUMBER(SEARCH("Package",D1904)))),"",VLOOKUP(C1904,'Clients List'!$A:$F,4,FALSE)-SUMIFS($E$2:$E1904,$C$2:$C1904,C1904,$D$2:$D1904,"*Package*"))</f>
        <v/>
      </c>
      <c r="G1904" t="str">
        <f t="shared" si="62"/>
        <v/>
      </c>
      <c r="H1904" s="33">
        <f>IF(ISNUMBER(SEARCH("Group",D1904)),IF(G1904="",E1904,IFERROR(E1904/COUNTIF($G2:$G6000,G1904),E1904)),E1904)</f>
        <v>0</v>
      </c>
      <c r="I1904" s="1" t="str">
        <f>IFERROR(VLOOKUP(C1904,'Clients List'!A:F,6,FALSE),"")</f>
        <v/>
      </c>
    </row>
    <row r="1905" spans="4:9" x14ac:dyDescent="0.45">
      <c r="D1905" t="str">
        <f>IFERROR(VLOOKUP(C1905,'Clients List'!$A:$F,2,FALSE),"")</f>
        <v/>
      </c>
      <c r="F1905" s="1" t="str">
        <f>IF(OR(C1905="",NOT(ISNUMBER(SEARCH("Package",D1905)))),"",VLOOKUP(C1905,'Clients List'!$A:$F,4,FALSE)-SUMIFS($E$2:$E1905,$C$2:$C1905,C1905,$D$2:$D1905,"*Package*"))</f>
        <v/>
      </c>
      <c r="G1905" t="str">
        <f t="shared" si="62"/>
        <v/>
      </c>
      <c r="H1905" s="33">
        <f>IF(ISNUMBER(SEARCH("Group",D1905)),IF(G1905="",E1905,IFERROR(E1905/COUNTIF($G2:$G6000,G1905),E1905)),E1905)</f>
        <v>0</v>
      </c>
      <c r="I1905" s="1" t="str">
        <f>IFERROR(VLOOKUP(C1905,'Clients List'!A:F,6,FALSE),"")</f>
        <v/>
      </c>
    </row>
    <row r="1906" spans="4:9" x14ac:dyDescent="0.45">
      <c r="D1906" t="str">
        <f>IFERROR(VLOOKUP(C1906,'Clients List'!$A:$F,2,FALSE),"")</f>
        <v/>
      </c>
      <c r="F1906" s="1" t="str">
        <f>IF(OR(C1906="",NOT(ISNUMBER(SEARCH("Package",D1906)))),"",VLOOKUP(C1906,'Clients List'!$A:$F,4,FALSE)-SUMIFS($E$2:$E1906,$C$2:$C1906,C1906,$D$2:$D1906,"*Package*"))</f>
        <v/>
      </c>
      <c r="G1906" t="str">
        <f t="shared" si="62"/>
        <v/>
      </c>
      <c r="H1906" s="33">
        <f>IF(ISNUMBER(SEARCH("Group",D1906)),IF(G1906="",E1906,IFERROR(E1906/COUNTIF($G2:$G6000,G1906),E1906)),E1906)</f>
        <v>0</v>
      </c>
      <c r="I1906" s="1" t="str">
        <f>IFERROR(VLOOKUP(C1906,'Clients List'!A:F,6,FALSE),"")</f>
        <v/>
      </c>
    </row>
    <row r="1907" spans="4:9" x14ac:dyDescent="0.45">
      <c r="D1907" t="str">
        <f>IFERROR(VLOOKUP(C1907,'Clients List'!$A:$F,2,FALSE),"")</f>
        <v/>
      </c>
      <c r="F1907" s="1" t="str">
        <f>IF(OR(C1907="",NOT(ISNUMBER(SEARCH("Package",D1907)))),"",VLOOKUP(C1907,'Clients List'!$A:$F,4,FALSE)-SUMIFS($E$2:$E1907,$C$2:$C1907,C1907,$D$2:$D1907,"*Package*"))</f>
        <v/>
      </c>
      <c r="G1907" t="str">
        <f t="shared" si="62"/>
        <v/>
      </c>
      <c r="H1907" s="33">
        <f>IF(ISNUMBER(SEARCH("Group",D1907)),IF(G1907="",E1907,IFERROR(E1907/COUNTIF($G2:$G6000,G1907),E1907)),E1907)</f>
        <v>0</v>
      </c>
      <c r="I1907" s="1" t="str">
        <f>IFERROR(VLOOKUP(C1907,'Clients List'!A:F,6,FALSE),"")</f>
        <v/>
      </c>
    </row>
    <row r="1908" spans="4:9" x14ac:dyDescent="0.45">
      <c r="D1908" t="str">
        <f>IFERROR(VLOOKUP(C1908,'Clients List'!$A:$F,2,FALSE),"")</f>
        <v/>
      </c>
      <c r="F1908" s="1" t="str">
        <f>IF(OR(C1908="",NOT(ISNUMBER(SEARCH("Package",D1908)))),"",VLOOKUP(C1908,'Clients List'!$A:$F,4,FALSE)-SUMIFS($E$2:$E1908,$C$2:$C1908,C1908,$D$2:$D1908,"*Package*"))</f>
        <v/>
      </c>
      <c r="G1908" t="str">
        <f t="shared" si="62"/>
        <v/>
      </c>
      <c r="H1908" s="33">
        <f>IF(ISNUMBER(SEARCH("Group",D1908)),IF(G1908="",E1908,IFERROR(E1908/COUNTIF($G2:$G6000,G1908),E1908)),E1908)</f>
        <v>0</v>
      </c>
      <c r="I1908" s="1" t="str">
        <f>IFERROR(VLOOKUP(C1908,'Clients List'!A:F,6,FALSE),"")</f>
        <v/>
      </c>
    </row>
    <row r="1909" spans="4:9" x14ac:dyDescent="0.45">
      <c r="D1909" t="str">
        <f>IFERROR(VLOOKUP(C1909,'Clients List'!$A:$F,2,FALSE),"")</f>
        <v/>
      </c>
      <c r="F1909" s="1" t="str">
        <f>IF(OR(C1909="",NOT(ISNUMBER(SEARCH("Package",D1909)))),"",VLOOKUP(C1909,'Clients List'!$A:$F,4,FALSE)-SUMIFS($E$2:$E1909,$C$2:$C1909,C1909,$D$2:$D1909,"*Package*"))</f>
        <v/>
      </c>
      <c r="G1909" t="str">
        <f t="shared" ref="G1909:G1972" si="63">IF(ISNUMBER(SEARCH("Group",D1909)),IFERROR("GRP-"&amp;TEXT(IF(ISNUMBER(A1909),A1909,DATEVALUE(A1909)),"yyyymmdd"),""),"" )</f>
        <v/>
      </c>
      <c r="H1909" s="33">
        <f>IF(ISNUMBER(SEARCH("Group",D1909)),IF(G1909="",E1909,IFERROR(E1909/COUNTIF($G2:$G6000,G1909),E1909)),E1909)</f>
        <v>0</v>
      </c>
      <c r="I1909" s="1" t="str">
        <f>IFERROR(VLOOKUP(C1909,'Clients List'!A:F,6,FALSE),"")</f>
        <v/>
      </c>
    </row>
    <row r="1910" spans="4:9" x14ac:dyDescent="0.45">
      <c r="D1910" t="str">
        <f>IFERROR(VLOOKUP(C1910,'Clients List'!$A:$F,2,FALSE),"")</f>
        <v/>
      </c>
      <c r="F1910" s="1" t="str">
        <f>IF(OR(C1910="",NOT(ISNUMBER(SEARCH("Package",D1910)))),"",VLOOKUP(C1910,'Clients List'!$A:$F,4,FALSE)-SUMIFS($E$2:$E1910,$C$2:$C1910,C1910,$D$2:$D1910,"*Package*"))</f>
        <v/>
      </c>
      <c r="G1910" t="str">
        <f t="shared" si="63"/>
        <v/>
      </c>
      <c r="H1910" s="33">
        <f>IF(ISNUMBER(SEARCH("Group",D1910)),IF(G1910="",E1910,IFERROR(E1910/COUNTIF($G2:$G6000,G1910),E1910)),E1910)</f>
        <v>0</v>
      </c>
      <c r="I1910" s="1" t="str">
        <f>IFERROR(VLOOKUP(C1910,'Clients List'!A:F,6,FALSE),"")</f>
        <v/>
      </c>
    </row>
    <row r="1911" spans="4:9" x14ac:dyDescent="0.45">
      <c r="D1911" t="str">
        <f>IFERROR(VLOOKUP(C1911,'Clients List'!$A:$F,2,FALSE),"")</f>
        <v/>
      </c>
      <c r="F1911" s="1" t="str">
        <f>IF(OR(C1911="",NOT(ISNUMBER(SEARCH("Package",D1911)))),"",VLOOKUP(C1911,'Clients List'!$A:$F,4,FALSE)-SUMIFS($E$2:$E1911,$C$2:$C1911,C1911,$D$2:$D1911,"*Package*"))</f>
        <v/>
      </c>
      <c r="G1911" t="str">
        <f t="shared" si="63"/>
        <v/>
      </c>
      <c r="H1911" s="33">
        <f>IF(ISNUMBER(SEARCH("Group",D1911)),IF(G1911="",E1911,IFERROR(E1911/COUNTIF($G2:$G6000,G1911),E1911)),E1911)</f>
        <v>0</v>
      </c>
      <c r="I1911" s="1" t="str">
        <f>IFERROR(VLOOKUP(C1911,'Clients List'!A:F,6,FALSE),"")</f>
        <v/>
      </c>
    </row>
    <row r="1912" spans="4:9" x14ac:dyDescent="0.45">
      <c r="D1912" t="str">
        <f>IFERROR(VLOOKUP(C1912,'Clients List'!$A:$F,2,FALSE),"")</f>
        <v/>
      </c>
      <c r="F1912" s="1" t="str">
        <f>IF(OR(C1912="",NOT(ISNUMBER(SEARCH("Package",D1912)))),"",VLOOKUP(C1912,'Clients List'!$A:$F,4,FALSE)-SUMIFS($E$2:$E1912,$C$2:$C1912,C1912,$D$2:$D1912,"*Package*"))</f>
        <v/>
      </c>
      <c r="G1912" t="str">
        <f t="shared" si="63"/>
        <v/>
      </c>
      <c r="H1912" s="33">
        <f>IF(ISNUMBER(SEARCH("Group",D1912)),IF(G1912="",E1912,IFERROR(E1912/COUNTIF($G2:$G6000,G1912),E1912)),E1912)</f>
        <v>0</v>
      </c>
      <c r="I1912" s="1" t="str">
        <f>IFERROR(VLOOKUP(C1912,'Clients List'!A:F,6,FALSE),"")</f>
        <v/>
      </c>
    </row>
    <row r="1913" spans="4:9" x14ac:dyDescent="0.45">
      <c r="D1913" t="str">
        <f>IFERROR(VLOOKUP(C1913,'Clients List'!$A:$F,2,FALSE),"")</f>
        <v/>
      </c>
      <c r="F1913" s="1" t="str">
        <f>IF(OR(C1913="",NOT(ISNUMBER(SEARCH("Package",D1913)))),"",VLOOKUP(C1913,'Clients List'!$A:$F,4,FALSE)-SUMIFS($E$2:$E1913,$C$2:$C1913,C1913,$D$2:$D1913,"*Package*"))</f>
        <v/>
      </c>
      <c r="G1913" t="str">
        <f t="shared" si="63"/>
        <v/>
      </c>
      <c r="H1913" s="33">
        <f>IF(ISNUMBER(SEARCH("Group",D1913)),IF(G1913="",E1913,IFERROR(E1913/COUNTIF($G2:$G6000,G1913),E1913)),E1913)</f>
        <v>0</v>
      </c>
      <c r="I1913" s="1" t="str">
        <f>IFERROR(VLOOKUP(C1913,'Clients List'!A:F,6,FALSE),"")</f>
        <v/>
      </c>
    </row>
    <row r="1914" spans="4:9" x14ac:dyDescent="0.45">
      <c r="D1914" t="str">
        <f>IFERROR(VLOOKUP(C1914,'Clients List'!$A:$F,2,FALSE),"")</f>
        <v/>
      </c>
      <c r="F1914" s="1" t="str">
        <f>IF(OR(C1914="",NOT(ISNUMBER(SEARCH("Package",D1914)))),"",VLOOKUP(C1914,'Clients List'!$A:$F,4,FALSE)-SUMIFS($E$2:$E1914,$C$2:$C1914,C1914,$D$2:$D1914,"*Package*"))</f>
        <v/>
      </c>
      <c r="G1914" t="str">
        <f t="shared" si="63"/>
        <v/>
      </c>
      <c r="H1914" s="33">
        <f>IF(ISNUMBER(SEARCH("Group",D1914)),IF(G1914="",E1914,IFERROR(E1914/COUNTIF($G2:$G6000,G1914),E1914)),E1914)</f>
        <v>0</v>
      </c>
      <c r="I1914" s="1" t="str">
        <f>IFERROR(VLOOKUP(C1914,'Clients List'!A:F,6,FALSE),"")</f>
        <v/>
      </c>
    </row>
    <row r="1915" spans="4:9" x14ac:dyDescent="0.45">
      <c r="D1915" t="str">
        <f>IFERROR(VLOOKUP(C1915,'Clients List'!$A:$F,2,FALSE),"")</f>
        <v/>
      </c>
      <c r="F1915" s="1" t="str">
        <f>IF(OR(C1915="",NOT(ISNUMBER(SEARCH("Package",D1915)))),"",VLOOKUP(C1915,'Clients List'!$A:$F,4,FALSE)-SUMIFS($E$2:$E1915,$C$2:$C1915,C1915,$D$2:$D1915,"*Package*"))</f>
        <v/>
      </c>
      <c r="G1915" t="str">
        <f t="shared" si="63"/>
        <v/>
      </c>
      <c r="H1915" s="33">
        <f>IF(ISNUMBER(SEARCH("Group",D1915)),IF(G1915="",E1915,IFERROR(E1915/COUNTIF($G2:$G6000,G1915),E1915)),E1915)</f>
        <v>0</v>
      </c>
      <c r="I1915" s="1" t="str">
        <f>IFERROR(VLOOKUP(C1915,'Clients List'!A:F,6,FALSE),"")</f>
        <v/>
      </c>
    </row>
    <row r="1916" spans="4:9" x14ac:dyDescent="0.45">
      <c r="D1916" t="str">
        <f>IFERROR(VLOOKUP(C1916,'Clients List'!$A:$F,2,FALSE),"")</f>
        <v/>
      </c>
      <c r="F1916" s="1" t="str">
        <f>IF(OR(C1916="",NOT(ISNUMBER(SEARCH("Package",D1916)))),"",VLOOKUP(C1916,'Clients List'!$A:$F,4,FALSE)-SUMIFS($E$2:$E1916,$C$2:$C1916,C1916,$D$2:$D1916,"*Package*"))</f>
        <v/>
      </c>
      <c r="G1916" t="str">
        <f t="shared" si="63"/>
        <v/>
      </c>
      <c r="H1916" s="33">
        <f>IF(ISNUMBER(SEARCH("Group",D1916)),IF(G1916="",E1916,IFERROR(E1916/COUNTIF($G2:$G6000,G1916),E1916)),E1916)</f>
        <v>0</v>
      </c>
      <c r="I1916" s="1" t="str">
        <f>IFERROR(VLOOKUP(C1916,'Clients List'!A:F,6,FALSE),"")</f>
        <v/>
      </c>
    </row>
    <row r="1917" spans="4:9" x14ac:dyDescent="0.45">
      <c r="D1917" t="str">
        <f>IFERROR(VLOOKUP(C1917,'Clients List'!$A:$F,2,FALSE),"")</f>
        <v/>
      </c>
      <c r="F1917" s="1" t="str">
        <f>IF(OR(C1917="",NOT(ISNUMBER(SEARCH("Package",D1917)))),"",VLOOKUP(C1917,'Clients List'!$A:$F,4,FALSE)-SUMIFS($E$2:$E1917,$C$2:$C1917,C1917,$D$2:$D1917,"*Package*"))</f>
        <v/>
      </c>
      <c r="G1917" t="str">
        <f t="shared" si="63"/>
        <v/>
      </c>
      <c r="H1917" s="33">
        <f>IF(ISNUMBER(SEARCH("Group",D1917)),IF(G1917="",E1917,IFERROR(E1917/COUNTIF($G2:$G6000,G1917),E1917)),E1917)</f>
        <v>0</v>
      </c>
      <c r="I1917" s="1" t="str">
        <f>IFERROR(VLOOKUP(C1917,'Clients List'!A:F,6,FALSE),"")</f>
        <v/>
      </c>
    </row>
    <row r="1918" spans="4:9" x14ac:dyDescent="0.45">
      <c r="D1918" t="str">
        <f>IFERROR(VLOOKUP(C1918,'Clients List'!$A:$F,2,FALSE),"")</f>
        <v/>
      </c>
      <c r="F1918" s="1" t="str">
        <f>IF(OR(C1918="",NOT(ISNUMBER(SEARCH("Package",D1918)))),"",VLOOKUP(C1918,'Clients List'!$A:$F,4,FALSE)-SUMIFS($E$2:$E1918,$C$2:$C1918,C1918,$D$2:$D1918,"*Package*"))</f>
        <v/>
      </c>
      <c r="G1918" t="str">
        <f t="shared" si="63"/>
        <v/>
      </c>
      <c r="H1918" s="33">
        <f>IF(ISNUMBER(SEARCH("Group",D1918)),IF(G1918="",E1918,IFERROR(E1918/COUNTIF($G2:$G6000,G1918),E1918)),E1918)</f>
        <v>0</v>
      </c>
      <c r="I1918" s="1" t="str">
        <f>IFERROR(VLOOKUP(C1918,'Clients List'!A:F,6,FALSE),"")</f>
        <v/>
      </c>
    </row>
    <row r="1919" spans="4:9" x14ac:dyDescent="0.45">
      <c r="D1919" t="str">
        <f>IFERROR(VLOOKUP(C1919,'Clients List'!$A:$F,2,FALSE),"")</f>
        <v/>
      </c>
      <c r="F1919" s="1" t="str">
        <f>IF(OR(C1919="",NOT(ISNUMBER(SEARCH("Package",D1919)))),"",VLOOKUP(C1919,'Clients List'!$A:$F,4,FALSE)-SUMIFS($E$2:$E1919,$C$2:$C1919,C1919,$D$2:$D1919,"*Package*"))</f>
        <v/>
      </c>
      <c r="G1919" t="str">
        <f t="shared" si="63"/>
        <v/>
      </c>
      <c r="H1919" s="33">
        <f>IF(ISNUMBER(SEARCH("Group",D1919)),IF(G1919="",E1919,IFERROR(E1919/COUNTIF($G2:$G6000,G1919),E1919)),E1919)</f>
        <v>0</v>
      </c>
      <c r="I1919" s="1" t="str">
        <f>IFERROR(VLOOKUP(C1919,'Clients List'!A:F,6,FALSE),"")</f>
        <v/>
      </c>
    </row>
    <row r="1920" spans="4:9" x14ac:dyDescent="0.45">
      <c r="D1920" t="str">
        <f>IFERROR(VLOOKUP(C1920,'Clients List'!$A:$F,2,FALSE),"")</f>
        <v/>
      </c>
      <c r="F1920" s="1" t="str">
        <f>IF(OR(C1920="",NOT(ISNUMBER(SEARCH("Package",D1920)))),"",VLOOKUP(C1920,'Clients List'!$A:$F,4,FALSE)-SUMIFS($E$2:$E1920,$C$2:$C1920,C1920,$D$2:$D1920,"*Package*"))</f>
        <v/>
      </c>
      <c r="G1920" t="str">
        <f t="shared" si="63"/>
        <v/>
      </c>
      <c r="H1920" s="33">
        <f>IF(ISNUMBER(SEARCH("Group",D1920)),IF(G1920="",E1920,IFERROR(E1920/COUNTIF($G2:$G6000,G1920),E1920)),E1920)</f>
        <v>0</v>
      </c>
      <c r="I1920" s="1" t="str">
        <f>IFERROR(VLOOKUP(C1920,'Clients List'!A:F,6,FALSE),"")</f>
        <v/>
      </c>
    </row>
    <row r="1921" spans="4:9" x14ac:dyDescent="0.45">
      <c r="D1921" t="str">
        <f>IFERROR(VLOOKUP(C1921,'Clients List'!$A:$F,2,FALSE),"")</f>
        <v/>
      </c>
      <c r="F1921" s="1" t="str">
        <f>IF(OR(C1921="",NOT(ISNUMBER(SEARCH("Package",D1921)))),"",VLOOKUP(C1921,'Clients List'!$A:$F,4,FALSE)-SUMIFS($E$2:$E1921,$C$2:$C1921,C1921,$D$2:$D1921,"*Package*"))</f>
        <v/>
      </c>
      <c r="G1921" t="str">
        <f t="shared" si="63"/>
        <v/>
      </c>
      <c r="H1921" s="33">
        <f>IF(ISNUMBER(SEARCH("Group",D1921)),IF(G1921="",E1921,IFERROR(E1921/COUNTIF($G2:$G6000,G1921),E1921)),E1921)</f>
        <v>0</v>
      </c>
      <c r="I1921" s="1" t="str">
        <f>IFERROR(VLOOKUP(C1921,'Clients List'!A:F,6,FALSE),"")</f>
        <v/>
      </c>
    </row>
    <row r="1922" spans="4:9" x14ac:dyDescent="0.45">
      <c r="D1922" t="str">
        <f>IFERROR(VLOOKUP(C1922,'Clients List'!$A:$F,2,FALSE),"")</f>
        <v/>
      </c>
      <c r="F1922" s="1" t="str">
        <f>IF(OR(C1922="",NOT(ISNUMBER(SEARCH("Package",D1922)))),"",VLOOKUP(C1922,'Clients List'!$A:$F,4,FALSE)-SUMIFS($E$2:$E1922,$C$2:$C1922,C1922,$D$2:$D1922,"*Package*"))</f>
        <v/>
      </c>
      <c r="G1922" t="str">
        <f t="shared" si="63"/>
        <v/>
      </c>
      <c r="H1922" s="33">
        <f>IF(ISNUMBER(SEARCH("Group",D1922)),IF(G1922="",E1922,IFERROR(E1922/COUNTIF($G2:$G6000,G1922),E1922)),E1922)</f>
        <v>0</v>
      </c>
      <c r="I1922" s="1" t="str">
        <f>IFERROR(VLOOKUP(C1922,'Clients List'!A:F,6,FALSE),"")</f>
        <v/>
      </c>
    </row>
    <row r="1923" spans="4:9" x14ac:dyDescent="0.45">
      <c r="D1923" t="str">
        <f>IFERROR(VLOOKUP(C1923,'Clients List'!$A:$F,2,FALSE),"")</f>
        <v/>
      </c>
      <c r="F1923" s="1" t="str">
        <f>IF(OR(C1923="",NOT(ISNUMBER(SEARCH("Package",D1923)))),"",VLOOKUP(C1923,'Clients List'!$A:$F,4,FALSE)-SUMIFS($E$2:$E1923,$C$2:$C1923,C1923,$D$2:$D1923,"*Package*"))</f>
        <v/>
      </c>
      <c r="G1923" t="str">
        <f t="shared" si="63"/>
        <v/>
      </c>
      <c r="H1923" s="33">
        <f>IF(ISNUMBER(SEARCH("Group",D1923)),IF(G1923="",E1923,IFERROR(E1923/COUNTIF($G2:$G6000,G1923),E1923)),E1923)</f>
        <v>0</v>
      </c>
      <c r="I1923" s="1" t="str">
        <f>IFERROR(VLOOKUP(C1923,'Clients List'!A:F,6,FALSE),"")</f>
        <v/>
      </c>
    </row>
    <row r="1924" spans="4:9" x14ac:dyDescent="0.45">
      <c r="D1924" t="str">
        <f>IFERROR(VLOOKUP(C1924,'Clients List'!$A:$F,2,FALSE),"")</f>
        <v/>
      </c>
      <c r="F1924" s="1" t="str">
        <f>IF(OR(C1924="",NOT(ISNUMBER(SEARCH("Package",D1924)))),"",VLOOKUP(C1924,'Clients List'!$A:$F,4,FALSE)-SUMIFS($E$2:$E1924,$C$2:$C1924,C1924,$D$2:$D1924,"*Package*"))</f>
        <v/>
      </c>
      <c r="G1924" t="str">
        <f t="shared" si="63"/>
        <v/>
      </c>
      <c r="H1924" s="33">
        <f>IF(ISNUMBER(SEARCH("Group",D1924)),IF(G1924="",E1924,IFERROR(E1924/COUNTIF($G2:$G6000,G1924),E1924)),E1924)</f>
        <v>0</v>
      </c>
      <c r="I1924" s="1" t="str">
        <f>IFERROR(VLOOKUP(C1924,'Clients List'!A:F,6,FALSE),"")</f>
        <v/>
      </c>
    </row>
    <row r="1925" spans="4:9" x14ac:dyDescent="0.45">
      <c r="D1925" t="str">
        <f>IFERROR(VLOOKUP(C1925,'Clients List'!$A:$F,2,FALSE),"")</f>
        <v/>
      </c>
      <c r="F1925" s="1" t="str">
        <f>IF(OR(C1925="",NOT(ISNUMBER(SEARCH("Package",D1925)))),"",VLOOKUP(C1925,'Clients List'!$A:$F,4,FALSE)-SUMIFS($E$2:$E1925,$C$2:$C1925,C1925,$D$2:$D1925,"*Package*"))</f>
        <v/>
      </c>
      <c r="G1925" t="str">
        <f t="shared" si="63"/>
        <v/>
      </c>
      <c r="H1925" s="33">
        <f>IF(ISNUMBER(SEARCH("Group",D1925)),IF(G1925="",E1925,IFERROR(E1925/COUNTIF($G2:$G6000,G1925),E1925)),E1925)</f>
        <v>0</v>
      </c>
      <c r="I1925" s="1" t="str">
        <f>IFERROR(VLOOKUP(C1925,'Clients List'!A:F,6,FALSE),"")</f>
        <v/>
      </c>
    </row>
    <row r="1926" spans="4:9" x14ac:dyDescent="0.45">
      <c r="D1926" t="str">
        <f>IFERROR(VLOOKUP(C1926,'Clients List'!$A:$F,2,FALSE),"")</f>
        <v/>
      </c>
      <c r="F1926" s="1" t="str">
        <f>IF(OR(C1926="",NOT(ISNUMBER(SEARCH("Package",D1926)))),"",VLOOKUP(C1926,'Clients List'!$A:$F,4,FALSE)-SUMIFS($E$2:$E1926,$C$2:$C1926,C1926,$D$2:$D1926,"*Package*"))</f>
        <v/>
      </c>
      <c r="G1926" t="str">
        <f t="shared" si="63"/>
        <v/>
      </c>
      <c r="H1926" s="33">
        <f>IF(ISNUMBER(SEARCH("Group",D1926)),IF(G1926="",E1926,IFERROR(E1926/COUNTIF($G2:$G6000,G1926),E1926)),E1926)</f>
        <v>0</v>
      </c>
      <c r="I1926" s="1" t="str">
        <f>IFERROR(VLOOKUP(C1926,'Clients List'!A:F,6,FALSE),"")</f>
        <v/>
      </c>
    </row>
    <row r="1927" spans="4:9" x14ac:dyDescent="0.45">
      <c r="D1927" t="str">
        <f>IFERROR(VLOOKUP(C1927,'Clients List'!$A:$F,2,FALSE),"")</f>
        <v/>
      </c>
      <c r="F1927" s="1" t="str">
        <f>IF(OR(C1927="",NOT(ISNUMBER(SEARCH("Package",D1927)))),"",VLOOKUP(C1927,'Clients List'!$A:$F,4,FALSE)-SUMIFS($E$2:$E1927,$C$2:$C1927,C1927,$D$2:$D1927,"*Package*"))</f>
        <v/>
      </c>
      <c r="G1927" t="str">
        <f t="shared" si="63"/>
        <v/>
      </c>
      <c r="H1927" s="33">
        <f>IF(ISNUMBER(SEARCH("Group",D1927)),IF(G1927="",E1927,IFERROR(E1927/COUNTIF($G2:$G6000,G1927),E1927)),E1927)</f>
        <v>0</v>
      </c>
      <c r="I1927" s="1" t="str">
        <f>IFERROR(VLOOKUP(C1927,'Clients List'!A:F,6,FALSE),"")</f>
        <v/>
      </c>
    </row>
    <row r="1928" spans="4:9" x14ac:dyDescent="0.45">
      <c r="D1928" t="str">
        <f>IFERROR(VLOOKUP(C1928,'Clients List'!$A:$F,2,FALSE),"")</f>
        <v/>
      </c>
      <c r="F1928" s="1" t="str">
        <f>IF(OR(C1928="",NOT(ISNUMBER(SEARCH("Package",D1928)))),"",VLOOKUP(C1928,'Clients List'!$A:$F,4,FALSE)-SUMIFS($E$2:$E1928,$C$2:$C1928,C1928,$D$2:$D1928,"*Package*"))</f>
        <v/>
      </c>
      <c r="G1928" t="str">
        <f t="shared" si="63"/>
        <v/>
      </c>
      <c r="H1928" s="33">
        <f>IF(ISNUMBER(SEARCH("Group",D1928)),IF(G1928="",E1928,IFERROR(E1928/COUNTIF($G2:$G6000,G1928),E1928)),E1928)</f>
        <v>0</v>
      </c>
      <c r="I1928" s="1" t="str">
        <f>IFERROR(VLOOKUP(C1928,'Clients List'!A:F,6,FALSE),"")</f>
        <v/>
      </c>
    </row>
    <row r="1929" spans="4:9" x14ac:dyDescent="0.45">
      <c r="D1929" t="str">
        <f>IFERROR(VLOOKUP(C1929,'Clients List'!$A:$F,2,FALSE),"")</f>
        <v/>
      </c>
      <c r="F1929" s="1" t="str">
        <f>IF(OR(C1929="",NOT(ISNUMBER(SEARCH("Package",D1929)))),"",VLOOKUP(C1929,'Clients List'!$A:$F,4,FALSE)-SUMIFS($E$2:$E1929,$C$2:$C1929,C1929,$D$2:$D1929,"*Package*"))</f>
        <v/>
      </c>
      <c r="G1929" t="str">
        <f t="shared" si="63"/>
        <v/>
      </c>
      <c r="H1929" s="33">
        <f>IF(ISNUMBER(SEARCH("Group",D1929)),IF(G1929="",E1929,IFERROR(E1929/COUNTIF($G2:$G6000,G1929),E1929)),E1929)</f>
        <v>0</v>
      </c>
      <c r="I1929" s="1" t="str">
        <f>IFERROR(VLOOKUP(C1929,'Clients List'!A:F,6,FALSE),"")</f>
        <v/>
      </c>
    </row>
    <row r="1930" spans="4:9" x14ac:dyDescent="0.45">
      <c r="D1930" t="str">
        <f>IFERROR(VLOOKUP(C1930,'Clients List'!$A:$F,2,FALSE),"")</f>
        <v/>
      </c>
      <c r="F1930" s="1" t="str">
        <f>IF(OR(C1930="",NOT(ISNUMBER(SEARCH("Package",D1930)))),"",VLOOKUP(C1930,'Clients List'!$A:$F,4,FALSE)-SUMIFS($E$2:$E1930,$C$2:$C1930,C1930,$D$2:$D1930,"*Package*"))</f>
        <v/>
      </c>
      <c r="G1930" t="str">
        <f t="shared" si="63"/>
        <v/>
      </c>
      <c r="H1930" s="33">
        <f>IF(ISNUMBER(SEARCH("Group",D1930)),IF(G1930="",E1930,IFERROR(E1930/COUNTIF($G2:$G6000,G1930),E1930)),E1930)</f>
        <v>0</v>
      </c>
      <c r="I1930" s="1" t="str">
        <f>IFERROR(VLOOKUP(C1930,'Clients List'!A:F,6,FALSE),"")</f>
        <v/>
      </c>
    </row>
    <row r="1931" spans="4:9" x14ac:dyDescent="0.45">
      <c r="D1931" t="str">
        <f>IFERROR(VLOOKUP(C1931,'Clients List'!$A:$F,2,FALSE),"")</f>
        <v/>
      </c>
      <c r="F1931" s="1" t="str">
        <f>IF(OR(C1931="",NOT(ISNUMBER(SEARCH("Package",D1931)))),"",VLOOKUP(C1931,'Clients List'!$A:$F,4,FALSE)-SUMIFS($E$2:$E1931,$C$2:$C1931,C1931,$D$2:$D1931,"*Package*"))</f>
        <v/>
      </c>
      <c r="G1931" t="str">
        <f t="shared" si="63"/>
        <v/>
      </c>
      <c r="H1931" s="33">
        <f>IF(ISNUMBER(SEARCH("Group",D1931)),IF(G1931="",E1931,IFERROR(E1931/COUNTIF($G2:$G6000,G1931),E1931)),E1931)</f>
        <v>0</v>
      </c>
      <c r="I1931" s="1" t="str">
        <f>IFERROR(VLOOKUP(C1931,'Clients List'!A:F,6,FALSE),"")</f>
        <v/>
      </c>
    </row>
    <row r="1932" spans="4:9" x14ac:dyDescent="0.45">
      <c r="D1932" t="str">
        <f>IFERROR(VLOOKUP(C1932,'Clients List'!$A:$F,2,FALSE),"")</f>
        <v/>
      </c>
      <c r="F1932" s="1" t="str">
        <f>IF(OR(C1932="",NOT(ISNUMBER(SEARCH("Package",D1932)))),"",VLOOKUP(C1932,'Clients List'!$A:$F,4,FALSE)-SUMIFS($E$2:$E1932,$C$2:$C1932,C1932,$D$2:$D1932,"*Package*"))</f>
        <v/>
      </c>
      <c r="G1932" t="str">
        <f t="shared" si="63"/>
        <v/>
      </c>
      <c r="H1932" s="33">
        <f>IF(ISNUMBER(SEARCH("Group",D1932)),IF(G1932="",E1932,IFERROR(E1932/COUNTIF($G2:$G6000,G1932),E1932)),E1932)</f>
        <v>0</v>
      </c>
      <c r="I1932" s="1" t="str">
        <f>IFERROR(VLOOKUP(C1932,'Clients List'!A:F,6,FALSE),"")</f>
        <v/>
      </c>
    </row>
    <row r="1933" spans="4:9" x14ac:dyDescent="0.45">
      <c r="D1933" t="str">
        <f>IFERROR(VLOOKUP(C1933,'Clients List'!$A:$F,2,FALSE),"")</f>
        <v/>
      </c>
      <c r="F1933" s="1" t="str">
        <f>IF(OR(C1933="",NOT(ISNUMBER(SEARCH("Package",D1933)))),"",VLOOKUP(C1933,'Clients List'!$A:$F,4,FALSE)-SUMIFS($E$2:$E1933,$C$2:$C1933,C1933,$D$2:$D1933,"*Package*"))</f>
        <v/>
      </c>
      <c r="G1933" t="str">
        <f t="shared" si="63"/>
        <v/>
      </c>
      <c r="H1933" s="33">
        <f>IF(ISNUMBER(SEARCH("Group",D1933)),IF(G1933="",E1933,IFERROR(E1933/COUNTIF($G2:$G6000,G1933),E1933)),E1933)</f>
        <v>0</v>
      </c>
      <c r="I1933" s="1" t="str">
        <f>IFERROR(VLOOKUP(C1933,'Clients List'!A:F,6,FALSE),"")</f>
        <v/>
      </c>
    </row>
    <row r="1934" spans="4:9" x14ac:dyDescent="0.45">
      <c r="D1934" t="str">
        <f>IFERROR(VLOOKUP(C1934,'Clients List'!$A:$F,2,FALSE),"")</f>
        <v/>
      </c>
      <c r="F1934" s="1" t="str">
        <f>IF(OR(C1934="",NOT(ISNUMBER(SEARCH("Package",D1934)))),"",VLOOKUP(C1934,'Clients List'!$A:$F,4,FALSE)-SUMIFS($E$2:$E1934,$C$2:$C1934,C1934,$D$2:$D1934,"*Package*"))</f>
        <v/>
      </c>
      <c r="G1934" t="str">
        <f t="shared" si="63"/>
        <v/>
      </c>
      <c r="H1934" s="33">
        <f>IF(ISNUMBER(SEARCH("Group",D1934)),IF(G1934="",E1934,IFERROR(E1934/COUNTIF($G2:$G6000,G1934),E1934)),E1934)</f>
        <v>0</v>
      </c>
      <c r="I1934" s="1" t="str">
        <f>IFERROR(VLOOKUP(C1934,'Clients List'!A:F,6,FALSE),"")</f>
        <v/>
      </c>
    </row>
    <row r="1935" spans="4:9" x14ac:dyDescent="0.45">
      <c r="D1935" t="str">
        <f>IFERROR(VLOOKUP(C1935,'Clients List'!$A:$F,2,FALSE),"")</f>
        <v/>
      </c>
      <c r="F1935" s="1" t="str">
        <f>IF(OR(C1935="",NOT(ISNUMBER(SEARCH("Package",D1935)))),"",VLOOKUP(C1935,'Clients List'!$A:$F,4,FALSE)-SUMIFS($E$2:$E1935,$C$2:$C1935,C1935,$D$2:$D1935,"*Package*"))</f>
        <v/>
      </c>
      <c r="G1935" t="str">
        <f t="shared" si="63"/>
        <v/>
      </c>
      <c r="H1935" s="33">
        <f>IF(ISNUMBER(SEARCH("Group",D1935)),IF(G1935="",E1935,IFERROR(E1935/COUNTIF($G2:$G6000,G1935),E1935)),E1935)</f>
        <v>0</v>
      </c>
      <c r="I1935" s="1" t="str">
        <f>IFERROR(VLOOKUP(C1935,'Clients List'!A:F,6,FALSE),"")</f>
        <v/>
      </c>
    </row>
    <row r="1936" spans="4:9" x14ac:dyDescent="0.45">
      <c r="D1936" t="str">
        <f>IFERROR(VLOOKUP(C1936,'Clients List'!$A:$F,2,FALSE),"")</f>
        <v/>
      </c>
      <c r="F1936" s="1" t="str">
        <f>IF(OR(C1936="",NOT(ISNUMBER(SEARCH("Package",D1936)))),"",VLOOKUP(C1936,'Clients List'!$A:$F,4,FALSE)-SUMIFS($E$2:$E1936,$C$2:$C1936,C1936,$D$2:$D1936,"*Package*"))</f>
        <v/>
      </c>
      <c r="G1936" t="str">
        <f t="shared" si="63"/>
        <v/>
      </c>
      <c r="H1936" s="33">
        <f>IF(ISNUMBER(SEARCH("Group",D1936)),IF(G1936="",E1936,IFERROR(E1936/COUNTIF($G2:$G6000,G1936),E1936)),E1936)</f>
        <v>0</v>
      </c>
      <c r="I1936" s="1" t="str">
        <f>IFERROR(VLOOKUP(C1936,'Clients List'!A:F,6,FALSE),"")</f>
        <v/>
      </c>
    </row>
    <row r="1937" spans="4:9" x14ac:dyDescent="0.45">
      <c r="D1937" t="str">
        <f>IFERROR(VLOOKUP(C1937,'Clients List'!$A:$F,2,FALSE),"")</f>
        <v/>
      </c>
      <c r="F1937" s="1" t="str">
        <f>IF(OR(C1937="",NOT(ISNUMBER(SEARCH("Package",D1937)))),"",VLOOKUP(C1937,'Clients List'!$A:$F,4,FALSE)-SUMIFS($E$2:$E1937,$C$2:$C1937,C1937,$D$2:$D1937,"*Package*"))</f>
        <v/>
      </c>
      <c r="G1937" t="str">
        <f t="shared" si="63"/>
        <v/>
      </c>
      <c r="H1937" s="33">
        <f>IF(ISNUMBER(SEARCH("Group",D1937)),IF(G1937="",E1937,IFERROR(E1937/COUNTIF($G2:$G6000,G1937),E1937)),E1937)</f>
        <v>0</v>
      </c>
      <c r="I1937" s="1" t="str">
        <f>IFERROR(VLOOKUP(C1937,'Clients List'!A:F,6,FALSE),"")</f>
        <v/>
      </c>
    </row>
    <row r="1938" spans="4:9" x14ac:dyDescent="0.45">
      <c r="D1938" t="str">
        <f>IFERROR(VLOOKUP(C1938,'Clients List'!$A:$F,2,FALSE),"")</f>
        <v/>
      </c>
      <c r="F1938" s="1" t="str">
        <f>IF(OR(C1938="",NOT(ISNUMBER(SEARCH("Package",D1938)))),"",VLOOKUP(C1938,'Clients List'!$A:$F,4,FALSE)-SUMIFS($E$2:$E1938,$C$2:$C1938,C1938,$D$2:$D1938,"*Package*"))</f>
        <v/>
      </c>
      <c r="G1938" t="str">
        <f t="shared" si="63"/>
        <v/>
      </c>
      <c r="H1938" s="33">
        <f>IF(ISNUMBER(SEARCH("Group",D1938)),IF(G1938="",E1938,IFERROR(E1938/COUNTIF($G2:$G6000,G1938),E1938)),E1938)</f>
        <v>0</v>
      </c>
      <c r="I1938" s="1" t="str">
        <f>IFERROR(VLOOKUP(C1938,'Clients List'!A:F,6,FALSE),"")</f>
        <v/>
      </c>
    </row>
    <row r="1939" spans="4:9" x14ac:dyDescent="0.45">
      <c r="D1939" t="str">
        <f>IFERROR(VLOOKUP(C1939,'Clients List'!$A:$F,2,FALSE),"")</f>
        <v/>
      </c>
      <c r="F1939" s="1" t="str">
        <f>IF(OR(C1939="",NOT(ISNUMBER(SEARCH("Package",D1939)))),"",VLOOKUP(C1939,'Clients List'!$A:$F,4,FALSE)-SUMIFS($E$2:$E1939,$C$2:$C1939,C1939,$D$2:$D1939,"*Package*"))</f>
        <v/>
      </c>
      <c r="G1939" t="str">
        <f t="shared" si="63"/>
        <v/>
      </c>
      <c r="H1939" s="33">
        <f>IF(ISNUMBER(SEARCH("Group",D1939)),IF(G1939="",E1939,IFERROR(E1939/COUNTIF($G2:$G6000,G1939),E1939)),E1939)</f>
        <v>0</v>
      </c>
      <c r="I1939" s="1" t="str">
        <f>IFERROR(VLOOKUP(C1939,'Clients List'!A:F,6,FALSE),"")</f>
        <v/>
      </c>
    </row>
    <row r="1940" spans="4:9" x14ac:dyDescent="0.45">
      <c r="D1940" t="str">
        <f>IFERROR(VLOOKUP(C1940,'Clients List'!$A:$F,2,FALSE),"")</f>
        <v/>
      </c>
      <c r="F1940" s="1" t="str">
        <f>IF(OR(C1940="",NOT(ISNUMBER(SEARCH("Package",D1940)))),"",VLOOKUP(C1940,'Clients List'!$A:$F,4,FALSE)-SUMIFS($E$2:$E1940,$C$2:$C1940,C1940,$D$2:$D1940,"*Package*"))</f>
        <v/>
      </c>
      <c r="G1940" t="str">
        <f t="shared" si="63"/>
        <v/>
      </c>
      <c r="H1940" s="33">
        <f>IF(ISNUMBER(SEARCH("Group",D1940)),IF(G1940="",E1940,IFERROR(E1940/COUNTIF($G2:$G6000,G1940),E1940)),E1940)</f>
        <v>0</v>
      </c>
      <c r="I1940" s="1" t="str">
        <f>IFERROR(VLOOKUP(C1940,'Clients List'!A:F,6,FALSE),"")</f>
        <v/>
      </c>
    </row>
    <row r="1941" spans="4:9" x14ac:dyDescent="0.45">
      <c r="D1941" t="str">
        <f>IFERROR(VLOOKUP(C1941,'Clients List'!$A:$F,2,FALSE),"")</f>
        <v/>
      </c>
      <c r="F1941" s="1" t="str">
        <f>IF(OR(C1941="",NOT(ISNUMBER(SEARCH("Package",D1941)))),"",VLOOKUP(C1941,'Clients List'!$A:$F,4,FALSE)-SUMIFS($E$2:$E1941,$C$2:$C1941,C1941,$D$2:$D1941,"*Package*"))</f>
        <v/>
      </c>
      <c r="G1941" t="str">
        <f t="shared" si="63"/>
        <v/>
      </c>
      <c r="H1941" s="33">
        <f>IF(ISNUMBER(SEARCH("Group",D1941)),IF(G1941="",E1941,IFERROR(E1941/COUNTIF($G2:$G6000,G1941),E1941)),E1941)</f>
        <v>0</v>
      </c>
      <c r="I1941" s="1" t="str">
        <f>IFERROR(VLOOKUP(C1941,'Clients List'!A:F,6,FALSE),"")</f>
        <v/>
      </c>
    </row>
    <row r="1942" spans="4:9" x14ac:dyDescent="0.45">
      <c r="D1942" t="str">
        <f>IFERROR(VLOOKUP(C1942,'Clients List'!$A:$F,2,FALSE),"")</f>
        <v/>
      </c>
      <c r="F1942" s="1" t="str">
        <f>IF(OR(C1942="",NOT(ISNUMBER(SEARCH("Package",D1942)))),"",VLOOKUP(C1942,'Clients List'!$A:$F,4,FALSE)-SUMIFS($E$2:$E1942,$C$2:$C1942,C1942,$D$2:$D1942,"*Package*"))</f>
        <v/>
      </c>
      <c r="G1942" t="str">
        <f t="shared" si="63"/>
        <v/>
      </c>
      <c r="H1942" s="33">
        <f>IF(ISNUMBER(SEARCH("Group",D1942)),IF(G1942="",E1942,IFERROR(E1942/COUNTIF($G2:$G6000,G1942),E1942)),E1942)</f>
        <v>0</v>
      </c>
      <c r="I1942" s="1" t="str">
        <f>IFERROR(VLOOKUP(C1942,'Clients List'!A:F,6,FALSE),"")</f>
        <v/>
      </c>
    </row>
    <row r="1943" spans="4:9" x14ac:dyDescent="0.45">
      <c r="D1943" t="str">
        <f>IFERROR(VLOOKUP(C1943,'Clients List'!$A:$F,2,FALSE),"")</f>
        <v/>
      </c>
      <c r="F1943" s="1" t="str">
        <f>IF(OR(C1943="",NOT(ISNUMBER(SEARCH("Package",D1943)))),"",VLOOKUP(C1943,'Clients List'!$A:$F,4,FALSE)-SUMIFS($E$2:$E1943,$C$2:$C1943,C1943,$D$2:$D1943,"*Package*"))</f>
        <v/>
      </c>
      <c r="G1943" t="str">
        <f t="shared" si="63"/>
        <v/>
      </c>
      <c r="H1943" s="33">
        <f>IF(ISNUMBER(SEARCH("Group",D1943)),IF(G1943="",E1943,IFERROR(E1943/COUNTIF($G2:$G6000,G1943),E1943)),E1943)</f>
        <v>0</v>
      </c>
      <c r="I1943" s="1" t="str">
        <f>IFERROR(VLOOKUP(C1943,'Clients List'!A:F,6,FALSE),"")</f>
        <v/>
      </c>
    </row>
    <row r="1944" spans="4:9" x14ac:dyDescent="0.45">
      <c r="D1944" t="str">
        <f>IFERROR(VLOOKUP(C1944,'Clients List'!$A:$F,2,FALSE),"")</f>
        <v/>
      </c>
      <c r="F1944" s="1" t="str">
        <f>IF(OR(C1944="",NOT(ISNUMBER(SEARCH("Package",D1944)))),"",VLOOKUP(C1944,'Clients List'!$A:$F,4,FALSE)-SUMIFS($E$2:$E1944,$C$2:$C1944,C1944,$D$2:$D1944,"*Package*"))</f>
        <v/>
      </c>
      <c r="G1944" t="str">
        <f t="shared" si="63"/>
        <v/>
      </c>
      <c r="H1944" s="33">
        <f>IF(ISNUMBER(SEARCH("Group",D1944)),IF(G1944="",E1944,IFERROR(E1944/COUNTIF($G2:$G6000,G1944),E1944)),E1944)</f>
        <v>0</v>
      </c>
      <c r="I1944" s="1" t="str">
        <f>IFERROR(VLOOKUP(C1944,'Clients List'!A:F,6,FALSE),"")</f>
        <v/>
      </c>
    </row>
    <row r="1945" spans="4:9" x14ac:dyDescent="0.45">
      <c r="D1945" t="str">
        <f>IFERROR(VLOOKUP(C1945,'Clients List'!$A:$F,2,FALSE),"")</f>
        <v/>
      </c>
      <c r="F1945" s="1" t="str">
        <f>IF(OR(C1945="",NOT(ISNUMBER(SEARCH("Package",D1945)))),"",VLOOKUP(C1945,'Clients List'!$A:$F,4,FALSE)-SUMIFS($E$2:$E1945,$C$2:$C1945,C1945,$D$2:$D1945,"*Package*"))</f>
        <v/>
      </c>
      <c r="G1945" t="str">
        <f t="shared" si="63"/>
        <v/>
      </c>
      <c r="H1945" s="33">
        <f>IF(ISNUMBER(SEARCH("Group",D1945)),IF(G1945="",E1945,IFERROR(E1945/COUNTIF($G2:$G6000,G1945),E1945)),E1945)</f>
        <v>0</v>
      </c>
      <c r="I1945" s="1" t="str">
        <f>IFERROR(VLOOKUP(C1945,'Clients List'!A:F,6,FALSE),"")</f>
        <v/>
      </c>
    </row>
    <row r="1946" spans="4:9" x14ac:dyDescent="0.45">
      <c r="D1946" t="str">
        <f>IFERROR(VLOOKUP(C1946,'Clients List'!$A:$F,2,FALSE),"")</f>
        <v/>
      </c>
      <c r="F1946" s="1" t="str">
        <f>IF(OR(C1946="",NOT(ISNUMBER(SEARCH("Package",D1946)))),"",VLOOKUP(C1946,'Clients List'!$A:$F,4,FALSE)-SUMIFS($E$2:$E1946,$C$2:$C1946,C1946,$D$2:$D1946,"*Package*"))</f>
        <v/>
      </c>
      <c r="G1946" t="str">
        <f t="shared" si="63"/>
        <v/>
      </c>
      <c r="H1946" s="33">
        <f>IF(ISNUMBER(SEARCH("Group",D1946)),IF(G1946="",E1946,IFERROR(E1946/COUNTIF($G2:$G6000,G1946),E1946)),E1946)</f>
        <v>0</v>
      </c>
      <c r="I1946" s="1" t="str">
        <f>IFERROR(VLOOKUP(C1946,'Clients List'!A:F,6,FALSE),"")</f>
        <v/>
      </c>
    </row>
    <row r="1947" spans="4:9" x14ac:dyDescent="0.45">
      <c r="D1947" t="str">
        <f>IFERROR(VLOOKUP(C1947,'Clients List'!$A:$F,2,FALSE),"")</f>
        <v/>
      </c>
      <c r="F1947" s="1" t="str">
        <f>IF(OR(C1947="",NOT(ISNUMBER(SEARCH("Package",D1947)))),"",VLOOKUP(C1947,'Clients List'!$A:$F,4,FALSE)-SUMIFS($E$2:$E1947,$C$2:$C1947,C1947,$D$2:$D1947,"*Package*"))</f>
        <v/>
      </c>
      <c r="G1947" t="str">
        <f t="shared" si="63"/>
        <v/>
      </c>
      <c r="H1947" s="33">
        <f>IF(ISNUMBER(SEARCH("Group",D1947)),IF(G1947="",E1947,IFERROR(E1947/COUNTIF($G2:$G6000,G1947),E1947)),E1947)</f>
        <v>0</v>
      </c>
      <c r="I1947" s="1" t="str">
        <f>IFERROR(VLOOKUP(C1947,'Clients List'!A:F,6,FALSE),"")</f>
        <v/>
      </c>
    </row>
    <row r="1948" spans="4:9" x14ac:dyDescent="0.45">
      <c r="D1948" t="str">
        <f>IFERROR(VLOOKUP(C1948,'Clients List'!$A:$F,2,FALSE),"")</f>
        <v/>
      </c>
      <c r="F1948" s="1" t="str">
        <f>IF(OR(C1948="",NOT(ISNUMBER(SEARCH("Package",D1948)))),"",VLOOKUP(C1948,'Clients List'!$A:$F,4,FALSE)-SUMIFS($E$2:$E1948,$C$2:$C1948,C1948,$D$2:$D1948,"*Package*"))</f>
        <v/>
      </c>
      <c r="G1948" t="str">
        <f t="shared" si="63"/>
        <v/>
      </c>
      <c r="H1948" s="33">
        <f>IF(ISNUMBER(SEARCH("Group",D1948)),IF(G1948="",E1948,IFERROR(E1948/COUNTIF($G2:$G6000,G1948),E1948)),E1948)</f>
        <v>0</v>
      </c>
      <c r="I1948" s="1" t="str">
        <f>IFERROR(VLOOKUP(C1948,'Clients List'!A:F,6,FALSE),"")</f>
        <v/>
      </c>
    </row>
    <row r="1949" spans="4:9" x14ac:dyDescent="0.45">
      <c r="D1949" t="str">
        <f>IFERROR(VLOOKUP(C1949,'Clients List'!$A:$F,2,FALSE),"")</f>
        <v/>
      </c>
      <c r="F1949" s="1" t="str">
        <f>IF(OR(C1949="",NOT(ISNUMBER(SEARCH("Package",D1949)))),"",VLOOKUP(C1949,'Clients List'!$A:$F,4,FALSE)-SUMIFS($E$2:$E1949,$C$2:$C1949,C1949,$D$2:$D1949,"*Package*"))</f>
        <v/>
      </c>
      <c r="G1949" t="str">
        <f t="shared" si="63"/>
        <v/>
      </c>
      <c r="H1949" s="33">
        <f>IF(ISNUMBER(SEARCH("Group",D1949)),IF(G1949="",E1949,IFERROR(E1949/COUNTIF($G2:$G6000,G1949),E1949)),E1949)</f>
        <v>0</v>
      </c>
      <c r="I1949" s="1" t="str">
        <f>IFERROR(VLOOKUP(C1949,'Clients List'!A:F,6,FALSE),"")</f>
        <v/>
      </c>
    </row>
    <row r="1950" spans="4:9" x14ac:dyDescent="0.45">
      <c r="D1950" t="str">
        <f>IFERROR(VLOOKUP(C1950,'Clients List'!$A:$F,2,FALSE),"")</f>
        <v/>
      </c>
      <c r="F1950" s="1" t="str">
        <f>IF(OR(C1950="",NOT(ISNUMBER(SEARCH("Package",D1950)))),"",VLOOKUP(C1950,'Clients List'!$A:$F,4,FALSE)-SUMIFS($E$2:$E1950,$C$2:$C1950,C1950,$D$2:$D1950,"*Package*"))</f>
        <v/>
      </c>
      <c r="G1950" t="str">
        <f t="shared" si="63"/>
        <v/>
      </c>
      <c r="H1950" s="33">
        <f>IF(ISNUMBER(SEARCH("Group",D1950)),IF(G1950="",E1950,IFERROR(E1950/COUNTIF($G2:$G6000,G1950),E1950)),E1950)</f>
        <v>0</v>
      </c>
      <c r="I1950" s="1" t="str">
        <f>IFERROR(VLOOKUP(C1950,'Clients List'!A:F,6,FALSE),"")</f>
        <v/>
      </c>
    </row>
    <row r="1951" spans="4:9" x14ac:dyDescent="0.45">
      <c r="D1951" t="str">
        <f>IFERROR(VLOOKUP(C1951,'Clients List'!$A:$F,2,FALSE),"")</f>
        <v/>
      </c>
      <c r="F1951" s="1" t="str">
        <f>IF(OR(C1951="",NOT(ISNUMBER(SEARCH("Package",D1951)))),"",VLOOKUP(C1951,'Clients List'!$A:$F,4,FALSE)-SUMIFS($E$2:$E1951,$C$2:$C1951,C1951,$D$2:$D1951,"*Package*"))</f>
        <v/>
      </c>
      <c r="G1951" t="str">
        <f t="shared" si="63"/>
        <v/>
      </c>
      <c r="H1951" s="33">
        <f>IF(ISNUMBER(SEARCH("Group",D1951)),IF(G1951="",E1951,IFERROR(E1951/COUNTIF($G2:$G6000,G1951),E1951)),E1951)</f>
        <v>0</v>
      </c>
      <c r="I1951" s="1" t="str">
        <f>IFERROR(VLOOKUP(C1951,'Clients List'!A:F,6,FALSE),"")</f>
        <v/>
      </c>
    </row>
    <row r="1952" spans="4:9" x14ac:dyDescent="0.45">
      <c r="D1952" t="str">
        <f>IFERROR(VLOOKUP(C1952,'Clients List'!$A:$F,2,FALSE),"")</f>
        <v/>
      </c>
      <c r="F1952" s="1" t="str">
        <f>IF(OR(C1952="",NOT(ISNUMBER(SEARCH("Package",D1952)))),"",VLOOKUP(C1952,'Clients List'!$A:$F,4,FALSE)-SUMIFS($E$2:$E1952,$C$2:$C1952,C1952,$D$2:$D1952,"*Package*"))</f>
        <v/>
      </c>
      <c r="G1952" t="str">
        <f t="shared" si="63"/>
        <v/>
      </c>
      <c r="H1952" s="33">
        <f>IF(ISNUMBER(SEARCH("Group",D1952)),IF(G1952="",E1952,IFERROR(E1952/COUNTIF($G2:$G6000,G1952),E1952)),E1952)</f>
        <v>0</v>
      </c>
      <c r="I1952" s="1" t="str">
        <f>IFERROR(VLOOKUP(C1952,'Clients List'!A:F,6,FALSE),"")</f>
        <v/>
      </c>
    </row>
    <row r="1953" spans="4:9" x14ac:dyDescent="0.45">
      <c r="D1953" t="str">
        <f>IFERROR(VLOOKUP(C1953,'Clients List'!$A:$F,2,FALSE),"")</f>
        <v/>
      </c>
      <c r="F1953" s="1" t="str">
        <f>IF(OR(C1953="",NOT(ISNUMBER(SEARCH("Package",D1953)))),"",VLOOKUP(C1953,'Clients List'!$A:$F,4,FALSE)-SUMIFS($E$2:$E1953,$C$2:$C1953,C1953,$D$2:$D1953,"*Package*"))</f>
        <v/>
      </c>
      <c r="G1953" t="str">
        <f t="shared" si="63"/>
        <v/>
      </c>
      <c r="H1953" s="33">
        <f>IF(ISNUMBER(SEARCH("Group",D1953)),IF(G1953="",E1953,IFERROR(E1953/COUNTIF($G2:$G6000,G1953),E1953)),E1953)</f>
        <v>0</v>
      </c>
      <c r="I1953" s="1" t="str">
        <f>IFERROR(VLOOKUP(C1953,'Clients List'!A:F,6,FALSE),"")</f>
        <v/>
      </c>
    </row>
    <row r="1954" spans="4:9" x14ac:dyDescent="0.45">
      <c r="D1954" t="str">
        <f>IFERROR(VLOOKUP(C1954,'Clients List'!$A:$F,2,FALSE),"")</f>
        <v/>
      </c>
      <c r="F1954" s="1" t="str">
        <f>IF(OR(C1954="",NOT(ISNUMBER(SEARCH("Package",D1954)))),"",VLOOKUP(C1954,'Clients List'!$A:$F,4,FALSE)-SUMIFS($E$2:$E1954,$C$2:$C1954,C1954,$D$2:$D1954,"*Package*"))</f>
        <v/>
      </c>
      <c r="G1954" t="str">
        <f t="shared" si="63"/>
        <v/>
      </c>
      <c r="H1954" s="33">
        <f>IF(ISNUMBER(SEARCH("Group",D1954)),IF(G1954="",E1954,IFERROR(E1954/COUNTIF($G2:$G6000,G1954),E1954)),E1954)</f>
        <v>0</v>
      </c>
      <c r="I1954" s="1" t="str">
        <f>IFERROR(VLOOKUP(C1954,'Clients List'!A:F,6,FALSE),"")</f>
        <v/>
      </c>
    </row>
    <row r="1955" spans="4:9" x14ac:dyDescent="0.45">
      <c r="D1955" t="str">
        <f>IFERROR(VLOOKUP(C1955,'Clients List'!$A:$F,2,FALSE),"")</f>
        <v/>
      </c>
      <c r="F1955" s="1" t="str">
        <f>IF(OR(C1955="",NOT(ISNUMBER(SEARCH("Package",D1955)))),"",VLOOKUP(C1955,'Clients List'!$A:$F,4,FALSE)-SUMIFS($E$2:$E1955,$C$2:$C1955,C1955,$D$2:$D1955,"*Package*"))</f>
        <v/>
      </c>
      <c r="G1955" t="str">
        <f t="shared" si="63"/>
        <v/>
      </c>
      <c r="H1955" s="33">
        <f>IF(ISNUMBER(SEARCH("Group",D1955)),IF(G1955="",E1955,IFERROR(E1955/COUNTIF($G2:$G6000,G1955),E1955)),E1955)</f>
        <v>0</v>
      </c>
      <c r="I1955" s="1" t="str">
        <f>IFERROR(VLOOKUP(C1955,'Clients List'!A:F,6,FALSE),"")</f>
        <v/>
      </c>
    </row>
    <row r="1956" spans="4:9" x14ac:dyDescent="0.45">
      <c r="D1956" t="str">
        <f>IFERROR(VLOOKUP(C1956,'Clients List'!$A:$F,2,FALSE),"")</f>
        <v/>
      </c>
      <c r="F1956" s="1" t="str">
        <f>IF(OR(C1956="",NOT(ISNUMBER(SEARCH("Package",D1956)))),"",VLOOKUP(C1956,'Clients List'!$A:$F,4,FALSE)-SUMIFS($E$2:$E1956,$C$2:$C1956,C1956,$D$2:$D1956,"*Package*"))</f>
        <v/>
      </c>
      <c r="G1956" t="str">
        <f t="shared" si="63"/>
        <v/>
      </c>
      <c r="H1956" s="33">
        <f>IF(ISNUMBER(SEARCH("Group",D1956)),IF(G1956="",E1956,IFERROR(E1956/COUNTIF($G2:$G6000,G1956),E1956)),E1956)</f>
        <v>0</v>
      </c>
      <c r="I1956" s="1" t="str">
        <f>IFERROR(VLOOKUP(C1956,'Clients List'!A:F,6,FALSE),"")</f>
        <v/>
      </c>
    </row>
    <row r="1957" spans="4:9" x14ac:dyDescent="0.45">
      <c r="D1957" t="str">
        <f>IFERROR(VLOOKUP(C1957,'Clients List'!$A:$F,2,FALSE),"")</f>
        <v/>
      </c>
      <c r="F1957" s="1" t="str">
        <f>IF(OR(C1957="",NOT(ISNUMBER(SEARCH("Package",D1957)))),"",VLOOKUP(C1957,'Clients List'!$A:$F,4,FALSE)-SUMIFS($E$2:$E1957,$C$2:$C1957,C1957,$D$2:$D1957,"*Package*"))</f>
        <v/>
      </c>
      <c r="G1957" t="str">
        <f t="shared" si="63"/>
        <v/>
      </c>
      <c r="H1957" s="33">
        <f>IF(ISNUMBER(SEARCH("Group",D1957)),IF(G1957="",E1957,IFERROR(E1957/COUNTIF($G2:$G6000,G1957),E1957)),E1957)</f>
        <v>0</v>
      </c>
      <c r="I1957" s="1" t="str">
        <f>IFERROR(VLOOKUP(C1957,'Clients List'!A:F,6,FALSE),"")</f>
        <v/>
      </c>
    </row>
    <row r="1958" spans="4:9" x14ac:dyDescent="0.45">
      <c r="D1958" t="str">
        <f>IFERROR(VLOOKUP(C1958,'Clients List'!$A:$F,2,FALSE),"")</f>
        <v/>
      </c>
      <c r="F1958" s="1" t="str">
        <f>IF(OR(C1958="",NOT(ISNUMBER(SEARCH("Package",D1958)))),"",VLOOKUP(C1958,'Clients List'!$A:$F,4,FALSE)-SUMIFS($E$2:$E1958,$C$2:$C1958,C1958,$D$2:$D1958,"*Package*"))</f>
        <v/>
      </c>
      <c r="G1958" t="str">
        <f t="shared" si="63"/>
        <v/>
      </c>
      <c r="H1958" s="33">
        <f>IF(ISNUMBER(SEARCH("Group",D1958)),IF(G1958="",E1958,IFERROR(E1958/COUNTIF($G2:$G6000,G1958),E1958)),E1958)</f>
        <v>0</v>
      </c>
      <c r="I1958" s="1" t="str">
        <f>IFERROR(VLOOKUP(C1958,'Clients List'!A:F,6,FALSE),"")</f>
        <v/>
      </c>
    </row>
    <row r="1959" spans="4:9" x14ac:dyDescent="0.45">
      <c r="D1959" t="str">
        <f>IFERROR(VLOOKUP(C1959,'Clients List'!$A:$F,2,FALSE),"")</f>
        <v/>
      </c>
      <c r="F1959" s="1" t="str">
        <f>IF(OR(C1959="",NOT(ISNUMBER(SEARCH("Package",D1959)))),"",VLOOKUP(C1959,'Clients List'!$A:$F,4,FALSE)-SUMIFS($E$2:$E1959,$C$2:$C1959,C1959,$D$2:$D1959,"*Package*"))</f>
        <v/>
      </c>
      <c r="G1959" t="str">
        <f t="shared" si="63"/>
        <v/>
      </c>
      <c r="H1959" s="33">
        <f>IF(ISNUMBER(SEARCH("Group",D1959)),IF(G1959="",E1959,IFERROR(E1959/COUNTIF($G2:$G6000,G1959),E1959)),E1959)</f>
        <v>0</v>
      </c>
      <c r="I1959" s="1" t="str">
        <f>IFERROR(VLOOKUP(C1959,'Clients List'!A:F,6,FALSE),"")</f>
        <v/>
      </c>
    </row>
    <row r="1960" spans="4:9" x14ac:dyDescent="0.45">
      <c r="D1960" t="str">
        <f>IFERROR(VLOOKUP(C1960,'Clients List'!$A:$F,2,FALSE),"")</f>
        <v/>
      </c>
      <c r="F1960" s="1" t="str">
        <f>IF(OR(C1960="",NOT(ISNUMBER(SEARCH("Package",D1960)))),"",VLOOKUP(C1960,'Clients List'!$A:$F,4,FALSE)-SUMIFS($E$2:$E1960,$C$2:$C1960,C1960,$D$2:$D1960,"*Package*"))</f>
        <v/>
      </c>
      <c r="G1960" t="str">
        <f t="shared" si="63"/>
        <v/>
      </c>
      <c r="H1960" s="33">
        <f>IF(ISNUMBER(SEARCH("Group",D1960)),IF(G1960="",E1960,IFERROR(E1960/COUNTIF($G2:$G6000,G1960),E1960)),E1960)</f>
        <v>0</v>
      </c>
      <c r="I1960" s="1" t="str">
        <f>IFERROR(VLOOKUP(C1960,'Clients List'!A:F,6,FALSE),"")</f>
        <v/>
      </c>
    </row>
    <row r="1961" spans="4:9" x14ac:dyDescent="0.45">
      <c r="D1961" t="str">
        <f>IFERROR(VLOOKUP(C1961,'Clients List'!$A:$F,2,FALSE),"")</f>
        <v/>
      </c>
      <c r="F1961" s="1" t="str">
        <f>IF(OR(C1961="",NOT(ISNUMBER(SEARCH("Package",D1961)))),"",VLOOKUP(C1961,'Clients List'!$A:$F,4,FALSE)-SUMIFS($E$2:$E1961,$C$2:$C1961,C1961,$D$2:$D1961,"*Package*"))</f>
        <v/>
      </c>
      <c r="G1961" t="str">
        <f t="shared" si="63"/>
        <v/>
      </c>
      <c r="H1961" s="33">
        <f>IF(ISNUMBER(SEARCH("Group",D1961)),IF(G1961="",E1961,IFERROR(E1961/COUNTIF($G2:$G6000,G1961),E1961)),E1961)</f>
        <v>0</v>
      </c>
      <c r="I1961" s="1" t="str">
        <f>IFERROR(VLOOKUP(C1961,'Clients List'!A:F,6,FALSE),"")</f>
        <v/>
      </c>
    </row>
    <row r="1962" spans="4:9" x14ac:dyDescent="0.45">
      <c r="D1962" t="str">
        <f>IFERROR(VLOOKUP(C1962,'Clients List'!$A:$F,2,FALSE),"")</f>
        <v/>
      </c>
      <c r="F1962" s="1" t="str">
        <f>IF(OR(C1962="",NOT(ISNUMBER(SEARCH("Package",D1962)))),"",VLOOKUP(C1962,'Clients List'!$A:$F,4,FALSE)-SUMIFS($E$2:$E1962,$C$2:$C1962,C1962,$D$2:$D1962,"*Package*"))</f>
        <v/>
      </c>
      <c r="G1962" t="str">
        <f t="shared" si="63"/>
        <v/>
      </c>
      <c r="H1962" s="33">
        <f>IF(ISNUMBER(SEARCH("Group",D1962)),IF(G1962="",E1962,IFERROR(E1962/COUNTIF($G2:$G6000,G1962),E1962)),E1962)</f>
        <v>0</v>
      </c>
      <c r="I1962" s="1" t="str">
        <f>IFERROR(VLOOKUP(C1962,'Clients List'!A:F,6,FALSE),"")</f>
        <v/>
      </c>
    </row>
    <row r="1963" spans="4:9" x14ac:dyDescent="0.45">
      <c r="D1963" t="str">
        <f>IFERROR(VLOOKUP(C1963,'Clients List'!$A:$F,2,FALSE),"")</f>
        <v/>
      </c>
      <c r="F1963" s="1" t="str">
        <f>IF(OR(C1963="",NOT(ISNUMBER(SEARCH("Package",D1963)))),"",VLOOKUP(C1963,'Clients List'!$A:$F,4,FALSE)-SUMIFS($E$2:$E1963,$C$2:$C1963,C1963,$D$2:$D1963,"*Package*"))</f>
        <v/>
      </c>
      <c r="G1963" t="str">
        <f t="shared" si="63"/>
        <v/>
      </c>
      <c r="H1963" s="33">
        <f>IF(ISNUMBER(SEARCH("Group",D1963)),IF(G1963="",E1963,IFERROR(E1963/COUNTIF($G2:$G6000,G1963),E1963)),E1963)</f>
        <v>0</v>
      </c>
      <c r="I1963" s="1" t="str">
        <f>IFERROR(VLOOKUP(C1963,'Clients List'!A:F,6,FALSE),"")</f>
        <v/>
      </c>
    </row>
    <row r="1964" spans="4:9" x14ac:dyDescent="0.45">
      <c r="D1964" t="str">
        <f>IFERROR(VLOOKUP(C1964,'Clients List'!$A:$F,2,FALSE),"")</f>
        <v/>
      </c>
      <c r="F1964" s="1" t="str">
        <f>IF(OR(C1964="",NOT(ISNUMBER(SEARCH("Package",D1964)))),"",VLOOKUP(C1964,'Clients List'!$A:$F,4,FALSE)-SUMIFS($E$2:$E1964,$C$2:$C1964,C1964,$D$2:$D1964,"*Package*"))</f>
        <v/>
      </c>
      <c r="G1964" t="str">
        <f t="shared" si="63"/>
        <v/>
      </c>
      <c r="H1964" s="33">
        <f>IF(ISNUMBER(SEARCH("Group",D1964)),IF(G1964="",E1964,IFERROR(E1964/COUNTIF($G2:$G6000,G1964),E1964)),E1964)</f>
        <v>0</v>
      </c>
      <c r="I1964" s="1" t="str">
        <f>IFERROR(VLOOKUP(C1964,'Clients List'!A:F,6,FALSE),"")</f>
        <v/>
      </c>
    </row>
    <row r="1965" spans="4:9" x14ac:dyDescent="0.45">
      <c r="D1965" t="str">
        <f>IFERROR(VLOOKUP(C1965,'Clients List'!$A:$F,2,FALSE),"")</f>
        <v/>
      </c>
      <c r="F1965" s="1" t="str">
        <f>IF(OR(C1965="",NOT(ISNUMBER(SEARCH("Package",D1965)))),"",VLOOKUP(C1965,'Clients List'!$A:$F,4,FALSE)-SUMIFS($E$2:$E1965,$C$2:$C1965,C1965,$D$2:$D1965,"*Package*"))</f>
        <v/>
      </c>
      <c r="G1965" t="str">
        <f t="shared" si="63"/>
        <v/>
      </c>
      <c r="H1965" s="33">
        <f>IF(ISNUMBER(SEARCH("Group",D1965)),IF(G1965="",E1965,IFERROR(E1965/COUNTIF($G2:$G6000,G1965),E1965)),E1965)</f>
        <v>0</v>
      </c>
      <c r="I1965" s="1" t="str">
        <f>IFERROR(VLOOKUP(C1965,'Clients List'!A:F,6,FALSE),"")</f>
        <v/>
      </c>
    </row>
    <row r="1966" spans="4:9" x14ac:dyDescent="0.45">
      <c r="D1966" t="str">
        <f>IFERROR(VLOOKUP(C1966,'Clients List'!$A:$F,2,FALSE),"")</f>
        <v/>
      </c>
      <c r="F1966" s="1" t="str">
        <f>IF(OR(C1966="",NOT(ISNUMBER(SEARCH("Package",D1966)))),"",VLOOKUP(C1966,'Clients List'!$A:$F,4,FALSE)-SUMIFS($E$2:$E1966,$C$2:$C1966,C1966,$D$2:$D1966,"*Package*"))</f>
        <v/>
      </c>
      <c r="G1966" t="str">
        <f t="shared" si="63"/>
        <v/>
      </c>
      <c r="H1966" s="33">
        <f>IF(ISNUMBER(SEARCH("Group",D1966)),IF(G1966="",E1966,IFERROR(E1966/COUNTIF($G2:$G6000,G1966),E1966)),E1966)</f>
        <v>0</v>
      </c>
      <c r="I1966" s="1" t="str">
        <f>IFERROR(VLOOKUP(C1966,'Clients List'!A:F,6,FALSE),"")</f>
        <v/>
      </c>
    </row>
    <row r="1967" spans="4:9" x14ac:dyDescent="0.45">
      <c r="D1967" t="str">
        <f>IFERROR(VLOOKUP(C1967,'Clients List'!$A:$F,2,FALSE),"")</f>
        <v/>
      </c>
      <c r="F1967" s="1" t="str">
        <f>IF(OR(C1967="",NOT(ISNUMBER(SEARCH("Package",D1967)))),"",VLOOKUP(C1967,'Clients List'!$A:$F,4,FALSE)-SUMIFS($E$2:$E1967,$C$2:$C1967,C1967,$D$2:$D1967,"*Package*"))</f>
        <v/>
      </c>
      <c r="G1967" t="str">
        <f t="shared" si="63"/>
        <v/>
      </c>
      <c r="H1967" s="33">
        <f>IF(ISNUMBER(SEARCH("Group",D1967)),IF(G1967="",E1967,IFERROR(E1967/COUNTIF($G2:$G6000,G1967),E1967)),E1967)</f>
        <v>0</v>
      </c>
      <c r="I1967" s="1" t="str">
        <f>IFERROR(VLOOKUP(C1967,'Clients List'!A:F,6,FALSE),"")</f>
        <v/>
      </c>
    </row>
    <row r="1968" spans="4:9" x14ac:dyDescent="0.45">
      <c r="D1968" t="str">
        <f>IFERROR(VLOOKUP(C1968,'Clients List'!$A:$F,2,FALSE),"")</f>
        <v/>
      </c>
      <c r="F1968" s="1" t="str">
        <f>IF(OR(C1968="",NOT(ISNUMBER(SEARCH("Package",D1968)))),"",VLOOKUP(C1968,'Clients List'!$A:$F,4,FALSE)-SUMIFS($E$2:$E1968,$C$2:$C1968,C1968,$D$2:$D1968,"*Package*"))</f>
        <v/>
      </c>
      <c r="G1968" t="str">
        <f t="shared" si="63"/>
        <v/>
      </c>
      <c r="H1968" s="33">
        <f>IF(ISNUMBER(SEARCH("Group",D1968)),IF(G1968="",E1968,IFERROR(E1968/COUNTIF($G2:$G6000,G1968),E1968)),E1968)</f>
        <v>0</v>
      </c>
      <c r="I1968" s="1" t="str">
        <f>IFERROR(VLOOKUP(C1968,'Clients List'!A:F,6,FALSE),"")</f>
        <v/>
      </c>
    </row>
    <row r="1969" spans="4:9" x14ac:dyDescent="0.45">
      <c r="D1969" t="str">
        <f>IFERROR(VLOOKUP(C1969,'Clients List'!$A:$F,2,FALSE),"")</f>
        <v/>
      </c>
      <c r="F1969" s="1" t="str">
        <f>IF(OR(C1969="",NOT(ISNUMBER(SEARCH("Package",D1969)))),"",VLOOKUP(C1969,'Clients List'!$A:$F,4,FALSE)-SUMIFS($E$2:$E1969,$C$2:$C1969,C1969,$D$2:$D1969,"*Package*"))</f>
        <v/>
      </c>
      <c r="G1969" t="str">
        <f t="shared" si="63"/>
        <v/>
      </c>
      <c r="H1969" s="33">
        <f>IF(ISNUMBER(SEARCH("Group",D1969)),IF(G1969="",E1969,IFERROR(E1969/COUNTIF($G2:$G6000,G1969),E1969)),E1969)</f>
        <v>0</v>
      </c>
      <c r="I1969" s="1" t="str">
        <f>IFERROR(VLOOKUP(C1969,'Clients List'!A:F,6,FALSE),"")</f>
        <v/>
      </c>
    </row>
    <row r="1970" spans="4:9" x14ac:dyDescent="0.45">
      <c r="D1970" t="str">
        <f>IFERROR(VLOOKUP(C1970,'Clients List'!$A:$F,2,FALSE),"")</f>
        <v/>
      </c>
      <c r="F1970" s="1" t="str">
        <f>IF(OR(C1970="",NOT(ISNUMBER(SEARCH("Package",D1970)))),"",VLOOKUP(C1970,'Clients List'!$A:$F,4,FALSE)-SUMIFS($E$2:$E1970,$C$2:$C1970,C1970,$D$2:$D1970,"*Package*"))</f>
        <v/>
      </c>
      <c r="G1970" t="str">
        <f t="shared" si="63"/>
        <v/>
      </c>
      <c r="H1970" s="33">
        <f>IF(ISNUMBER(SEARCH("Group",D1970)),IF(G1970="",E1970,IFERROR(E1970/COUNTIF($G2:$G6000,G1970),E1970)),E1970)</f>
        <v>0</v>
      </c>
      <c r="I1970" s="1" t="str">
        <f>IFERROR(VLOOKUP(C1970,'Clients List'!A:F,6,FALSE),"")</f>
        <v/>
      </c>
    </row>
    <row r="1971" spans="4:9" x14ac:dyDescent="0.45">
      <c r="D1971" t="str">
        <f>IFERROR(VLOOKUP(C1971,'Clients List'!$A:$F,2,FALSE),"")</f>
        <v/>
      </c>
      <c r="F1971" s="1" t="str">
        <f>IF(OR(C1971="",NOT(ISNUMBER(SEARCH("Package",D1971)))),"",VLOOKUP(C1971,'Clients List'!$A:$F,4,FALSE)-SUMIFS($E$2:$E1971,$C$2:$C1971,C1971,$D$2:$D1971,"*Package*"))</f>
        <v/>
      </c>
      <c r="G1971" t="str">
        <f t="shared" si="63"/>
        <v/>
      </c>
      <c r="H1971" s="33">
        <f>IF(ISNUMBER(SEARCH("Group",D1971)),IF(G1971="",E1971,IFERROR(E1971/COUNTIF($G2:$G6000,G1971),E1971)),E1971)</f>
        <v>0</v>
      </c>
      <c r="I1971" s="1" t="str">
        <f>IFERROR(VLOOKUP(C1971,'Clients List'!A:F,6,FALSE),"")</f>
        <v/>
      </c>
    </row>
    <row r="1972" spans="4:9" x14ac:dyDescent="0.45">
      <c r="D1972" t="str">
        <f>IFERROR(VLOOKUP(C1972,'Clients List'!$A:$F,2,FALSE),"")</f>
        <v/>
      </c>
      <c r="F1972" s="1" t="str">
        <f>IF(OR(C1972="",NOT(ISNUMBER(SEARCH("Package",D1972)))),"",VLOOKUP(C1972,'Clients List'!$A:$F,4,FALSE)-SUMIFS($E$2:$E1972,$C$2:$C1972,C1972,$D$2:$D1972,"*Package*"))</f>
        <v/>
      </c>
      <c r="G1972" t="str">
        <f t="shared" si="63"/>
        <v/>
      </c>
      <c r="H1972" s="33">
        <f>IF(ISNUMBER(SEARCH("Group",D1972)),IF(G1972="",E1972,IFERROR(E1972/COUNTIF($G2:$G6000,G1972),E1972)),E1972)</f>
        <v>0</v>
      </c>
      <c r="I1972" s="1" t="str">
        <f>IFERROR(VLOOKUP(C1972,'Clients List'!A:F,6,FALSE),"")</f>
        <v/>
      </c>
    </row>
    <row r="1973" spans="4:9" x14ac:dyDescent="0.45">
      <c r="D1973" t="str">
        <f>IFERROR(VLOOKUP(C1973,'Clients List'!$A:$F,2,FALSE),"")</f>
        <v/>
      </c>
      <c r="F1973" s="1" t="str">
        <f>IF(OR(C1973="",NOT(ISNUMBER(SEARCH("Package",D1973)))),"",VLOOKUP(C1973,'Clients List'!$A:$F,4,FALSE)-SUMIFS($E$2:$E1973,$C$2:$C1973,C1973,$D$2:$D1973,"*Package*"))</f>
        <v/>
      </c>
      <c r="G1973" t="str">
        <f t="shared" ref="G1973:G2036" si="64">IF(ISNUMBER(SEARCH("Group",D1973)),IFERROR("GRP-"&amp;TEXT(IF(ISNUMBER(A1973),A1973,DATEVALUE(A1973)),"yyyymmdd"),""),"" )</f>
        <v/>
      </c>
      <c r="H1973" s="33">
        <f>IF(ISNUMBER(SEARCH("Group",D1973)),IF(G1973="",E1973,IFERROR(E1973/COUNTIF($G2:$G6000,G1973),E1973)),E1973)</f>
        <v>0</v>
      </c>
      <c r="I1973" s="1" t="str">
        <f>IFERROR(VLOOKUP(C1973,'Clients List'!A:F,6,FALSE),"")</f>
        <v/>
      </c>
    </row>
    <row r="1974" spans="4:9" x14ac:dyDescent="0.45">
      <c r="D1974" t="str">
        <f>IFERROR(VLOOKUP(C1974,'Clients List'!$A:$F,2,FALSE),"")</f>
        <v/>
      </c>
      <c r="F1974" s="1" t="str">
        <f>IF(OR(C1974="",NOT(ISNUMBER(SEARCH("Package",D1974)))),"",VLOOKUP(C1974,'Clients List'!$A:$F,4,FALSE)-SUMIFS($E$2:$E1974,$C$2:$C1974,C1974,$D$2:$D1974,"*Package*"))</f>
        <v/>
      </c>
      <c r="G1974" t="str">
        <f t="shared" si="64"/>
        <v/>
      </c>
      <c r="H1974" s="33">
        <f>IF(ISNUMBER(SEARCH("Group",D1974)),IF(G1974="",E1974,IFERROR(E1974/COUNTIF($G2:$G6000,G1974),E1974)),E1974)</f>
        <v>0</v>
      </c>
      <c r="I1974" s="1" t="str">
        <f>IFERROR(VLOOKUP(C1974,'Clients List'!A:F,6,FALSE),"")</f>
        <v/>
      </c>
    </row>
    <row r="1975" spans="4:9" x14ac:dyDescent="0.45">
      <c r="D1975" t="str">
        <f>IFERROR(VLOOKUP(C1975,'Clients List'!$A:$F,2,FALSE),"")</f>
        <v/>
      </c>
      <c r="F1975" s="1" t="str">
        <f>IF(OR(C1975="",NOT(ISNUMBER(SEARCH("Package",D1975)))),"",VLOOKUP(C1975,'Clients List'!$A:$F,4,FALSE)-SUMIFS($E$2:$E1975,$C$2:$C1975,C1975,$D$2:$D1975,"*Package*"))</f>
        <v/>
      </c>
      <c r="G1975" t="str">
        <f t="shared" si="64"/>
        <v/>
      </c>
      <c r="H1975" s="33">
        <f>IF(ISNUMBER(SEARCH("Group",D1975)),IF(G1975="",E1975,IFERROR(E1975/COUNTIF($G2:$G6000,G1975),E1975)),E1975)</f>
        <v>0</v>
      </c>
      <c r="I1975" s="1" t="str">
        <f>IFERROR(VLOOKUP(C1975,'Clients List'!A:F,6,FALSE),"")</f>
        <v/>
      </c>
    </row>
    <row r="1976" spans="4:9" x14ac:dyDescent="0.45">
      <c r="D1976" t="str">
        <f>IFERROR(VLOOKUP(C1976,'Clients List'!$A:$F,2,FALSE),"")</f>
        <v/>
      </c>
      <c r="F1976" s="1" t="str">
        <f>IF(OR(C1976="",NOT(ISNUMBER(SEARCH("Package",D1976)))),"",VLOOKUP(C1976,'Clients List'!$A:$F,4,FALSE)-SUMIFS($E$2:$E1976,$C$2:$C1976,C1976,$D$2:$D1976,"*Package*"))</f>
        <v/>
      </c>
      <c r="G1976" t="str">
        <f t="shared" si="64"/>
        <v/>
      </c>
      <c r="H1976" s="33">
        <f>IF(ISNUMBER(SEARCH("Group",D1976)),IF(G1976="",E1976,IFERROR(E1976/COUNTIF($G2:$G6000,G1976),E1976)),E1976)</f>
        <v>0</v>
      </c>
      <c r="I1976" s="1" t="str">
        <f>IFERROR(VLOOKUP(C1976,'Clients List'!A:F,6,FALSE),"")</f>
        <v/>
      </c>
    </row>
    <row r="1977" spans="4:9" x14ac:dyDescent="0.45">
      <c r="D1977" t="str">
        <f>IFERROR(VLOOKUP(C1977,'Clients List'!$A:$F,2,FALSE),"")</f>
        <v/>
      </c>
      <c r="F1977" s="1" t="str">
        <f>IF(OR(C1977="",NOT(ISNUMBER(SEARCH("Package",D1977)))),"",VLOOKUP(C1977,'Clients List'!$A:$F,4,FALSE)-SUMIFS($E$2:$E1977,$C$2:$C1977,C1977,$D$2:$D1977,"*Package*"))</f>
        <v/>
      </c>
      <c r="G1977" t="str">
        <f t="shared" si="64"/>
        <v/>
      </c>
      <c r="H1977" s="33">
        <f>IF(ISNUMBER(SEARCH("Group",D1977)),IF(G1977="",E1977,IFERROR(E1977/COUNTIF($G2:$G6000,G1977),E1977)),E1977)</f>
        <v>0</v>
      </c>
      <c r="I1977" s="1" t="str">
        <f>IFERROR(VLOOKUP(C1977,'Clients List'!A:F,6,FALSE),"")</f>
        <v/>
      </c>
    </row>
    <row r="1978" spans="4:9" x14ac:dyDescent="0.45">
      <c r="D1978" t="str">
        <f>IFERROR(VLOOKUP(C1978,'Clients List'!$A:$F,2,FALSE),"")</f>
        <v/>
      </c>
      <c r="F1978" s="1" t="str">
        <f>IF(OR(C1978="",NOT(ISNUMBER(SEARCH("Package",D1978)))),"",VLOOKUP(C1978,'Clients List'!$A:$F,4,FALSE)-SUMIFS($E$2:$E1978,$C$2:$C1978,C1978,$D$2:$D1978,"*Package*"))</f>
        <v/>
      </c>
      <c r="G1978" t="str">
        <f t="shared" si="64"/>
        <v/>
      </c>
      <c r="H1978" s="33">
        <f>IF(ISNUMBER(SEARCH("Group",D1978)),IF(G1978="",E1978,IFERROR(E1978/COUNTIF($G2:$G6000,G1978),E1978)),E1978)</f>
        <v>0</v>
      </c>
      <c r="I1978" s="1" t="str">
        <f>IFERROR(VLOOKUP(C1978,'Clients List'!A:F,6,FALSE),"")</f>
        <v/>
      </c>
    </row>
    <row r="1979" spans="4:9" x14ac:dyDescent="0.45">
      <c r="D1979" t="str">
        <f>IFERROR(VLOOKUP(C1979,'Clients List'!$A:$F,2,FALSE),"")</f>
        <v/>
      </c>
      <c r="F1979" s="1" t="str">
        <f>IF(OR(C1979="",NOT(ISNUMBER(SEARCH("Package",D1979)))),"",VLOOKUP(C1979,'Clients List'!$A:$F,4,FALSE)-SUMIFS($E$2:$E1979,$C$2:$C1979,C1979,$D$2:$D1979,"*Package*"))</f>
        <v/>
      </c>
      <c r="G1979" t="str">
        <f t="shared" si="64"/>
        <v/>
      </c>
      <c r="H1979" s="33">
        <f>IF(ISNUMBER(SEARCH("Group",D1979)),IF(G1979="",E1979,IFERROR(E1979/COUNTIF($G2:$G6000,G1979),E1979)),E1979)</f>
        <v>0</v>
      </c>
      <c r="I1979" s="1" t="str">
        <f>IFERROR(VLOOKUP(C1979,'Clients List'!A:F,6,FALSE),"")</f>
        <v/>
      </c>
    </row>
    <row r="1980" spans="4:9" x14ac:dyDescent="0.45">
      <c r="D1980" t="str">
        <f>IFERROR(VLOOKUP(C1980,'Clients List'!$A:$F,2,FALSE),"")</f>
        <v/>
      </c>
      <c r="F1980" s="1" t="str">
        <f>IF(OR(C1980="",NOT(ISNUMBER(SEARCH("Package",D1980)))),"",VLOOKUP(C1980,'Clients List'!$A:$F,4,FALSE)-SUMIFS($E$2:$E1980,$C$2:$C1980,C1980,$D$2:$D1980,"*Package*"))</f>
        <v/>
      </c>
      <c r="G1980" t="str">
        <f t="shared" si="64"/>
        <v/>
      </c>
      <c r="H1980" s="33">
        <f>IF(ISNUMBER(SEARCH("Group",D1980)),IF(G1980="",E1980,IFERROR(E1980/COUNTIF($G2:$G6000,G1980),E1980)),E1980)</f>
        <v>0</v>
      </c>
      <c r="I1980" s="1" t="str">
        <f>IFERROR(VLOOKUP(C1980,'Clients List'!A:F,6,FALSE),"")</f>
        <v/>
      </c>
    </row>
    <row r="1981" spans="4:9" x14ac:dyDescent="0.45">
      <c r="D1981" t="str">
        <f>IFERROR(VLOOKUP(C1981,'Clients List'!$A:$F,2,FALSE),"")</f>
        <v/>
      </c>
      <c r="F1981" s="1" t="str">
        <f>IF(OR(C1981="",NOT(ISNUMBER(SEARCH("Package",D1981)))),"",VLOOKUP(C1981,'Clients List'!$A:$F,4,FALSE)-SUMIFS($E$2:$E1981,$C$2:$C1981,C1981,$D$2:$D1981,"*Package*"))</f>
        <v/>
      </c>
      <c r="G1981" t="str">
        <f t="shared" si="64"/>
        <v/>
      </c>
      <c r="H1981" s="33">
        <f>IF(ISNUMBER(SEARCH("Group",D1981)),IF(G1981="",E1981,IFERROR(E1981/COUNTIF($G2:$G6000,G1981),E1981)),E1981)</f>
        <v>0</v>
      </c>
      <c r="I1981" s="1" t="str">
        <f>IFERROR(VLOOKUP(C1981,'Clients List'!A:F,6,FALSE),"")</f>
        <v/>
      </c>
    </row>
    <row r="1982" spans="4:9" x14ac:dyDescent="0.45">
      <c r="D1982" t="str">
        <f>IFERROR(VLOOKUP(C1982,'Clients List'!$A:$F,2,FALSE),"")</f>
        <v/>
      </c>
      <c r="F1982" s="1" t="str">
        <f>IF(OR(C1982="",NOT(ISNUMBER(SEARCH("Package",D1982)))),"",VLOOKUP(C1982,'Clients List'!$A:$F,4,FALSE)-SUMIFS($E$2:$E1982,$C$2:$C1982,C1982,$D$2:$D1982,"*Package*"))</f>
        <v/>
      </c>
      <c r="G1982" t="str">
        <f t="shared" si="64"/>
        <v/>
      </c>
      <c r="H1982" s="33">
        <f>IF(ISNUMBER(SEARCH("Group",D1982)),IF(G1982="",E1982,IFERROR(E1982/COUNTIF($G2:$G6000,G1982),E1982)),E1982)</f>
        <v>0</v>
      </c>
      <c r="I1982" s="1" t="str">
        <f>IFERROR(VLOOKUP(C1982,'Clients List'!A:F,6,FALSE),"")</f>
        <v/>
      </c>
    </row>
    <row r="1983" spans="4:9" x14ac:dyDescent="0.45">
      <c r="D1983" t="str">
        <f>IFERROR(VLOOKUP(C1983,'Clients List'!$A:$F,2,FALSE),"")</f>
        <v/>
      </c>
      <c r="F1983" s="1" t="str">
        <f>IF(OR(C1983="",NOT(ISNUMBER(SEARCH("Package",D1983)))),"",VLOOKUP(C1983,'Clients List'!$A:$F,4,FALSE)-SUMIFS($E$2:$E1983,$C$2:$C1983,C1983,$D$2:$D1983,"*Package*"))</f>
        <v/>
      </c>
      <c r="G1983" t="str">
        <f t="shared" si="64"/>
        <v/>
      </c>
      <c r="H1983" s="33">
        <f>IF(ISNUMBER(SEARCH("Group",D1983)),IF(G1983="",E1983,IFERROR(E1983/COUNTIF($G2:$G6000,G1983),E1983)),E1983)</f>
        <v>0</v>
      </c>
      <c r="I1983" s="1" t="str">
        <f>IFERROR(VLOOKUP(C1983,'Clients List'!A:F,6,FALSE),"")</f>
        <v/>
      </c>
    </row>
    <row r="1984" spans="4:9" x14ac:dyDescent="0.45">
      <c r="D1984" t="str">
        <f>IFERROR(VLOOKUP(C1984,'Clients List'!$A:$F,2,FALSE),"")</f>
        <v/>
      </c>
      <c r="F1984" s="1" t="str">
        <f>IF(OR(C1984="",NOT(ISNUMBER(SEARCH("Package",D1984)))),"",VLOOKUP(C1984,'Clients List'!$A:$F,4,FALSE)-SUMIFS($E$2:$E1984,$C$2:$C1984,C1984,$D$2:$D1984,"*Package*"))</f>
        <v/>
      </c>
      <c r="G1984" t="str">
        <f t="shared" si="64"/>
        <v/>
      </c>
      <c r="H1984" s="33">
        <f>IF(ISNUMBER(SEARCH("Group",D1984)),IF(G1984="",E1984,IFERROR(E1984/COUNTIF($G2:$G6000,G1984),E1984)),E1984)</f>
        <v>0</v>
      </c>
      <c r="I1984" s="1" t="str">
        <f>IFERROR(VLOOKUP(C1984,'Clients List'!A:F,6,FALSE),"")</f>
        <v/>
      </c>
    </row>
    <row r="1985" spans="4:9" x14ac:dyDescent="0.45">
      <c r="D1985" t="str">
        <f>IFERROR(VLOOKUP(C1985,'Clients List'!$A:$F,2,FALSE),"")</f>
        <v/>
      </c>
      <c r="F1985" s="1" t="str">
        <f>IF(OR(C1985="",NOT(ISNUMBER(SEARCH("Package",D1985)))),"",VLOOKUP(C1985,'Clients List'!$A:$F,4,FALSE)-SUMIFS($E$2:$E1985,$C$2:$C1985,C1985,$D$2:$D1985,"*Package*"))</f>
        <v/>
      </c>
      <c r="G1985" t="str">
        <f t="shared" si="64"/>
        <v/>
      </c>
      <c r="H1985" s="33">
        <f>IF(ISNUMBER(SEARCH("Group",D1985)),IF(G1985="",E1985,IFERROR(E1985/COUNTIF($G2:$G6000,G1985),E1985)),E1985)</f>
        <v>0</v>
      </c>
      <c r="I1985" s="1" t="str">
        <f>IFERROR(VLOOKUP(C1985,'Clients List'!A:F,6,FALSE),"")</f>
        <v/>
      </c>
    </row>
    <row r="1986" spans="4:9" x14ac:dyDescent="0.45">
      <c r="D1986" t="str">
        <f>IFERROR(VLOOKUP(C1986,'Clients List'!$A:$F,2,FALSE),"")</f>
        <v/>
      </c>
      <c r="F1986" s="1" t="str">
        <f>IF(OR(C1986="",NOT(ISNUMBER(SEARCH("Package",D1986)))),"",VLOOKUP(C1986,'Clients List'!$A:$F,4,FALSE)-SUMIFS($E$2:$E1986,$C$2:$C1986,C1986,$D$2:$D1986,"*Package*"))</f>
        <v/>
      </c>
      <c r="G1986" t="str">
        <f t="shared" si="64"/>
        <v/>
      </c>
      <c r="H1986" s="33">
        <f>IF(ISNUMBER(SEARCH("Group",D1986)),IF(G1986="",E1986,IFERROR(E1986/COUNTIF($G2:$G6000,G1986),E1986)),E1986)</f>
        <v>0</v>
      </c>
      <c r="I1986" s="1" t="str">
        <f>IFERROR(VLOOKUP(C1986,'Clients List'!A:F,6,FALSE),"")</f>
        <v/>
      </c>
    </row>
    <row r="1987" spans="4:9" x14ac:dyDescent="0.45">
      <c r="D1987" t="str">
        <f>IFERROR(VLOOKUP(C1987,'Clients List'!$A:$F,2,FALSE),"")</f>
        <v/>
      </c>
      <c r="F1987" s="1" t="str">
        <f>IF(OR(C1987="",NOT(ISNUMBER(SEARCH("Package",D1987)))),"",VLOOKUP(C1987,'Clients List'!$A:$F,4,FALSE)-SUMIFS($E$2:$E1987,$C$2:$C1987,C1987,$D$2:$D1987,"*Package*"))</f>
        <v/>
      </c>
      <c r="G1987" t="str">
        <f t="shared" si="64"/>
        <v/>
      </c>
      <c r="H1987" s="33">
        <f>IF(ISNUMBER(SEARCH("Group",D1987)),IF(G1987="",E1987,IFERROR(E1987/COUNTIF($G2:$G6000,G1987),E1987)),E1987)</f>
        <v>0</v>
      </c>
      <c r="I1987" s="1" t="str">
        <f>IFERROR(VLOOKUP(C1987,'Clients List'!A:F,6,FALSE),"")</f>
        <v/>
      </c>
    </row>
    <row r="1988" spans="4:9" x14ac:dyDescent="0.45">
      <c r="D1988" t="str">
        <f>IFERROR(VLOOKUP(C1988,'Clients List'!$A:$F,2,FALSE),"")</f>
        <v/>
      </c>
      <c r="F1988" s="1" t="str">
        <f>IF(OR(C1988="",NOT(ISNUMBER(SEARCH("Package",D1988)))),"",VLOOKUP(C1988,'Clients List'!$A:$F,4,FALSE)-SUMIFS($E$2:$E1988,$C$2:$C1988,C1988,$D$2:$D1988,"*Package*"))</f>
        <v/>
      </c>
      <c r="G1988" t="str">
        <f t="shared" si="64"/>
        <v/>
      </c>
      <c r="H1988" s="33">
        <f>IF(ISNUMBER(SEARCH("Group",D1988)),IF(G1988="",E1988,IFERROR(E1988/COUNTIF($G2:$G6000,G1988),E1988)),E1988)</f>
        <v>0</v>
      </c>
      <c r="I1988" s="1" t="str">
        <f>IFERROR(VLOOKUP(C1988,'Clients List'!A:F,6,FALSE),"")</f>
        <v/>
      </c>
    </row>
    <row r="1989" spans="4:9" x14ac:dyDescent="0.45">
      <c r="D1989" t="str">
        <f>IFERROR(VLOOKUP(C1989,'Clients List'!$A:$F,2,FALSE),"")</f>
        <v/>
      </c>
      <c r="F1989" s="1" t="str">
        <f>IF(OR(C1989="",NOT(ISNUMBER(SEARCH("Package",D1989)))),"",VLOOKUP(C1989,'Clients List'!$A:$F,4,FALSE)-SUMIFS($E$2:$E1989,$C$2:$C1989,C1989,$D$2:$D1989,"*Package*"))</f>
        <v/>
      </c>
      <c r="G1989" t="str">
        <f t="shared" si="64"/>
        <v/>
      </c>
      <c r="H1989" s="33">
        <f>IF(ISNUMBER(SEARCH("Group",D1989)),IF(G1989="",E1989,IFERROR(E1989/COUNTIF($G2:$G6000,G1989),E1989)),E1989)</f>
        <v>0</v>
      </c>
      <c r="I1989" s="1" t="str">
        <f>IFERROR(VLOOKUP(C1989,'Clients List'!A:F,6,FALSE),"")</f>
        <v/>
      </c>
    </row>
    <row r="1990" spans="4:9" x14ac:dyDescent="0.45">
      <c r="D1990" t="str">
        <f>IFERROR(VLOOKUP(C1990,'Clients List'!$A:$F,2,FALSE),"")</f>
        <v/>
      </c>
      <c r="F1990" s="1" t="str">
        <f>IF(OR(C1990="",NOT(ISNUMBER(SEARCH("Package",D1990)))),"",VLOOKUP(C1990,'Clients List'!$A:$F,4,FALSE)-SUMIFS($E$2:$E1990,$C$2:$C1990,C1990,$D$2:$D1990,"*Package*"))</f>
        <v/>
      </c>
      <c r="G1990" t="str">
        <f t="shared" si="64"/>
        <v/>
      </c>
      <c r="H1990" s="33">
        <f>IF(ISNUMBER(SEARCH("Group",D1990)),IF(G1990="",E1990,IFERROR(E1990/COUNTIF($G2:$G6000,G1990),E1990)),E1990)</f>
        <v>0</v>
      </c>
      <c r="I1990" s="1" t="str">
        <f>IFERROR(VLOOKUP(C1990,'Clients List'!A:F,6,FALSE),"")</f>
        <v/>
      </c>
    </row>
    <row r="1991" spans="4:9" x14ac:dyDescent="0.45">
      <c r="D1991" t="str">
        <f>IFERROR(VLOOKUP(C1991,'Clients List'!$A:$F,2,FALSE),"")</f>
        <v/>
      </c>
      <c r="F1991" s="1" t="str">
        <f>IF(OR(C1991="",NOT(ISNUMBER(SEARCH("Package",D1991)))),"",VLOOKUP(C1991,'Clients List'!$A:$F,4,FALSE)-SUMIFS($E$2:$E1991,$C$2:$C1991,C1991,$D$2:$D1991,"*Package*"))</f>
        <v/>
      </c>
      <c r="G1991" t="str">
        <f t="shared" si="64"/>
        <v/>
      </c>
      <c r="H1991" s="33">
        <f>IF(ISNUMBER(SEARCH("Group",D1991)),IF(G1991="",E1991,IFERROR(E1991/COUNTIF($G2:$G6000,G1991),E1991)),E1991)</f>
        <v>0</v>
      </c>
      <c r="I1991" s="1" t="str">
        <f>IFERROR(VLOOKUP(C1991,'Clients List'!A:F,6,FALSE),"")</f>
        <v/>
      </c>
    </row>
    <row r="1992" spans="4:9" x14ac:dyDescent="0.45">
      <c r="D1992" t="str">
        <f>IFERROR(VLOOKUP(C1992,'Clients List'!$A:$F,2,FALSE),"")</f>
        <v/>
      </c>
      <c r="F1992" s="1" t="str">
        <f>IF(OR(C1992="",NOT(ISNUMBER(SEARCH("Package",D1992)))),"",VLOOKUP(C1992,'Clients List'!$A:$F,4,FALSE)-SUMIFS($E$2:$E1992,$C$2:$C1992,C1992,$D$2:$D1992,"*Package*"))</f>
        <v/>
      </c>
      <c r="G1992" t="str">
        <f t="shared" si="64"/>
        <v/>
      </c>
      <c r="H1992" s="33">
        <f>IF(ISNUMBER(SEARCH("Group",D1992)),IF(G1992="",E1992,IFERROR(E1992/COUNTIF($G2:$G6000,G1992),E1992)),E1992)</f>
        <v>0</v>
      </c>
      <c r="I1992" s="1" t="str">
        <f>IFERROR(VLOOKUP(C1992,'Clients List'!A:F,6,FALSE),"")</f>
        <v/>
      </c>
    </row>
    <row r="1993" spans="4:9" x14ac:dyDescent="0.45">
      <c r="D1993" t="str">
        <f>IFERROR(VLOOKUP(C1993,'Clients List'!$A:$F,2,FALSE),"")</f>
        <v/>
      </c>
      <c r="F1993" s="1" t="str">
        <f>IF(OR(C1993="",NOT(ISNUMBER(SEARCH("Package",D1993)))),"",VLOOKUP(C1993,'Clients List'!$A:$F,4,FALSE)-SUMIFS($E$2:$E1993,$C$2:$C1993,C1993,$D$2:$D1993,"*Package*"))</f>
        <v/>
      </c>
      <c r="G1993" t="str">
        <f t="shared" si="64"/>
        <v/>
      </c>
      <c r="H1993" s="33">
        <f>IF(ISNUMBER(SEARCH("Group",D1993)),IF(G1993="",E1993,IFERROR(E1993/COUNTIF($G2:$G6000,G1993),E1993)),E1993)</f>
        <v>0</v>
      </c>
      <c r="I1993" s="1" t="str">
        <f>IFERROR(VLOOKUP(C1993,'Clients List'!A:F,6,FALSE),"")</f>
        <v/>
      </c>
    </row>
    <row r="1994" spans="4:9" x14ac:dyDescent="0.45">
      <c r="D1994" t="str">
        <f>IFERROR(VLOOKUP(C1994,'Clients List'!$A:$F,2,FALSE),"")</f>
        <v/>
      </c>
      <c r="F1994" s="1" t="str">
        <f>IF(OR(C1994="",NOT(ISNUMBER(SEARCH("Package",D1994)))),"",VLOOKUP(C1994,'Clients List'!$A:$F,4,FALSE)-SUMIFS($E$2:$E1994,$C$2:$C1994,C1994,$D$2:$D1994,"*Package*"))</f>
        <v/>
      </c>
      <c r="G1994" t="str">
        <f t="shared" si="64"/>
        <v/>
      </c>
      <c r="H1994" s="33">
        <f>IF(ISNUMBER(SEARCH("Group",D1994)),IF(G1994="",E1994,IFERROR(E1994/COUNTIF($G2:$G6000,G1994),E1994)),E1994)</f>
        <v>0</v>
      </c>
      <c r="I1994" s="1" t="str">
        <f>IFERROR(VLOOKUP(C1994,'Clients List'!A:F,6,FALSE),"")</f>
        <v/>
      </c>
    </row>
    <row r="1995" spans="4:9" x14ac:dyDescent="0.45">
      <c r="D1995" t="str">
        <f>IFERROR(VLOOKUP(C1995,'Clients List'!$A:$F,2,FALSE),"")</f>
        <v/>
      </c>
      <c r="F1995" s="1" t="str">
        <f>IF(OR(C1995="",NOT(ISNUMBER(SEARCH("Package",D1995)))),"",VLOOKUP(C1995,'Clients List'!$A:$F,4,FALSE)-SUMIFS($E$2:$E1995,$C$2:$C1995,C1995,$D$2:$D1995,"*Package*"))</f>
        <v/>
      </c>
      <c r="G1995" t="str">
        <f t="shared" si="64"/>
        <v/>
      </c>
      <c r="H1995" s="33">
        <f>IF(ISNUMBER(SEARCH("Group",D1995)),IF(G1995="",E1995,IFERROR(E1995/COUNTIF($G2:$G6000,G1995),E1995)),E1995)</f>
        <v>0</v>
      </c>
      <c r="I1995" s="1" t="str">
        <f>IFERROR(VLOOKUP(C1995,'Clients List'!A:F,6,FALSE),"")</f>
        <v/>
      </c>
    </row>
    <row r="1996" spans="4:9" x14ac:dyDescent="0.45">
      <c r="D1996" t="str">
        <f>IFERROR(VLOOKUP(C1996,'Clients List'!$A:$F,2,FALSE),"")</f>
        <v/>
      </c>
      <c r="F1996" s="1" t="str">
        <f>IF(OR(C1996="",NOT(ISNUMBER(SEARCH("Package",D1996)))),"",VLOOKUP(C1996,'Clients List'!$A:$F,4,FALSE)-SUMIFS($E$2:$E1996,$C$2:$C1996,C1996,$D$2:$D1996,"*Package*"))</f>
        <v/>
      </c>
      <c r="G1996" t="str">
        <f t="shared" si="64"/>
        <v/>
      </c>
      <c r="H1996" s="33">
        <f>IF(ISNUMBER(SEARCH("Group",D1996)),IF(G1996="",E1996,IFERROR(E1996/COUNTIF($G2:$G6000,G1996),E1996)),E1996)</f>
        <v>0</v>
      </c>
      <c r="I1996" s="1" t="str">
        <f>IFERROR(VLOOKUP(C1996,'Clients List'!A:F,6,FALSE),"")</f>
        <v/>
      </c>
    </row>
    <row r="1997" spans="4:9" x14ac:dyDescent="0.45">
      <c r="D1997" t="str">
        <f>IFERROR(VLOOKUP(C1997,'Clients List'!$A:$F,2,FALSE),"")</f>
        <v/>
      </c>
      <c r="F1997" s="1" t="str">
        <f>IF(OR(C1997="",NOT(ISNUMBER(SEARCH("Package",D1997)))),"",VLOOKUP(C1997,'Clients List'!$A:$F,4,FALSE)-SUMIFS($E$2:$E1997,$C$2:$C1997,C1997,$D$2:$D1997,"*Package*"))</f>
        <v/>
      </c>
      <c r="G1997" t="str">
        <f t="shared" si="64"/>
        <v/>
      </c>
      <c r="H1997" s="33">
        <f>IF(ISNUMBER(SEARCH("Group",D1997)),IF(G1997="",E1997,IFERROR(E1997/COUNTIF($G2:$G6000,G1997),E1997)),E1997)</f>
        <v>0</v>
      </c>
      <c r="I1997" s="1" t="str">
        <f>IFERROR(VLOOKUP(C1997,'Clients List'!A:F,6,FALSE),"")</f>
        <v/>
      </c>
    </row>
    <row r="1998" spans="4:9" x14ac:dyDescent="0.45">
      <c r="D1998" t="str">
        <f>IFERROR(VLOOKUP(C1998,'Clients List'!$A:$F,2,FALSE),"")</f>
        <v/>
      </c>
      <c r="F1998" s="1" t="str">
        <f>IF(OR(C1998="",NOT(ISNUMBER(SEARCH("Package",D1998)))),"",VLOOKUP(C1998,'Clients List'!$A:$F,4,FALSE)-SUMIFS($E$2:$E1998,$C$2:$C1998,C1998,$D$2:$D1998,"*Package*"))</f>
        <v/>
      </c>
      <c r="G1998" t="str">
        <f t="shared" si="64"/>
        <v/>
      </c>
      <c r="H1998" s="33">
        <f>IF(ISNUMBER(SEARCH("Group",D1998)),IF(G1998="",E1998,IFERROR(E1998/COUNTIF($G2:$G6000,G1998),E1998)),E1998)</f>
        <v>0</v>
      </c>
      <c r="I1998" s="1" t="str">
        <f>IFERROR(VLOOKUP(C1998,'Clients List'!A:F,6,FALSE),"")</f>
        <v/>
      </c>
    </row>
    <row r="1999" spans="4:9" x14ac:dyDescent="0.45">
      <c r="D1999" t="str">
        <f>IFERROR(VLOOKUP(C1999,'Clients List'!$A:$F,2,FALSE),"")</f>
        <v/>
      </c>
      <c r="F1999" s="1" t="str">
        <f>IF(OR(C1999="",NOT(ISNUMBER(SEARCH("Package",D1999)))),"",VLOOKUP(C1999,'Clients List'!$A:$F,4,FALSE)-SUMIFS($E$2:$E1999,$C$2:$C1999,C1999,$D$2:$D1999,"*Package*"))</f>
        <v/>
      </c>
      <c r="G1999" t="str">
        <f t="shared" si="64"/>
        <v/>
      </c>
      <c r="H1999" s="33">
        <f>IF(ISNUMBER(SEARCH("Group",D1999)),IF(G1999="",E1999,IFERROR(E1999/COUNTIF($G2:$G6000,G1999),E1999)),E1999)</f>
        <v>0</v>
      </c>
      <c r="I1999" s="1" t="str">
        <f>IFERROR(VLOOKUP(C1999,'Clients List'!A:F,6,FALSE),"")</f>
        <v/>
      </c>
    </row>
    <row r="2000" spans="4:9" x14ac:dyDescent="0.45">
      <c r="D2000" t="str">
        <f>IFERROR(VLOOKUP(C2000,'Clients List'!$A:$F,2,FALSE),"")</f>
        <v/>
      </c>
      <c r="F2000" s="1" t="str">
        <f>IF(OR(C2000="",NOT(ISNUMBER(SEARCH("Package",D2000)))),"",VLOOKUP(C2000,'Clients List'!$A:$F,4,FALSE)-SUMIFS($E$2:$E2000,$C$2:$C2000,C2000,$D$2:$D2000,"*Package*"))</f>
        <v/>
      </c>
      <c r="G2000" t="str">
        <f t="shared" si="64"/>
        <v/>
      </c>
      <c r="H2000" s="33">
        <f>IF(ISNUMBER(SEARCH("Group",D2000)),IF(G2000="",E2000,IFERROR(E2000/COUNTIF($G2:$G6000,G2000),E2000)),E2000)</f>
        <v>0</v>
      </c>
      <c r="I2000" s="1" t="str">
        <f>IFERROR(VLOOKUP(C2000,'Clients List'!A:F,6,FALSE),"")</f>
        <v/>
      </c>
    </row>
    <row r="2001" spans="4:9" x14ac:dyDescent="0.45">
      <c r="D2001" t="str">
        <f>IFERROR(VLOOKUP(C2001,'Clients List'!$A:$F,2,FALSE),"")</f>
        <v/>
      </c>
      <c r="F2001" s="1" t="str">
        <f>IF(OR(C2001="",NOT(ISNUMBER(SEARCH("Package",D2001)))),"",VLOOKUP(C2001,'Clients List'!$A:$F,4,FALSE)-SUMIFS($E$2:$E2001,$C$2:$C2001,C2001,$D$2:$D2001,"*Package*"))</f>
        <v/>
      </c>
      <c r="G2001" t="str">
        <f t="shared" si="64"/>
        <v/>
      </c>
      <c r="H2001" s="33">
        <f>IF(ISNUMBER(SEARCH("Group",D2001)),IF(G2001="",E2001,IFERROR(E2001/COUNTIF($G2:$G6000,G2001),E2001)),E2001)</f>
        <v>0</v>
      </c>
      <c r="I2001" s="1" t="str">
        <f>IFERROR(VLOOKUP(C2001,'Clients List'!A:F,6,FALSE),"")</f>
        <v/>
      </c>
    </row>
    <row r="2002" spans="4:9" x14ac:dyDescent="0.45">
      <c r="D2002" t="str">
        <f>IFERROR(VLOOKUP(C2002,'Clients List'!$A:$F,2,FALSE),"")</f>
        <v/>
      </c>
      <c r="F2002" s="1" t="str">
        <f>IF(OR(C2002="",NOT(ISNUMBER(SEARCH("Package",D2002)))),"",VLOOKUP(C2002,'Clients List'!$A:$F,4,FALSE)-SUMIFS($E$2:$E2002,$C$2:$C2002,C2002,$D$2:$D2002,"*Package*"))</f>
        <v/>
      </c>
      <c r="G2002" t="str">
        <f t="shared" si="64"/>
        <v/>
      </c>
      <c r="H2002" s="33">
        <f>IF(ISNUMBER(SEARCH("Group",D2002)),IF(G2002="",E2002,IFERROR(E2002/COUNTIF($G2:$G6000,G2002),E2002)),E2002)</f>
        <v>0</v>
      </c>
      <c r="I2002" s="1" t="str">
        <f>IFERROR(VLOOKUP(C2002,'Clients List'!A:F,6,FALSE),"")</f>
        <v/>
      </c>
    </row>
    <row r="2003" spans="4:9" x14ac:dyDescent="0.45">
      <c r="D2003" t="str">
        <f>IFERROR(VLOOKUP(C2003,'Clients List'!$A:$F,2,FALSE),"")</f>
        <v/>
      </c>
      <c r="F2003" s="1" t="str">
        <f>IF(OR(C2003="",NOT(ISNUMBER(SEARCH("Package",D2003)))),"",VLOOKUP(C2003,'Clients List'!$A:$F,4,FALSE)-SUMIFS($E$2:$E2003,$C$2:$C2003,C2003,$D$2:$D2003,"*Package*"))</f>
        <v/>
      </c>
      <c r="G2003" t="str">
        <f t="shared" si="64"/>
        <v/>
      </c>
      <c r="H2003" s="33">
        <f>IF(ISNUMBER(SEARCH("Group",D2003)),IF(G2003="",E2003,IFERROR(E2003/COUNTIF($G2:$G6000,G2003),E2003)),E2003)</f>
        <v>0</v>
      </c>
      <c r="I2003" s="1" t="str">
        <f>IFERROR(VLOOKUP(C2003,'Clients List'!A:F,6,FALSE),"")</f>
        <v/>
      </c>
    </row>
    <row r="2004" spans="4:9" x14ac:dyDescent="0.45">
      <c r="D2004" t="str">
        <f>IFERROR(VLOOKUP(C2004,'Clients List'!$A:$F,2,FALSE),"")</f>
        <v/>
      </c>
      <c r="F2004" s="1" t="str">
        <f>IF(OR(C2004="",NOT(ISNUMBER(SEARCH("Package",D2004)))),"",VLOOKUP(C2004,'Clients List'!$A:$F,4,FALSE)-SUMIFS($E$2:$E2004,$C$2:$C2004,C2004,$D$2:$D2004,"*Package*"))</f>
        <v/>
      </c>
      <c r="G2004" t="str">
        <f t="shared" si="64"/>
        <v/>
      </c>
      <c r="H2004" s="33">
        <f>IF(ISNUMBER(SEARCH("Group",D2004)),IF(G2004="",E2004,IFERROR(E2004/COUNTIF($G2:$G6000,G2004),E2004)),E2004)</f>
        <v>0</v>
      </c>
      <c r="I2004" s="1" t="str">
        <f>IFERROR(VLOOKUP(C2004,'Clients List'!A:F,6,FALSE),"")</f>
        <v/>
      </c>
    </row>
    <row r="2005" spans="4:9" x14ac:dyDescent="0.45">
      <c r="D2005" t="str">
        <f>IFERROR(VLOOKUP(C2005,'Clients List'!$A:$F,2,FALSE),"")</f>
        <v/>
      </c>
      <c r="F2005" s="1" t="str">
        <f>IF(OR(C2005="",NOT(ISNUMBER(SEARCH("Package",D2005)))),"",VLOOKUP(C2005,'Clients List'!$A:$F,4,FALSE)-SUMIFS($E$2:$E2005,$C$2:$C2005,C2005,$D$2:$D2005,"*Package*"))</f>
        <v/>
      </c>
      <c r="G2005" t="str">
        <f t="shared" si="64"/>
        <v/>
      </c>
      <c r="H2005" s="33">
        <f>IF(ISNUMBER(SEARCH("Group",D2005)),IF(G2005="",E2005,IFERROR(E2005/COUNTIF($G2:$G6000,G2005),E2005)),E2005)</f>
        <v>0</v>
      </c>
      <c r="I2005" s="1" t="str">
        <f>IFERROR(VLOOKUP(C2005,'Clients List'!A:F,6,FALSE),"")</f>
        <v/>
      </c>
    </row>
    <row r="2006" spans="4:9" x14ac:dyDescent="0.45">
      <c r="D2006" t="str">
        <f>IFERROR(VLOOKUP(C2006,'Clients List'!$A:$F,2,FALSE),"")</f>
        <v/>
      </c>
      <c r="F2006" s="1" t="str">
        <f>IF(OR(C2006="",NOT(ISNUMBER(SEARCH("Package",D2006)))),"",VLOOKUP(C2006,'Clients List'!$A:$F,4,FALSE)-SUMIFS($E$2:$E2006,$C$2:$C2006,C2006,$D$2:$D2006,"*Package*"))</f>
        <v/>
      </c>
      <c r="G2006" t="str">
        <f t="shared" si="64"/>
        <v/>
      </c>
      <c r="H2006" s="33">
        <f>IF(ISNUMBER(SEARCH("Group",D2006)),IF(G2006="",E2006,IFERROR(E2006/COUNTIF($G2:$G6000,G2006),E2006)),E2006)</f>
        <v>0</v>
      </c>
      <c r="I2006" s="1" t="str">
        <f>IFERROR(VLOOKUP(C2006,'Clients List'!A:F,6,FALSE),"")</f>
        <v/>
      </c>
    </row>
    <row r="2007" spans="4:9" x14ac:dyDescent="0.45">
      <c r="D2007" t="str">
        <f>IFERROR(VLOOKUP(C2007,'Clients List'!$A:$F,2,FALSE),"")</f>
        <v/>
      </c>
      <c r="F2007" s="1" t="str">
        <f>IF(OR(C2007="",NOT(ISNUMBER(SEARCH("Package",D2007)))),"",VLOOKUP(C2007,'Clients List'!$A:$F,4,FALSE)-SUMIFS($E$2:$E2007,$C$2:$C2007,C2007,$D$2:$D2007,"*Package*"))</f>
        <v/>
      </c>
      <c r="G2007" t="str">
        <f t="shared" si="64"/>
        <v/>
      </c>
      <c r="H2007" s="33">
        <f>IF(ISNUMBER(SEARCH("Group",D2007)),IF(G2007="",E2007,IFERROR(E2007/COUNTIF($G2:$G6000,G2007),E2007)),E2007)</f>
        <v>0</v>
      </c>
      <c r="I2007" s="1" t="str">
        <f>IFERROR(VLOOKUP(C2007,'Clients List'!A:F,6,FALSE),"")</f>
        <v/>
      </c>
    </row>
    <row r="2008" spans="4:9" x14ac:dyDescent="0.45">
      <c r="D2008" t="str">
        <f>IFERROR(VLOOKUP(C2008,'Clients List'!$A:$F,2,FALSE),"")</f>
        <v/>
      </c>
      <c r="F2008" s="1" t="str">
        <f>IF(OR(C2008="",NOT(ISNUMBER(SEARCH("Package",D2008)))),"",VLOOKUP(C2008,'Clients List'!$A:$F,4,FALSE)-SUMIFS($E$2:$E2008,$C$2:$C2008,C2008,$D$2:$D2008,"*Package*"))</f>
        <v/>
      </c>
      <c r="G2008" t="str">
        <f t="shared" si="64"/>
        <v/>
      </c>
      <c r="H2008" s="33">
        <f>IF(ISNUMBER(SEARCH("Group",D2008)),IF(G2008="",E2008,IFERROR(E2008/COUNTIF($G2:$G6000,G2008),E2008)),E2008)</f>
        <v>0</v>
      </c>
      <c r="I2008" s="1" t="str">
        <f>IFERROR(VLOOKUP(C2008,'Clients List'!A:F,6,FALSE),"")</f>
        <v/>
      </c>
    </row>
    <row r="2009" spans="4:9" x14ac:dyDescent="0.45">
      <c r="D2009" t="str">
        <f>IFERROR(VLOOKUP(C2009,'Clients List'!$A:$F,2,FALSE),"")</f>
        <v/>
      </c>
      <c r="F2009" s="1" t="str">
        <f>IF(OR(C2009="",NOT(ISNUMBER(SEARCH("Package",D2009)))),"",VLOOKUP(C2009,'Clients List'!$A:$F,4,FALSE)-SUMIFS($E$2:$E2009,$C$2:$C2009,C2009,$D$2:$D2009,"*Package*"))</f>
        <v/>
      </c>
      <c r="G2009" t="str">
        <f t="shared" si="64"/>
        <v/>
      </c>
      <c r="H2009" s="33">
        <f>IF(ISNUMBER(SEARCH("Group",D2009)),IF(G2009="",E2009,IFERROR(E2009/COUNTIF($G2:$G6000,G2009),E2009)),E2009)</f>
        <v>0</v>
      </c>
      <c r="I2009" s="1" t="str">
        <f>IFERROR(VLOOKUP(C2009,'Clients List'!A:F,6,FALSE),"")</f>
        <v/>
      </c>
    </row>
    <row r="2010" spans="4:9" x14ac:dyDescent="0.45">
      <c r="D2010" t="str">
        <f>IFERROR(VLOOKUP(C2010,'Clients List'!$A:$F,2,FALSE),"")</f>
        <v/>
      </c>
      <c r="F2010" s="1" t="str">
        <f>IF(OR(C2010="",NOT(ISNUMBER(SEARCH("Package",D2010)))),"",VLOOKUP(C2010,'Clients List'!$A:$F,4,FALSE)-SUMIFS($E$2:$E2010,$C$2:$C2010,C2010,$D$2:$D2010,"*Package*"))</f>
        <v/>
      </c>
      <c r="G2010" t="str">
        <f t="shared" si="64"/>
        <v/>
      </c>
      <c r="H2010" s="33">
        <f>IF(ISNUMBER(SEARCH("Group",D2010)),IF(G2010="",E2010,IFERROR(E2010/COUNTIF($G2:$G6000,G2010),E2010)),E2010)</f>
        <v>0</v>
      </c>
      <c r="I2010" s="1" t="str">
        <f>IFERROR(VLOOKUP(C2010,'Clients List'!A:F,6,FALSE),"")</f>
        <v/>
      </c>
    </row>
    <row r="2011" spans="4:9" x14ac:dyDescent="0.45">
      <c r="D2011" t="str">
        <f>IFERROR(VLOOKUP(C2011,'Clients List'!$A:$F,2,FALSE),"")</f>
        <v/>
      </c>
      <c r="F2011" s="1" t="str">
        <f>IF(OR(C2011="",NOT(ISNUMBER(SEARCH("Package",D2011)))),"",VLOOKUP(C2011,'Clients List'!$A:$F,4,FALSE)-SUMIFS($E$2:$E2011,$C$2:$C2011,C2011,$D$2:$D2011,"*Package*"))</f>
        <v/>
      </c>
      <c r="G2011" t="str">
        <f t="shared" si="64"/>
        <v/>
      </c>
      <c r="H2011" s="33">
        <f>IF(ISNUMBER(SEARCH("Group",D2011)),IF(G2011="",E2011,IFERROR(E2011/COUNTIF($G2:$G6000,G2011),E2011)),E2011)</f>
        <v>0</v>
      </c>
      <c r="I2011" s="1" t="str">
        <f>IFERROR(VLOOKUP(C2011,'Clients List'!A:F,6,FALSE),"")</f>
        <v/>
      </c>
    </row>
    <row r="2012" spans="4:9" x14ac:dyDescent="0.45">
      <c r="D2012" t="str">
        <f>IFERROR(VLOOKUP(C2012,'Clients List'!$A:$F,2,FALSE),"")</f>
        <v/>
      </c>
      <c r="F2012" s="1" t="str">
        <f>IF(OR(C2012="",NOT(ISNUMBER(SEARCH("Package",D2012)))),"",VLOOKUP(C2012,'Clients List'!$A:$F,4,FALSE)-SUMIFS($E$2:$E2012,$C$2:$C2012,C2012,$D$2:$D2012,"*Package*"))</f>
        <v/>
      </c>
      <c r="G2012" t="str">
        <f t="shared" si="64"/>
        <v/>
      </c>
      <c r="H2012" s="33">
        <f>IF(ISNUMBER(SEARCH("Group",D2012)),IF(G2012="",E2012,IFERROR(E2012/COUNTIF($G2:$G6000,G2012),E2012)),E2012)</f>
        <v>0</v>
      </c>
      <c r="I2012" s="1" t="str">
        <f>IFERROR(VLOOKUP(C2012,'Clients List'!A:F,6,FALSE),"")</f>
        <v/>
      </c>
    </row>
    <row r="2013" spans="4:9" x14ac:dyDescent="0.45">
      <c r="D2013" t="str">
        <f>IFERROR(VLOOKUP(C2013,'Clients List'!$A:$F,2,FALSE),"")</f>
        <v/>
      </c>
      <c r="F2013" s="1" t="str">
        <f>IF(OR(C2013="",NOT(ISNUMBER(SEARCH("Package",D2013)))),"",VLOOKUP(C2013,'Clients List'!$A:$F,4,FALSE)-SUMIFS($E$2:$E2013,$C$2:$C2013,C2013,$D$2:$D2013,"*Package*"))</f>
        <v/>
      </c>
      <c r="G2013" t="str">
        <f t="shared" si="64"/>
        <v/>
      </c>
      <c r="H2013" s="33">
        <f>IF(ISNUMBER(SEARCH("Group",D2013)),IF(G2013="",E2013,IFERROR(E2013/COUNTIF($G2:$G6000,G2013),E2013)),E2013)</f>
        <v>0</v>
      </c>
      <c r="I2013" s="1" t="str">
        <f>IFERROR(VLOOKUP(C2013,'Clients List'!A:F,6,FALSE),"")</f>
        <v/>
      </c>
    </row>
    <row r="2014" spans="4:9" x14ac:dyDescent="0.45">
      <c r="D2014" t="str">
        <f>IFERROR(VLOOKUP(C2014,'Clients List'!$A:$F,2,FALSE),"")</f>
        <v/>
      </c>
      <c r="F2014" s="1" t="str">
        <f>IF(OR(C2014="",NOT(ISNUMBER(SEARCH("Package",D2014)))),"",VLOOKUP(C2014,'Clients List'!$A:$F,4,FALSE)-SUMIFS($E$2:$E2014,$C$2:$C2014,C2014,$D$2:$D2014,"*Package*"))</f>
        <v/>
      </c>
      <c r="G2014" t="str">
        <f t="shared" si="64"/>
        <v/>
      </c>
      <c r="H2014" s="33">
        <f>IF(ISNUMBER(SEARCH("Group",D2014)),IF(G2014="",E2014,IFERROR(E2014/COUNTIF($G2:$G6000,G2014),E2014)),E2014)</f>
        <v>0</v>
      </c>
      <c r="I2014" s="1" t="str">
        <f>IFERROR(VLOOKUP(C2014,'Clients List'!A:F,6,FALSE),"")</f>
        <v/>
      </c>
    </row>
    <row r="2015" spans="4:9" x14ac:dyDescent="0.45">
      <c r="D2015" t="str">
        <f>IFERROR(VLOOKUP(C2015,'Clients List'!$A:$F,2,FALSE),"")</f>
        <v/>
      </c>
      <c r="F2015" s="1" t="str">
        <f>IF(OR(C2015="",NOT(ISNUMBER(SEARCH("Package",D2015)))),"",VLOOKUP(C2015,'Clients List'!$A:$F,4,FALSE)-SUMIFS($E$2:$E2015,$C$2:$C2015,C2015,$D$2:$D2015,"*Package*"))</f>
        <v/>
      </c>
      <c r="G2015" t="str">
        <f t="shared" si="64"/>
        <v/>
      </c>
      <c r="H2015" s="33">
        <f>IF(ISNUMBER(SEARCH("Group",D2015)),IF(G2015="",E2015,IFERROR(E2015/COUNTIF($G2:$G6000,G2015),E2015)),E2015)</f>
        <v>0</v>
      </c>
      <c r="I2015" s="1" t="str">
        <f>IFERROR(VLOOKUP(C2015,'Clients List'!A:F,6,FALSE),"")</f>
        <v/>
      </c>
    </row>
    <row r="2016" spans="4:9" x14ac:dyDescent="0.45">
      <c r="D2016" t="str">
        <f>IFERROR(VLOOKUP(C2016,'Clients List'!$A:$F,2,FALSE),"")</f>
        <v/>
      </c>
      <c r="F2016" s="1" t="str">
        <f>IF(OR(C2016="",NOT(ISNUMBER(SEARCH("Package",D2016)))),"",VLOOKUP(C2016,'Clients List'!$A:$F,4,FALSE)-SUMIFS($E$2:$E2016,$C$2:$C2016,C2016,$D$2:$D2016,"*Package*"))</f>
        <v/>
      </c>
      <c r="G2016" t="str">
        <f t="shared" si="64"/>
        <v/>
      </c>
      <c r="H2016" s="33">
        <f>IF(ISNUMBER(SEARCH("Group",D2016)),IF(G2016="",E2016,IFERROR(E2016/COUNTIF($G2:$G6000,G2016),E2016)),E2016)</f>
        <v>0</v>
      </c>
      <c r="I2016" s="1" t="str">
        <f>IFERROR(VLOOKUP(C2016,'Clients List'!A:F,6,FALSE),"")</f>
        <v/>
      </c>
    </row>
    <row r="2017" spans="4:9" x14ac:dyDescent="0.45">
      <c r="D2017" t="str">
        <f>IFERROR(VLOOKUP(C2017,'Clients List'!$A:$F,2,FALSE),"")</f>
        <v/>
      </c>
      <c r="F2017" s="1" t="str">
        <f>IF(OR(C2017="",NOT(ISNUMBER(SEARCH("Package",D2017)))),"",VLOOKUP(C2017,'Clients List'!$A:$F,4,FALSE)-SUMIFS($E$2:$E2017,$C$2:$C2017,C2017,$D$2:$D2017,"*Package*"))</f>
        <v/>
      </c>
      <c r="G2017" t="str">
        <f t="shared" si="64"/>
        <v/>
      </c>
      <c r="H2017" s="33">
        <f>IF(ISNUMBER(SEARCH("Group",D2017)),IF(G2017="",E2017,IFERROR(E2017/COUNTIF($G2:$G6000,G2017),E2017)),E2017)</f>
        <v>0</v>
      </c>
      <c r="I2017" s="1" t="str">
        <f>IFERROR(VLOOKUP(C2017,'Clients List'!A:F,6,FALSE),"")</f>
        <v/>
      </c>
    </row>
    <row r="2018" spans="4:9" x14ac:dyDescent="0.45">
      <c r="D2018" t="str">
        <f>IFERROR(VLOOKUP(C2018,'Clients List'!$A:$F,2,FALSE),"")</f>
        <v/>
      </c>
      <c r="F2018" s="1" t="str">
        <f>IF(OR(C2018="",NOT(ISNUMBER(SEARCH("Package",D2018)))),"",VLOOKUP(C2018,'Clients List'!$A:$F,4,FALSE)-SUMIFS($E$2:$E2018,$C$2:$C2018,C2018,$D$2:$D2018,"*Package*"))</f>
        <v/>
      </c>
      <c r="G2018" t="str">
        <f t="shared" si="64"/>
        <v/>
      </c>
      <c r="H2018" s="33">
        <f>IF(ISNUMBER(SEARCH("Group",D2018)),IF(G2018="",E2018,IFERROR(E2018/COUNTIF($G2:$G6000,G2018),E2018)),E2018)</f>
        <v>0</v>
      </c>
      <c r="I2018" s="1" t="str">
        <f>IFERROR(VLOOKUP(C2018,'Clients List'!A:F,6,FALSE),"")</f>
        <v/>
      </c>
    </row>
    <row r="2019" spans="4:9" x14ac:dyDescent="0.45">
      <c r="D2019" t="str">
        <f>IFERROR(VLOOKUP(C2019,'Clients List'!$A:$F,2,FALSE),"")</f>
        <v/>
      </c>
      <c r="F2019" s="1" t="str">
        <f>IF(OR(C2019="",NOT(ISNUMBER(SEARCH("Package",D2019)))),"",VLOOKUP(C2019,'Clients List'!$A:$F,4,FALSE)-SUMIFS($E$2:$E2019,$C$2:$C2019,C2019,$D$2:$D2019,"*Package*"))</f>
        <v/>
      </c>
      <c r="G2019" t="str">
        <f t="shared" si="64"/>
        <v/>
      </c>
      <c r="H2019" s="33">
        <f>IF(ISNUMBER(SEARCH("Group",D2019)),IF(G2019="",E2019,IFERROR(E2019/COUNTIF($G2:$G6000,G2019),E2019)),E2019)</f>
        <v>0</v>
      </c>
      <c r="I2019" s="1" t="str">
        <f>IFERROR(VLOOKUP(C2019,'Clients List'!A:F,6,FALSE),"")</f>
        <v/>
      </c>
    </row>
    <row r="2020" spans="4:9" x14ac:dyDescent="0.45">
      <c r="D2020" t="str">
        <f>IFERROR(VLOOKUP(C2020,'Clients List'!$A:$F,2,FALSE),"")</f>
        <v/>
      </c>
      <c r="F2020" s="1" t="str">
        <f>IF(OR(C2020="",NOT(ISNUMBER(SEARCH("Package",D2020)))),"",VLOOKUP(C2020,'Clients List'!$A:$F,4,FALSE)-SUMIFS($E$2:$E2020,$C$2:$C2020,C2020,$D$2:$D2020,"*Package*"))</f>
        <v/>
      </c>
      <c r="G2020" t="str">
        <f t="shared" si="64"/>
        <v/>
      </c>
      <c r="H2020" s="33">
        <f>IF(ISNUMBER(SEARCH("Group",D2020)),IF(G2020="",E2020,IFERROR(E2020/COUNTIF($G2:$G6000,G2020),E2020)),E2020)</f>
        <v>0</v>
      </c>
      <c r="I2020" s="1" t="str">
        <f>IFERROR(VLOOKUP(C2020,'Clients List'!A:F,6,FALSE),"")</f>
        <v/>
      </c>
    </row>
    <row r="2021" spans="4:9" x14ac:dyDescent="0.45">
      <c r="D2021" t="str">
        <f>IFERROR(VLOOKUP(C2021,'Clients List'!$A:$F,2,FALSE),"")</f>
        <v/>
      </c>
      <c r="F2021" s="1" t="str">
        <f>IF(OR(C2021="",NOT(ISNUMBER(SEARCH("Package",D2021)))),"",VLOOKUP(C2021,'Clients List'!$A:$F,4,FALSE)-SUMIFS($E$2:$E2021,$C$2:$C2021,C2021,$D$2:$D2021,"*Package*"))</f>
        <v/>
      </c>
      <c r="G2021" t="str">
        <f t="shared" si="64"/>
        <v/>
      </c>
      <c r="H2021" s="33">
        <f>IF(ISNUMBER(SEARCH("Group",D2021)),IF(G2021="",E2021,IFERROR(E2021/COUNTIF($G2:$G6000,G2021),E2021)),E2021)</f>
        <v>0</v>
      </c>
      <c r="I2021" s="1" t="str">
        <f>IFERROR(VLOOKUP(C2021,'Clients List'!A:F,6,FALSE),"")</f>
        <v/>
      </c>
    </row>
    <row r="2022" spans="4:9" x14ac:dyDescent="0.45">
      <c r="D2022" t="str">
        <f>IFERROR(VLOOKUP(C2022,'Clients List'!$A:$F,2,FALSE),"")</f>
        <v/>
      </c>
      <c r="F2022" s="1" t="str">
        <f>IF(OR(C2022="",NOT(ISNUMBER(SEARCH("Package",D2022)))),"",VLOOKUP(C2022,'Clients List'!$A:$F,4,FALSE)-SUMIFS($E$2:$E2022,$C$2:$C2022,C2022,$D$2:$D2022,"*Package*"))</f>
        <v/>
      </c>
      <c r="G2022" t="str">
        <f t="shared" si="64"/>
        <v/>
      </c>
      <c r="H2022" s="33">
        <f>IF(ISNUMBER(SEARCH("Group",D2022)),IF(G2022="",E2022,IFERROR(E2022/COUNTIF($G2:$G6000,G2022),E2022)),E2022)</f>
        <v>0</v>
      </c>
      <c r="I2022" s="1" t="str">
        <f>IFERROR(VLOOKUP(C2022,'Clients List'!A:F,6,FALSE),"")</f>
        <v/>
      </c>
    </row>
    <row r="2023" spans="4:9" x14ac:dyDescent="0.45">
      <c r="D2023" t="str">
        <f>IFERROR(VLOOKUP(C2023,'Clients List'!$A:$F,2,FALSE),"")</f>
        <v/>
      </c>
      <c r="F2023" s="1" t="str">
        <f>IF(OR(C2023="",NOT(ISNUMBER(SEARCH("Package",D2023)))),"",VLOOKUP(C2023,'Clients List'!$A:$F,4,FALSE)-SUMIFS($E$2:$E2023,$C$2:$C2023,C2023,$D$2:$D2023,"*Package*"))</f>
        <v/>
      </c>
      <c r="G2023" t="str">
        <f t="shared" si="64"/>
        <v/>
      </c>
      <c r="H2023" s="33">
        <f>IF(ISNUMBER(SEARCH("Group",D2023)),IF(G2023="",E2023,IFERROR(E2023/COUNTIF($G2:$G6000,G2023),E2023)),E2023)</f>
        <v>0</v>
      </c>
      <c r="I2023" s="1" t="str">
        <f>IFERROR(VLOOKUP(C2023,'Clients List'!A:F,6,FALSE),"")</f>
        <v/>
      </c>
    </row>
    <row r="2024" spans="4:9" x14ac:dyDescent="0.45">
      <c r="D2024" t="str">
        <f>IFERROR(VLOOKUP(C2024,'Clients List'!$A:$F,2,FALSE),"")</f>
        <v/>
      </c>
      <c r="F2024" s="1" t="str">
        <f>IF(OR(C2024="",NOT(ISNUMBER(SEARCH("Package",D2024)))),"",VLOOKUP(C2024,'Clients List'!$A:$F,4,FALSE)-SUMIFS($E$2:$E2024,$C$2:$C2024,C2024,$D$2:$D2024,"*Package*"))</f>
        <v/>
      </c>
      <c r="G2024" t="str">
        <f t="shared" si="64"/>
        <v/>
      </c>
      <c r="H2024" s="33">
        <f>IF(ISNUMBER(SEARCH("Group",D2024)),IF(G2024="",E2024,IFERROR(E2024/COUNTIF($G2:$G6000,G2024),E2024)),E2024)</f>
        <v>0</v>
      </c>
      <c r="I2024" s="1" t="str">
        <f>IFERROR(VLOOKUP(C2024,'Clients List'!A:F,6,FALSE),"")</f>
        <v/>
      </c>
    </row>
    <row r="2025" spans="4:9" x14ac:dyDescent="0.45">
      <c r="D2025" t="str">
        <f>IFERROR(VLOOKUP(C2025,'Clients List'!$A:$F,2,FALSE),"")</f>
        <v/>
      </c>
      <c r="F2025" s="1" t="str">
        <f>IF(OR(C2025="",NOT(ISNUMBER(SEARCH("Package",D2025)))),"",VLOOKUP(C2025,'Clients List'!$A:$F,4,FALSE)-SUMIFS($E$2:$E2025,$C$2:$C2025,C2025,$D$2:$D2025,"*Package*"))</f>
        <v/>
      </c>
      <c r="G2025" t="str">
        <f t="shared" si="64"/>
        <v/>
      </c>
      <c r="H2025" s="33">
        <f>IF(ISNUMBER(SEARCH("Group",D2025)),IF(G2025="",E2025,IFERROR(E2025/COUNTIF($G2:$G6000,G2025),E2025)),E2025)</f>
        <v>0</v>
      </c>
      <c r="I2025" s="1" t="str">
        <f>IFERROR(VLOOKUP(C2025,'Clients List'!A:F,6,FALSE),"")</f>
        <v/>
      </c>
    </row>
    <row r="2026" spans="4:9" x14ac:dyDescent="0.45">
      <c r="D2026" t="str">
        <f>IFERROR(VLOOKUP(C2026,'Clients List'!$A:$F,2,FALSE),"")</f>
        <v/>
      </c>
      <c r="F2026" s="1" t="str">
        <f>IF(OR(C2026="",NOT(ISNUMBER(SEARCH("Package",D2026)))),"",VLOOKUP(C2026,'Clients List'!$A:$F,4,FALSE)-SUMIFS($E$2:$E2026,$C$2:$C2026,C2026,$D$2:$D2026,"*Package*"))</f>
        <v/>
      </c>
      <c r="G2026" t="str">
        <f t="shared" si="64"/>
        <v/>
      </c>
      <c r="H2026" s="33">
        <f>IF(ISNUMBER(SEARCH("Group",D2026)),IF(G2026="",E2026,IFERROR(E2026/COUNTIF($G2:$G6000,G2026),E2026)),E2026)</f>
        <v>0</v>
      </c>
      <c r="I2026" s="1" t="str">
        <f>IFERROR(VLOOKUP(C2026,'Clients List'!A:F,6,FALSE),"")</f>
        <v/>
      </c>
    </row>
    <row r="2027" spans="4:9" x14ac:dyDescent="0.45">
      <c r="D2027" t="str">
        <f>IFERROR(VLOOKUP(C2027,'Clients List'!$A:$F,2,FALSE),"")</f>
        <v/>
      </c>
      <c r="F2027" s="1" t="str">
        <f>IF(OR(C2027="",NOT(ISNUMBER(SEARCH("Package",D2027)))),"",VLOOKUP(C2027,'Clients List'!$A:$F,4,FALSE)-SUMIFS($E$2:$E2027,$C$2:$C2027,C2027,$D$2:$D2027,"*Package*"))</f>
        <v/>
      </c>
      <c r="G2027" t="str">
        <f t="shared" si="64"/>
        <v/>
      </c>
      <c r="H2027" s="33">
        <f>IF(ISNUMBER(SEARCH("Group",D2027)),IF(G2027="",E2027,IFERROR(E2027/COUNTIF($G2:$G6000,G2027),E2027)),E2027)</f>
        <v>0</v>
      </c>
      <c r="I2027" s="1" t="str">
        <f>IFERROR(VLOOKUP(C2027,'Clients List'!A:F,6,FALSE),"")</f>
        <v/>
      </c>
    </row>
    <row r="2028" spans="4:9" x14ac:dyDescent="0.45">
      <c r="D2028" t="str">
        <f>IFERROR(VLOOKUP(C2028,'Clients List'!$A:$F,2,FALSE),"")</f>
        <v/>
      </c>
      <c r="F2028" s="1" t="str">
        <f>IF(OR(C2028="",NOT(ISNUMBER(SEARCH("Package",D2028)))),"",VLOOKUP(C2028,'Clients List'!$A:$F,4,FALSE)-SUMIFS($E$2:$E2028,$C$2:$C2028,C2028,$D$2:$D2028,"*Package*"))</f>
        <v/>
      </c>
      <c r="G2028" t="str">
        <f t="shared" si="64"/>
        <v/>
      </c>
      <c r="H2028" s="33">
        <f>IF(ISNUMBER(SEARCH("Group",D2028)),IF(G2028="",E2028,IFERROR(E2028/COUNTIF($G2:$G6000,G2028),E2028)),E2028)</f>
        <v>0</v>
      </c>
      <c r="I2028" s="1" t="str">
        <f>IFERROR(VLOOKUP(C2028,'Clients List'!A:F,6,FALSE),"")</f>
        <v/>
      </c>
    </row>
    <row r="2029" spans="4:9" x14ac:dyDescent="0.45">
      <c r="D2029" t="str">
        <f>IFERROR(VLOOKUP(C2029,'Clients List'!$A:$F,2,FALSE),"")</f>
        <v/>
      </c>
      <c r="F2029" s="1" t="str">
        <f>IF(OR(C2029="",NOT(ISNUMBER(SEARCH("Package",D2029)))),"",VLOOKUP(C2029,'Clients List'!$A:$F,4,FALSE)-SUMIFS($E$2:$E2029,$C$2:$C2029,C2029,$D$2:$D2029,"*Package*"))</f>
        <v/>
      </c>
      <c r="G2029" t="str">
        <f t="shared" si="64"/>
        <v/>
      </c>
      <c r="H2029" s="33">
        <f>IF(ISNUMBER(SEARCH("Group",D2029)),IF(G2029="",E2029,IFERROR(E2029/COUNTIF($G2:$G6000,G2029),E2029)),E2029)</f>
        <v>0</v>
      </c>
      <c r="I2029" s="1" t="str">
        <f>IFERROR(VLOOKUP(C2029,'Clients List'!A:F,6,FALSE),"")</f>
        <v/>
      </c>
    </row>
    <row r="2030" spans="4:9" x14ac:dyDescent="0.45">
      <c r="D2030" t="str">
        <f>IFERROR(VLOOKUP(C2030,'Clients List'!$A:$F,2,FALSE),"")</f>
        <v/>
      </c>
      <c r="F2030" s="1" t="str">
        <f>IF(OR(C2030="",NOT(ISNUMBER(SEARCH("Package",D2030)))),"",VLOOKUP(C2030,'Clients List'!$A:$F,4,FALSE)-SUMIFS($E$2:$E2030,$C$2:$C2030,C2030,$D$2:$D2030,"*Package*"))</f>
        <v/>
      </c>
      <c r="G2030" t="str">
        <f t="shared" si="64"/>
        <v/>
      </c>
      <c r="H2030" s="33">
        <f>IF(ISNUMBER(SEARCH("Group",D2030)),IF(G2030="",E2030,IFERROR(E2030/COUNTIF($G2:$G6000,G2030),E2030)),E2030)</f>
        <v>0</v>
      </c>
      <c r="I2030" s="1" t="str">
        <f>IFERROR(VLOOKUP(C2030,'Clients List'!A:F,6,FALSE),"")</f>
        <v/>
      </c>
    </row>
    <row r="2031" spans="4:9" x14ac:dyDescent="0.45">
      <c r="D2031" t="str">
        <f>IFERROR(VLOOKUP(C2031,'Clients List'!$A:$F,2,FALSE),"")</f>
        <v/>
      </c>
      <c r="F2031" s="1" t="str">
        <f>IF(OR(C2031="",NOT(ISNUMBER(SEARCH("Package",D2031)))),"",VLOOKUP(C2031,'Clients List'!$A:$F,4,FALSE)-SUMIFS($E$2:$E2031,$C$2:$C2031,C2031,$D$2:$D2031,"*Package*"))</f>
        <v/>
      </c>
      <c r="G2031" t="str">
        <f t="shared" si="64"/>
        <v/>
      </c>
      <c r="H2031" s="33">
        <f>IF(ISNUMBER(SEARCH("Group",D2031)),IF(G2031="",E2031,IFERROR(E2031/COUNTIF($G2:$G6000,G2031),E2031)),E2031)</f>
        <v>0</v>
      </c>
      <c r="I2031" s="1" t="str">
        <f>IFERROR(VLOOKUP(C2031,'Clients List'!A:F,6,FALSE),"")</f>
        <v/>
      </c>
    </row>
    <row r="2032" spans="4:9" x14ac:dyDescent="0.45">
      <c r="D2032" t="str">
        <f>IFERROR(VLOOKUP(C2032,'Clients List'!$A:$F,2,FALSE),"")</f>
        <v/>
      </c>
      <c r="F2032" s="1" t="str">
        <f>IF(OR(C2032="",NOT(ISNUMBER(SEARCH("Package",D2032)))),"",VLOOKUP(C2032,'Clients List'!$A:$F,4,FALSE)-SUMIFS($E$2:$E2032,$C$2:$C2032,C2032,$D$2:$D2032,"*Package*"))</f>
        <v/>
      </c>
      <c r="G2032" t="str">
        <f t="shared" si="64"/>
        <v/>
      </c>
      <c r="H2032" s="33">
        <f>IF(ISNUMBER(SEARCH("Group",D2032)),IF(G2032="",E2032,IFERROR(E2032/COUNTIF($G2:$G6000,G2032),E2032)),E2032)</f>
        <v>0</v>
      </c>
      <c r="I2032" s="1" t="str">
        <f>IFERROR(VLOOKUP(C2032,'Clients List'!A:F,6,FALSE),"")</f>
        <v/>
      </c>
    </row>
    <row r="2033" spans="4:9" x14ac:dyDescent="0.45">
      <c r="D2033" t="str">
        <f>IFERROR(VLOOKUP(C2033,'Clients List'!$A:$F,2,FALSE),"")</f>
        <v/>
      </c>
      <c r="F2033" s="1" t="str">
        <f>IF(OR(C2033="",NOT(ISNUMBER(SEARCH("Package",D2033)))),"",VLOOKUP(C2033,'Clients List'!$A:$F,4,FALSE)-SUMIFS($E$2:$E2033,$C$2:$C2033,C2033,$D$2:$D2033,"*Package*"))</f>
        <v/>
      </c>
      <c r="G2033" t="str">
        <f t="shared" si="64"/>
        <v/>
      </c>
      <c r="H2033" s="33">
        <f>IF(ISNUMBER(SEARCH("Group",D2033)),IF(G2033="",E2033,IFERROR(E2033/COUNTIF($G2:$G6000,G2033),E2033)),E2033)</f>
        <v>0</v>
      </c>
      <c r="I2033" s="1" t="str">
        <f>IFERROR(VLOOKUP(C2033,'Clients List'!A:F,6,FALSE),"")</f>
        <v/>
      </c>
    </row>
    <row r="2034" spans="4:9" x14ac:dyDescent="0.45">
      <c r="D2034" t="str">
        <f>IFERROR(VLOOKUP(C2034,'Clients List'!$A:$F,2,FALSE),"")</f>
        <v/>
      </c>
      <c r="F2034" s="1" t="str">
        <f>IF(OR(C2034="",NOT(ISNUMBER(SEARCH("Package",D2034)))),"",VLOOKUP(C2034,'Clients List'!$A:$F,4,FALSE)-SUMIFS($E$2:$E2034,$C$2:$C2034,C2034,$D$2:$D2034,"*Package*"))</f>
        <v/>
      </c>
      <c r="G2034" t="str">
        <f t="shared" si="64"/>
        <v/>
      </c>
      <c r="H2034" s="33">
        <f>IF(ISNUMBER(SEARCH("Group",D2034)),IF(G2034="",E2034,IFERROR(E2034/COUNTIF($G2:$G6000,G2034),E2034)),E2034)</f>
        <v>0</v>
      </c>
      <c r="I2034" s="1" t="str">
        <f>IFERROR(VLOOKUP(C2034,'Clients List'!A:F,6,FALSE),"")</f>
        <v/>
      </c>
    </row>
    <row r="2035" spans="4:9" x14ac:dyDescent="0.45">
      <c r="D2035" t="str">
        <f>IFERROR(VLOOKUP(C2035,'Clients List'!$A:$F,2,FALSE),"")</f>
        <v/>
      </c>
      <c r="F2035" s="1" t="str">
        <f>IF(OR(C2035="",NOT(ISNUMBER(SEARCH("Package",D2035)))),"",VLOOKUP(C2035,'Clients List'!$A:$F,4,FALSE)-SUMIFS($E$2:$E2035,$C$2:$C2035,C2035,$D$2:$D2035,"*Package*"))</f>
        <v/>
      </c>
      <c r="G2035" t="str">
        <f t="shared" si="64"/>
        <v/>
      </c>
      <c r="H2035" s="33">
        <f>IF(ISNUMBER(SEARCH("Group",D2035)),IF(G2035="",E2035,IFERROR(E2035/COUNTIF($G2:$G6000,G2035),E2035)),E2035)</f>
        <v>0</v>
      </c>
      <c r="I2035" s="1" t="str">
        <f>IFERROR(VLOOKUP(C2035,'Clients List'!A:F,6,FALSE),"")</f>
        <v/>
      </c>
    </row>
    <row r="2036" spans="4:9" x14ac:dyDescent="0.45">
      <c r="D2036" t="str">
        <f>IFERROR(VLOOKUP(C2036,'Clients List'!$A:$F,2,FALSE),"")</f>
        <v/>
      </c>
      <c r="F2036" s="1" t="str">
        <f>IF(OR(C2036="",NOT(ISNUMBER(SEARCH("Package",D2036)))),"",VLOOKUP(C2036,'Clients List'!$A:$F,4,FALSE)-SUMIFS($E$2:$E2036,$C$2:$C2036,C2036,$D$2:$D2036,"*Package*"))</f>
        <v/>
      </c>
      <c r="G2036" t="str">
        <f t="shared" si="64"/>
        <v/>
      </c>
      <c r="H2036" s="33">
        <f>IF(ISNUMBER(SEARCH("Group",D2036)),IF(G2036="",E2036,IFERROR(E2036/COUNTIF($G2:$G6000,G2036),E2036)),E2036)</f>
        <v>0</v>
      </c>
      <c r="I2036" s="1" t="str">
        <f>IFERROR(VLOOKUP(C2036,'Clients List'!A:F,6,FALSE),"")</f>
        <v/>
      </c>
    </row>
    <row r="2037" spans="4:9" x14ac:dyDescent="0.45">
      <c r="D2037" t="str">
        <f>IFERROR(VLOOKUP(C2037,'Clients List'!$A:$F,2,FALSE),"")</f>
        <v/>
      </c>
      <c r="F2037" s="1" t="str">
        <f>IF(OR(C2037="",NOT(ISNUMBER(SEARCH("Package",D2037)))),"",VLOOKUP(C2037,'Clients List'!$A:$F,4,FALSE)-SUMIFS($E$2:$E2037,$C$2:$C2037,C2037,$D$2:$D2037,"*Package*"))</f>
        <v/>
      </c>
      <c r="G2037" t="str">
        <f t="shared" ref="G2037:G2100" si="65">IF(ISNUMBER(SEARCH("Group",D2037)),IFERROR("GRP-"&amp;TEXT(IF(ISNUMBER(A2037),A2037,DATEVALUE(A2037)),"yyyymmdd"),""),"" )</f>
        <v/>
      </c>
      <c r="H2037" s="33">
        <f>IF(ISNUMBER(SEARCH("Group",D2037)),IF(G2037="",E2037,IFERROR(E2037/COUNTIF($G2:$G6000,G2037),E2037)),E2037)</f>
        <v>0</v>
      </c>
      <c r="I2037" s="1" t="str">
        <f>IFERROR(VLOOKUP(C2037,'Clients List'!A:F,6,FALSE),"")</f>
        <v/>
      </c>
    </row>
    <row r="2038" spans="4:9" x14ac:dyDescent="0.45">
      <c r="D2038" t="str">
        <f>IFERROR(VLOOKUP(C2038,'Clients List'!$A:$F,2,FALSE),"")</f>
        <v/>
      </c>
      <c r="F2038" s="1" t="str">
        <f>IF(OR(C2038="",NOT(ISNUMBER(SEARCH("Package",D2038)))),"",VLOOKUP(C2038,'Clients List'!$A:$F,4,FALSE)-SUMIFS($E$2:$E2038,$C$2:$C2038,C2038,$D$2:$D2038,"*Package*"))</f>
        <v/>
      </c>
      <c r="G2038" t="str">
        <f t="shared" si="65"/>
        <v/>
      </c>
      <c r="H2038" s="33">
        <f>IF(ISNUMBER(SEARCH("Group",D2038)),IF(G2038="",E2038,IFERROR(E2038/COUNTIF($G2:$G6000,G2038),E2038)),E2038)</f>
        <v>0</v>
      </c>
      <c r="I2038" s="1" t="str">
        <f>IFERROR(VLOOKUP(C2038,'Clients List'!A:F,6,FALSE),"")</f>
        <v/>
      </c>
    </row>
    <row r="2039" spans="4:9" x14ac:dyDescent="0.45">
      <c r="D2039" t="str">
        <f>IFERROR(VLOOKUP(C2039,'Clients List'!$A:$F,2,FALSE),"")</f>
        <v/>
      </c>
      <c r="F2039" s="1" t="str">
        <f>IF(OR(C2039="",NOT(ISNUMBER(SEARCH("Package",D2039)))),"",VLOOKUP(C2039,'Clients List'!$A:$F,4,FALSE)-SUMIFS($E$2:$E2039,$C$2:$C2039,C2039,$D$2:$D2039,"*Package*"))</f>
        <v/>
      </c>
      <c r="G2039" t="str">
        <f t="shared" si="65"/>
        <v/>
      </c>
      <c r="H2039" s="33">
        <f>IF(ISNUMBER(SEARCH("Group",D2039)),IF(G2039="",E2039,IFERROR(E2039/COUNTIF($G2:$G6000,G2039),E2039)),E2039)</f>
        <v>0</v>
      </c>
      <c r="I2039" s="1" t="str">
        <f>IFERROR(VLOOKUP(C2039,'Clients List'!A:F,6,FALSE),"")</f>
        <v/>
      </c>
    </row>
    <row r="2040" spans="4:9" x14ac:dyDescent="0.45">
      <c r="D2040" t="str">
        <f>IFERROR(VLOOKUP(C2040,'Clients List'!$A:$F,2,FALSE),"")</f>
        <v/>
      </c>
      <c r="F2040" s="1" t="str">
        <f>IF(OR(C2040="",NOT(ISNUMBER(SEARCH("Package",D2040)))),"",VLOOKUP(C2040,'Clients List'!$A:$F,4,FALSE)-SUMIFS($E$2:$E2040,$C$2:$C2040,C2040,$D$2:$D2040,"*Package*"))</f>
        <v/>
      </c>
      <c r="G2040" t="str">
        <f t="shared" si="65"/>
        <v/>
      </c>
      <c r="H2040" s="33">
        <f>IF(ISNUMBER(SEARCH("Group",D2040)),IF(G2040="",E2040,IFERROR(E2040/COUNTIF($G2:$G6000,G2040),E2040)),E2040)</f>
        <v>0</v>
      </c>
      <c r="I2040" s="1" t="str">
        <f>IFERROR(VLOOKUP(C2040,'Clients List'!A:F,6,FALSE),"")</f>
        <v/>
      </c>
    </row>
    <row r="2041" spans="4:9" x14ac:dyDescent="0.45">
      <c r="D2041" t="str">
        <f>IFERROR(VLOOKUP(C2041,'Clients List'!$A:$F,2,FALSE),"")</f>
        <v/>
      </c>
      <c r="F2041" s="1" t="str">
        <f>IF(OR(C2041="",NOT(ISNUMBER(SEARCH("Package",D2041)))),"",VLOOKUP(C2041,'Clients List'!$A:$F,4,FALSE)-SUMIFS($E$2:$E2041,$C$2:$C2041,C2041,$D$2:$D2041,"*Package*"))</f>
        <v/>
      </c>
      <c r="G2041" t="str">
        <f t="shared" si="65"/>
        <v/>
      </c>
      <c r="H2041" s="33">
        <f>IF(ISNUMBER(SEARCH("Group",D2041)),IF(G2041="",E2041,IFERROR(E2041/COUNTIF($G2:$G6000,G2041),E2041)),E2041)</f>
        <v>0</v>
      </c>
      <c r="I2041" s="1" t="str">
        <f>IFERROR(VLOOKUP(C2041,'Clients List'!A:F,6,FALSE),"")</f>
        <v/>
      </c>
    </row>
    <row r="2042" spans="4:9" x14ac:dyDescent="0.45">
      <c r="D2042" t="str">
        <f>IFERROR(VLOOKUP(C2042,'Clients List'!$A:$F,2,FALSE),"")</f>
        <v/>
      </c>
      <c r="F2042" s="1" t="str">
        <f>IF(OR(C2042="",NOT(ISNUMBER(SEARCH("Package",D2042)))),"",VLOOKUP(C2042,'Clients List'!$A:$F,4,FALSE)-SUMIFS($E$2:$E2042,$C$2:$C2042,C2042,$D$2:$D2042,"*Package*"))</f>
        <v/>
      </c>
      <c r="G2042" t="str">
        <f t="shared" si="65"/>
        <v/>
      </c>
      <c r="H2042" s="33">
        <f>IF(ISNUMBER(SEARCH("Group",D2042)),IF(G2042="",E2042,IFERROR(E2042/COUNTIF($G2:$G6000,G2042),E2042)),E2042)</f>
        <v>0</v>
      </c>
      <c r="I2042" s="1" t="str">
        <f>IFERROR(VLOOKUP(C2042,'Clients List'!A:F,6,FALSE),"")</f>
        <v/>
      </c>
    </row>
    <row r="2043" spans="4:9" x14ac:dyDescent="0.45">
      <c r="D2043" t="str">
        <f>IFERROR(VLOOKUP(C2043,'Clients List'!$A:$F,2,FALSE),"")</f>
        <v/>
      </c>
      <c r="F2043" s="1" t="str">
        <f>IF(OR(C2043="",NOT(ISNUMBER(SEARCH("Package",D2043)))),"",VLOOKUP(C2043,'Clients List'!$A:$F,4,FALSE)-SUMIFS($E$2:$E2043,$C$2:$C2043,C2043,$D$2:$D2043,"*Package*"))</f>
        <v/>
      </c>
      <c r="G2043" t="str">
        <f t="shared" si="65"/>
        <v/>
      </c>
      <c r="H2043" s="33">
        <f>IF(ISNUMBER(SEARCH("Group",D2043)),IF(G2043="",E2043,IFERROR(E2043/COUNTIF($G2:$G6000,G2043),E2043)),E2043)</f>
        <v>0</v>
      </c>
      <c r="I2043" s="1" t="str">
        <f>IFERROR(VLOOKUP(C2043,'Clients List'!A:F,6,FALSE),"")</f>
        <v/>
      </c>
    </row>
    <row r="2044" spans="4:9" x14ac:dyDescent="0.45">
      <c r="D2044" t="str">
        <f>IFERROR(VLOOKUP(C2044,'Clients List'!$A:$F,2,FALSE),"")</f>
        <v/>
      </c>
      <c r="F2044" s="1" t="str">
        <f>IF(OR(C2044="",NOT(ISNUMBER(SEARCH("Package",D2044)))),"",VLOOKUP(C2044,'Clients List'!$A:$F,4,FALSE)-SUMIFS($E$2:$E2044,$C$2:$C2044,C2044,$D$2:$D2044,"*Package*"))</f>
        <v/>
      </c>
      <c r="G2044" t="str">
        <f t="shared" si="65"/>
        <v/>
      </c>
      <c r="H2044" s="33">
        <f>IF(ISNUMBER(SEARCH("Group",D2044)),IF(G2044="",E2044,IFERROR(E2044/COUNTIF($G2:$G6000,G2044),E2044)),E2044)</f>
        <v>0</v>
      </c>
      <c r="I2044" s="1" t="str">
        <f>IFERROR(VLOOKUP(C2044,'Clients List'!A:F,6,FALSE),"")</f>
        <v/>
      </c>
    </row>
    <row r="2045" spans="4:9" x14ac:dyDescent="0.45">
      <c r="D2045" t="str">
        <f>IFERROR(VLOOKUP(C2045,'Clients List'!$A:$F,2,FALSE),"")</f>
        <v/>
      </c>
      <c r="F2045" s="1" t="str">
        <f>IF(OR(C2045="",NOT(ISNUMBER(SEARCH("Package",D2045)))),"",VLOOKUP(C2045,'Clients List'!$A:$F,4,FALSE)-SUMIFS($E$2:$E2045,$C$2:$C2045,C2045,$D$2:$D2045,"*Package*"))</f>
        <v/>
      </c>
      <c r="G2045" t="str">
        <f t="shared" si="65"/>
        <v/>
      </c>
      <c r="H2045" s="33">
        <f>IF(ISNUMBER(SEARCH("Group",D2045)),IF(G2045="",E2045,IFERROR(E2045/COUNTIF($G2:$G6000,G2045),E2045)),E2045)</f>
        <v>0</v>
      </c>
      <c r="I2045" s="1" t="str">
        <f>IFERROR(VLOOKUP(C2045,'Clients List'!A:F,6,FALSE),"")</f>
        <v/>
      </c>
    </row>
    <row r="2046" spans="4:9" x14ac:dyDescent="0.45">
      <c r="D2046" t="str">
        <f>IFERROR(VLOOKUP(C2046,'Clients List'!$A:$F,2,FALSE),"")</f>
        <v/>
      </c>
      <c r="F2046" s="1" t="str">
        <f>IF(OR(C2046="",NOT(ISNUMBER(SEARCH("Package",D2046)))),"",VLOOKUP(C2046,'Clients List'!$A:$F,4,FALSE)-SUMIFS($E$2:$E2046,$C$2:$C2046,C2046,$D$2:$D2046,"*Package*"))</f>
        <v/>
      </c>
      <c r="G2046" t="str">
        <f t="shared" si="65"/>
        <v/>
      </c>
      <c r="H2046" s="33">
        <f>IF(ISNUMBER(SEARCH("Group",D2046)),IF(G2046="",E2046,IFERROR(E2046/COUNTIF($G2:$G6000,G2046),E2046)),E2046)</f>
        <v>0</v>
      </c>
      <c r="I2046" s="1" t="str">
        <f>IFERROR(VLOOKUP(C2046,'Clients List'!A:F,6,FALSE),"")</f>
        <v/>
      </c>
    </row>
    <row r="2047" spans="4:9" x14ac:dyDescent="0.45">
      <c r="D2047" t="str">
        <f>IFERROR(VLOOKUP(C2047,'Clients List'!$A:$F,2,FALSE),"")</f>
        <v/>
      </c>
      <c r="F2047" s="1" t="str">
        <f>IF(OR(C2047="",NOT(ISNUMBER(SEARCH("Package",D2047)))),"",VLOOKUP(C2047,'Clients List'!$A:$F,4,FALSE)-SUMIFS($E$2:$E2047,$C$2:$C2047,C2047,$D$2:$D2047,"*Package*"))</f>
        <v/>
      </c>
      <c r="G2047" t="str">
        <f t="shared" si="65"/>
        <v/>
      </c>
      <c r="H2047" s="33">
        <f>IF(ISNUMBER(SEARCH("Group",D2047)),IF(G2047="",E2047,IFERROR(E2047/COUNTIF($G2:$G6000,G2047),E2047)),E2047)</f>
        <v>0</v>
      </c>
      <c r="I2047" s="1" t="str">
        <f>IFERROR(VLOOKUP(C2047,'Clients List'!A:F,6,FALSE),"")</f>
        <v/>
      </c>
    </row>
    <row r="2048" spans="4:9" x14ac:dyDescent="0.45">
      <c r="D2048" t="str">
        <f>IFERROR(VLOOKUP(C2048,'Clients List'!$A:$F,2,FALSE),"")</f>
        <v/>
      </c>
      <c r="F2048" s="1" t="str">
        <f>IF(OR(C2048="",NOT(ISNUMBER(SEARCH("Package",D2048)))),"",VLOOKUP(C2048,'Clients List'!$A:$F,4,FALSE)-SUMIFS($E$2:$E2048,$C$2:$C2048,C2048,$D$2:$D2048,"*Package*"))</f>
        <v/>
      </c>
      <c r="G2048" t="str">
        <f t="shared" si="65"/>
        <v/>
      </c>
      <c r="H2048" s="33">
        <f>IF(ISNUMBER(SEARCH("Group",D2048)),IF(G2048="",E2048,IFERROR(E2048/COUNTIF($G2:$G6000,G2048),E2048)),E2048)</f>
        <v>0</v>
      </c>
      <c r="I2048" s="1" t="str">
        <f>IFERROR(VLOOKUP(C2048,'Clients List'!A:F,6,FALSE),"")</f>
        <v/>
      </c>
    </row>
    <row r="2049" spans="4:9" x14ac:dyDescent="0.45">
      <c r="D2049" t="str">
        <f>IFERROR(VLOOKUP(C2049,'Clients List'!$A:$F,2,FALSE),"")</f>
        <v/>
      </c>
      <c r="F2049" s="1" t="str">
        <f>IF(OR(C2049="",NOT(ISNUMBER(SEARCH("Package",D2049)))),"",VLOOKUP(C2049,'Clients List'!$A:$F,4,FALSE)-SUMIFS($E$2:$E2049,$C$2:$C2049,C2049,$D$2:$D2049,"*Package*"))</f>
        <v/>
      </c>
      <c r="G2049" t="str">
        <f t="shared" si="65"/>
        <v/>
      </c>
      <c r="H2049" s="33">
        <f>IF(ISNUMBER(SEARCH("Group",D2049)),IF(G2049="",E2049,IFERROR(E2049/COUNTIF($G2:$G6000,G2049),E2049)),E2049)</f>
        <v>0</v>
      </c>
      <c r="I2049" s="1" t="str">
        <f>IFERROR(VLOOKUP(C2049,'Clients List'!A:F,6,FALSE),"")</f>
        <v/>
      </c>
    </row>
    <row r="2050" spans="4:9" x14ac:dyDescent="0.45">
      <c r="D2050" t="str">
        <f>IFERROR(VLOOKUP(C2050,'Clients List'!$A:$F,2,FALSE),"")</f>
        <v/>
      </c>
      <c r="F2050" s="1" t="str">
        <f>IF(OR(C2050="",NOT(ISNUMBER(SEARCH("Package",D2050)))),"",VLOOKUP(C2050,'Clients List'!$A:$F,4,FALSE)-SUMIFS($E$2:$E2050,$C$2:$C2050,C2050,$D$2:$D2050,"*Package*"))</f>
        <v/>
      </c>
      <c r="G2050" t="str">
        <f t="shared" si="65"/>
        <v/>
      </c>
      <c r="H2050" s="33">
        <f>IF(ISNUMBER(SEARCH("Group",D2050)),IF(G2050="",E2050,IFERROR(E2050/COUNTIF($G2:$G6000,G2050),E2050)),E2050)</f>
        <v>0</v>
      </c>
      <c r="I2050" s="1" t="str">
        <f>IFERROR(VLOOKUP(C2050,'Clients List'!A:F,6,FALSE),"")</f>
        <v/>
      </c>
    </row>
    <row r="2051" spans="4:9" x14ac:dyDescent="0.45">
      <c r="D2051" t="str">
        <f>IFERROR(VLOOKUP(C2051,'Clients List'!$A:$F,2,FALSE),"")</f>
        <v/>
      </c>
      <c r="F2051" s="1" t="str">
        <f>IF(OR(C2051="",NOT(ISNUMBER(SEARCH("Package",D2051)))),"",VLOOKUP(C2051,'Clients List'!$A:$F,4,FALSE)-SUMIFS($E$2:$E2051,$C$2:$C2051,C2051,$D$2:$D2051,"*Package*"))</f>
        <v/>
      </c>
      <c r="G2051" t="str">
        <f t="shared" si="65"/>
        <v/>
      </c>
      <c r="H2051" s="33">
        <f>IF(ISNUMBER(SEARCH("Group",D2051)),IF(G2051="",E2051,IFERROR(E2051/COUNTIF($G2:$G6000,G2051),E2051)),E2051)</f>
        <v>0</v>
      </c>
      <c r="I2051" s="1" t="str">
        <f>IFERROR(VLOOKUP(C2051,'Clients List'!A:F,6,FALSE),"")</f>
        <v/>
      </c>
    </row>
    <row r="2052" spans="4:9" x14ac:dyDescent="0.45">
      <c r="D2052" t="str">
        <f>IFERROR(VLOOKUP(C2052,'Clients List'!$A:$F,2,FALSE),"")</f>
        <v/>
      </c>
      <c r="F2052" s="1" t="str">
        <f>IF(OR(C2052="",NOT(ISNUMBER(SEARCH("Package",D2052)))),"",VLOOKUP(C2052,'Clients List'!$A:$F,4,FALSE)-SUMIFS($E$2:$E2052,$C$2:$C2052,C2052,$D$2:$D2052,"*Package*"))</f>
        <v/>
      </c>
      <c r="G2052" t="str">
        <f t="shared" si="65"/>
        <v/>
      </c>
      <c r="H2052" s="33">
        <f>IF(ISNUMBER(SEARCH("Group",D2052)),IF(G2052="",E2052,IFERROR(E2052/COUNTIF($G2:$G6000,G2052),E2052)),E2052)</f>
        <v>0</v>
      </c>
      <c r="I2052" s="1" t="str">
        <f>IFERROR(VLOOKUP(C2052,'Clients List'!A:F,6,FALSE),"")</f>
        <v/>
      </c>
    </row>
    <row r="2053" spans="4:9" x14ac:dyDescent="0.45">
      <c r="D2053" t="str">
        <f>IFERROR(VLOOKUP(C2053,'Clients List'!$A:$F,2,FALSE),"")</f>
        <v/>
      </c>
      <c r="F2053" s="1" t="str">
        <f>IF(OR(C2053="",NOT(ISNUMBER(SEARCH("Package",D2053)))),"",VLOOKUP(C2053,'Clients List'!$A:$F,4,FALSE)-SUMIFS($E$2:$E2053,$C$2:$C2053,C2053,$D$2:$D2053,"*Package*"))</f>
        <v/>
      </c>
      <c r="G2053" t="str">
        <f t="shared" si="65"/>
        <v/>
      </c>
      <c r="H2053" s="33">
        <f>IF(ISNUMBER(SEARCH("Group",D2053)),IF(G2053="",E2053,IFERROR(E2053/COUNTIF($G2:$G6000,G2053),E2053)),E2053)</f>
        <v>0</v>
      </c>
      <c r="I2053" s="1" t="str">
        <f>IFERROR(VLOOKUP(C2053,'Clients List'!A:F,6,FALSE),"")</f>
        <v/>
      </c>
    </row>
    <row r="2054" spans="4:9" x14ac:dyDescent="0.45">
      <c r="D2054" t="str">
        <f>IFERROR(VLOOKUP(C2054,'Clients List'!$A:$F,2,FALSE),"")</f>
        <v/>
      </c>
      <c r="F2054" s="1" t="str">
        <f>IF(OR(C2054="",NOT(ISNUMBER(SEARCH("Package",D2054)))),"",VLOOKUP(C2054,'Clients List'!$A:$F,4,FALSE)-SUMIFS($E$2:$E2054,$C$2:$C2054,C2054,$D$2:$D2054,"*Package*"))</f>
        <v/>
      </c>
      <c r="G2054" t="str">
        <f t="shared" si="65"/>
        <v/>
      </c>
      <c r="H2054" s="33">
        <f>IF(ISNUMBER(SEARCH("Group",D2054)),IF(G2054="",E2054,IFERROR(E2054/COUNTIF($G2:$G6000,G2054),E2054)),E2054)</f>
        <v>0</v>
      </c>
      <c r="I2054" s="1" t="str">
        <f>IFERROR(VLOOKUP(C2054,'Clients List'!A:F,6,FALSE),"")</f>
        <v/>
      </c>
    </row>
    <row r="2055" spans="4:9" x14ac:dyDescent="0.45">
      <c r="D2055" t="str">
        <f>IFERROR(VLOOKUP(C2055,'Clients List'!$A:$F,2,FALSE),"")</f>
        <v/>
      </c>
      <c r="F2055" s="1" t="str">
        <f>IF(OR(C2055="",NOT(ISNUMBER(SEARCH("Package",D2055)))),"",VLOOKUP(C2055,'Clients List'!$A:$F,4,FALSE)-SUMIFS($E$2:$E2055,$C$2:$C2055,C2055,$D$2:$D2055,"*Package*"))</f>
        <v/>
      </c>
      <c r="G2055" t="str">
        <f t="shared" si="65"/>
        <v/>
      </c>
      <c r="H2055" s="33">
        <f>IF(ISNUMBER(SEARCH("Group",D2055)),IF(G2055="",E2055,IFERROR(E2055/COUNTIF($G2:$G6000,G2055),E2055)),E2055)</f>
        <v>0</v>
      </c>
      <c r="I2055" s="1" t="str">
        <f>IFERROR(VLOOKUP(C2055,'Clients List'!A:F,6,FALSE),"")</f>
        <v/>
      </c>
    </row>
    <row r="2056" spans="4:9" x14ac:dyDescent="0.45">
      <c r="D2056" t="str">
        <f>IFERROR(VLOOKUP(C2056,'Clients List'!$A:$F,2,FALSE),"")</f>
        <v/>
      </c>
      <c r="F2056" s="1" t="str">
        <f>IF(OR(C2056="",NOT(ISNUMBER(SEARCH("Package",D2056)))),"",VLOOKUP(C2056,'Clients List'!$A:$F,4,FALSE)-SUMIFS($E$2:$E2056,$C$2:$C2056,C2056,$D$2:$D2056,"*Package*"))</f>
        <v/>
      </c>
      <c r="G2056" t="str">
        <f t="shared" si="65"/>
        <v/>
      </c>
      <c r="H2056" s="33">
        <f>IF(ISNUMBER(SEARCH("Group",D2056)),IF(G2056="",E2056,IFERROR(E2056/COUNTIF($G2:$G6000,G2056),E2056)),E2056)</f>
        <v>0</v>
      </c>
      <c r="I2056" s="1" t="str">
        <f>IFERROR(VLOOKUP(C2056,'Clients List'!A:F,6,FALSE),"")</f>
        <v/>
      </c>
    </row>
    <row r="2057" spans="4:9" x14ac:dyDescent="0.45">
      <c r="D2057" t="str">
        <f>IFERROR(VLOOKUP(C2057,'Clients List'!$A:$F,2,FALSE),"")</f>
        <v/>
      </c>
      <c r="F2057" s="1" t="str">
        <f>IF(OR(C2057="",NOT(ISNUMBER(SEARCH("Package",D2057)))),"",VLOOKUP(C2057,'Clients List'!$A:$F,4,FALSE)-SUMIFS($E$2:$E2057,$C$2:$C2057,C2057,$D$2:$D2057,"*Package*"))</f>
        <v/>
      </c>
      <c r="G2057" t="str">
        <f t="shared" si="65"/>
        <v/>
      </c>
      <c r="H2057" s="33">
        <f>IF(ISNUMBER(SEARCH("Group",D2057)),IF(G2057="",E2057,IFERROR(E2057/COUNTIF($G2:$G6000,G2057),E2057)),E2057)</f>
        <v>0</v>
      </c>
      <c r="I2057" s="1" t="str">
        <f>IFERROR(VLOOKUP(C2057,'Clients List'!A:F,6,FALSE),"")</f>
        <v/>
      </c>
    </row>
    <row r="2058" spans="4:9" x14ac:dyDescent="0.45">
      <c r="D2058" t="str">
        <f>IFERROR(VLOOKUP(C2058,'Clients List'!$A:$F,2,FALSE),"")</f>
        <v/>
      </c>
      <c r="F2058" s="1" t="str">
        <f>IF(OR(C2058="",NOT(ISNUMBER(SEARCH("Package",D2058)))),"",VLOOKUP(C2058,'Clients List'!$A:$F,4,FALSE)-SUMIFS($E$2:$E2058,$C$2:$C2058,C2058,$D$2:$D2058,"*Package*"))</f>
        <v/>
      </c>
      <c r="G2058" t="str">
        <f t="shared" si="65"/>
        <v/>
      </c>
      <c r="H2058" s="33">
        <f>IF(ISNUMBER(SEARCH("Group",D2058)),IF(G2058="",E2058,IFERROR(E2058/COUNTIF($G2:$G6000,G2058),E2058)),E2058)</f>
        <v>0</v>
      </c>
      <c r="I2058" s="1" t="str">
        <f>IFERROR(VLOOKUP(C2058,'Clients List'!A:F,6,FALSE),"")</f>
        <v/>
      </c>
    </row>
    <row r="2059" spans="4:9" x14ac:dyDescent="0.45">
      <c r="D2059" t="str">
        <f>IFERROR(VLOOKUP(C2059,'Clients List'!$A:$F,2,FALSE),"")</f>
        <v/>
      </c>
      <c r="F2059" s="1" t="str">
        <f>IF(OR(C2059="",NOT(ISNUMBER(SEARCH("Package",D2059)))),"",VLOOKUP(C2059,'Clients List'!$A:$F,4,FALSE)-SUMIFS($E$2:$E2059,$C$2:$C2059,C2059,$D$2:$D2059,"*Package*"))</f>
        <v/>
      </c>
      <c r="G2059" t="str">
        <f t="shared" si="65"/>
        <v/>
      </c>
      <c r="H2059" s="33">
        <f>IF(ISNUMBER(SEARCH("Group",D2059)),IF(G2059="",E2059,IFERROR(E2059/COUNTIF($G2:$G6000,G2059),E2059)),E2059)</f>
        <v>0</v>
      </c>
      <c r="I2059" s="1" t="str">
        <f>IFERROR(VLOOKUP(C2059,'Clients List'!A:F,6,FALSE),"")</f>
        <v/>
      </c>
    </row>
    <row r="2060" spans="4:9" x14ac:dyDescent="0.45">
      <c r="D2060" t="str">
        <f>IFERROR(VLOOKUP(C2060,'Clients List'!$A:$F,2,FALSE),"")</f>
        <v/>
      </c>
      <c r="F2060" s="1" t="str">
        <f>IF(OR(C2060="",NOT(ISNUMBER(SEARCH("Package",D2060)))),"",VLOOKUP(C2060,'Clients List'!$A:$F,4,FALSE)-SUMIFS($E$2:$E2060,$C$2:$C2060,C2060,$D$2:$D2060,"*Package*"))</f>
        <v/>
      </c>
      <c r="G2060" t="str">
        <f t="shared" si="65"/>
        <v/>
      </c>
      <c r="H2060" s="33">
        <f>IF(ISNUMBER(SEARCH("Group",D2060)),IF(G2060="",E2060,IFERROR(E2060/COUNTIF($G2:$G6000,G2060),E2060)),E2060)</f>
        <v>0</v>
      </c>
      <c r="I2060" s="1" t="str">
        <f>IFERROR(VLOOKUP(C2060,'Clients List'!A:F,6,FALSE),"")</f>
        <v/>
      </c>
    </row>
    <row r="2061" spans="4:9" x14ac:dyDescent="0.45">
      <c r="D2061" t="str">
        <f>IFERROR(VLOOKUP(C2061,'Clients List'!$A:$F,2,FALSE),"")</f>
        <v/>
      </c>
      <c r="F2061" s="1" t="str">
        <f>IF(OR(C2061="",NOT(ISNUMBER(SEARCH("Package",D2061)))),"",VLOOKUP(C2061,'Clients List'!$A:$F,4,FALSE)-SUMIFS($E$2:$E2061,$C$2:$C2061,C2061,$D$2:$D2061,"*Package*"))</f>
        <v/>
      </c>
      <c r="G2061" t="str">
        <f t="shared" si="65"/>
        <v/>
      </c>
      <c r="H2061" s="33">
        <f>IF(ISNUMBER(SEARCH("Group",D2061)),IF(G2061="",E2061,IFERROR(E2061/COUNTIF($G2:$G6000,G2061),E2061)),E2061)</f>
        <v>0</v>
      </c>
      <c r="I2061" s="1" t="str">
        <f>IFERROR(VLOOKUP(C2061,'Clients List'!A:F,6,FALSE),"")</f>
        <v/>
      </c>
    </row>
    <row r="2062" spans="4:9" x14ac:dyDescent="0.45">
      <c r="D2062" t="str">
        <f>IFERROR(VLOOKUP(C2062,'Clients List'!$A:$F,2,FALSE),"")</f>
        <v/>
      </c>
      <c r="F2062" s="1" t="str">
        <f>IF(OR(C2062="",NOT(ISNUMBER(SEARCH("Package",D2062)))),"",VLOOKUP(C2062,'Clients List'!$A:$F,4,FALSE)-SUMIFS($E$2:$E2062,$C$2:$C2062,C2062,$D$2:$D2062,"*Package*"))</f>
        <v/>
      </c>
      <c r="G2062" t="str">
        <f t="shared" si="65"/>
        <v/>
      </c>
      <c r="H2062" s="33">
        <f>IF(ISNUMBER(SEARCH("Group",D2062)),IF(G2062="",E2062,IFERROR(E2062/COUNTIF($G2:$G6000,G2062),E2062)),E2062)</f>
        <v>0</v>
      </c>
      <c r="I2062" s="1" t="str">
        <f>IFERROR(VLOOKUP(C2062,'Clients List'!A:F,6,FALSE),"")</f>
        <v/>
      </c>
    </row>
    <row r="2063" spans="4:9" x14ac:dyDescent="0.45">
      <c r="D2063" t="str">
        <f>IFERROR(VLOOKUP(C2063,'Clients List'!$A:$F,2,FALSE),"")</f>
        <v/>
      </c>
      <c r="F2063" s="1" t="str">
        <f>IF(OR(C2063="",NOT(ISNUMBER(SEARCH("Package",D2063)))),"",VLOOKUP(C2063,'Clients List'!$A:$F,4,FALSE)-SUMIFS($E$2:$E2063,$C$2:$C2063,C2063,$D$2:$D2063,"*Package*"))</f>
        <v/>
      </c>
      <c r="G2063" t="str">
        <f t="shared" si="65"/>
        <v/>
      </c>
      <c r="H2063" s="33">
        <f>IF(ISNUMBER(SEARCH("Group",D2063)),IF(G2063="",E2063,IFERROR(E2063/COUNTIF($G2:$G6000,G2063),E2063)),E2063)</f>
        <v>0</v>
      </c>
      <c r="I2063" s="1" t="str">
        <f>IFERROR(VLOOKUP(C2063,'Clients List'!A:F,6,FALSE),"")</f>
        <v/>
      </c>
    </row>
    <row r="2064" spans="4:9" x14ac:dyDescent="0.45">
      <c r="D2064" t="str">
        <f>IFERROR(VLOOKUP(C2064,'Clients List'!$A:$F,2,FALSE),"")</f>
        <v/>
      </c>
      <c r="F2064" s="1" t="str">
        <f>IF(OR(C2064="",NOT(ISNUMBER(SEARCH("Package",D2064)))),"",VLOOKUP(C2064,'Clients List'!$A:$F,4,FALSE)-SUMIFS($E$2:$E2064,$C$2:$C2064,C2064,$D$2:$D2064,"*Package*"))</f>
        <v/>
      </c>
      <c r="G2064" t="str">
        <f t="shared" si="65"/>
        <v/>
      </c>
      <c r="H2064" s="33">
        <f>IF(ISNUMBER(SEARCH("Group",D2064)),IF(G2064="",E2064,IFERROR(E2064/COUNTIF($G2:$G6000,G2064),E2064)),E2064)</f>
        <v>0</v>
      </c>
      <c r="I2064" s="1" t="str">
        <f>IFERROR(VLOOKUP(C2064,'Clients List'!A:F,6,FALSE),"")</f>
        <v/>
      </c>
    </row>
    <row r="2065" spans="4:9" x14ac:dyDescent="0.45">
      <c r="D2065" t="str">
        <f>IFERROR(VLOOKUP(C2065,'Clients List'!$A:$F,2,FALSE),"")</f>
        <v/>
      </c>
      <c r="F2065" s="1" t="str">
        <f>IF(OR(C2065="",NOT(ISNUMBER(SEARCH("Package",D2065)))),"",VLOOKUP(C2065,'Clients List'!$A:$F,4,FALSE)-SUMIFS($E$2:$E2065,$C$2:$C2065,C2065,$D$2:$D2065,"*Package*"))</f>
        <v/>
      </c>
      <c r="G2065" t="str">
        <f t="shared" si="65"/>
        <v/>
      </c>
      <c r="H2065" s="33">
        <f>IF(ISNUMBER(SEARCH("Group",D2065)),IF(G2065="",E2065,IFERROR(E2065/COUNTIF($G2:$G6000,G2065),E2065)),E2065)</f>
        <v>0</v>
      </c>
      <c r="I2065" s="1" t="str">
        <f>IFERROR(VLOOKUP(C2065,'Clients List'!A:F,6,FALSE),"")</f>
        <v/>
      </c>
    </row>
    <row r="2066" spans="4:9" x14ac:dyDescent="0.45">
      <c r="D2066" t="str">
        <f>IFERROR(VLOOKUP(C2066,'Clients List'!$A:$F,2,FALSE),"")</f>
        <v/>
      </c>
      <c r="F2066" s="1" t="str">
        <f>IF(OR(C2066="",NOT(ISNUMBER(SEARCH("Package",D2066)))),"",VLOOKUP(C2066,'Clients List'!$A:$F,4,FALSE)-SUMIFS($E$2:$E2066,$C$2:$C2066,C2066,$D$2:$D2066,"*Package*"))</f>
        <v/>
      </c>
      <c r="G2066" t="str">
        <f t="shared" si="65"/>
        <v/>
      </c>
      <c r="H2066" s="33">
        <f>IF(ISNUMBER(SEARCH("Group",D2066)),IF(G2066="",E2066,IFERROR(E2066/COUNTIF($G2:$G6000,G2066),E2066)),E2066)</f>
        <v>0</v>
      </c>
      <c r="I2066" s="1" t="str">
        <f>IFERROR(VLOOKUP(C2066,'Clients List'!A:F,6,FALSE),"")</f>
        <v/>
      </c>
    </row>
    <row r="2067" spans="4:9" x14ac:dyDescent="0.45">
      <c r="D2067" t="str">
        <f>IFERROR(VLOOKUP(C2067,'Clients List'!$A:$F,2,FALSE),"")</f>
        <v/>
      </c>
      <c r="F2067" s="1" t="str">
        <f>IF(OR(C2067="",NOT(ISNUMBER(SEARCH("Package",D2067)))),"",VLOOKUP(C2067,'Clients List'!$A:$F,4,FALSE)-SUMIFS($E$2:$E2067,$C$2:$C2067,C2067,$D$2:$D2067,"*Package*"))</f>
        <v/>
      </c>
      <c r="G2067" t="str">
        <f t="shared" si="65"/>
        <v/>
      </c>
      <c r="H2067" s="33">
        <f>IF(ISNUMBER(SEARCH("Group",D2067)),IF(G2067="",E2067,IFERROR(E2067/COUNTIF($G2:$G6000,G2067),E2067)),E2067)</f>
        <v>0</v>
      </c>
      <c r="I2067" s="1" t="str">
        <f>IFERROR(VLOOKUP(C2067,'Clients List'!A:F,6,FALSE),"")</f>
        <v/>
      </c>
    </row>
    <row r="2068" spans="4:9" x14ac:dyDescent="0.45">
      <c r="D2068" t="str">
        <f>IFERROR(VLOOKUP(C2068,'Clients List'!$A:$F,2,FALSE),"")</f>
        <v/>
      </c>
      <c r="F2068" s="1" t="str">
        <f>IF(OR(C2068="",NOT(ISNUMBER(SEARCH("Package",D2068)))),"",VLOOKUP(C2068,'Clients List'!$A:$F,4,FALSE)-SUMIFS($E$2:$E2068,$C$2:$C2068,C2068,$D$2:$D2068,"*Package*"))</f>
        <v/>
      </c>
      <c r="G2068" t="str">
        <f t="shared" si="65"/>
        <v/>
      </c>
      <c r="H2068" s="33">
        <f>IF(ISNUMBER(SEARCH("Group",D2068)),IF(G2068="",E2068,IFERROR(E2068/COUNTIF($G2:$G6000,G2068),E2068)),E2068)</f>
        <v>0</v>
      </c>
      <c r="I2068" s="1" t="str">
        <f>IFERROR(VLOOKUP(C2068,'Clients List'!A:F,6,FALSE),"")</f>
        <v/>
      </c>
    </row>
    <row r="2069" spans="4:9" x14ac:dyDescent="0.45">
      <c r="D2069" t="str">
        <f>IFERROR(VLOOKUP(C2069,'Clients List'!$A:$F,2,FALSE),"")</f>
        <v/>
      </c>
      <c r="F2069" s="1" t="str">
        <f>IF(OR(C2069="",NOT(ISNUMBER(SEARCH("Package",D2069)))),"",VLOOKUP(C2069,'Clients List'!$A:$F,4,FALSE)-SUMIFS($E$2:$E2069,$C$2:$C2069,C2069,$D$2:$D2069,"*Package*"))</f>
        <v/>
      </c>
      <c r="G2069" t="str">
        <f t="shared" si="65"/>
        <v/>
      </c>
      <c r="H2069" s="33">
        <f>IF(ISNUMBER(SEARCH("Group",D2069)),IF(G2069="",E2069,IFERROR(E2069/COUNTIF($G2:$G6000,G2069),E2069)),E2069)</f>
        <v>0</v>
      </c>
      <c r="I2069" s="1" t="str">
        <f>IFERROR(VLOOKUP(C2069,'Clients List'!A:F,6,FALSE),"")</f>
        <v/>
      </c>
    </row>
    <row r="2070" spans="4:9" x14ac:dyDescent="0.45">
      <c r="D2070" t="str">
        <f>IFERROR(VLOOKUP(C2070,'Clients List'!$A:$F,2,FALSE),"")</f>
        <v/>
      </c>
      <c r="F2070" s="1" t="str">
        <f>IF(OR(C2070="",NOT(ISNUMBER(SEARCH("Package",D2070)))),"",VLOOKUP(C2070,'Clients List'!$A:$F,4,FALSE)-SUMIFS($E$2:$E2070,$C$2:$C2070,C2070,$D$2:$D2070,"*Package*"))</f>
        <v/>
      </c>
      <c r="G2070" t="str">
        <f t="shared" si="65"/>
        <v/>
      </c>
      <c r="H2070" s="33">
        <f>IF(ISNUMBER(SEARCH("Group",D2070)),IF(G2070="",E2070,IFERROR(E2070/COUNTIF($G2:$G6000,G2070),E2070)),E2070)</f>
        <v>0</v>
      </c>
      <c r="I2070" s="1" t="str">
        <f>IFERROR(VLOOKUP(C2070,'Clients List'!A:F,6,FALSE),"")</f>
        <v/>
      </c>
    </row>
    <row r="2071" spans="4:9" x14ac:dyDescent="0.45">
      <c r="D2071" t="str">
        <f>IFERROR(VLOOKUP(C2071,'Clients List'!$A:$F,2,FALSE),"")</f>
        <v/>
      </c>
      <c r="F2071" s="1" t="str">
        <f>IF(OR(C2071="",NOT(ISNUMBER(SEARCH("Package",D2071)))),"",VLOOKUP(C2071,'Clients List'!$A:$F,4,FALSE)-SUMIFS($E$2:$E2071,$C$2:$C2071,C2071,$D$2:$D2071,"*Package*"))</f>
        <v/>
      </c>
      <c r="G2071" t="str">
        <f t="shared" si="65"/>
        <v/>
      </c>
      <c r="H2071" s="33">
        <f>IF(ISNUMBER(SEARCH("Group",D2071)),IF(G2071="",E2071,IFERROR(E2071/COUNTIF($G2:$G6000,G2071),E2071)),E2071)</f>
        <v>0</v>
      </c>
      <c r="I2071" s="1" t="str">
        <f>IFERROR(VLOOKUP(C2071,'Clients List'!A:F,6,FALSE),"")</f>
        <v/>
      </c>
    </row>
    <row r="2072" spans="4:9" x14ac:dyDescent="0.45">
      <c r="D2072" t="str">
        <f>IFERROR(VLOOKUP(C2072,'Clients List'!$A:$F,2,FALSE),"")</f>
        <v/>
      </c>
      <c r="F2072" s="1" t="str">
        <f>IF(OR(C2072="",NOT(ISNUMBER(SEARCH("Package",D2072)))),"",VLOOKUP(C2072,'Clients List'!$A:$F,4,FALSE)-SUMIFS($E$2:$E2072,$C$2:$C2072,C2072,$D$2:$D2072,"*Package*"))</f>
        <v/>
      </c>
      <c r="G2072" t="str">
        <f t="shared" si="65"/>
        <v/>
      </c>
      <c r="H2072" s="33">
        <f>IF(ISNUMBER(SEARCH("Group",D2072)),IF(G2072="",E2072,IFERROR(E2072/COUNTIF($G2:$G6000,G2072),E2072)),E2072)</f>
        <v>0</v>
      </c>
      <c r="I2072" s="1" t="str">
        <f>IFERROR(VLOOKUP(C2072,'Clients List'!A:F,6,FALSE),"")</f>
        <v/>
      </c>
    </row>
    <row r="2073" spans="4:9" x14ac:dyDescent="0.45">
      <c r="D2073" t="str">
        <f>IFERROR(VLOOKUP(C2073,'Clients List'!$A:$F,2,FALSE),"")</f>
        <v/>
      </c>
      <c r="F2073" s="1" t="str">
        <f>IF(OR(C2073="",NOT(ISNUMBER(SEARCH("Package",D2073)))),"",VLOOKUP(C2073,'Clients List'!$A:$F,4,FALSE)-SUMIFS($E$2:$E2073,$C$2:$C2073,C2073,$D$2:$D2073,"*Package*"))</f>
        <v/>
      </c>
      <c r="G2073" t="str">
        <f t="shared" si="65"/>
        <v/>
      </c>
      <c r="H2073" s="33">
        <f>IF(ISNUMBER(SEARCH("Group",D2073)),IF(G2073="",E2073,IFERROR(E2073/COUNTIF($G2:$G6000,G2073),E2073)),E2073)</f>
        <v>0</v>
      </c>
      <c r="I2073" s="1" t="str">
        <f>IFERROR(VLOOKUP(C2073,'Clients List'!A:F,6,FALSE),"")</f>
        <v/>
      </c>
    </row>
    <row r="2074" spans="4:9" x14ac:dyDescent="0.45">
      <c r="D2074" t="str">
        <f>IFERROR(VLOOKUP(C2074,'Clients List'!$A:$F,2,FALSE),"")</f>
        <v/>
      </c>
      <c r="F2074" s="1" t="str">
        <f>IF(OR(C2074="",NOT(ISNUMBER(SEARCH("Package",D2074)))),"",VLOOKUP(C2074,'Clients List'!$A:$F,4,FALSE)-SUMIFS($E$2:$E2074,$C$2:$C2074,C2074,$D$2:$D2074,"*Package*"))</f>
        <v/>
      </c>
      <c r="G2074" t="str">
        <f t="shared" si="65"/>
        <v/>
      </c>
      <c r="H2074" s="33">
        <f>IF(ISNUMBER(SEARCH("Group",D2074)),IF(G2074="",E2074,IFERROR(E2074/COUNTIF($G2:$G6000,G2074),E2074)),E2074)</f>
        <v>0</v>
      </c>
      <c r="I2074" s="1" t="str">
        <f>IFERROR(VLOOKUP(C2074,'Clients List'!A:F,6,FALSE),"")</f>
        <v/>
      </c>
    </row>
    <row r="2075" spans="4:9" x14ac:dyDescent="0.45">
      <c r="D2075" t="str">
        <f>IFERROR(VLOOKUP(C2075,'Clients List'!$A:$F,2,FALSE),"")</f>
        <v/>
      </c>
      <c r="F2075" s="1" t="str">
        <f>IF(OR(C2075="",NOT(ISNUMBER(SEARCH("Package",D2075)))),"",VLOOKUP(C2075,'Clients List'!$A:$F,4,FALSE)-SUMIFS($E$2:$E2075,$C$2:$C2075,C2075,$D$2:$D2075,"*Package*"))</f>
        <v/>
      </c>
      <c r="G2075" t="str">
        <f t="shared" si="65"/>
        <v/>
      </c>
      <c r="H2075" s="33">
        <f>IF(ISNUMBER(SEARCH("Group",D2075)),IF(G2075="",E2075,IFERROR(E2075/COUNTIF($G2:$G6000,G2075),E2075)),E2075)</f>
        <v>0</v>
      </c>
      <c r="I2075" s="1" t="str">
        <f>IFERROR(VLOOKUP(C2075,'Clients List'!A:F,6,FALSE),"")</f>
        <v/>
      </c>
    </row>
    <row r="2076" spans="4:9" x14ac:dyDescent="0.45">
      <c r="D2076" t="str">
        <f>IFERROR(VLOOKUP(C2076,'Clients List'!$A:$F,2,FALSE),"")</f>
        <v/>
      </c>
      <c r="F2076" s="1" t="str">
        <f>IF(OR(C2076="",NOT(ISNUMBER(SEARCH("Package",D2076)))),"",VLOOKUP(C2076,'Clients List'!$A:$F,4,FALSE)-SUMIFS($E$2:$E2076,$C$2:$C2076,C2076,$D$2:$D2076,"*Package*"))</f>
        <v/>
      </c>
      <c r="G2076" t="str">
        <f t="shared" si="65"/>
        <v/>
      </c>
      <c r="H2076" s="33">
        <f>IF(ISNUMBER(SEARCH("Group",D2076)),IF(G2076="",E2076,IFERROR(E2076/COUNTIF($G2:$G6000,G2076),E2076)),E2076)</f>
        <v>0</v>
      </c>
      <c r="I2076" s="1" t="str">
        <f>IFERROR(VLOOKUP(C2076,'Clients List'!A:F,6,FALSE),"")</f>
        <v/>
      </c>
    </row>
    <row r="2077" spans="4:9" x14ac:dyDescent="0.45">
      <c r="D2077" t="str">
        <f>IFERROR(VLOOKUP(C2077,'Clients List'!$A:$F,2,FALSE),"")</f>
        <v/>
      </c>
      <c r="F2077" s="1" t="str">
        <f>IF(OR(C2077="",NOT(ISNUMBER(SEARCH("Package",D2077)))),"",VLOOKUP(C2077,'Clients List'!$A:$F,4,FALSE)-SUMIFS($E$2:$E2077,$C$2:$C2077,C2077,$D$2:$D2077,"*Package*"))</f>
        <v/>
      </c>
      <c r="G2077" t="str">
        <f t="shared" si="65"/>
        <v/>
      </c>
      <c r="H2077" s="33">
        <f>IF(ISNUMBER(SEARCH("Group",D2077)),IF(G2077="",E2077,IFERROR(E2077/COUNTIF($G2:$G6000,G2077),E2077)),E2077)</f>
        <v>0</v>
      </c>
      <c r="I2077" s="1" t="str">
        <f>IFERROR(VLOOKUP(C2077,'Clients List'!A:F,6,FALSE),"")</f>
        <v/>
      </c>
    </row>
    <row r="2078" spans="4:9" x14ac:dyDescent="0.45">
      <c r="D2078" t="str">
        <f>IFERROR(VLOOKUP(C2078,'Clients List'!$A:$F,2,FALSE),"")</f>
        <v/>
      </c>
      <c r="F2078" s="1" t="str">
        <f>IF(OR(C2078="",NOT(ISNUMBER(SEARCH("Package",D2078)))),"",VLOOKUP(C2078,'Clients List'!$A:$F,4,FALSE)-SUMIFS($E$2:$E2078,$C$2:$C2078,C2078,$D$2:$D2078,"*Package*"))</f>
        <v/>
      </c>
      <c r="G2078" t="str">
        <f t="shared" si="65"/>
        <v/>
      </c>
      <c r="H2078" s="33">
        <f>IF(ISNUMBER(SEARCH("Group",D2078)),IF(G2078="",E2078,IFERROR(E2078/COUNTIF($G2:$G6000,G2078),E2078)),E2078)</f>
        <v>0</v>
      </c>
      <c r="I2078" s="1" t="str">
        <f>IFERROR(VLOOKUP(C2078,'Clients List'!A:F,6,FALSE),"")</f>
        <v/>
      </c>
    </row>
    <row r="2079" spans="4:9" x14ac:dyDescent="0.45">
      <c r="D2079" t="str">
        <f>IFERROR(VLOOKUP(C2079,'Clients List'!$A:$F,2,FALSE),"")</f>
        <v/>
      </c>
      <c r="F2079" s="1" t="str">
        <f>IF(OR(C2079="",NOT(ISNUMBER(SEARCH("Package",D2079)))),"",VLOOKUP(C2079,'Clients List'!$A:$F,4,FALSE)-SUMIFS($E$2:$E2079,$C$2:$C2079,C2079,$D$2:$D2079,"*Package*"))</f>
        <v/>
      </c>
      <c r="G2079" t="str">
        <f t="shared" si="65"/>
        <v/>
      </c>
      <c r="H2079" s="33">
        <f>IF(ISNUMBER(SEARCH("Group",D2079)),IF(G2079="",E2079,IFERROR(E2079/COUNTIF($G2:$G6000,G2079),E2079)),E2079)</f>
        <v>0</v>
      </c>
      <c r="I2079" s="1" t="str">
        <f>IFERROR(VLOOKUP(C2079,'Clients List'!A:F,6,FALSE),"")</f>
        <v/>
      </c>
    </row>
    <row r="2080" spans="4:9" x14ac:dyDescent="0.45">
      <c r="D2080" t="str">
        <f>IFERROR(VLOOKUP(C2080,'Clients List'!$A:$F,2,FALSE),"")</f>
        <v/>
      </c>
      <c r="F2080" s="1" t="str">
        <f>IF(OR(C2080="",NOT(ISNUMBER(SEARCH("Package",D2080)))),"",VLOOKUP(C2080,'Clients List'!$A:$F,4,FALSE)-SUMIFS($E$2:$E2080,$C$2:$C2080,C2080,$D$2:$D2080,"*Package*"))</f>
        <v/>
      </c>
      <c r="G2080" t="str">
        <f t="shared" si="65"/>
        <v/>
      </c>
      <c r="H2080" s="33">
        <f>IF(ISNUMBER(SEARCH("Group",D2080)),IF(G2080="",E2080,IFERROR(E2080/COUNTIF($G2:$G6000,G2080),E2080)),E2080)</f>
        <v>0</v>
      </c>
      <c r="I2080" s="1" t="str">
        <f>IFERROR(VLOOKUP(C2080,'Clients List'!A:F,6,FALSE),"")</f>
        <v/>
      </c>
    </row>
    <row r="2081" spans="4:9" x14ac:dyDescent="0.45">
      <c r="D2081" t="str">
        <f>IFERROR(VLOOKUP(C2081,'Clients List'!$A:$F,2,FALSE),"")</f>
        <v/>
      </c>
      <c r="F2081" s="1" t="str">
        <f>IF(OR(C2081="",NOT(ISNUMBER(SEARCH("Package",D2081)))),"",VLOOKUP(C2081,'Clients List'!$A:$F,4,FALSE)-SUMIFS($E$2:$E2081,$C$2:$C2081,C2081,$D$2:$D2081,"*Package*"))</f>
        <v/>
      </c>
      <c r="G2081" t="str">
        <f t="shared" si="65"/>
        <v/>
      </c>
      <c r="H2081" s="33">
        <f>IF(ISNUMBER(SEARCH("Group",D2081)),IF(G2081="",E2081,IFERROR(E2081/COUNTIF($G2:$G6000,G2081),E2081)),E2081)</f>
        <v>0</v>
      </c>
      <c r="I2081" s="1" t="str">
        <f>IFERROR(VLOOKUP(C2081,'Clients List'!A:F,6,FALSE),"")</f>
        <v/>
      </c>
    </row>
    <row r="2082" spans="4:9" x14ac:dyDescent="0.45">
      <c r="D2082" t="str">
        <f>IFERROR(VLOOKUP(C2082,'Clients List'!$A:$F,2,FALSE),"")</f>
        <v/>
      </c>
      <c r="F2082" s="1" t="str">
        <f>IF(OR(C2082="",NOT(ISNUMBER(SEARCH("Package",D2082)))),"",VLOOKUP(C2082,'Clients List'!$A:$F,4,FALSE)-SUMIFS($E$2:$E2082,$C$2:$C2082,C2082,$D$2:$D2082,"*Package*"))</f>
        <v/>
      </c>
      <c r="G2082" t="str">
        <f t="shared" si="65"/>
        <v/>
      </c>
      <c r="H2082" s="33">
        <f>IF(ISNUMBER(SEARCH("Group",D2082)),IF(G2082="",E2082,IFERROR(E2082/COUNTIF($G2:$G6000,G2082),E2082)),E2082)</f>
        <v>0</v>
      </c>
      <c r="I2082" s="1" t="str">
        <f>IFERROR(VLOOKUP(C2082,'Clients List'!A:F,6,FALSE),"")</f>
        <v/>
      </c>
    </row>
    <row r="2083" spans="4:9" x14ac:dyDescent="0.45">
      <c r="D2083" t="str">
        <f>IFERROR(VLOOKUP(C2083,'Clients List'!$A:$F,2,FALSE),"")</f>
        <v/>
      </c>
      <c r="F2083" s="1" t="str">
        <f>IF(OR(C2083="",NOT(ISNUMBER(SEARCH("Package",D2083)))),"",VLOOKUP(C2083,'Clients List'!$A:$F,4,FALSE)-SUMIFS($E$2:$E2083,$C$2:$C2083,C2083,$D$2:$D2083,"*Package*"))</f>
        <v/>
      </c>
      <c r="G2083" t="str">
        <f t="shared" si="65"/>
        <v/>
      </c>
      <c r="H2083" s="33">
        <f>IF(ISNUMBER(SEARCH("Group",D2083)),IF(G2083="",E2083,IFERROR(E2083/COUNTIF($G2:$G6000,G2083),E2083)),E2083)</f>
        <v>0</v>
      </c>
      <c r="I2083" s="1" t="str">
        <f>IFERROR(VLOOKUP(C2083,'Clients List'!A:F,6,FALSE),"")</f>
        <v/>
      </c>
    </row>
    <row r="2084" spans="4:9" x14ac:dyDescent="0.45">
      <c r="D2084" t="str">
        <f>IFERROR(VLOOKUP(C2084,'Clients List'!$A:$F,2,FALSE),"")</f>
        <v/>
      </c>
      <c r="F2084" s="1" t="str">
        <f>IF(OR(C2084="",NOT(ISNUMBER(SEARCH("Package",D2084)))),"",VLOOKUP(C2084,'Clients List'!$A:$F,4,FALSE)-SUMIFS($E$2:$E2084,$C$2:$C2084,C2084,$D$2:$D2084,"*Package*"))</f>
        <v/>
      </c>
      <c r="G2084" t="str">
        <f t="shared" si="65"/>
        <v/>
      </c>
      <c r="H2084" s="33">
        <f>IF(ISNUMBER(SEARCH("Group",D2084)),IF(G2084="",E2084,IFERROR(E2084/COUNTIF($G2:$G6000,G2084),E2084)),E2084)</f>
        <v>0</v>
      </c>
      <c r="I2084" s="1" t="str">
        <f>IFERROR(VLOOKUP(C2084,'Clients List'!A:F,6,FALSE),"")</f>
        <v/>
      </c>
    </row>
    <row r="2085" spans="4:9" x14ac:dyDescent="0.45">
      <c r="D2085" t="str">
        <f>IFERROR(VLOOKUP(C2085,'Clients List'!$A:$F,2,FALSE),"")</f>
        <v/>
      </c>
      <c r="F2085" s="1" t="str">
        <f>IF(OR(C2085="",NOT(ISNUMBER(SEARCH("Package",D2085)))),"",VLOOKUP(C2085,'Clients List'!$A:$F,4,FALSE)-SUMIFS($E$2:$E2085,$C$2:$C2085,C2085,$D$2:$D2085,"*Package*"))</f>
        <v/>
      </c>
      <c r="G2085" t="str">
        <f t="shared" si="65"/>
        <v/>
      </c>
      <c r="H2085" s="33">
        <f>IF(ISNUMBER(SEARCH("Group",D2085)),IF(G2085="",E2085,IFERROR(E2085/COUNTIF($G2:$G6000,G2085),E2085)),E2085)</f>
        <v>0</v>
      </c>
      <c r="I2085" s="1" t="str">
        <f>IFERROR(VLOOKUP(C2085,'Clients List'!A:F,6,FALSE),"")</f>
        <v/>
      </c>
    </row>
    <row r="2086" spans="4:9" x14ac:dyDescent="0.45">
      <c r="D2086" t="str">
        <f>IFERROR(VLOOKUP(C2086,'Clients List'!$A:$F,2,FALSE),"")</f>
        <v/>
      </c>
      <c r="F2086" s="1" t="str">
        <f>IF(OR(C2086="",NOT(ISNUMBER(SEARCH("Package",D2086)))),"",VLOOKUP(C2086,'Clients List'!$A:$F,4,FALSE)-SUMIFS($E$2:$E2086,$C$2:$C2086,C2086,$D$2:$D2086,"*Package*"))</f>
        <v/>
      </c>
      <c r="G2086" t="str">
        <f t="shared" si="65"/>
        <v/>
      </c>
      <c r="H2086" s="33">
        <f>IF(ISNUMBER(SEARCH("Group",D2086)),IF(G2086="",E2086,IFERROR(E2086/COUNTIF($G2:$G6000,G2086),E2086)),E2086)</f>
        <v>0</v>
      </c>
      <c r="I2086" s="1" t="str">
        <f>IFERROR(VLOOKUP(C2086,'Clients List'!A:F,6,FALSE),"")</f>
        <v/>
      </c>
    </row>
    <row r="2087" spans="4:9" x14ac:dyDescent="0.45">
      <c r="D2087" t="str">
        <f>IFERROR(VLOOKUP(C2087,'Clients List'!$A:$F,2,FALSE),"")</f>
        <v/>
      </c>
      <c r="F2087" s="1" t="str">
        <f>IF(OR(C2087="",NOT(ISNUMBER(SEARCH("Package",D2087)))),"",VLOOKUP(C2087,'Clients List'!$A:$F,4,FALSE)-SUMIFS($E$2:$E2087,$C$2:$C2087,C2087,$D$2:$D2087,"*Package*"))</f>
        <v/>
      </c>
      <c r="G2087" t="str">
        <f t="shared" si="65"/>
        <v/>
      </c>
      <c r="H2087" s="33">
        <f>IF(ISNUMBER(SEARCH("Group",D2087)),IF(G2087="",E2087,IFERROR(E2087/COUNTIF($G2:$G6000,G2087),E2087)),E2087)</f>
        <v>0</v>
      </c>
      <c r="I2087" s="1" t="str">
        <f>IFERROR(VLOOKUP(C2087,'Clients List'!A:F,6,FALSE),"")</f>
        <v/>
      </c>
    </row>
    <row r="2088" spans="4:9" x14ac:dyDescent="0.45">
      <c r="D2088" t="str">
        <f>IFERROR(VLOOKUP(C2088,'Clients List'!$A:$F,2,FALSE),"")</f>
        <v/>
      </c>
      <c r="F2088" s="1" t="str">
        <f>IF(OR(C2088="",NOT(ISNUMBER(SEARCH("Package",D2088)))),"",VLOOKUP(C2088,'Clients List'!$A:$F,4,FALSE)-SUMIFS($E$2:$E2088,$C$2:$C2088,C2088,$D$2:$D2088,"*Package*"))</f>
        <v/>
      </c>
      <c r="G2088" t="str">
        <f t="shared" si="65"/>
        <v/>
      </c>
      <c r="H2088" s="33">
        <f>IF(ISNUMBER(SEARCH("Group",D2088)),IF(G2088="",E2088,IFERROR(E2088/COUNTIF($G2:$G6000,G2088),E2088)),E2088)</f>
        <v>0</v>
      </c>
      <c r="I2088" s="1" t="str">
        <f>IFERROR(VLOOKUP(C2088,'Clients List'!A:F,6,FALSE),"")</f>
        <v/>
      </c>
    </row>
    <row r="2089" spans="4:9" x14ac:dyDescent="0.45">
      <c r="D2089" t="str">
        <f>IFERROR(VLOOKUP(C2089,'Clients List'!$A:$F,2,FALSE),"")</f>
        <v/>
      </c>
      <c r="F2089" s="1" t="str">
        <f>IF(OR(C2089="",NOT(ISNUMBER(SEARCH("Package",D2089)))),"",VLOOKUP(C2089,'Clients List'!$A:$F,4,FALSE)-SUMIFS($E$2:$E2089,$C$2:$C2089,C2089,$D$2:$D2089,"*Package*"))</f>
        <v/>
      </c>
      <c r="G2089" t="str">
        <f t="shared" si="65"/>
        <v/>
      </c>
      <c r="H2089" s="33">
        <f>IF(ISNUMBER(SEARCH("Group",D2089)),IF(G2089="",E2089,IFERROR(E2089/COUNTIF($G2:$G6000,G2089),E2089)),E2089)</f>
        <v>0</v>
      </c>
      <c r="I2089" s="1" t="str">
        <f>IFERROR(VLOOKUP(C2089,'Clients List'!A:F,6,FALSE),"")</f>
        <v/>
      </c>
    </row>
    <row r="2090" spans="4:9" x14ac:dyDescent="0.45">
      <c r="D2090" t="str">
        <f>IFERROR(VLOOKUP(C2090,'Clients List'!$A:$F,2,FALSE),"")</f>
        <v/>
      </c>
      <c r="F2090" s="1" t="str">
        <f>IF(OR(C2090="",NOT(ISNUMBER(SEARCH("Package",D2090)))),"",VLOOKUP(C2090,'Clients List'!$A:$F,4,FALSE)-SUMIFS($E$2:$E2090,$C$2:$C2090,C2090,$D$2:$D2090,"*Package*"))</f>
        <v/>
      </c>
      <c r="G2090" t="str">
        <f t="shared" si="65"/>
        <v/>
      </c>
      <c r="H2090" s="33">
        <f>IF(ISNUMBER(SEARCH("Group",D2090)),IF(G2090="",E2090,IFERROR(E2090/COUNTIF($G2:$G6000,G2090),E2090)),E2090)</f>
        <v>0</v>
      </c>
      <c r="I2090" s="1" t="str">
        <f>IFERROR(VLOOKUP(C2090,'Clients List'!A:F,6,FALSE),"")</f>
        <v/>
      </c>
    </row>
    <row r="2091" spans="4:9" x14ac:dyDescent="0.45">
      <c r="D2091" t="str">
        <f>IFERROR(VLOOKUP(C2091,'Clients List'!$A:$F,2,FALSE),"")</f>
        <v/>
      </c>
      <c r="F2091" s="1" t="str">
        <f>IF(OR(C2091="",NOT(ISNUMBER(SEARCH("Package",D2091)))),"",VLOOKUP(C2091,'Clients List'!$A:$F,4,FALSE)-SUMIFS($E$2:$E2091,$C$2:$C2091,C2091,$D$2:$D2091,"*Package*"))</f>
        <v/>
      </c>
      <c r="G2091" t="str">
        <f t="shared" si="65"/>
        <v/>
      </c>
      <c r="H2091" s="33">
        <f>IF(ISNUMBER(SEARCH("Group",D2091)),IF(G2091="",E2091,IFERROR(E2091/COUNTIF($G2:$G6000,G2091),E2091)),E2091)</f>
        <v>0</v>
      </c>
      <c r="I2091" s="1" t="str">
        <f>IFERROR(VLOOKUP(C2091,'Clients List'!A:F,6,FALSE),"")</f>
        <v/>
      </c>
    </row>
    <row r="2092" spans="4:9" x14ac:dyDescent="0.45">
      <c r="D2092" t="str">
        <f>IFERROR(VLOOKUP(C2092,'Clients List'!$A:$F,2,FALSE),"")</f>
        <v/>
      </c>
      <c r="F2092" s="1" t="str">
        <f>IF(OR(C2092="",NOT(ISNUMBER(SEARCH("Package",D2092)))),"",VLOOKUP(C2092,'Clients List'!$A:$F,4,FALSE)-SUMIFS($E$2:$E2092,$C$2:$C2092,C2092,$D$2:$D2092,"*Package*"))</f>
        <v/>
      </c>
      <c r="G2092" t="str">
        <f t="shared" si="65"/>
        <v/>
      </c>
      <c r="H2092" s="33">
        <f>IF(ISNUMBER(SEARCH("Group",D2092)),IF(G2092="",E2092,IFERROR(E2092/COUNTIF($G2:$G6000,G2092),E2092)),E2092)</f>
        <v>0</v>
      </c>
      <c r="I2092" s="1" t="str">
        <f>IFERROR(VLOOKUP(C2092,'Clients List'!A:F,6,FALSE),"")</f>
        <v/>
      </c>
    </row>
    <row r="2093" spans="4:9" x14ac:dyDescent="0.45">
      <c r="D2093" t="str">
        <f>IFERROR(VLOOKUP(C2093,'Clients List'!$A:$F,2,FALSE),"")</f>
        <v/>
      </c>
      <c r="F2093" s="1" t="str">
        <f>IF(OR(C2093="",NOT(ISNUMBER(SEARCH("Package",D2093)))),"",VLOOKUP(C2093,'Clients List'!$A:$F,4,FALSE)-SUMIFS($E$2:$E2093,$C$2:$C2093,C2093,$D$2:$D2093,"*Package*"))</f>
        <v/>
      </c>
      <c r="G2093" t="str">
        <f t="shared" si="65"/>
        <v/>
      </c>
      <c r="H2093" s="33">
        <f>IF(ISNUMBER(SEARCH("Group",D2093)),IF(G2093="",E2093,IFERROR(E2093/COUNTIF($G2:$G6000,G2093),E2093)),E2093)</f>
        <v>0</v>
      </c>
      <c r="I2093" s="1" t="str">
        <f>IFERROR(VLOOKUP(C2093,'Clients List'!A:F,6,FALSE),"")</f>
        <v/>
      </c>
    </row>
    <row r="2094" spans="4:9" x14ac:dyDescent="0.45">
      <c r="D2094" t="str">
        <f>IFERROR(VLOOKUP(C2094,'Clients List'!$A:$F,2,FALSE),"")</f>
        <v/>
      </c>
      <c r="F2094" s="1" t="str">
        <f>IF(OR(C2094="",NOT(ISNUMBER(SEARCH("Package",D2094)))),"",VLOOKUP(C2094,'Clients List'!$A:$F,4,FALSE)-SUMIFS($E$2:$E2094,$C$2:$C2094,C2094,$D$2:$D2094,"*Package*"))</f>
        <v/>
      </c>
      <c r="G2094" t="str">
        <f t="shared" si="65"/>
        <v/>
      </c>
      <c r="H2094" s="33">
        <f>IF(ISNUMBER(SEARCH("Group",D2094)),IF(G2094="",E2094,IFERROR(E2094/COUNTIF($G2:$G6000,G2094),E2094)),E2094)</f>
        <v>0</v>
      </c>
      <c r="I2094" s="1" t="str">
        <f>IFERROR(VLOOKUP(C2094,'Clients List'!A:F,6,FALSE),"")</f>
        <v/>
      </c>
    </row>
    <row r="2095" spans="4:9" x14ac:dyDescent="0.45">
      <c r="D2095" t="str">
        <f>IFERROR(VLOOKUP(C2095,'Clients List'!$A:$F,2,FALSE),"")</f>
        <v/>
      </c>
      <c r="F2095" s="1" t="str">
        <f>IF(OR(C2095="",NOT(ISNUMBER(SEARCH("Package",D2095)))),"",VLOOKUP(C2095,'Clients List'!$A:$F,4,FALSE)-SUMIFS($E$2:$E2095,$C$2:$C2095,C2095,$D$2:$D2095,"*Package*"))</f>
        <v/>
      </c>
      <c r="G2095" t="str">
        <f t="shared" si="65"/>
        <v/>
      </c>
      <c r="H2095" s="33">
        <f>IF(ISNUMBER(SEARCH("Group",D2095)),IF(G2095="",E2095,IFERROR(E2095/COUNTIF($G2:$G6000,G2095),E2095)),E2095)</f>
        <v>0</v>
      </c>
      <c r="I2095" s="1" t="str">
        <f>IFERROR(VLOOKUP(C2095,'Clients List'!A:F,6,FALSE),"")</f>
        <v/>
      </c>
    </row>
    <row r="2096" spans="4:9" x14ac:dyDescent="0.45">
      <c r="D2096" t="str">
        <f>IFERROR(VLOOKUP(C2096,'Clients List'!$A:$F,2,FALSE),"")</f>
        <v/>
      </c>
      <c r="F2096" s="1" t="str">
        <f>IF(OR(C2096="",NOT(ISNUMBER(SEARCH("Package",D2096)))),"",VLOOKUP(C2096,'Clients List'!$A:$F,4,FALSE)-SUMIFS($E$2:$E2096,$C$2:$C2096,C2096,$D$2:$D2096,"*Package*"))</f>
        <v/>
      </c>
      <c r="G2096" t="str">
        <f t="shared" si="65"/>
        <v/>
      </c>
      <c r="H2096" s="33">
        <f>IF(ISNUMBER(SEARCH("Group",D2096)),IF(G2096="",E2096,IFERROR(E2096/COUNTIF($G2:$G6000,G2096),E2096)),E2096)</f>
        <v>0</v>
      </c>
      <c r="I2096" s="1" t="str">
        <f>IFERROR(VLOOKUP(C2096,'Clients List'!A:F,6,FALSE),"")</f>
        <v/>
      </c>
    </row>
    <row r="2097" spans="4:9" x14ac:dyDescent="0.45">
      <c r="D2097" t="str">
        <f>IFERROR(VLOOKUP(C2097,'Clients List'!$A:$F,2,FALSE),"")</f>
        <v/>
      </c>
      <c r="F2097" s="1" t="str">
        <f>IF(OR(C2097="",NOT(ISNUMBER(SEARCH("Package",D2097)))),"",VLOOKUP(C2097,'Clients List'!$A:$F,4,FALSE)-SUMIFS($E$2:$E2097,$C$2:$C2097,C2097,$D$2:$D2097,"*Package*"))</f>
        <v/>
      </c>
      <c r="G2097" t="str">
        <f t="shared" si="65"/>
        <v/>
      </c>
      <c r="H2097" s="33">
        <f>IF(ISNUMBER(SEARCH("Group",D2097)),IF(G2097="",E2097,IFERROR(E2097/COUNTIF($G2:$G6000,G2097),E2097)),E2097)</f>
        <v>0</v>
      </c>
      <c r="I2097" s="1" t="str">
        <f>IFERROR(VLOOKUP(C2097,'Clients List'!A:F,6,FALSE),"")</f>
        <v/>
      </c>
    </row>
    <row r="2098" spans="4:9" x14ac:dyDescent="0.45">
      <c r="D2098" t="str">
        <f>IFERROR(VLOOKUP(C2098,'Clients List'!$A:$F,2,FALSE),"")</f>
        <v/>
      </c>
      <c r="F2098" s="1" t="str">
        <f>IF(OR(C2098="",NOT(ISNUMBER(SEARCH("Package",D2098)))),"",VLOOKUP(C2098,'Clients List'!$A:$F,4,FALSE)-SUMIFS($E$2:$E2098,$C$2:$C2098,C2098,$D$2:$D2098,"*Package*"))</f>
        <v/>
      </c>
      <c r="G2098" t="str">
        <f t="shared" si="65"/>
        <v/>
      </c>
      <c r="H2098" s="33">
        <f>IF(ISNUMBER(SEARCH("Group",D2098)),IF(G2098="",E2098,IFERROR(E2098/COUNTIF($G2:$G6000,G2098),E2098)),E2098)</f>
        <v>0</v>
      </c>
      <c r="I2098" s="1" t="str">
        <f>IFERROR(VLOOKUP(C2098,'Clients List'!A:F,6,FALSE),"")</f>
        <v/>
      </c>
    </row>
    <row r="2099" spans="4:9" x14ac:dyDescent="0.45">
      <c r="D2099" t="str">
        <f>IFERROR(VLOOKUP(C2099,'Clients List'!$A:$F,2,FALSE),"")</f>
        <v/>
      </c>
      <c r="F2099" s="1" t="str">
        <f>IF(OR(C2099="",NOT(ISNUMBER(SEARCH("Package",D2099)))),"",VLOOKUP(C2099,'Clients List'!$A:$F,4,FALSE)-SUMIFS($E$2:$E2099,$C$2:$C2099,C2099,$D$2:$D2099,"*Package*"))</f>
        <v/>
      </c>
      <c r="G2099" t="str">
        <f t="shared" si="65"/>
        <v/>
      </c>
      <c r="H2099" s="33">
        <f>IF(ISNUMBER(SEARCH("Group",D2099)),IF(G2099="",E2099,IFERROR(E2099/COUNTIF($G2:$G6000,G2099),E2099)),E2099)</f>
        <v>0</v>
      </c>
      <c r="I2099" s="1" t="str">
        <f>IFERROR(VLOOKUP(C2099,'Clients List'!A:F,6,FALSE),"")</f>
        <v/>
      </c>
    </row>
    <row r="2100" spans="4:9" x14ac:dyDescent="0.45">
      <c r="D2100" t="str">
        <f>IFERROR(VLOOKUP(C2100,'Clients List'!$A:$F,2,FALSE),"")</f>
        <v/>
      </c>
      <c r="F2100" s="1" t="str">
        <f>IF(OR(C2100="",NOT(ISNUMBER(SEARCH("Package",D2100)))),"",VLOOKUP(C2100,'Clients List'!$A:$F,4,FALSE)-SUMIFS($E$2:$E2100,$C$2:$C2100,C2100,$D$2:$D2100,"*Package*"))</f>
        <v/>
      </c>
      <c r="G2100" t="str">
        <f t="shared" si="65"/>
        <v/>
      </c>
      <c r="H2100" s="33">
        <f>IF(ISNUMBER(SEARCH("Group",D2100)),IF(G2100="",E2100,IFERROR(E2100/COUNTIF($G2:$G6000,G2100),E2100)),E2100)</f>
        <v>0</v>
      </c>
      <c r="I2100" s="1" t="str">
        <f>IFERROR(VLOOKUP(C2100,'Clients List'!A:F,6,FALSE),"")</f>
        <v/>
      </c>
    </row>
    <row r="2101" spans="4:9" x14ac:dyDescent="0.45">
      <c r="D2101" t="str">
        <f>IFERROR(VLOOKUP(C2101,'Clients List'!$A:$F,2,FALSE),"")</f>
        <v/>
      </c>
      <c r="F2101" s="1" t="str">
        <f>IF(OR(C2101="",NOT(ISNUMBER(SEARCH("Package",D2101)))),"",VLOOKUP(C2101,'Clients List'!$A:$F,4,FALSE)-SUMIFS($E$2:$E2101,$C$2:$C2101,C2101,$D$2:$D2101,"*Package*"))</f>
        <v/>
      </c>
      <c r="G2101" t="str">
        <f t="shared" ref="G2101:G2164" si="66">IF(ISNUMBER(SEARCH("Group",D2101)),IFERROR("GRP-"&amp;TEXT(IF(ISNUMBER(A2101),A2101,DATEVALUE(A2101)),"yyyymmdd"),""),"" )</f>
        <v/>
      </c>
      <c r="H2101" s="33">
        <f>IF(ISNUMBER(SEARCH("Group",D2101)),IF(G2101="",E2101,IFERROR(E2101/COUNTIF($G2:$G6000,G2101),E2101)),E2101)</f>
        <v>0</v>
      </c>
      <c r="I2101" s="1" t="str">
        <f>IFERROR(VLOOKUP(C2101,'Clients List'!A:F,6,FALSE),"")</f>
        <v/>
      </c>
    </row>
    <row r="2102" spans="4:9" x14ac:dyDescent="0.45">
      <c r="D2102" t="str">
        <f>IFERROR(VLOOKUP(C2102,'Clients List'!$A:$F,2,FALSE),"")</f>
        <v/>
      </c>
      <c r="F2102" s="1" t="str">
        <f>IF(OR(C2102="",NOT(ISNUMBER(SEARCH("Package",D2102)))),"",VLOOKUP(C2102,'Clients List'!$A:$F,4,FALSE)-SUMIFS($E$2:$E2102,$C$2:$C2102,C2102,$D$2:$D2102,"*Package*"))</f>
        <v/>
      </c>
      <c r="G2102" t="str">
        <f t="shared" si="66"/>
        <v/>
      </c>
      <c r="H2102" s="33">
        <f>IF(ISNUMBER(SEARCH("Group",D2102)),IF(G2102="",E2102,IFERROR(E2102/COUNTIF($G2:$G6000,G2102),E2102)),E2102)</f>
        <v>0</v>
      </c>
      <c r="I2102" s="1" t="str">
        <f>IFERROR(VLOOKUP(C2102,'Clients List'!A:F,6,FALSE),"")</f>
        <v/>
      </c>
    </row>
    <row r="2103" spans="4:9" x14ac:dyDescent="0.45">
      <c r="D2103" t="str">
        <f>IFERROR(VLOOKUP(C2103,'Clients List'!$A:$F,2,FALSE),"")</f>
        <v/>
      </c>
      <c r="F2103" s="1" t="str">
        <f>IF(OR(C2103="",NOT(ISNUMBER(SEARCH("Package",D2103)))),"",VLOOKUP(C2103,'Clients List'!$A:$F,4,FALSE)-SUMIFS($E$2:$E2103,$C$2:$C2103,C2103,$D$2:$D2103,"*Package*"))</f>
        <v/>
      </c>
      <c r="G2103" t="str">
        <f t="shared" si="66"/>
        <v/>
      </c>
      <c r="H2103" s="33">
        <f>IF(ISNUMBER(SEARCH("Group",D2103)),IF(G2103="",E2103,IFERROR(E2103/COUNTIF($G2:$G6000,G2103),E2103)),E2103)</f>
        <v>0</v>
      </c>
      <c r="I2103" s="1" t="str">
        <f>IFERROR(VLOOKUP(C2103,'Clients List'!A:F,6,FALSE),"")</f>
        <v/>
      </c>
    </row>
    <row r="2104" spans="4:9" x14ac:dyDescent="0.45">
      <c r="D2104" t="str">
        <f>IFERROR(VLOOKUP(C2104,'Clients List'!$A:$F,2,FALSE),"")</f>
        <v/>
      </c>
      <c r="F2104" s="1" t="str">
        <f>IF(OR(C2104="",NOT(ISNUMBER(SEARCH("Package",D2104)))),"",VLOOKUP(C2104,'Clients List'!$A:$F,4,FALSE)-SUMIFS($E$2:$E2104,$C$2:$C2104,C2104,$D$2:$D2104,"*Package*"))</f>
        <v/>
      </c>
      <c r="G2104" t="str">
        <f t="shared" si="66"/>
        <v/>
      </c>
      <c r="H2104" s="33">
        <f>IF(ISNUMBER(SEARCH("Group",D2104)),IF(G2104="",E2104,IFERROR(E2104/COUNTIF($G2:$G6000,G2104),E2104)),E2104)</f>
        <v>0</v>
      </c>
      <c r="I2104" s="1" t="str">
        <f>IFERROR(VLOOKUP(C2104,'Clients List'!A:F,6,FALSE),"")</f>
        <v/>
      </c>
    </row>
    <row r="2105" spans="4:9" x14ac:dyDescent="0.45">
      <c r="D2105" t="str">
        <f>IFERROR(VLOOKUP(C2105,'Clients List'!$A:$F,2,FALSE),"")</f>
        <v/>
      </c>
      <c r="F2105" s="1" t="str">
        <f>IF(OR(C2105="",NOT(ISNUMBER(SEARCH("Package",D2105)))),"",VLOOKUP(C2105,'Clients List'!$A:$F,4,FALSE)-SUMIFS($E$2:$E2105,$C$2:$C2105,C2105,$D$2:$D2105,"*Package*"))</f>
        <v/>
      </c>
      <c r="G2105" t="str">
        <f t="shared" si="66"/>
        <v/>
      </c>
      <c r="H2105" s="33">
        <f>IF(ISNUMBER(SEARCH("Group",D2105)),IF(G2105="",E2105,IFERROR(E2105/COUNTIF($G2:$G6000,G2105),E2105)),E2105)</f>
        <v>0</v>
      </c>
      <c r="I2105" s="1" t="str">
        <f>IFERROR(VLOOKUP(C2105,'Clients List'!A:F,6,FALSE),"")</f>
        <v/>
      </c>
    </row>
    <row r="2106" spans="4:9" x14ac:dyDescent="0.45">
      <c r="D2106" t="str">
        <f>IFERROR(VLOOKUP(C2106,'Clients List'!$A:$F,2,FALSE),"")</f>
        <v/>
      </c>
      <c r="F2106" s="1" t="str">
        <f>IF(OR(C2106="",NOT(ISNUMBER(SEARCH("Package",D2106)))),"",VLOOKUP(C2106,'Clients List'!$A:$F,4,FALSE)-SUMIFS($E$2:$E2106,$C$2:$C2106,C2106,$D$2:$D2106,"*Package*"))</f>
        <v/>
      </c>
      <c r="G2106" t="str">
        <f t="shared" si="66"/>
        <v/>
      </c>
      <c r="H2106" s="33">
        <f>IF(ISNUMBER(SEARCH("Group",D2106)),IF(G2106="",E2106,IFERROR(E2106/COUNTIF($G2:$G6000,G2106),E2106)),E2106)</f>
        <v>0</v>
      </c>
      <c r="I2106" s="1" t="str">
        <f>IFERROR(VLOOKUP(C2106,'Clients List'!A:F,6,FALSE),"")</f>
        <v/>
      </c>
    </row>
    <row r="2107" spans="4:9" x14ac:dyDescent="0.45">
      <c r="D2107" t="str">
        <f>IFERROR(VLOOKUP(C2107,'Clients List'!$A:$F,2,FALSE),"")</f>
        <v/>
      </c>
      <c r="F2107" s="1" t="str">
        <f>IF(OR(C2107="",NOT(ISNUMBER(SEARCH("Package",D2107)))),"",VLOOKUP(C2107,'Clients List'!$A:$F,4,FALSE)-SUMIFS($E$2:$E2107,$C$2:$C2107,C2107,$D$2:$D2107,"*Package*"))</f>
        <v/>
      </c>
      <c r="G2107" t="str">
        <f t="shared" si="66"/>
        <v/>
      </c>
      <c r="H2107" s="33">
        <f>IF(ISNUMBER(SEARCH("Group",D2107)),IF(G2107="",E2107,IFERROR(E2107/COUNTIF($G2:$G6000,G2107),E2107)),E2107)</f>
        <v>0</v>
      </c>
      <c r="I2107" s="1" t="str">
        <f>IFERROR(VLOOKUP(C2107,'Clients List'!A:F,6,FALSE),"")</f>
        <v/>
      </c>
    </row>
    <row r="2108" spans="4:9" x14ac:dyDescent="0.45">
      <c r="D2108" t="str">
        <f>IFERROR(VLOOKUP(C2108,'Clients List'!$A:$F,2,FALSE),"")</f>
        <v/>
      </c>
      <c r="F2108" s="1" t="str">
        <f>IF(OR(C2108="",NOT(ISNUMBER(SEARCH("Package",D2108)))),"",VLOOKUP(C2108,'Clients List'!$A:$F,4,FALSE)-SUMIFS($E$2:$E2108,$C$2:$C2108,C2108,$D$2:$D2108,"*Package*"))</f>
        <v/>
      </c>
      <c r="G2108" t="str">
        <f t="shared" si="66"/>
        <v/>
      </c>
      <c r="H2108" s="33">
        <f>IF(ISNUMBER(SEARCH("Group",D2108)),IF(G2108="",E2108,IFERROR(E2108/COUNTIF($G2:$G6000,G2108),E2108)),E2108)</f>
        <v>0</v>
      </c>
      <c r="I2108" s="1" t="str">
        <f>IFERROR(VLOOKUP(C2108,'Clients List'!A:F,6,FALSE),"")</f>
        <v/>
      </c>
    </row>
    <row r="2109" spans="4:9" x14ac:dyDescent="0.45">
      <c r="D2109" t="str">
        <f>IFERROR(VLOOKUP(C2109,'Clients List'!$A:$F,2,FALSE),"")</f>
        <v/>
      </c>
      <c r="F2109" s="1" t="str">
        <f>IF(OR(C2109="",NOT(ISNUMBER(SEARCH("Package",D2109)))),"",VLOOKUP(C2109,'Clients List'!$A:$F,4,FALSE)-SUMIFS($E$2:$E2109,$C$2:$C2109,C2109,$D$2:$D2109,"*Package*"))</f>
        <v/>
      </c>
      <c r="G2109" t="str">
        <f t="shared" si="66"/>
        <v/>
      </c>
      <c r="H2109" s="33">
        <f>IF(ISNUMBER(SEARCH("Group",D2109)),IF(G2109="",E2109,IFERROR(E2109/COUNTIF($G2:$G6000,G2109),E2109)),E2109)</f>
        <v>0</v>
      </c>
      <c r="I2109" s="1" t="str">
        <f>IFERROR(VLOOKUP(C2109,'Clients List'!A:F,6,FALSE),"")</f>
        <v/>
      </c>
    </row>
    <row r="2110" spans="4:9" x14ac:dyDescent="0.45">
      <c r="D2110" t="str">
        <f>IFERROR(VLOOKUP(C2110,'Clients List'!$A:$F,2,FALSE),"")</f>
        <v/>
      </c>
      <c r="F2110" s="1" t="str">
        <f>IF(OR(C2110="",NOT(ISNUMBER(SEARCH("Package",D2110)))),"",VLOOKUP(C2110,'Clients List'!$A:$F,4,FALSE)-SUMIFS($E$2:$E2110,$C$2:$C2110,C2110,$D$2:$D2110,"*Package*"))</f>
        <v/>
      </c>
      <c r="G2110" t="str">
        <f t="shared" si="66"/>
        <v/>
      </c>
      <c r="H2110" s="33">
        <f>IF(ISNUMBER(SEARCH("Group",D2110)),IF(G2110="",E2110,IFERROR(E2110/COUNTIF($G2:$G6000,G2110),E2110)),E2110)</f>
        <v>0</v>
      </c>
      <c r="I2110" s="1" t="str">
        <f>IFERROR(VLOOKUP(C2110,'Clients List'!A:F,6,FALSE),"")</f>
        <v/>
      </c>
    </row>
    <row r="2111" spans="4:9" x14ac:dyDescent="0.45">
      <c r="D2111" t="str">
        <f>IFERROR(VLOOKUP(C2111,'Clients List'!$A:$F,2,FALSE),"")</f>
        <v/>
      </c>
      <c r="F2111" s="1" t="str">
        <f>IF(OR(C2111="",NOT(ISNUMBER(SEARCH("Package",D2111)))),"",VLOOKUP(C2111,'Clients List'!$A:$F,4,FALSE)-SUMIFS($E$2:$E2111,$C$2:$C2111,C2111,$D$2:$D2111,"*Package*"))</f>
        <v/>
      </c>
      <c r="G2111" t="str">
        <f t="shared" si="66"/>
        <v/>
      </c>
      <c r="H2111" s="33">
        <f>IF(ISNUMBER(SEARCH("Group",D2111)),IF(G2111="",E2111,IFERROR(E2111/COUNTIF($G2:$G6000,G2111),E2111)),E2111)</f>
        <v>0</v>
      </c>
      <c r="I2111" s="1" t="str">
        <f>IFERROR(VLOOKUP(C2111,'Clients List'!A:F,6,FALSE),"")</f>
        <v/>
      </c>
    </row>
    <row r="2112" spans="4:9" x14ac:dyDescent="0.45">
      <c r="D2112" t="str">
        <f>IFERROR(VLOOKUP(C2112,'Clients List'!$A:$F,2,FALSE),"")</f>
        <v/>
      </c>
      <c r="F2112" s="1" t="str">
        <f>IF(OR(C2112="",NOT(ISNUMBER(SEARCH("Package",D2112)))),"",VLOOKUP(C2112,'Clients List'!$A:$F,4,FALSE)-SUMIFS($E$2:$E2112,$C$2:$C2112,C2112,$D$2:$D2112,"*Package*"))</f>
        <v/>
      </c>
      <c r="G2112" t="str">
        <f t="shared" si="66"/>
        <v/>
      </c>
      <c r="H2112" s="33">
        <f>IF(ISNUMBER(SEARCH("Group",D2112)),IF(G2112="",E2112,IFERROR(E2112/COUNTIF($G2:$G6000,G2112),E2112)),E2112)</f>
        <v>0</v>
      </c>
      <c r="I2112" s="1" t="str">
        <f>IFERROR(VLOOKUP(C2112,'Clients List'!A:F,6,FALSE),"")</f>
        <v/>
      </c>
    </row>
    <row r="2113" spans="4:9" x14ac:dyDescent="0.45">
      <c r="D2113" t="str">
        <f>IFERROR(VLOOKUP(C2113,'Clients List'!$A:$F,2,FALSE),"")</f>
        <v/>
      </c>
      <c r="F2113" s="1" t="str">
        <f>IF(OR(C2113="",NOT(ISNUMBER(SEARCH("Package",D2113)))),"",VLOOKUP(C2113,'Clients List'!$A:$F,4,FALSE)-SUMIFS($E$2:$E2113,$C$2:$C2113,C2113,$D$2:$D2113,"*Package*"))</f>
        <v/>
      </c>
      <c r="G2113" t="str">
        <f t="shared" si="66"/>
        <v/>
      </c>
      <c r="H2113" s="33">
        <f>IF(ISNUMBER(SEARCH("Group",D2113)),IF(G2113="",E2113,IFERROR(E2113/COUNTIF($G2:$G6000,G2113),E2113)),E2113)</f>
        <v>0</v>
      </c>
      <c r="I2113" s="1" t="str">
        <f>IFERROR(VLOOKUP(C2113,'Clients List'!A:F,6,FALSE),"")</f>
        <v/>
      </c>
    </row>
    <row r="2114" spans="4:9" x14ac:dyDescent="0.45">
      <c r="D2114" t="str">
        <f>IFERROR(VLOOKUP(C2114,'Clients List'!$A:$F,2,FALSE),"")</f>
        <v/>
      </c>
      <c r="F2114" s="1" t="str">
        <f>IF(OR(C2114="",NOT(ISNUMBER(SEARCH("Package",D2114)))),"",VLOOKUP(C2114,'Clients List'!$A:$F,4,FALSE)-SUMIFS($E$2:$E2114,$C$2:$C2114,C2114,$D$2:$D2114,"*Package*"))</f>
        <v/>
      </c>
      <c r="G2114" t="str">
        <f t="shared" si="66"/>
        <v/>
      </c>
      <c r="H2114" s="33">
        <f>IF(ISNUMBER(SEARCH("Group",D2114)),IF(G2114="",E2114,IFERROR(E2114/COUNTIF($G2:$G6000,G2114),E2114)),E2114)</f>
        <v>0</v>
      </c>
      <c r="I2114" s="1" t="str">
        <f>IFERROR(VLOOKUP(C2114,'Clients List'!A:F,6,FALSE),"")</f>
        <v/>
      </c>
    </row>
    <row r="2115" spans="4:9" x14ac:dyDescent="0.45">
      <c r="D2115" t="str">
        <f>IFERROR(VLOOKUP(C2115,'Clients List'!$A:$F,2,FALSE),"")</f>
        <v/>
      </c>
      <c r="F2115" s="1" t="str">
        <f>IF(OR(C2115="",NOT(ISNUMBER(SEARCH("Package",D2115)))),"",VLOOKUP(C2115,'Clients List'!$A:$F,4,FALSE)-SUMIFS($E$2:$E2115,$C$2:$C2115,C2115,$D$2:$D2115,"*Package*"))</f>
        <v/>
      </c>
      <c r="G2115" t="str">
        <f t="shared" si="66"/>
        <v/>
      </c>
      <c r="H2115" s="33">
        <f>IF(ISNUMBER(SEARCH("Group",D2115)),IF(G2115="",E2115,IFERROR(E2115/COUNTIF($G2:$G6000,G2115),E2115)),E2115)</f>
        <v>0</v>
      </c>
      <c r="I2115" s="1" t="str">
        <f>IFERROR(VLOOKUP(C2115,'Clients List'!A:F,6,FALSE),"")</f>
        <v/>
      </c>
    </row>
    <row r="2116" spans="4:9" x14ac:dyDescent="0.45">
      <c r="D2116" t="str">
        <f>IFERROR(VLOOKUP(C2116,'Clients List'!$A:$F,2,FALSE),"")</f>
        <v/>
      </c>
      <c r="F2116" s="1" t="str">
        <f>IF(OR(C2116="",NOT(ISNUMBER(SEARCH("Package",D2116)))),"",VLOOKUP(C2116,'Clients List'!$A:$F,4,FALSE)-SUMIFS($E$2:$E2116,$C$2:$C2116,C2116,$D$2:$D2116,"*Package*"))</f>
        <v/>
      </c>
      <c r="G2116" t="str">
        <f t="shared" si="66"/>
        <v/>
      </c>
      <c r="H2116" s="33">
        <f>IF(ISNUMBER(SEARCH("Group",D2116)),IF(G2116="",E2116,IFERROR(E2116/COUNTIF($G2:$G6000,G2116),E2116)),E2116)</f>
        <v>0</v>
      </c>
      <c r="I2116" s="1" t="str">
        <f>IFERROR(VLOOKUP(C2116,'Clients List'!A:F,6,FALSE),"")</f>
        <v/>
      </c>
    </row>
    <row r="2117" spans="4:9" x14ac:dyDescent="0.45">
      <c r="D2117" t="str">
        <f>IFERROR(VLOOKUP(C2117,'Clients List'!$A:$F,2,FALSE),"")</f>
        <v/>
      </c>
      <c r="F2117" s="1" t="str">
        <f>IF(OR(C2117="",NOT(ISNUMBER(SEARCH("Package",D2117)))),"",VLOOKUP(C2117,'Clients List'!$A:$F,4,FALSE)-SUMIFS($E$2:$E2117,$C$2:$C2117,C2117,$D$2:$D2117,"*Package*"))</f>
        <v/>
      </c>
      <c r="G2117" t="str">
        <f t="shared" si="66"/>
        <v/>
      </c>
      <c r="H2117" s="33">
        <f>IF(ISNUMBER(SEARCH("Group",D2117)),IF(G2117="",E2117,IFERROR(E2117/COUNTIF($G2:$G6000,G2117),E2117)),E2117)</f>
        <v>0</v>
      </c>
      <c r="I2117" s="1" t="str">
        <f>IFERROR(VLOOKUP(C2117,'Clients List'!A:F,6,FALSE),"")</f>
        <v/>
      </c>
    </row>
    <row r="2118" spans="4:9" x14ac:dyDescent="0.45">
      <c r="D2118" t="str">
        <f>IFERROR(VLOOKUP(C2118,'Clients List'!$A:$F,2,FALSE),"")</f>
        <v/>
      </c>
      <c r="F2118" s="1" t="str">
        <f>IF(OR(C2118="",NOT(ISNUMBER(SEARCH("Package",D2118)))),"",VLOOKUP(C2118,'Clients List'!$A:$F,4,FALSE)-SUMIFS($E$2:$E2118,$C$2:$C2118,C2118,$D$2:$D2118,"*Package*"))</f>
        <v/>
      </c>
      <c r="G2118" t="str">
        <f t="shared" si="66"/>
        <v/>
      </c>
      <c r="H2118" s="33">
        <f>IF(ISNUMBER(SEARCH("Group",D2118)),IF(G2118="",E2118,IFERROR(E2118/COUNTIF($G2:$G6000,G2118),E2118)),E2118)</f>
        <v>0</v>
      </c>
      <c r="I2118" s="1" t="str">
        <f>IFERROR(VLOOKUP(C2118,'Clients List'!A:F,6,FALSE),"")</f>
        <v/>
      </c>
    </row>
    <row r="2119" spans="4:9" x14ac:dyDescent="0.45">
      <c r="D2119" t="str">
        <f>IFERROR(VLOOKUP(C2119,'Clients List'!$A:$F,2,FALSE),"")</f>
        <v/>
      </c>
      <c r="F2119" s="1" t="str">
        <f>IF(OR(C2119="",NOT(ISNUMBER(SEARCH("Package",D2119)))),"",VLOOKUP(C2119,'Clients List'!$A:$F,4,FALSE)-SUMIFS($E$2:$E2119,$C$2:$C2119,C2119,$D$2:$D2119,"*Package*"))</f>
        <v/>
      </c>
      <c r="G2119" t="str">
        <f t="shared" si="66"/>
        <v/>
      </c>
      <c r="H2119" s="33">
        <f>IF(ISNUMBER(SEARCH("Group",D2119)),IF(G2119="",E2119,IFERROR(E2119/COUNTIF($G2:$G6000,G2119),E2119)),E2119)</f>
        <v>0</v>
      </c>
      <c r="I2119" s="1" t="str">
        <f>IFERROR(VLOOKUP(C2119,'Clients List'!A:F,6,FALSE),"")</f>
        <v/>
      </c>
    </row>
    <row r="2120" spans="4:9" x14ac:dyDescent="0.45">
      <c r="D2120" t="str">
        <f>IFERROR(VLOOKUP(C2120,'Clients List'!$A:$F,2,FALSE),"")</f>
        <v/>
      </c>
      <c r="F2120" s="1" t="str">
        <f>IF(OR(C2120="",NOT(ISNUMBER(SEARCH("Package",D2120)))),"",VLOOKUP(C2120,'Clients List'!$A:$F,4,FALSE)-SUMIFS($E$2:$E2120,$C$2:$C2120,C2120,$D$2:$D2120,"*Package*"))</f>
        <v/>
      </c>
      <c r="G2120" t="str">
        <f t="shared" si="66"/>
        <v/>
      </c>
      <c r="H2120" s="33">
        <f>IF(ISNUMBER(SEARCH("Group",D2120)),IF(G2120="",E2120,IFERROR(E2120/COUNTIF($G2:$G6000,G2120),E2120)),E2120)</f>
        <v>0</v>
      </c>
      <c r="I2120" s="1" t="str">
        <f>IFERROR(VLOOKUP(C2120,'Clients List'!A:F,6,FALSE),"")</f>
        <v/>
      </c>
    </row>
    <row r="2121" spans="4:9" x14ac:dyDescent="0.45">
      <c r="D2121" t="str">
        <f>IFERROR(VLOOKUP(C2121,'Clients List'!$A:$F,2,FALSE),"")</f>
        <v/>
      </c>
      <c r="F2121" s="1" t="str">
        <f>IF(OR(C2121="",NOT(ISNUMBER(SEARCH("Package",D2121)))),"",VLOOKUP(C2121,'Clients List'!$A:$F,4,FALSE)-SUMIFS($E$2:$E2121,$C$2:$C2121,C2121,$D$2:$D2121,"*Package*"))</f>
        <v/>
      </c>
      <c r="G2121" t="str">
        <f t="shared" si="66"/>
        <v/>
      </c>
      <c r="H2121" s="33">
        <f>IF(ISNUMBER(SEARCH("Group",D2121)),IF(G2121="",E2121,IFERROR(E2121/COUNTIF($G2:$G6000,G2121),E2121)),E2121)</f>
        <v>0</v>
      </c>
      <c r="I2121" s="1" t="str">
        <f>IFERROR(VLOOKUP(C2121,'Clients List'!A:F,6,FALSE),"")</f>
        <v/>
      </c>
    </row>
    <row r="2122" spans="4:9" x14ac:dyDescent="0.45">
      <c r="D2122" t="str">
        <f>IFERROR(VLOOKUP(C2122,'Clients List'!$A:$F,2,FALSE),"")</f>
        <v/>
      </c>
      <c r="F2122" s="1" t="str">
        <f>IF(OR(C2122="",NOT(ISNUMBER(SEARCH("Package",D2122)))),"",VLOOKUP(C2122,'Clients List'!$A:$F,4,FALSE)-SUMIFS($E$2:$E2122,$C$2:$C2122,C2122,$D$2:$D2122,"*Package*"))</f>
        <v/>
      </c>
      <c r="G2122" t="str">
        <f t="shared" si="66"/>
        <v/>
      </c>
      <c r="H2122" s="33">
        <f>IF(ISNUMBER(SEARCH("Group",D2122)),IF(G2122="",E2122,IFERROR(E2122/COUNTIF($G2:$G6000,G2122),E2122)),E2122)</f>
        <v>0</v>
      </c>
      <c r="I2122" s="1" t="str">
        <f>IFERROR(VLOOKUP(C2122,'Clients List'!A:F,6,FALSE),"")</f>
        <v/>
      </c>
    </row>
    <row r="2123" spans="4:9" x14ac:dyDescent="0.45">
      <c r="D2123" t="str">
        <f>IFERROR(VLOOKUP(C2123,'Clients List'!$A:$F,2,FALSE),"")</f>
        <v/>
      </c>
      <c r="F2123" s="1" t="str">
        <f>IF(OR(C2123="",NOT(ISNUMBER(SEARCH("Package",D2123)))),"",VLOOKUP(C2123,'Clients List'!$A:$F,4,FALSE)-SUMIFS($E$2:$E2123,$C$2:$C2123,C2123,$D$2:$D2123,"*Package*"))</f>
        <v/>
      </c>
      <c r="G2123" t="str">
        <f t="shared" si="66"/>
        <v/>
      </c>
      <c r="H2123" s="33">
        <f>IF(ISNUMBER(SEARCH("Group",D2123)),IF(G2123="",E2123,IFERROR(E2123/COUNTIF($G2:$G6000,G2123),E2123)),E2123)</f>
        <v>0</v>
      </c>
      <c r="I2123" s="1" t="str">
        <f>IFERROR(VLOOKUP(C2123,'Clients List'!A:F,6,FALSE),"")</f>
        <v/>
      </c>
    </row>
    <row r="2124" spans="4:9" x14ac:dyDescent="0.45">
      <c r="D2124" t="str">
        <f>IFERROR(VLOOKUP(C2124,'Clients List'!$A:$F,2,FALSE),"")</f>
        <v/>
      </c>
      <c r="F2124" s="1" t="str">
        <f>IF(OR(C2124="",NOT(ISNUMBER(SEARCH("Package",D2124)))),"",VLOOKUP(C2124,'Clients List'!$A:$F,4,FALSE)-SUMIFS($E$2:$E2124,$C$2:$C2124,C2124,$D$2:$D2124,"*Package*"))</f>
        <v/>
      </c>
      <c r="G2124" t="str">
        <f t="shared" si="66"/>
        <v/>
      </c>
      <c r="H2124" s="33">
        <f>IF(ISNUMBER(SEARCH("Group",D2124)),IF(G2124="",E2124,IFERROR(E2124/COUNTIF($G2:$G6000,G2124),E2124)),E2124)</f>
        <v>0</v>
      </c>
      <c r="I2124" s="1" t="str">
        <f>IFERROR(VLOOKUP(C2124,'Clients List'!A:F,6,FALSE),"")</f>
        <v/>
      </c>
    </row>
    <row r="2125" spans="4:9" x14ac:dyDescent="0.45">
      <c r="D2125" t="str">
        <f>IFERROR(VLOOKUP(C2125,'Clients List'!$A:$F,2,FALSE),"")</f>
        <v/>
      </c>
      <c r="F2125" s="1" t="str">
        <f>IF(OR(C2125="",NOT(ISNUMBER(SEARCH("Package",D2125)))),"",VLOOKUP(C2125,'Clients List'!$A:$F,4,FALSE)-SUMIFS($E$2:$E2125,$C$2:$C2125,C2125,$D$2:$D2125,"*Package*"))</f>
        <v/>
      </c>
      <c r="G2125" t="str">
        <f t="shared" si="66"/>
        <v/>
      </c>
      <c r="H2125" s="33">
        <f>IF(ISNUMBER(SEARCH("Group",D2125)),IF(G2125="",E2125,IFERROR(E2125/COUNTIF($G2:$G6000,G2125),E2125)),E2125)</f>
        <v>0</v>
      </c>
      <c r="I2125" s="1" t="str">
        <f>IFERROR(VLOOKUP(C2125,'Clients List'!A:F,6,FALSE),"")</f>
        <v/>
      </c>
    </row>
    <row r="2126" spans="4:9" x14ac:dyDescent="0.45">
      <c r="D2126" t="str">
        <f>IFERROR(VLOOKUP(C2126,'Clients List'!$A:$F,2,FALSE),"")</f>
        <v/>
      </c>
      <c r="F2126" s="1" t="str">
        <f>IF(OR(C2126="",NOT(ISNUMBER(SEARCH("Package",D2126)))),"",VLOOKUP(C2126,'Clients List'!$A:$F,4,FALSE)-SUMIFS($E$2:$E2126,$C$2:$C2126,C2126,$D$2:$D2126,"*Package*"))</f>
        <v/>
      </c>
      <c r="G2126" t="str">
        <f t="shared" si="66"/>
        <v/>
      </c>
      <c r="H2126" s="33">
        <f>IF(ISNUMBER(SEARCH("Group",D2126)),IF(G2126="",E2126,IFERROR(E2126/COUNTIF($G2:$G6000,G2126),E2126)),E2126)</f>
        <v>0</v>
      </c>
      <c r="I2126" s="1" t="str">
        <f>IFERROR(VLOOKUP(C2126,'Clients List'!A:F,6,FALSE),"")</f>
        <v/>
      </c>
    </row>
    <row r="2127" spans="4:9" x14ac:dyDescent="0.45">
      <c r="D2127" t="str">
        <f>IFERROR(VLOOKUP(C2127,'Clients List'!$A:$F,2,FALSE),"")</f>
        <v/>
      </c>
      <c r="F2127" s="1" t="str">
        <f>IF(OR(C2127="",NOT(ISNUMBER(SEARCH("Package",D2127)))),"",VLOOKUP(C2127,'Clients List'!$A:$F,4,FALSE)-SUMIFS($E$2:$E2127,$C$2:$C2127,C2127,$D$2:$D2127,"*Package*"))</f>
        <v/>
      </c>
      <c r="G2127" t="str">
        <f t="shared" si="66"/>
        <v/>
      </c>
      <c r="H2127" s="33">
        <f>IF(ISNUMBER(SEARCH("Group",D2127)),IF(G2127="",E2127,IFERROR(E2127/COUNTIF($G2:$G6000,G2127),E2127)),E2127)</f>
        <v>0</v>
      </c>
      <c r="I2127" s="1" t="str">
        <f>IFERROR(VLOOKUP(C2127,'Clients List'!A:F,6,FALSE),"")</f>
        <v/>
      </c>
    </row>
    <row r="2128" spans="4:9" x14ac:dyDescent="0.45">
      <c r="D2128" t="str">
        <f>IFERROR(VLOOKUP(C2128,'Clients List'!$A:$F,2,FALSE),"")</f>
        <v/>
      </c>
      <c r="F2128" s="1" t="str">
        <f>IF(OR(C2128="",NOT(ISNUMBER(SEARCH("Package",D2128)))),"",VLOOKUP(C2128,'Clients List'!$A:$F,4,FALSE)-SUMIFS($E$2:$E2128,$C$2:$C2128,C2128,$D$2:$D2128,"*Package*"))</f>
        <v/>
      </c>
      <c r="G2128" t="str">
        <f t="shared" si="66"/>
        <v/>
      </c>
      <c r="H2128" s="33">
        <f>IF(ISNUMBER(SEARCH("Group",D2128)),IF(G2128="",E2128,IFERROR(E2128/COUNTIF($G2:$G6000,G2128),E2128)),E2128)</f>
        <v>0</v>
      </c>
      <c r="I2128" s="1" t="str">
        <f>IFERROR(VLOOKUP(C2128,'Clients List'!A:F,6,FALSE),"")</f>
        <v/>
      </c>
    </row>
    <row r="2129" spans="4:9" x14ac:dyDescent="0.45">
      <c r="D2129" t="str">
        <f>IFERROR(VLOOKUP(C2129,'Clients List'!$A:$F,2,FALSE),"")</f>
        <v/>
      </c>
      <c r="F2129" s="1" t="str">
        <f>IF(OR(C2129="",NOT(ISNUMBER(SEARCH("Package",D2129)))),"",VLOOKUP(C2129,'Clients List'!$A:$F,4,FALSE)-SUMIFS($E$2:$E2129,$C$2:$C2129,C2129,$D$2:$D2129,"*Package*"))</f>
        <v/>
      </c>
      <c r="G2129" t="str">
        <f t="shared" si="66"/>
        <v/>
      </c>
      <c r="H2129" s="33">
        <f>IF(ISNUMBER(SEARCH("Group",D2129)),IF(G2129="",E2129,IFERROR(E2129/COUNTIF($G2:$G6000,G2129),E2129)),E2129)</f>
        <v>0</v>
      </c>
      <c r="I2129" s="1" t="str">
        <f>IFERROR(VLOOKUP(C2129,'Clients List'!A:F,6,FALSE),"")</f>
        <v/>
      </c>
    </row>
    <row r="2130" spans="4:9" x14ac:dyDescent="0.45">
      <c r="D2130" t="str">
        <f>IFERROR(VLOOKUP(C2130,'Clients List'!$A:$F,2,FALSE),"")</f>
        <v/>
      </c>
      <c r="F2130" s="1" t="str">
        <f>IF(OR(C2130="",NOT(ISNUMBER(SEARCH("Package",D2130)))),"",VLOOKUP(C2130,'Clients List'!$A:$F,4,FALSE)-SUMIFS($E$2:$E2130,$C$2:$C2130,C2130,$D$2:$D2130,"*Package*"))</f>
        <v/>
      </c>
      <c r="G2130" t="str">
        <f t="shared" si="66"/>
        <v/>
      </c>
      <c r="H2130" s="33">
        <f>IF(ISNUMBER(SEARCH("Group",D2130)),IF(G2130="",E2130,IFERROR(E2130/COUNTIF($G2:$G6000,G2130),E2130)),E2130)</f>
        <v>0</v>
      </c>
      <c r="I2130" s="1" t="str">
        <f>IFERROR(VLOOKUP(C2130,'Clients List'!A:F,6,FALSE),"")</f>
        <v/>
      </c>
    </row>
    <row r="2131" spans="4:9" x14ac:dyDescent="0.45">
      <c r="D2131" t="str">
        <f>IFERROR(VLOOKUP(C2131,'Clients List'!$A:$F,2,FALSE),"")</f>
        <v/>
      </c>
      <c r="F2131" s="1" t="str">
        <f>IF(OR(C2131="",NOT(ISNUMBER(SEARCH("Package",D2131)))),"",VLOOKUP(C2131,'Clients List'!$A:$F,4,FALSE)-SUMIFS($E$2:$E2131,$C$2:$C2131,C2131,$D$2:$D2131,"*Package*"))</f>
        <v/>
      </c>
      <c r="G2131" t="str">
        <f t="shared" si="66"/>
        <v/>
      </c>
      <c r="H2131" s="33">
        <f>IF(ISNUMBER(SEARCH("Group",D2131)),IF(G2131="",E2131,IFERROR(E2131/COUNTIF($G2:$G6000,G2131),E2131)),E2131)</f>
        <v>0</v>
      </c>
      <c r="I2131" s="1" t="str">
        <f>IFERROR(VLOOKUP(C2131,'Clients List'!A:F,6,FALSE),"")</f>
        <v/>
      </c>
    </row>
    <row r="2132" spans="4:9" x14ac:dyDescent="0.45">
      <c r="D2132" t="str">
        <f>IFERROR(VLOOKUP(C2132,'Clients List'!$A:$F,2,FALSE),"")</f>
        <v/>
      </c>
      <c r="F2132" s="1" t="str">
        <f>IF(OR(C2132="",NOT(ISNUMBER(SEARCH("Package",D2132)))),"",VLOOKUP(C2132,'Clients List'!$A:$F,4,FALSE)-SUMIFS($E$2:$E2132,$C$2:$C2132,C2132,$D$2:$D2132,"*Package*"))</f>
        <v/>
      </c>
      <c r="G2132" t="str">
        <f t="shared" si="66"/>
        <v/>
      </c>
      <c r="H2132" s="33">
        <f>IF(ISNUMBER(SEARCH("Group",D2132)),IF(G2132="",E2132,IFERROR(E2132/COUNTIF($G2:$G6000,G2132),E2132)),E2132)</f>
        <v>0</v>
      </c>
      <c r="I2132" s="1" t="str">
        <f>IFERROR(VLOOKUP(C2132,'Clients List'!A:F,6,FALSE),"")</f>
        <v/>
      </c>
    </row>
    <row r="2133" spans="4:9" x14ac:dyDescent="0.45">
      <c r="D2133" t="str">
        <f>IFERROR(VLOOKUP(C2133,'Clients List'!$A:$F,2,FALSE),"")</f>
        <v/>
      </c>
      <c r="F2133" s="1" t="str">
        <f>IF(OR(C2133="",NOT(ISNUMBER(SEARCH("Package",D2133)))),"",VLOOKUP(C2133,'Clients List'!$A:$F,4,FALSE)-SUMIFS($E$2:$E2133,$C$2:$C2133,C2133,$D$2:$D2133,"*Package*"))</f>
        <v/>
      </c>
      <c r="G2133" t="str">
        <f t="shared" si="66"/>
        <v/>
      </c>
      <c r="H2133" s="33">
        <f>IF(ISNUMBER(SEARCH("Group",D2133)),IF(G2133="",E2133,IFERROR(E2133/COUNTIF($G2:$G6000,G2133),E2133)),E2133)</f>
        <v>0</v>
      </c>
      <c r="I2133" s="1" t="str">
        <f>IFERROR(VLOOKUP(C2133,'Clients List'!A:F,6,FALSE),"")</f>
        <v/>
      </c>
    </row>
    <row r="2134" spans="4:9" x14ac:dyDescent="0.45">
      <c r="D2134" t="str">
        <f>IFERROR(VLOOKUP(C2134,'Clients List'!$A:$F,2,FALSE),"")</f>
        <v/>
      </c>
      <c r="F2134" s="1" t="str">
        <f>IF(OR(C2134="",NOT(ISNUMBER(SEARCH("Package",D2134)))),"",VLOOKUP(C2134,'Clients List'!$A:$F,4,FALSE)-SUMIFS($E$2:$E2134,$C$2:$C2134,C2134,$D$2:$D2134,"*Package*"))</f>
        <v/>
      </c>
      <c r="G2134" t="str">
        <f t="shared" si="66"/>
        <v/>
      </c>
      <c r="H2134" s="33">
        <f>IF(ISNUMBER(SEARCH("Group",D2134)),IF(G2134="",E2134,IFERROR(E2134/COUNTIF($G2:$G6000,G2134),E2134)),E2134)</f>
        <v>0</v>
      </c>
      <c r="I2134" s="1" t="str">
        <f>IFERROR(VLOOKUP(C2134,'Clients List'!A:F,6,FALSE),"")</f>
        <v/>
      </c>
    </row>
    <row r="2135" spans="4:9" x14ac:dyDescent="0.45">
      <c r="D2135" t="str">
        <f>IFERROR(VLOOKUP(C2135,'Clients List'!$A:$F,2,FALSE),"")</f>
        <v/>
      </c>
      <c r="F2135" s="1" t="str">
        <f>IF(OR(C2135="",NOT(ISNUMBER(SEARCH("Package",D2135)))),"",VLOOKUP(C2135,'Clients List'!$A:$F,4,FALSE)-SUMIFS($E$2:$E2135,$C$2:$C2135,C2135,$D$2:$D2135,"*Package*"))</f>
        <v/>
      </c>
      <c r="G2135" t="str">
        <f t="shared" si="66"/>
        <v/>
      </c>
      <c r="H2135" s="33">
        <f>IF(ISNUMBER(SEARCH("Group",D2135)),IF(G2135="",E2135,IFERROR(E2135/COUNTIF($G2:$G6000,G2135),E2135)),E2135)</f>
        <v>0</v>
      </c>
      <c r="I2135" s="1" t="str">
        <f>IFERROR(VLOOKUP(C2135,'Clients List'!A:F,6,FALSE),"")</f>
        <v/>
      </c>
    </row>
    <row r="2136" spans="4:9" x14ac:dyDescent="0.45">
      <c r="D2136" t="str">
        <f>IFERROR(VLOOKUP(C2136,'Clients List'!$A:$F,2,FALSE),"")</f>
        <v/>
      </c>
      <c r="F2136" s="1" t="str">
        <f>IF(OR(C2136="",NOT(ISNUMBER(SEARCH("Package",D2136)))),"",VLOOKUP(C2136,'Clients List'!$A:$F,4,FALSE)-SUMIFS($E$2:$E2136,$C$2:$C2136,C2136,$D$2:$D2136,"*Package*"))</f>
        <v/>
      </c>
      <c r="G2136" t="str">
        <f t="shared" si="66"/>
        <v/>
      </c>
      <c r="H2136" s="33">
        <f>IF(ISNUMBER(SEARCH("Group",D2136)),IF(G2136="",E2136,IFERROR(E2136/COUNTIF($G2:$G6000,G2136),E2136)),E2136)</f>
        <v>0</v>
      </c>
      <c r="I2136" s="1" t="str">
        <f>IFERROR(VLOOKUP(C2136,'Clients List'!A:F,6,FALSE),"")</f>
        <v/>
      </c>
    </row>
    <row r="2137" spans="4:9" x14ac:dyDescent="0.45">
      <c r="D2137" t="str">
        <f>IFERROR(VLOOKUP(C2137,'Clients List'!$A:$F,2,FALSE),"")</f>
        <v/>
      </c>
      <c r="F2137" s="1" t="str">
        <f>IF(OR(C2137="",NOT(ISNUMBER(SEARCH("Package",D2137)))),"",VLOOKUP(C2137,'Clients List'!$A:$F,4,FALSE)-SUMIFS($E$2:$E2137,$C$2:$C2137,C2137,$D$2:$D2137,"*Package*"))</f>
        <v/>
      </c>
      <c r="G2137" t="str">
        <f t="shared" si="66"/>
        <v/>
      </c>
      <c r="H2137" s="33">
        <f>IF(ISNUMBER(SEARCH("Group",D2137)),IF(G2137="",E2137,IFERROR(E2137/COUNTIF($G2:$G6000,G2137),E2137)),E2137)</f>
        <v>0</v>
      </c>
      <c r="I2137" s="1" t="str">
        <f>IFERROR(VLOOKUP(C2137,'Clients List'!A:F,6,FALSE),"")</f>
        <v/>
      </c>
    </row>
    <row r="2138" spans="4:9" x14ac:dyDescent="0.45">
      <c r="D2138" t="str">
        <f>IFERROR(VLOOKUP(C2138,'Clients List'!$A:$F,2,FALSE),"")</f>
        <v/>
      </c>
      <c r="F2138" s="1" t="str">
        <f>IF(OR(C2138="",NOT(ISNUMBER(SEARCH("Package",D2138)))),"",VLOOKUP(C2138,'Clients List'!$A:$F,4,FALSE)-SUMIFS($E$2:$E2138,$C$2:$C2138,C2138,$D$2:$D2138,"*Package*"))</f>
        <v/>
      </c>
      <c r="G2138" t="str">
        <f t="shared" si="66"/>
        <v/>
      </c>
      <c r="H2138" s="33">
        <f>IF(ISNUMBER(SEARCH("Group",D2138)),IF(G2138="",E2138,IFERROR(E2138/COUNTIF($G2:$G6000,G2138),E2138)),E2138)</f>
        <v>0</v>
      </c>
      <c r="I2138" s="1" t="str">
        <f>IFERROR(VLOOKUP(C2138,'Clients List'!A:F,6,FALSE),"")</f>
        <v/>
      </c>
    </row>
    <row r="2139" spans="4:9" x14ac:dyDescent="0.45">
      <c r="D2139" t="str">
        <f>IFERROR(VLOOKUP(C2139,'Clients List'!$A:$F,2,FALSE),"")</f>
        <v/>
      </c>
      <c r="F2139" s="1" t="str">
        <f>IF(OR(C2139="",NOT(ISNUMBER(SEARCH("Package",D2139)))),"",VLOOKUP(C2139,'Clients List'!$A:$F,4,FALSE)-SUMIFS($E$2:$E2139,$C$2:$C2139,C2139,$D$2:$D2139,"*Package*"))</f>
        <v/>
      </c>
      <c r="G2139" t="str">
        <f t="shared" si="66"/>
        <v/>
      </c>
      <c r="H2139" s="33">
        <f>IF(ISNUMBER(SEARCH("Group",D2139)),IF(G2139="",E2139,IFERROR(E2139/COUNTIF($G2:$G6000,G2139),E2139)),E2139)</f>
        <v>0</v>
      </c>
      <c r="I2139" s="1" t="str">
        <f>IFERROR(VLOOKUP(C2139,'Clients List'!A:F,6,FALSE),"")</f>
        <v/>
      </c>
    </row>
    <row r="2140" spans="4:9" x14ac:dyDescent="0.45">
      <c r="D2140" t="str">
        <f>IFERROR(VLOOKUP(C2140,'Clients List'!$A:$F,2,FALSE),"")</f>
        <v/>
      </c>
      <c r="F2140" s="1" t="str">
        <f>IF(OR(C2140="",NOT(ISNUMBER(SEARCH("Package",D2140)))),"",VLOOKUP(C2140,'Clients List'!$A:$F,4,FALSE)-SUMIFS($E$2:$E2140,$C$2:$C2140,C2140,$D$2:$D2140,"*Package*"))</f>
        <v/>
      </c>
      <c r="G2140" t="str">
        <f t="shared" si="66"/>
        <v/>
      </c>
      <c r="H2140" s="33">
        <f>IF(ISNUMBER(SEARCH("Group",D2140)),IF(G2140="",E2140,IFERROR(E2140/COUNTIF($G2:$G6000,G2140),E2140)),E2140)</f>
        <v>0</v>
      </c>
      <c r="I2140" s="1" t="str">
        <f>IFERROR(VLOOKUP(C2140,'Clients List'!A:F,6,FALSE),"")</f>
        <v/>
      </c>
    </row>
    <row r="2141" spans="4:9" x14ac:dyDescent="0.45">
      <c r="D2141" t="str">
        <f>IFERROR(VLOOKUP(C2141,'Clients List'!$A:$F,2,FALSE),"")</f>
        <v/>
      </c>
      <c r="F2141" s="1" t="str">
        <f>IF(OR(C2141="",NOT(ISNUMBER(SEARCH("Package",D2141)))),"",VLOOKUP(C2141,'Clients List'!$A:$F,4,FALSE)-SUMIFS($E$2:$E2141,$C$2:$C2141,C2141,$D$2:$D2141,"*Package*"))</f>
        <v/>
      </c>
      <c r="G2141" t="str">
        <f t="shared" si="66"/>
        <v/>
      </c>
      <c r="H2141" s="33">
        <f>IF(ISNUMBER(SEARCH("Group",D2141)),IF(G2141="",E2141,IFERROR(E2141/COUNTIF($G2:$G6000,G2141),E2141)),E2141)</f>
        <v>0</v>
      </c>
      <c r="I2141" s="1" t="str">
        <f>IFERROR(VLOOKUP(C2141,'Clients List'!A:F,6,FALSE),"")</f>
        <v/>
      </c>
    </row>
    <row r="2142" spans="4:9" x14ac:dyDescent="0.45">
      <c r="D2142" t="str">
        <f>IFERROR(VLOOKUP(C2142,'Clients List'!$A:$F,2,FALSE),"")</f>
        <v/>
      </c>
      <c r="F2142" s="1" t="str">
        <f>IF(OR(C2142="",NOT(ISNUMBER(SEARCH("Package",D2142)))),"",VLOOKUP(C2142,'Clients List'!$A:$F,4,FALSE)-SUMIFS($E$2:$E2142,$C$2:$C2142,C2142,$D$2:$D2142,"*Package*"))</f>
        <v/>
      </c>
      <c r="G2142" t="str">
        <f t="shared" si="66"/>
        <v/>
      </c>
      <c r="H2142" s="33">
        <f>IF(ISNUMBER(SEARCH("Group",D2142)),IF(G2142="",E2142,IFERROR(E2142/COUNTIF($G2:$G6000,G2142),E2142)),E2142)</f>
        <v>0</v>
      </c>
      <c r="I2142" s="1" t="str">
        <f>IFERROR(VLOOKUP(C2142,'Clients List'!A:F,6,FALSE),"")</f>
        <v/>
      </c>
    </row>
    <row r="2143" spans="4:9" x14ac:dyDescent="0.45">
      <c r="D2143" t="str">
        <f>IFERROR(VLOOKUP(C2143,'Clients List'!$A:$F,2,FALSE),"")</f>
        <v/>
      </c>
      <c r="F2143" s="1" t="str">
        <f>IF(OR(C2143="",NOT(ISNUMBER(SEARCH("Package",D2143)))),"",VLOOKUP(C2143,'Clients List'!$A:$F,4,FALSE)-SUMIFS($E$2:$E2143,$C$2:$C2143,C2143,$D$2:$D2143,"*Package*"))</f>
        <v/>
      </c>
      <c r="G2143" t="str">
        <f t="shared" si="66"/>
        <v/>
      </c>
      <c r="H2143" s="33">
        <f>IF(ISNUMBER(SEARCH("Group",D2143)),IF(G2143="",E2143,IFERROR(E2143/COUNTIF($G2:$G6000,G2143),E2143)),E2143)</f>
        <v>0</v>
      </c>
      <c r="I2143" s="1" t="str">
        <f>IFERROR(VLOOKUP(C2143,'Clients List'!A:F,6,FALSE),"")</f>
        <v/>
      </c>
    </row>
    <row r="2144" spans="4:9" x14ac:dyDescent="0.45">
      <c r="D2144" t="str">
        <f>IFERROR(VLOOKUP(C2144,'Clients List'!$A:$F,2,FALSE),"")</f>
        <v/>
      </c>
      <c r="F2144" s="1" t="str">
        <f>IF(OR(C2144="",NOT(ISNUMBER(SEARCH("Package",D2144)))),"",VLOOKUP(C2144,'Clients List'!$A:$F,4,FALSE)-SUMIFS($E$2:$E2144,$C$2:$C2144,C2144,$D$2:$D2144,"*Package*"))</f>
        <v/>
      </c>
      <c r="G2144" t="str">
        <f t="shared" si="66"/>
        <v/>
      </c>
      <c r="H2144" s="33">
        <f>IF(ISNUMBER(SEARCH("Group",D2144)),IF(G2144="",E2144,IFERROR(E2144/COUNTIF($G2:$G6000,G2144),E2144)),E2144)</f>
        <v>0</v>
      </c>
      <c r="I2144" s="1" t="str">
        <f>IFERROR(VLOOKUP(C2144,'Clients List'!A:F,6,FALSE),"")</f>
        <v/>
      </c>
    </row>
    <row r="2145" spans="4:9" x14ac:dyDescent="0.45">
      <c r="D2145" t="str">
        <f>IFERROR(VLOOKUP(C2145,'Clients List'!$A:$F,2,FALSE),"")</f>
        <v/>
      </c>
      <c r="F2145" s="1" t="str">
        <f>IF(OR(C2145="",NOT(ISNUMBER(SEARCH("Package",D2145)))),"",VLOOKUP(C2145,'Clients List'!$A:$F,4,FALSE)-SUMIFS($E$2:$E2145,$C$2:$C2145,C2145,$D$2:$D2145,"*Package*"))</f>
        <v/>
      </c>
      <c r="G2145" t="str">
        <f t="shared" si="66"/>
        <v/>
      </c>
      <c r="H2145" s="33">
        <f>IF(ISNUMBER(SEARCH("Group",D2145)),IF(G2145="",E2145,IFERROR(E2145/COUNTIF($G2:$G6000,G2145),E2145)),E2145)</f>
        <v>0</v>
      </c>
      <c r="I2145" s="1" t="str">
        <f>IFERROR(VLOOKUP(C2145,'Clients List'!A:F,6,FALSE),"")</f>
        <v/>
      </c>
    </row>
    <row r="2146" spans="4:9" x14ac:dyDescent="0.45">
      <c r="D2146" t="str">
        <f>IFERROR(VLOOKUP(C2146,'Clients List'!$A:$F,2,FALSE),"")</f>
        <v/>
      </c>
      <c r="F2146" s="1" t="str">
        <f>IF(OR(C2146="",NOT(ISNUMBER(SEARCH("Package",D2146)))),"",VLOOKUP(C2146,'Clients List'!$A:$F,4,FALSE)-SUMIFS($E$2:$E2146,$C$2:$C2146,C2146,$D$2:$D2146,"*Package*"))</f>
        <v/>
      </c>
      <c r="G2146" t="str">
        <f t="shared" si="66"/>
        <v/>
      </c>
      <c r="H2146" s="33">
        <f>IF(ISNUMBER(SEARCH("Group",D2146)),IF(G2146="",E2146,IFERROR(E2146/COUNTIF($G2:$G6000,G2146),E2146)),E2146)</f>
        <v>0</v>
      </c>
      <c r="I2146" s="1" t="str">
        <f>IFERROR(VLOOKUP(C2146,'Clients List'!A:F,6,FALSE),"")</f>
        <v/>
      </c>
    </row>
    <row r="2147" spans="4:9" x14ac:dyDescent="0.45">
      <c r="D2147" t="str">
        <f>IFERROR(VLOOKUP(C2147,'Clients List'!$A:$F,2,FALSE),"")</f>
        <v/>
      </c>
      <c r="F2147" s="1" t="str">
        <f>IF(OR(C2147="",NOT(ISNUMBER(SEARCH("Package",D2147)))),"",VLOOKUP(C2147,'Clients List'!$A:$F,4,FALSE)-SUMIFS($E$2:$E2147,$C$2:$C2147,C2147,$D$2:$D2147,"*Package*"))</f>
        <v/>
      </c>
      <c r="G2147" t="str">
        <f t="shared" si="66"/>
        <v/>
      </c>
      <c r="H2147" s="33">
        <f>IF(ISNUMBER(SEARCH("Group",D2147)),IF(G2147="",E2147,IFERROR(E2147/COUNTIF($G2:$G6000,G2147),E2147)),E2147)</f>
        <v>0</v>
      </c>
      <c r="I2147" s="1" t="str">
        <f>IFERROR(VLOOKUP(C2147,'Clients List'!A:F,6,FALSE),"")</f>
        <v/>
      </c>
    </row>
    <row r="2148" spans="4:9" x14ac:dyDescent="0.45">
      <c r="D2148" t="str">
        <f>IFERROR(VLOOKUP(C2148,'Clients List'!$A:$F,2,FALSE),"")</f>
        <v/>
      </c>
      <c r="F2148" s="1" t="str">
        <f>IF(OR(C2148="",NOT(ISNUMBER(SEARCH("Package",D2148)))),"",VLOOKUP(C2148,'Clients List'!$A:$F,4,FALSE)-SUMIFS($E$2:$E2148,$C$2:$C2148,C2148,$D$2:$D2148,"*Package*"))</f>
        <v/>
      </c>
      <c r="G2148" t="str">
        <f t="shared" si="66"/>
        <v/>
      </c>
      <c r="H2148" s="33">
        <f>IF(ISNUMBER(SEARCH("Group",D2148)),IF(G2148="",E2148,IFERROR(E2148/COUNTIF($G2:$G6000,G2148),E2148)),E2148)</f>
        <v>0</v>
      </c>
      <c r="I2148" s="1" t="str">
        <f>IFERROR(VLOOKUP(C2148,'Clients List'!A:F,6,FALSE),"")</f>
        <v/>
      </c>
    </row>
    <row r="2149" spans="4:9" x14ac:dyDescent="0.45">
      <c r="D2149" t="str">
        <f>IFERROR(VLOOKUP(C2149,'Clients List'!$A:$F,2,FALSE),"")</f>
        <v/>
      </c>
      <c r="F2149" s="1" t="str">
        <f>IF(OR(C2149="",NOT(ISNUMBER(SEARCH("Package",D2149)))),"",VLOOKUP(C2149,'Clients List'!$A:$F,4,FALSE)-SUMIFS($E$2:$E2149,$C$2:$C2149,C2149,$D$2:$D2149,"*Package*"))</f>
        <v/>
      </c>
      <c r="G2149" t="str">
        <f t="shared" si="66"/>
        <v/>
      </c>
      <c r="H2149" s="33">
        <f>IF(ISNUMBER(SEARCH("Group",D2149)),IF(G2149="",E2149,IFERROR(E2149/COUNTIF($G2:$G6000,G2149),E2149)),E2149)</f>
        <v>0</v>
      </c>
      <c r="I2149" s="1" t="str">
        <f>IFERROR(VLOOKUP(C2149,'Clients List'!A:F,6,FALSE),"")</f>
        <v/>
      </c>
    </row>
    <row r="2150" spans="4:9" x14ac:dyDescent="0.45">
      <c r="D2150" t="str">
        <f>IFERROR(VLOOKUP(C2150,'Clients List'!$A:$F,2,FALSE),"")</f>
        <v/>
      </c>
      <c r="F2150" s="1" t="str">
        <f>IF(OR(C2150="",NOT(ISNUMBER(SEARCH("Package",D2150)))),"",VLOOKUP(C2150,'Clients List'!$A:$F,4,FALSE)-SUMIFS($E$2:$E2150,$C$2:$C2150,C2150,$D$2:$D2150,"*Package*"))</f>
        <v/>
      </c>
      <c r="G2150" t="str">
        <f t="shared" si="66"/>
        <v/>
      </c>
      <c r="H2150" s="33">
        <f>IF(ISNUMBER(SEARCH("Group",D2150)),IF(G2150="",E2150,IFERROR(E2150/COUNTIF($G2:$G6000,G2150),E2150)),E2150)</f>
        <v>0</v>
      </c>
      <c r="I2150" s="1" t="str">
        <f>IFERROR(VLOOKUP(C2150,'Clients List'!A:F,6,FALSE),"")</f>
        <v/>
      </c>
    </row>
    <row r="2151" spans="4:9" x14ac:dyDescent="0.45">
      <c r="D2151" t="str">
        <f>IFERROR(VLOOKUP(C2151,'Clients List'!$A:$F,2,FALSE),"")</f>
        <v/>
      </c>
      <c r="F2151" s="1" t="str">
        <f>IF(OR(C2151="",NOT(ISNUMBER(SEARCH("Package",D2151)))),"",VLOOKUP(C2151,'Clients List'!$A:$F,4,FALSE)-SUMIFS($E$2:$E2151,$C$2:$C2151,C2151,$D$2:$D2151,"*Package*"))</f>
        <v/>
      </c>
      <c r="G2151" t="str">
        <f t="shared" si="66"/>
        <v/>
      </c>
      <c r="H2151" s="33">
        <f>IF(ISNUMBER(SEARCH("Group",D2151)),IF(G2151="",E2151,IFERROR(E2151/COUNTIF($G2:$G6000,G2151),E2151)),E2151)</f>
        <v>0</v>
      </c>
      <c r="I2151" s="1" t="str">
        <f>IFERROR(VLOOKUP(C2151,'Clients List'!A:F,6,FALSE),"")</f>
        <v/>
      </c>
    </row>
    <row r="2152" spans="4:9" x14ac:dyDescent="0.45">
      <c r="D2152" t="str">
        <f>IFERROR(VLOOKUP(C2152,'Clients List'!$A:$F,2,FALSE),"")</f>
        <v/>
      </c>
      <c r="F2152" s="1" t="str">
        <f>IF(OR(C2152="",NOT(ISNUMBER(SEARCH("Package",D2152)))),"",VLOOKUP(C2152,'Clients List'!$A:$F,4,FALSE)-SUMIFS($E$2:$E2152,$C$2:$C2152,C2152,$D$2:$D2152,"*Package*"))</f>
        <v/>
      </c>
      <c r="G2152" t="str">
        <f t="shared" si="66"/>
        <v/>
      </c>
      <c r="H2152" s="33">
        <f>IF(ISNUMBER(SEARCH("Group",D2152)),IF(G2152="",E2152,IFERROR(E2152/COUNTIF($G2:$G6000,G2152),E2152)),E2152)</f>
        <v>0</v>
      </c>
      <c r="I2152" s="1" t="str">
        <f>IFERROR(VLOOKUP(C2152,'Clients List'!A:F,6,FALSE),"")</f>
        <v/>
      </c>
    </row>
    <row r="2153" spans="4:9" x14ac:dyDescent="0.45">
      <c r="D2153" t="str">
        <f>IFERROR(VLOOKUP(C2153,'Clients List'!$A:$F,2,FALSE),"")</f>
        <v/>
      </c>
      <c r="F2153" s="1" t="str">
        <f>IF(OR(C2153="",NOT(ISNUMBER(SEARCH("Package",D2153)))),"",VLOOKUP(C2153,'Clients List'!$A:$F,4,FALSE)-SUMIFS($E$2:$E2153,$C$2:$C2153,C2153,$D$2:$D2153,"*Package*"))</f>
        <v/>
      </c>
      <c r="G2153" t="str">
        <f t="shared" si="66"/>
        <v/>
      </c>
      <c r="H2153" s="33">
        <f>IF(ISNUMBER(SEARCH("Group",D2153)),IF(G2153="",E2153,IFERROR(E2153/COUNTIF($G2:$G6000,G2153),E2153)),E2153)</f>
        <v>0</v>
      </c>
      <c r="I2153" s="1" t="str">
        <f>IFERROR(VLOOKUP(C2153,'Clients List'!A:F,6,FALSE),"")</f>
        <v/>
      </c>
    </row>
    <row r="2154" spans="4:9" x14ac:dyDescent="0.45">
      <c r="D2154" t="str">
        <f>IFERROR(VLOOKUP(C2154,'Clients List'!$A:$F,2,FALSE),"")</f>
        <v/>
      </c>
      <c r="F2154" s="1" t="str">
        <f>IF(OR(C2154="",NOT(ISNUMBER(SEARCH("Package",D2154)))),"",VLOOKUP(C2154,'Clients List'!$A:$F,4,FALSE)-SUMIFS($E$2:$E2154,$C$2:$C2154,C2154,$D$2:$D2154,"*Package*"))</f>
        <v/>
      </c>
      <c r="G2154" t="str">
        <f t="shared" si="66"/>
        <v/>
      </c>
      <c r="H2154" s="33">
        <f>IF(ISNUMBER(SEARCH("Group",D2154)),IF(G2154="",E2154,IFERROR(E2154/COUNTIF($G2:$G6000,G2154),E2154)),E2154)</f>
        <v>0</v>
      </c>
      <c r="I2154" s="1" t="str">
        <f>IFERROR(VLOOKUP(C2154,'Clients List'!A:F,6,FALSE),"")</f>
        <v/>
      </c>
    </row>
    <row r="2155" spans="4:9" x14ac:dyDescent="0.45">
      <c r="D2155" t="str">
        <f>IFERROR(VLOOKUP(C2155,'Clients List'!$A:$F,2,FALSE),"")</f>
        <v/>
      </c>
      <c r="F2155" s="1" t="str">
        <f>IF(OR(C2155="",NOT(ISNUMBER(SEARCH("Package",D2155)))),"",VLOOKUP(C2155,'Clients List'!$A:$F,4,FALSE)-SUMIFS($E$2:$E2155,$C$2:$C2155,C2155,$D$2:$D2155,"*Package*"))</f>
        <v/>
      </c>
      <c r="G2155" t="str">
        <f t="shared" si="66"/>
        <v/>
      </c>
      <c r="H2155" s="33">
        <f>IF(ISNUMBER(SEARCH("Group",D2155)),IF(G2155="",E2155,IFERROR(E2155/COUNTIF($G2:$G6000,G2155),E2155)),E2155)</f>
        <v>0</v>
      </c>
      <c r="I2155" s="1" t="str">
        <f>IFERROR(VLOOKUP(C2155,'Clients List'!A:F,6,FALSE),"")</f>
        <v/>
      </c>
    </row>
    <row r="2156" spans="4:9" x14ac:dyDescent="0.45">
      <c r="D2156" t="str">
        <f>IFERROR(VLOOKUP(C2156,'Clients List'!$A:$F,2,FALSE),"")</f>
        <v/>
      </c>
      <c r="F2156" s="1" t="str">
        <f>IF(OR(C2156="",NOT(ISNUMBER(SEARCH("Package",D2156)))),"",VLOOKUP(C2156,'Clients List'!$A:$F,4,FALSE)-SUMIFS($E$2:$E2156,$C$2:$C2156,C2156,$D$2:$D2156,"*Package*"))</f>
        <v/>
      </c>
      <c r="G2156" t="str">
        <f t="shared" si="66"/>
        <v/>
      </c>
      <c r="H2156" s="33">
        <f>IF(ISNUMBER(SEARCH("Group",D2156)),IF(G2156="",E2156,IFERROR(E2156/COUNTIF($G2:$G6000,G2156),E2156)),E2156)</f>
        <v>0</v>
      </c>
      <c r="I2156" s="1" t="str">
        <f>IFERROR(VLOOKUP(C2156,'Clients List'!A:F,6,FALSE),"")</f>
        <v/>
      </c>
    </row>
    <row r="2157" spans="4:9" x14ac:dyDescent="0.45">
      <c r="D2157" t="str">
        <f>IFERROR(VLOOKUP(C2157,'Clients List'!$A:$F,2,FALSE),"")</f>
        <v/>
      </c>
      <c r="F2157" s="1" t="str">
        <f>IF(OR(C2157="",NOT(ISNUMBER(SEARCH("Package",D2157)))),"",VLOOKUP(C2157,'Clients List'!$A:$F,4,FALSE)-SUMIFS($E$2:$E2157,$C$2:$C2157,C2157,$D$2:$D2157,"*Package*"))</f>
        <v/>
      </c>
      <c r="G2157" t="str">
        <f t="shared" si="66"/>
        <v/>
      </c>
      <c r="H2157" s="33">
        <f>IF(ISNUMBER(SEARCH("Group",D2157)),IF(G2157="",E2157,IFERROR(E2157/COUNTIF($G2:$G6000,G2157),E2157)),E2157)</f>
        <v>0</v>
      </c>
      <c r="I2157" s="1" t="str">
        <f>IFERROR(VLOOKUP(C2157,'Clients List'!A:F,6,FALSE),"")</f>
        <v/>
      </c>
    </row>
    <row r="2158" spans="4:9" x14ac:dyDescent="0.45">
      <c r="D2158" t="str">
        <f>IFERROR(VLOOKUP(C2158,'Clients List'!$A:$F,2,FALSE),"")</f>
        <v/>
      </c>
      <c r="F2158" s="1" t="str">
        <f>IF(OR(C2158="",NOT(ISNUMBER(SEARCH("Package",D2158)))),"",VLOOKUP(C2158,'Clients List'!$A:$F,4,FALSE)-SUMIFS($E$2:$E2158,$C$2:$C2158,C2158,$D$2:$D2158,"*Package*"))</f>
        <v/>
      </c>
      <c r="G2158" t="str">
        <f t="shared" si="66"/>
        <v/>
      </c>
      <c r="H2158" s="33">
        <f>IF(ISNUMBER(SEARCH("Group",D2158)),IF(G2158="",E2158,IFERROR(E2158/COUNTIF($G2:$G6000,G2158),E2158)),E2158)</f>
        <v>0</v>
      </c>
      <c r="I2158" s="1" t="str">
        <f>IFERROR(VLOOKUP(C2158,'Clients List'!A:F,6,FALSE),"")</f>
        <v/>
      </c>
    </row>
    <row r="2159" spans="4:9" x14ac:dyDescent="0.45">
      <c r="D2159" t="str">
        <f>IFERROR(VLOOKUP(C2159,'Clients List'!$A:$F,2,FALSE),"")</f>
        <v/>
      </c>
      <c r="F2159" s="1" t="str">
        <f>IF(OR(C2159="",NOT(ISNUMBER(SEARCH("Package",D2159)))),"",VLOOKUP(C2159,'Clients List'!$A:$F,4,FALSE)-SUMIFS($E$2:$E2159,$C$2:$C2159,C2159,$D$2:$D2159,"*Package*"))</f>
        <v/>
      </c>
      <c r="G2159" t="str">
        <f t="shared" si="66"/>
        <v/>
      </c>
      <c r="H2159" s="33">
        <f>IF(ISNUMBER(SEARCH("Group",D2159)),IF(G2159="",E2159,IFERROR(E2159/COUNTIF($G2:$G6000,G2159),E2159)),E2159)</f>
        <v>0</v>
      </c>
      <c r="I2159" s="1" t="str">
        <f>IFERROR(VLOOKUP(C2159,'Clients List'!A:F,6,FALSE),"")</f>
        <v/>
      </c>
    </row>
    <row r="2160" spans="4:9" x14ac:dyDescent="0.45">
      <c r="D2160" t="str">
        <f>IFERROR(VLOOKUP(C2160,'Clients List'!$A:$F,2,FALSE),"")</f>
        <v/>
      </c>
      <c r="F2160" s="1" t="str">
        <f>IF(OR(C2160="",NOT(ISNUMBER(SEARCH("Package",D2160)))),"",VLOOKUP(C2160,'Clients List'!$A:$F,4,FALSE)-SUMIFS($E$2:$E2160,$C$2:$C2160,C2160,$D$2:$D2160,"*Package*"))</f>
        <v/>
      </c>
      <c r="G2160" t="str">
        <f t="shared" si="66"/>
        <v/>
      </c>
      <c r="H2160" s="33">
        <f>IF(ISNUMBER(SEARCH("Group",D2160)),IF(G2160="",E2160,IFERROR(E2160/COUNTIF($G2:$G6000,G2160),E2160)),E2160)</f>
        <v>0</v>
      </c>
      <c r="I2160" s="1" t="str">
        <f>IFERROR(VLOOKUP(C2160,'Clients List'!A:F,6,FALSE),"")</f>
        <v/>
      </c>
    </row>
    <row r="2161" spans="4:9" x14ac:dyDescent="0.45">
      <c r="D2161" t="str">
        <f>IFERROR(VLOOKUP(C2161,'Clients List'!$A:$F,2,FALSE),"")</f>
        <v/>
      </c>
      <c r="F2161" s="1" t="str">
        <f>IF(OR(C2161="",NOT(ISNUMBER(SEARCH("Package",D2161)))),"",VLOOKUP(C2161,'Clients List'!$A:$F,4,FALSE)-SUMIFS($E$2:$E2161,$C$2:$C2161,C2161,$D$2:$D2161,"*Package*"))</f>
        <v/>
      </c>
      <c r="G2161" t="str">
        <f t="shared" si="66"/>
        <v/>
      </c>
      <c r="H2161" s="33">
        <f>IF(ISNUMBER(SEARCH("Group",D2161)),IF(G2161="",E2161,IFERROR(E2161/COUNTIF($G2:$G6000,G2161),E2161)),E2161)</f>
        <v>0</v>
      </c>
      <c r="I2161" s="1" t="str">
        <f>IFERROR(VLOOKUP(C2161,'Clients List'!A:F,6,FALSE),"")</f>
        <v/>
      </c>
    </row>
    <row r="2162" spans="4:9" x14ac:dyDescent="0.45">
      <c r="D2162" t="str">
        <f>IFERROR(VLOOKUP(C2162,'Clients List'!$A:$F,2,FALSE),"")</f>
        <v/>
      </c>
      <c r="F2162" s="1" t="str">
        <f>IF(OR(C2162="",NOT(ISNUMBER(SEARCH("Package",D2162)))),"",VLOOKUP(C2162,'Clients List'!$A:$F,4,FALSE)-SUMIFS($E$2:$E2162,$C$2:$C2162,C2162,$D$2:$D2162,"*Package*"))</f>
        <v/>
      </c>
      <c r="G2162" t="str">
        <f t="shared" si="66"/>
        <v/>
      </c>
      <c r="H2162" s="33">
        <f>IF(ISNUMBER(SEARCH("Group",D2162)),IF(G2162="",E2162,IFERROR(E2162/COUNTIF($G2:$G6000,G2162),E2162)),E2162)</f>
        <v>0</v>
      </c>
      <c r="I2162" s="1" t="str">
        <f>IFERROR(VLOOKUP(C2162,'Clients List'!A:F,6,FALSE),"")</f>
        <v/>
      </c>
    </row>
    <row r="2163" spans="4:9" x14ac:dyDescent="0.45">
      <c r="D2163" t="str">
        <f>IFERROR(VLOOKUP(C2163,'Clients List'!$A:$F,2,FALSE),"")</f>
        <v/>
      </c>
      <c r="F2163" s="1" t="str">
        <f>IF(OR(C2163="",NOT(ISNUMBER(SEARCH("Package",D2163)))),"",VLOOKUP(C2163,'Clients List'!$A:$F,4,FALSE)-SUMIFS($E$2:$E2163,$C$2:$C2163,C2163,$D$2:$D2163,"*Package*"))</f>
        <v/>
      </c>
      <c r="G2163" t="str">
        <f t="shared" si="66"/>
        <v/>
      </c>
      <c r="H2163" s="33">
        <f>IF(ISNUMBER(SEARCH("Group",D2163)),IF(G2163="",E2163,IFERROR(E2163/COUNTIF($G2:$G6000,G2163),E2163)),E2163)</f>
        <v>0</v>
      </c>
      <c r="I2163" s="1" t="str">
        <f>IFERROR(VLOOKUP(C2163,'Clients List'!A:F,6,FALSE),"")</f>
        <v/>
      </c>
    </row>
    <row r="2164" spans="4:9" x14ac:dyDescent="0.45">
      <c r="D2164" t="str">
        <f>IFERROR(VLOOKUP(C2164,'Clients List'!$A:$F,2,FALSE),"")</f>
        <v/>
      </c>
      <c r="F2164" s="1" t="str">
        <f>IF(OR(C2164="",NOT(ISNUMBER(SEARCH("Package",D2164)))),"",VLOOKUP(C2164,'Clients List'!$A:$F,4,FALSE)-SUMIFS($E$2:$E2164,$C$2:$C2164,C2164,$D$2:$D2164,"*Package*"))</f>
        <v/>
      </c>
      <c r="G2164" t="str">
        <f t="shared" si="66"/>
        <v/>
      </c>
      <c r="H2164" s="33">
        <f>IF(ISNUMBER(SEARCH("Group",D2164)),IF(G2164="",E2164,IFERROR(E2164/COUNTIF($G2:$G6000,G2164),E2164)),E2164)</f>
        <v>0</v>
      </c>
      <c r="I2164" s="1" t="str">
        <f>IFERROR(VLOOKUP(C2164,'Clients List'!A:F,6,FALSE),"")</f>
        <v/>
      </c>
    </row>
    <row r="2165" spans="4:9" x14ac:dyDescent="0.45">
      <c r="D2165" t="str">
        <f>IFERROR(VLOOKUP(C2165,'Clients List'!$A:$F,2,FALSE),"")</f>
        <v/>
      </c>
      <c r="F2165" s="1" t="str">
        <f>IF(OR(C2165="",NOT(ISNUMBER(SEARCH("Package",D2165)))),"",VLOOKUP(C2165,'Clients List'!$A:$F,4,FALSE)-SUMIFS($E$2:$E2165,$C$2:$C2165,C2165,$D$2:$D2165,"*Package*"))</f>
        <v/>
      </c>
      <c r="G2165" t="str">
        <f t="shared" ref="G2165:G2228" si="67">IF(ISNUMBER(SEARCH("Group",D2165)),IFERROR("GRP-"&amp;TEXT(IF(ISNUMBER(A2165),A2165,DATEVALUE(A2165)),"yyyymmdd"),""),"" )</f>
        <v/>
      </c>
      <c r="H2165" s="33">
        <f>IF(ISNUMBER(SEARCH("Group",D2165)),IF(G2165="",E2165,IFERROR(E2165/COUNTIF($G2:$G6000,G2165),E2165)),E2165)</f>
        <v>0</v>
      </c>
      <c r="I2165" s="1" t="str">
        <f>IFERROR(VLOOKUP(C2165,'Clients List'!A:F,6,FALSE),"")</f>
        <v/>
      </c>
    </row>
    <row r="2166" spans="4:9" x14ac:dyDescent="0.45">
      <c r="D2166" t="str">
        <f>IFERROR(VLOOKUP(C2166,'Clients List'!$A:$F,2,FALSE),"")</f>
        <v/>
      </c>
      <c r="F2166" s="1" t="str">
        <f>IF(OR(C2166="",NOT(ISNUMBER(SEARCH("Package",D2166)))),"",VLOOKUP(C2166,'Clients List'!$A:$F,4,FALSE)-SUMIFS($E$2:$E2166,$C$2:$C2166,C2166,$D$2:$D2166,"*Package*"))</f>
        <v/>
      </c>
      <c r="G2166" t="str">
        <f t="shared" si="67"/>
        <v/>
      </c>
      <c r="H2166" s="33">
        <f>IF(ISNUMBER(SEARCH("Group",D2166)),IF(G2166="",E2166,IFERROR(E2166/COUNTIF($G2:$G6000,G2166),E2166)),E2166)</f>
        <v>0</v>
      </c>
      <c r="I2166" s="1" t="str">
        <f>IFERROR(VLOOKUP(C2166,'Clients List'!A:F,6,FALSE),"")</f>
        <v/>
      </c>
    </row>
    <row r="2167" spans="4:9" x14ac:dyDescent="0.45">
      <c r="D2167" t="str">
        <f>IFERROR(VLOOKUP(C2167,'Clients List'!$A:$F,2,FALSE),"")</f>
        <v/>
      </c>
      <c r="F2167" s="1" t="str">
        <f>IF(OR(C2167="",NOT(ISNUMBER(SEARCH("Package",D2167)))),"",VLOOKUP(C2167,'Clients List'!$A:$F,4,FALSE)-SUMIFS($E$2:$E2167,$C$2:$C2167,C2167,$D$2:$D2167,"*Package*"))</f>
        <v/>
      </c>
      <c r="G2167" t="str">
        <f t="shared" si="67"/>
        <v/>
      </c>
      <c r="H2167" s="33">
        <f>IF(ISNUMBER(SEARCH("Group",D2167)),IF(G2167="",E2167,IFERROR(E2167/COUNTIF($G2:$G6000,G2167),E2167)),E2167)</f>
        <v>0</v>
      </c>
      <c r="I2167" s="1" t="str">
        <f>IFERROR(VLOOKUP(C2167,'Clients List'!A:F,6,FALSE),"")</f>
        <v/>
      </c>
    </row>
    <row r="2168" spans="4:9" x14ac:dyDescent="0.45">
      <c r="D2168" t="str">
        <f>IFERROR(VLOOKUP(C2168,'Clients List'!$A:$F,2,FALSE),"")</f>
        <v/>
      </c>
      <c r="F2168" s="1" t="str">
        <f>IF(OR(C2168="",NOT(ISNUMBER(SEARCH("Package",D2168)))),"",VLOOKUP(C2168,'Clients List'!$A:$F,4,FALSE)-SUMIFS($E$2:$E2168,$C$2:$C2168,C2168,$D$2:$D2168,"*Package*"))</f>
        <v/>
      </c>
      <c r="G2168" t="str">
        <f t="shared" si="67"/>
        <v/>
      </c>
      <c r="H2168" s="33">
        <f>IF(ISNUMBER(SEARCH("Group",D2168)),IF(G2168="",E2168,IFERROR(E2168/COUNTIF($G2:$G6000,G2168),E2168)),E2168)</f>
        <v>0</v>
      </c>
      <c r="I2168" s="1" t="str">
        <f>IFERROR(VLOOKUP(C2168,'Clients List'!A:F,6,FALSE),"")</f>
        <v/>
      </c>
    </row>
    <row r="2169" spans="4:9" x14ac:dyDescent="0.45">
      <c r="D2169" t="str">
        <f>IFERROR(VLOOKUP(C2169,'Clients List'!$A:$F,2,FALSE),"")</f>
        <v/>
      </c>
      <c r="F2169" s="1" t="str">
        <f>IF(OR(C2169="",NOT(ISNUMBER(SEARCH("Package",D2169)))),"",VLOOKUP(C2169,'Clients List'!$A:$F,4,FALSE)-SUMIFS($E$2:$E2169,$C$2:$C2169,C2169,$D$2:$D2169,"*Package*"))</f>
        <v/>
      </c>
      <c r="G2169" t="str">
        <f t="shared" si="67"/>
        <v/>
      </c>
      <c r="H2169" s="33">
        <f>IF(ISNUMBER(SEARCH("Group",D2169)),IF(G2169="",E2169,IFERROR(E2169/COUNTIF($G2:$G6000,G2169),E2169)),E2169)</f>
        <v>0</v>
      </c>
      <c r="I2169" s="1" t="str">
        <f>IFERROR(VLOOKUP(C2169,'Clients List'!A:F,6,FALSE),"")</f>
        <v/>
      </c>
    </row>
    <row r="2170" spans="4:9" x14ac:dyDescent="0.45">
      <c r="D2170" t="str">
        <f>IFERROR(VLOOKUP(C2170,'Clients List'!$A:$F,2,FALSE),"")</f>
        <v/>
      </c>
      <c r="F2170" s="1" t="str">
        <f>IF(OR(C2170="",NOT(ISNUMBER(SEARCH("Package",D2170)))),"",VLOOKUP(C2170,'Clients List'!$A:$F,4,FALSE)-SUMIFS($E$2:$E2170,$C$2:$C2170,C2170,$D$2:$D2170,"*Package*"))</f>
        <v/>
      </c>
      <c r="G2170" t="str">
        <f t="shared" si="67"/>
        <v/>
      </c>
      <c r="H2170" s="33">
        <f>IF(ISNUMBER(SEARCH("Group",D2170)),IF(G2170="",E2170,IFERROR(E2170/COUNTIF($G2:$G6000,G2170),E2170)),E2170)</f>
        <v>0</v>
      </c>
      <c r="I2170" s="1" t="str">
        <f>IFERROR(VLOOKUP(C2170,'Clients List'!A:F,6,FALSE),"")</f>
        <v/>
      </c>
    </row>
    <row r="2171" spans="4:9" x14ac:dyDescent="0.45">
      <c r="D2171" t="str">
        <f>IFERROR(VLOOKUP(C2171,'Clients List'!$A:$F,2,FALSE),"")</f>
        <v/>
      </c>
      <c r="F2171" s="1" t="str">
        <f>IF(OR(C2171="",NOT(ISNUMBER(SEARCH("Package",D2171)))),"",VLOOKUP(C2171,'Clients List'!$A:$F,4,FALSE)-SUMIFS($E$2:$E2171,$C$2:$C2171,C2171,$D$2:$D2171,"*Package*"))</f>
        <v/>
      </c>
      <c r="G2171" t="str">
        <f t="shared" si="67"/>
        <v/>
      </c>
      <c r="H2171" s="33">
        <f>IF(ISNUMBER(SEARCH("Group",D2171)),IF(G2171="",E2171,IFERROR(E2171/COUNTIF($G2:$G6000,G2171),E2171)),E2171)</f>
        <v>0</v>
      </c>
      <c r="I2171" s="1" t="str">
        <f>IFERROR(VLOOKUP(C2171,'Clients List'!A:F,6,FALSE),"")</f>
        <v/>
      </c>
    </row>
    <row r="2172" spans="4:9" x14ac:dyDescent="0.45">
      <c r="D2172" t="str">
        <f>IFERROR(VLOOKUP(C2172,'Clients List'!$A:$F,2,FALSE),"")</f>
        <v/>
      </c>
      <c r="F2172" s="1" t="str">
        <f>IF(OR(C2172="",NOT(ISNUMBER(SEARCH("Package",D2172)))),"",VLOOKUP(C2172,'Clients List'!$A:$F,4,FALSE)-SUMIFS($E$2:$E2172,$C$2:$C2172,C2172,$D$2:$D2172,"*Package*"))</f>
        <v/>
      </c>
      <c r="G2172" t="str">
        <f t="shared" si="67"/>
        <v/>
      </c>
      <c r="H2172" s="33">
        <f>IF(ISNUMBER(SEARCH("Group",D2172)),IF(G2172="",E2172,IFERROR(E2172/COUNTIF($G2:$G6000,G2172),E2172)),E2172)</f>
        <v>0</v>
      </c>
      <c r="I2172" s="1" t="str">
        <f>IFERROR(VLOOKUP(C2172,'Clients List'!A:F,6,FALSE),"")</f>
        <v/>
      </c>
    </row>
    <row r="2173" spans="4:9" x14ac:dyDescent="0.45">
      <c r="D2173" t="str">
        <f>IFERROR(VLOOKUP(C2173,'Clients List'!$A:$F,2,FALSE),"")</f>
        <v/>
      </c>
      <c r="F2173" s="1" t="str">
        <f>IF(OR(C2173="",NOT(ISNUMBER(SEARCH("Package",D2173)))),"",VLOOKUP(C2173,'Clients List'!$A:$F,4,FALSE)-SUMIFS($E$2:$E2173,$C$2:$C2173,C2173,$D$2:$D2173,"*Package*"))</f>
        <v/>
      </c>
      <c r="G2173" t="str">
        <f t="shared" si="67"/>
        <v/>
      </c>
      <c r="H2173" s="33">
        <f>IF(ISNUMBER(SEARCH("Group",D2173)),IF(G2173="",E2173,IFERROR(E2173/COUNTIF($G2:$G6000,G2173),E2173)),E2173)</f>
        <v>0</v>
      </c>
      <c r="I2173" s="1" t="str">
        <f>IFERROR(VLOOKUP(C2173,'Clients List'!A:F,6,FALSE),"")</f>
        <v/>
      </c>
    </row>
    <row r="2174" spans="4:9" x14ac:dyDescent="0.45">
      <c r="D2174" t="str">
        <f>IFERROR(VLOOKUP(C2174,'Clients List'!$A:$F,2,FALSE),"")</f>
        <v/>
      </c>
      <c r="F2174" s="1" t="str">
        <f>IF(OR(C2174="",NOT(ISNUMBER(SEARCH("Package",D2174)))),"",VLOOKUP(C2174,'Clients List'!$A:$F,4,FALSE)-SUMIFS($E$2:$E2174,$C$2:$C2174,C2174,$D$2:$D2174,"*Package*"))</f>
        <v/>
      </c>
      <c r="G2174" t="str">
        <f t="shared" si="67"/>
        <v/>
      </c>
      <c r="H2174" s="33">
        <f>IF(ISNUMBER(SEARCH("Group",D2174)),IF(G2174="",E2174,IFERROR(E2174/COUNTIF($G2:$G6000,G2174),E2174)),E2174)</f>
        <v>0</v>
      </c>
      <c r="I2174" s="1" t="str">
        <f>IFERROR(VLOOKUP(C2174,'Clients List'!A:F,6,FALSE),"")</f>
        <v/>
      </c>
    </row>
    <row r="2175" spans="4:9" x14ac:dyDescent="0.45">
      <c r="D2175" t="str">
        <f>IFERROR(VLOOKUP(C2175,'Clients List'!$A:$F,2,FALSE),"")</f>
        <v/>
      </c>
      <c r="F2175" s="1" t="str">
        <f>IF(OR(C2175="",NOT(ISNUMBER(SEARCH("Package",D2175)))),"",VLOOKUP(C2175,'Clients List'!$A:$F,4,FALSE)-SUMIFS($E$2:$E2175,$C$2:$C2175,C2175,$D$2:$D2175,"*Package*"))</f>
        <v/>
      </c>
      <c r="G2175" t="str">
        <f t="shared" si="67"/>
        <v/>
      </c>
      <c r="H2175" s="33">
        <f>IF(ISNUMBER(SEARCH("Group",D2175)),IF(G2175="",E2175,IFERROR(E2175/COUNTIF($G2:$G6000,G2175),E2175)),E2175)</f>
        <v>0</v>
      </c>
      <c r="I2175" s="1" t="str">
        <f>IFERROR(VLOOKUP(C2175,'Clients List'!A:F,6,FALSE),"")</f>
        <v/>
      </c>
    </row>
    <row r="2176" spans="4:9" x14ac:dyDescent="0.45">
      <c r="D2176" t="str">
        <f>IFERROR(VLOOKUP(C2176,'Clients List'!$A:$F,2,FALSE),"")</f>
        <v/>
      </c>
      <c r="F2176" s="1" t="str">
        <f>IF(OR(C2176="",NOT(ISNUMBER(SEARCH("Package",D2176)))),"",VLOOKUP(C2176,'Clients List'!$A:$F,4,FALSE)-SUMIFS($E$2:$E2176,$C$2:$C2176,C2176,$D$2:$D2176,"*Package*"))</f>
        <v/>
      </c>
      <c r="G2176" t="str">
        <f t="shared" si="67"/>
        <v/>
      </c>
      <c r="H2176" s="33">
        <f>IF(ISNUMBER(SEARCH("Group",D2176)),IF(G2176="",E2176,IFERROR(E2176/COUNTIF($G2:$G6000,G2176),E2176)),E2176)</f>
        <v>0</v>
      </c>
      <c r="I2176" s="1" t="str">
        <f>IFERROR(VLOOKUP(C2176,'Clients List'!A:F,6,FALSE),"")</f>
        <v/>
      </c>
    </row>
    <row r="2177" spans="4:9" x14ac:dyDescent="0.45">
      <c r="D2177" t="str">
        <f>IFERROR(VLOOKUP(C2177,'Clients List'!$A:$F,2,FALSE),"")</f>
        <v/>
      </c>
      <c r="F2177" s="1" t="str">
        <f>IF(OR(C2177="",NOT(ISNUMBER(SEARCH("Package",D2177)))),"",VLOOKUP(C2177,'Clients List'!$A:$F,4,FALSE)-SUMIFS($E$2:$E2177,$C$2:$C2177,C2177,$D$2:$D2177,"*Package*"))</f>
        <v/>
      </c>
      <c r="G2177" t="str">
        <f t="shared" si="67"/>
        <v/>
      </c>
      <c r="H2177" s="33">
        <f>IF(ISNUMBER(SEARCH("Group",D2177)),IF(G2177="",E2177,IFERROR(E2177/COUNTIF($G2:$G6000,G2177),E2177)),E2177)</f>
        <v>0</v>
      </c>
      <c r="I2177" s="1" t="str">
        <f>IFERROR(VLOOKUP(C2177,'Clients List'!A:F,6,FALSE),"")</f>
        <v/>
      </c>
    </row>
    <row r="2178" spans="4:9" x14ac:dyDescent="0.45">
      <c r="D2178" t="str">
        <f>IFERROR(VLOOKUP(C2178,'Clients List'!$A:$F,2,FALSE),"")</f>
        <v/>
      </c>
      <c r="F2178" s="1" t="str">
        <f>IF(OR(C2178="",NOT(ISNUMBER(SEARCH("Package",D2178)))),"",VLOOKUP(C2178,'Clients List'!$A:$F,4,FALSE)-SUMIFS($E$2:$E2178,$C$2:$C2178,C2178,$D$2:$D2178,"*Package*"))</f>
        <v/>
      </c>
      <c r="G2178" t="str">
        <f t="shared" si="67"/>
        <v/>
      </c>
      <c r="H2178" s="33">
        <f>IF(ISNUMBER(SEARCH("Group",D2178)),IF(G2178="",E2178,IFERROR(E2178/COUNTIF($G2:$G6000,G2178),E2178)),E2178)</f>
        <v>0</v>
      </c>
      <c r="I2178" s="1" t="str">
        <f>IFERROR(VLOOKUP(C2178,'Clients List'!A:F,6,FALSE),"")</f>
        <v/>
      </c>
    </row>
    <row r="2179" spans="4:9" x14ac:dyDescent="0.45">
      <c r="D2179" t="str">
        <f>IFERROR(VLOOKUP(C2179,'Clients List'!$A:$F,2,FALSE),"")</f>
        <v/>
      </c>
      <c r="F2179" s="1" t="str">
        <f>IF(OR(C2179="",NOT(ISNUMBER(SEARCH("Package",D2179)))),"",VLOOKUP(C2179,'Clients List'!$A:$F,4,FALSE)-SUMIFS($E$2:$E2179,$C$2:$C2179,C2179,$D$2:$D2179,"*Package*"))</f>
        <v/>
      </c>
      <c r="G2179" t="str">
        <f t="shared" si="67"/>
        <v/>
      </c>
      <c r="H2179" s="33">
        <f>IF(ISNUMBER(SEARCH("Group",D2179)),IF(G2179="",E2179,IFERROR(E2179/COUNTIF($G2:$G6000,G2179),E2179)),E2179)</f>
        <v>0</v>
      </c>
      <c r="I2179" s="1" t="str">
        <f>IFERROR(VLOOKUP(C2179,'Clients List'!A:F,6,FALSE),"")</f>
        <v/>
      </c>
    </row>
    <row r="2180" spans="4:9" x14ac:dyDescent="0.45">
      <c r="D2180" t="str">
        <f>IFERROR(VLOOKUP(C2180,'Clients List'!$A:$F,2,FALSE),"")</f>
        <v/>
      </c>
      <c r="F2180" s="1" t="str">
        <f>IF(OR(C2180="",NOT(ISNUMBER(SEARCH("Package",D2180)))),"",VLOOKUP(C2180,'Clients List'!$A:$F,4,FALSE)-SUMIFS($E$2:$E2180,$C$2:$C2180,C2180,$D$2:$D2180,"*Package*"))</f>
        <v/>
      </c>
      <c r="G2180" t="str">
        <f t="shared" si="67"/>
        <v/>
      </c>
      <c r="H2180" s="33">
        <f>IF(ISNUMBER(SEARCH("Group",D2180)),IF(G2180="",E2180,IFERROR(E2180/COUNTIF($G2:$G6000,G2180),E2180)),E2180)</f>
        <v>0</v>
      </c>
      <c r="I2180" s="1" t="str">
        <f>IFERROR(VLOOKUP(C2180,'Clients List'!A:F,6,FALSE),"")</f>
        <v/>
      </c>
    </row>
    <row r="2181" spans="4:9" x14ac:dyDescent="0.45">
      <c r="D2181" t="str">
        <f>IFERROR(VLOOKUP(C2181,'Clients List'!$A:$F,2,FALSE),"")</f>
        <v/>
      </c>
      <c r="F2181" s="1" t="str">
        <f>IF(OR(C2181="",NOT(ISNUMBER(SEARCH("Package",D2181)))),"",VLOOKUP(C2181,'Clients List'!$A:$F,4,FALSE)-SUMIFS($E$2:$E2181,$C$2:$C2181,C2181,$D$2:$D2181,"*Package*"))</f>
        <v/>
      </c>
      <c r="G2181" t="str">
        <f t="shared" si="67"/>
        <v/>
      </c>
      <c r="H2181" s="33">
        <f>IF(ISNUMBER(SEARCH("Group",D2181)),IF(G2181="",E2181,IFERROR(E2181/COUNTIF($G2:$G6000,G2181),E2181)),E2181)</f>
        <v>0</v>
      </c>
      <c r="I2181" s="1" t="str">
        <f>IFERROR(VLOOKUP(C2181,'Clients List'!A:F,6,FALSE),"")</f>
        <v/>
      </c>
    </row>
    <row r="2182" spans="4:9" x14ac:dyDescent="0.45">
      <c r="D2182" t="str">
        <f>IFERROR(VLOOKUP(C2182,'Clients List'!$A:$F,2,FALSE),"")</f>
        <v/>
      </c>
      <c r="F2182" s="1" t="str">
        <f>IF(OR(C2182="",NOT(ISNUMBER(SEARCH("Package",D2182)))),"",VLOOKUP(C2182,'Clients List'!$A:$F,4,FALSE)-SUMIFS($E$2:$E2182,$C$2:$C2182,C2182,$D$2:$D2182,"*Package*"))</f>
        <v/>
      </c>
      <c r="G2182" t="str">
        <f t="shared" si="67"/>
        <v/>
      </c>
      <c r="H2182" s="33">
        <f>IF(ISNUMBER(SEARCH("Group",D2182)),IF(G2182="",E2182,IFERROR(E2182/COUNTIF($G2:$G6000,G2182),E2182)),E2182)</f>
        <v>0</v>
      </c>
      <c r="I2182" s="1" t="str">
        <f>IFERROR(VLOOKUP(C2182,'Clients List'!A:F,6,FALSE),"")</f>
        <v/>
      </c>
    </row>
    <row r="2183" spans="4:9" x14ac:dyDescent="0.45">
      <c r="D2183" t="str">
        <f>IFERROR(VLOOKUP(C2183,'Clients List'!$A:$F,2,FALSE),"")</f>
        <v/>
      </c>
      <c r="F2183" s="1" t="str">
        <f>IF(OR(C2183="",NOT(ISNUMBER(SEARCH("Package",D2183)))),"",VLOOKUP(C2183,'Clients List'!$A:$F,4,FALSE)-SUMIFS($E$2:$E2183,$C$2:$C2183,C2183,$D$2:$D2183,"*Package*"))</f>
        <v/>
      </c>
      <c r="G2183" t="str">
        <f t="shared" si="67"/>
        <v/>
      </c>
      <c r="H2183" s="33">
        <f>IF(ISNUMBER(SEARCH("Group",D2183)),IF(G2183="",E2183,IFERROR(E2183/COUNTIF($G2:$G6000,G2183),E2183)),E2183)</f>
        <v>0</v>
      </c>
      <c r="I2183" s="1" t="str">
        <f>IFERROR(VLOOKUP(C2183,'Clients List'!A:F,6,FALSE),"")</f>
        <v/>
      </c>
    </row>
    <row r="2184" spans="4:9" x14ac:dyDescent="0.45">
      <c r="D2184" t="str">
        <f>IFERROR(VLOOKUP(C2184,'Clients List'!$A:$F,2,FALSE),"")</f>
        <v/>
      </c>
      <c r="F2184" s="1" t="str">
        <f>IF(OR(C2184="",NOT(ISNUMBER(SEARCH("Package",D2184)))),"",VLOOKUP(C2184,'Clients List'!$A:$F,4,FALSE)-SUMIFS($E$2:$E2184,$C$2:$C2184,C2184,$D$2:$D2184,"*Package*"))</f>
        <v/>
      </c>
      <c r="G2184" t="str">
        <f t="shared" si="67"/>
        <v/>
      </c>
      <c r="H2184" s="33">
        <f>IF(ISNUMBER(SEARCH("Group",D2184)),IF(G2184="",E2184,IFERROR(E2184/COUNTIF($G2:$G6000,G2184),E2184)),E2184)</f>
        <v>0</v>
      </c>
      <c r="I2184" s="1" t="str">
        <f>IFERROR(VLOOKUP(C2184,'Clients List'!A:F,6,FALSE),"")</f>
        <v/>
      </c>
    </row>
    <row r="2185" spans="4:9" x14ac:dyDescent="0.45">
      <c r="D2185" t="str">
        <f>IFERROR(VLOOKUP(C2185,'Clients List'!$A:$F,2,FALSE),"")</f>
        <v/>
      </c>
      <c r="F2185" s="1" t="str">
        <f>IF(OR(C2185="",NOT(ISNUMBER(SEARCH("Package",D2185)))),"",VLOOKUP(C2185,'Clients List'!$A:$F,4,FALSE)-SUMIFS($E$2:$E2185,$C$2:$C2185,C2185,$D$2:$D2185,"*Package*"))</f>
        <v/>
      </c>
      <c r="G2185" t="str">
        <f t="shared" si="67"/>
        <v/>
      </c>
      <c r="H2185" s="33">
        <f>IF(ISNUMBER(SEARCH("Group",D2185)),IF(G2185="",E2185,IFERROR(E2185/COUNTIF($G2:$G6000,G2185),E2185)),E2185)</f>
        <v>0</v>
      </c>
      <c r="I2185" s="1" t="str">
        <f>IFERROR(VLOOKUP(C2185,'Clients List'!A:F,6,FALSE),"")</f>
        <v/>
      </c>
    </row>
    <row r="2186" spans="4:9" x14ac:dyDescent="0.45">
      <c r="D2186" t="str">
        <f>IFERROR(VLOOKUP(C2186,'Clients List'!$A:$F,2,FALSE),"")</f>
        <v/>
      </c>
      <c r="F2186" s="1" t="str">
        <f>IF(OR(C2186="",NOT(ISNUMBER(SEARCH("Package",D2186)))),"",VLOOKUP(C2186,'Clients List'!$A:$F,4,FALSE)-SUMIFS($E$2:$E2186,$C$2:$C2186,C2186,$D$2:$D2186,"*Package*"))</f>
        <v/>
      </c>
      <c r="G2186" t="str">
        <f t="shared" si="67"/>
        <v/>
      </c>
      <c r="H2186" s="33">
        <f>IF(ISNUMBER(SEARCH("Group",D2186)),IF(G2186="",E2186,IFERROR(E2186/COUNTIF($G2:$G6000,G2186),E2186)),E2186)</f>
        <v>0</v>
      </c>
      <c r="I2186" s="1" t="str">
        <f>IFERROR(VLOOKUP(C2186,'Clients List'!A:F,6,FALSE),"")</f>
        <v/>
      </c>
    </row>
    <row r="2187" spans="4:9" x14ac:dyDescent="0.45">
      <c r="D2187" t="str">
        <f>IFERROR(VLOOKUP(C2187,'Clients List'!$A:$F,2,FALSE),"")</f>
        <v/>
      </c>
      <c r="F2187" s="1" t="str">
        <f>IF(OR(C2187="",NOT(ISNUMBER(SEARCH("Package",D2187)))),"",VLOOKUP(C2187,'Clients List'!$A:$F,4,FALSE)-SUMIFS($E$2:$E2187,$C$2:$C2187,C2187,$D$2:$D2187,"*Package*"))</f>
        <v/>
      </c>
      <c r="G2187" t="str">
        <f t="shared" si="67"/>
        <v/>
      </c>
      <c r="H2187" s="33">
        <f>IF(ISNUMBER(SEARCH("Group",D2187)),IF(G2187="",E2187,IFERROR(E2187/COUNTIF($G2:$G6000,G2187),E2187)),E2187)</f>
        <v>0</v>
      </c>
      <c r="I2187" s="1" t="str">
        <f>IFERROR(VLOOKUP(C2187,'Clients List'!A:F,6,FALSE),"")</f>
        <v/>
      </c>
    </row>
    <row r="2188" spans="4:9" x14ac:dyDescent="0.45">
      <c r="D2188" t="str">
        <f>IFERROR(VLOOKUP(C2188,'Clients List'!$A:$F,2,FALSE),"")</f>
        <v/>
      </c>
      <c r="F2188" s="1" t="str">
        <f>IF(OR(C2188="",NOT(ISNUMBER(SEARCH("Package",D2188)))),"",VLOOKUP(C2188,'Clients List'!$A:$F,4,FALSE)-SUMIFS($E$2:$E2188,$C$2:$C2188,C2188,$D$2:$D2188,"*Package*"))</f>
        <v/>
      </c>
      <c r="G2188" t="str">
        <f t="shared" si="67"/>
        <v/>
      </c>
      <c r="H2188" s="33">
        <f>IF(ISNUMBER(SEARCH("Group",D2188)),IF(G2188="",E2188,IFERROR(E2188/COUNTIF($G2:$G6000,G2188),E2188)),E2188)</f>
        <v>0</v>
      </c>
      <c r="I2188" s="1" t="str">
        <f>IFERROR(VLOOKUP(C2188,'Clients List'!A:F,6,FALSE),"")</f>
        <v/>
      </c>
    </row>
    <row r="2189" spans="4:9" x14ac:dyDescent="0.45">
      <c r="D2189" t="str">
        <f>IFERROR(VLOOKUP(C2189,'Clients List'!$A:$F,2,FALSE),"")</f>
        <v/>
      </c>
      <c r="F2189" s="1" t="str">
        <f>IF(OR(C2189="",NOT(ISNUMBER(SEARCH("Package",D2189)))),"",VLOOKUP(C2189,'Clients List'!$A:$F,4,FALSE)-SUMIFS($E$2:$E2189,$C$2:$C2189,C2189,$D$2:$D2189,"*Package*"))</f>
        <v/>
      </c>
      <c r="G2189" t="str">
        <f t="shared" si="67"/>
        <v/>
      </c>
      <c r="H2189" s="33">
        <f>IF(ISNUMBER(SEARCH("Group",D2189)),IF(G2189="",E2189,IFERROR(E2189/COUNTIF($G2:$G6000,G2189),E2189)),E2189)</f>
        <v>0</v>
      </c>
      <c r="I2189" s="1" t="str">
        <f>IFERROR(VLOOKUP(C2189,'Clients List'!A:F,6,FALSE),"")</f>
        <v/>
      </c>
    </row>
    <row r="2190" spans="4:9" x14ac:dyDescent="0.45">
      <c r="D2190" t="str">
        <f>IFERROR(VLOOKUP(C2190,'Clients List'!$A:$F,2,FALSE),"")</f>
        <v/>
      </c>
      <c r="F2190" s="1" t="str">
        <f>IF(OR(C2190="",NOT(ISNUMBER(SEARCH("Package",D2190)))),"",VLOOKUP(C2190,'Clients List'!$A:$F,4,FALSE)-SUMIFS($E$2:$E2190,$C$2:$C2190,C2190,$D$2:$D2190,"*Package*"))</f>
        <v/>
      </c>
      <c r="G2190" t="str">
        <f t="shared" si="67"/>
        <v/>
      </c>
      <c r="H2190" s="33">
        <f>IF(ISNUMBER(SEARCH("Group",D2190)),IF(G2190="",E2190,IFERROR(E2190/COUNTIF($G2:$G6000,G2190),E2190)),E2190)</f>
        <v>0</v>
      </c>
      <c r="I2190" s="1" t="str">
        <f>IFERROR(VLOOKUP(C2190,'Clients List'!A:F,6,FALSE),"")</f>
        <v/>
      </c>
    </row>
    <row r="2191" spans="4:9" x14ac:dyDescent="0.45">
      <c r="D2191" t="str">
        <f>IFERROR(VLOOKUP(C2191,'Clients List'!$A:$F,2,FALSE),"")</f>
        <v/>
      </c>
      <c r="F2191" s="1" t="str">
        <f>IF(OR(C2191="",NOT(ISNUMBER(SEARCH("Package",D2191)))),"",VLOOKUP(C2191,'Clients List'!$A:$F,4,FALSE)-SUMIFS($E$2:$E2191,$C$2:$C2191,C2191,$D$2:$D2191,"*Package*"))</f>
        <v/>
      </c>
      <c r="G2191" t="str">
        <f t="shared" si="67"/>
        <v/>
      </c>
      <c r="H2191" s="33">
        <f>IF(ISNUMBER(SEARCH("Group",D2191)),IF(G2191="",E2191,IFERROR(E2191/COUNTIF($G2:$G6000,G2191),E2191)),E2191)</f>
        <v>0</v>
      </c>
      <c r="I2191" s="1" t="str">
        <f>IFERROR(VLOOKUP(C2191,'Clients List'!A:F,6,FALSE),"")</f>
        <v/>
      </c>
    </row>
    <row r="2192" spans="4:9" x14ac:dyDescent="0.45">
      <c r="D2192" t="str">
        <f>IFERROR(VLOOKUP(C2192,'Clients List'!$A:$F,2,FALSE),"")</f>
        <v/>
      </c>
      <c r="F2192" s="1" t="str">
        <f>IF(OR(C2192="",NOT(ISNUMBER(SEARCH("Package",D2192)))),"",VLOOKUP(C2192,'Clients List'!$A:$F,4,FALSE)-SUMIFS($E$2:$E2192,$C$2:$C2192,C2192,$D$2:$D2192,"*Package*"))</f>
        <v/>
      </c>
      <c r="G2192" t="str">
        <f t="shared" si="67"/>
        <v/>
      </c>
      <c r="H2192" s="33">
        <f>IF(ISNUMBER(SEARCH("Group",D2192)),IF(G2192="",E2192,IFERROR(E2192/COUNTIF($G2:$G6000,G2192),E2192)),E2192)</f>
        <v>0</v>
      </c>
      <c r="I2192" s="1" t="str">
        <f>IFERROR(VLOOKUP(C2192,'Clients List'!A:F,6,FALSE),"")</f>
        <v/>
      </c>
    </row>
    <row r="2193" spans="4:9" x14ac:dyDescent="0.45">
      <c r="D2193" t="str">
        <f>IFERROR(VLOOKUP(C2193,'Clients List'!$A:$F,2,FALSE),"")</f>
        <v/>
      </c>
      <c r="F2193" s="1" t="str">
        <f>IF(OR(C2193="",NOT(ISNUMBER(SEARCH("Package",D2193)))),"",VLOOKUP(C2193,'Clients List'!$A:$F,4,FALSE)-SUMIFS($E$2:$E2193,$C$2:$C2193,C2193,$D$2:$D2193,"*Package*"))</f>
        <v/>
      </c>
      <c r="G2193" t="str">
        <f t="shared" si="67"/>
        <v/>
      </c>
      <c r="H2193" s="33">
        <f>IF(ISNUMBER(SEARCH("Group",D2193)),IF(G2193="",E2193,IFERROR(E2193/COUNTIF($G2:$G6000,G2193),E2193)),E2193)</f>
        <v>0</v>
      </c>
      <c r="I2193" s="1" t="str">
        <f>IFERROR(VLOOKUP(C2193,'Clients List'!A:F,6,FALSE),"")</f>
        <v/>
      </c>
    </row>
    <row r="2194" spans="4:9" x14ac:dyDescent="0.45">
      <c r="D2194" t="str">
        <f>IFERROR(VLOOKUP(C2194,'Clients List'!$A:$F,2,FALSE),"")</f>
        <v/>
      </c>
      <c r="F2194" s="1" t="str">
        <f>IF(OR(C2194="",NOT(ISNUMBER(SEARCH("Package",D2194)))),"",VLOOKUP(C2194,'Clients List'!$A:$F,4,FALSE)-SUMIFS($E$2:$E2194,$C$2:$C2194,C2194,$D$2:$D2194,"*Package*"))</f>
        <v/>
      </c>
      <c r="G2194" t="str">
        <f t="shared" si="67"/>
        <v/>
      </c>
      <c r="H2194" s="33">
        <f>IF(ISNUMBER(SEARCH("Group",D2194)),IF(G2194="",E2194,IFERROR(E2194/COUNTIF($G2:$G6000,G2194),E2194)),E2194)</f>
        <v>0</v>
      </c>
      <c r="I2194" s="1" t="str">
        <f>IFERROR(VLOOKUP(C2194,'Clients List'!A:F,6,FALSE),"")</f>
        <v/>
      </c>
    </row>
    <row r="2195" spans="4:9" x14ac:dyDescent="0.45">
      <c r="D2195" t="str">
        <f>IFERROR(VLOOKUP(C2195,'Clients List'!$A:$F,2,FALSE),"")</f>
        <v/>
      </c>
      <c r="F2195" s="1" t="str">
        <f>IF(OR(C2195="",NOT(ISNUMBER(SEARCH("Package",D2195)))),"",VLOOKUP(C2195,'Clients List'!$A:$F,4,FALSE)-SUMIFS($E$2:$E2195,$C$2:$C2195,C2195,$D$2:$D2195,"*Package*"))</f>
        <v/>
      </c>
      <c r="G2195" t="str">
        <f t="shared" si="67"/>
        <v/>
      </c>
      <c r="H2195" s="33">
        <f>IF(ISNUMBER(SEARCH("Group",D2195)),IF(G2195="",E2195,IFERROR(E2195/COUNTIF($G2:$G6000,G2195),E2195)),E2195)</f>
        <v>0</v>
      </c>
      <c r="I2195" s="1" t="str">
        <f>IFERROR(VLOOKUP(C2195,'Clients List'!A:F,6,FALSE),"")</f>
        <v/>
      </c>
    </row>
    <row r="2196" spans="4:9" x14ac:dyDescent="0.45">
      <c r="D2196" t="str">
        <f>IFERROR(VLOOKUP(C2196,'Clients List'!$A:$F,2,FALSE),"")</f>
        <v/>
      </c>
      <c r="F2196" s="1" t="str">
        <f>IF(OR(C2196="",NOT(ISNUMBER(SEARCH("Package",D2196)))),"",VLOOKUP(C2196,'Clients List'!$A:$F,4,FALSE)-SUMIFS($E$2:$E2196,$C$2:$C2196,C2196,$D$2:$D2196,"*Package*"))</f>
        <v/>
      </c>
      <c r="G2196" t="str">
        <f t="shared" si="67"/>
        <v/>
      </c>
      <c r="H2196" s="33">
        <f>IF(ISNUMBER(SEARCH("Group",D2196)),IF(G2196="",E2196,IFERROR(E2196/COUNTIF($G2:$G6000,G2196),E2196)),E2196)</f>
        <v>0</v>
      </c>
      <c r="I2196" s="1" t="str">
        <f>IFERROR(VLOOKUP(C2196,'Clients List'!A:F,6,FALSE),"")</f>
        <v/>
      </c>
    </row>
    <row r="2197" spans="4:9" x14ac:dyDescent="0.45">
      <c r="D2197" t="str">
        <f>IFERROR(VLOOKUP(C2197,'Clients List'!$A:$F,2,FALSE),"")</f>
        <v/>
      </c>
      <c r="F2197" s="1" t="str">
        <f>IF(OR(C2197="",NOT(ISNUMBER(SEARCH("Package",D2197)))),"",VLOOKUP(C2197,'Clients List'!$A:$F,4,FALSE)-SUMIFS($E$2:$E2197,$C$2:$C2197,C2197,$D$2:$D2197,"*Package*"))</f>
        <v/>
      </c>
      <c r="G2197" t="str">
        <f t="shared" si="67"/>
        <v/>
      </c>
      <c r="H2197" s="33">
        <f>IF(ISNUMBER(SEARCH("Group",D2197)),IF(G2197="",E2197,IFERROR(E2197/COUNTIF($G2:$G6000,G2197),E2197)),E2197)</f>
        <v>0</v>
      </c>
      <c r="I2197" s="1" t="str">
        <f>IFERROR(VLOOKUP(C2197,'Clients List'!A:F,6,FALSE),"")</f>
        <v/>
      </c>
    </row>
    <row r="2198" spans="4:9" x14ac:dyDescent="0.45">
      <c r="D2198" t="str">
        <f>IFERROR(VLOOKUP(C2198,'Clients List'!$A:$F,2,FALSE),"")</f>
        <v/>
      </c>
      <c r="F2198" s="1" t="str">
        <f>IF(OR(C2198="",NOT(ISNUMBER(SEARCH("Package",D2198)))),"",VLOOKUP(C2198,'Clients List'!$A:$F,4,FALSE)-SUMIFS($E$2:$E2198,$C$2:$C2198,C2198,$D$2:$D2198,"*Package*"))</f>
        <v/>
      </c>
      <c r="G2198" t="str">
        <f t="shared" si="67"/>
        <v/>
      </c>
      <c r="H2198" s="33">
        <f>IF(ISNUMBER(SEARCH("Group",D2198)),IF(G2198="",E2198,IFERROR(E2198/COUNTIF($G2:$G6000,G2198),E2198)),E2198)</f>
        <v>0</v>
      </c>
      <c r="I2198" s="1" t="str">
        <f>IFERROR(VLOOKUP(C2198,'Clients List'!A:F,6,FALSE),"")</f>
        <v/>
      </c>
    </row>
    <row r="2199" spans="4:9" x14ac:dyDescent="0.45">
      <c r="D2199" t="str">
        <f>IFERROR(VLOOKUP(C2199,'Clients List'!$A:$F,2,FALSE),"")</f>
        <v/>
      </c>
      <c r="F2199" s="1" t="str">
        <f>IF(OR(C2199="",NOT(ISNUMBER(SEARCH("Package",D2199)))),"",VLOOKUP(C2199,'Clients List'!$A:$F,4,FALSE)-SUMIFS($E$2:$E2199,$C$2:$C2199,C2199,$D$2:$D2199,"*Package*"))</f>
        <v/>
      </c>
      <c r="G2199" t="str">
        <f t="shared" si="67"/>
        <v/>
      </c>
      <c r="H2199" s="33">
        <f>IF(ISNUMBER(SEARCH("Group",D2199)),IF(G2199="",E2199,IFERROR(E2199/COUNTIF($G2:$G6000,G2199),E2199)),E2199)</f>
        <v>0</v>
      </c>
      <c r="I2199" s="1" t="str">
        <f>IFERROR(VLOOKUP(C2199,'Clients List'!A:F,6,FALSE),"")</f>
        <v/>
      </c>
    </row>
    <row r="2200" spans="4:9" x14ac:dyDescent="0.45">
      <c r="D2200" t="str">
        <f>IFERROR(VLOOKUP(C2200,'Clients List'!$A:$F,2,FALSE),"")</f>
        <v/>
      </c>
      <c r="F2200" s="1" t="str">
        <f>IF(OR(C2200="",NOT(ISNUMBER(SEARCH("Package",D2200)))),"",VLOOKUP(C2200,'Clients List'!$A:$F,4,FALSE)-SUMIFS($E$2:$E2200,$C$2:$C2200,C2200,$D$2:$D2200,"*Package*"))</f>
        <v/>
      </c>
      <c r="G2200" t="str">
        <f t="shared" si="67"/>
        <v/>
      </c>
      <c r="H2200" s="33">
        <f>IF(ISNUMBER(SEARCH("Group",D2200)),IF(G2200="",E2200,IFERROR(E2200/COUNTIF($G2:$G6000,G2200),E2200)),E2200)</f>
        <v>0</v>
      </c>
      <c r="I2200" s="1" t="str">
        <f>IFERROR(VLOOKUP(C2200,'Clients List'!A:F,6,FALSE),"")</f>
        <v/>
      </c>
    </row>
    <row r="2201" spans="4:9" x14ac:dyDescent="0.45">
      <c r="D2201" t="str">
        <f>IFERROR(VLOOKUP(C2201,'Clients List'!$A:$F,2,FALSE),"")</f>
        <v/>
      </c>
      <c r="F2201" s="1" t="str">
        <f>IF(OR(C2201="",NOT(ISNUMBER(SEARCH("Package",D2201)))),"",VLOOKUP(C2201,'Clients List'!$A:$F,4,FALSE)-SUMIFS($E$2:$E2201,$C$2:$C2201,C2201,$D$2:$D2201,"*Package*"))</f>
        <v/>
      </c>
      <c r="G2201" t="str">
        <f t="shared" si="67"/>
        <v/>
      </c>
      <c r="H2201" s="33">
        <f>IF(ISNUMBER(SEARCH("Group",D2201)),IF(G2201="",E2201,IFERROR(E2201/COUNTIF($G2:$G6000,G2201),E2201)),E2201)</f>
        <v>0</v>
      </c>
      <c r="I2201" s="1" t="str">
        <f>IFERROR(VLOOKUP(C2201,'Clients List'!A:F,6,FALSE),"")</f>
        <v/>
      </c>
    </row>
    <row r="2202" spans="4:9" x14ac:dyDescent="0.45">
      <c r="D2202" t="str">
        <f>IFERROR(VLOOKUP(C2202,'Clients List'!$A:$F,2,FALSE),"")</f>
        <v/>
      </c>
      <c r="F2202" s="1" t="str">
        <f>IF(OR(C2202="",NOT(ISNUMBER(SEARCH("Package",D2202)))),"",VLOOKUP(C2202,'Clients List'!$A:$F,4,FALSE)-SUMIFS($E$2:$E2202,$C$2:$C2202,C2202,$D$2:$D2202,"*Package*"))</f>
        <v/>
      </c>
      <c r="G2202" t="str">
        <f t="shared" si="67"/>
        <v/>
      </c>
      <c r="H2202" s="33">
        <f>IF(ISNUMBER(SEARCH("Group",D2202)),IF(G2202="",E2202,IFERROR(E2202/COUNTIF($G2:$G6000,G2202),E2202)),E2202)</f>
        <v>0</v>
      </c>
      <c r="I2202" s="1" t="str">
        <f>IFERROR(VLOOKUP(C2202,'Clients List'!A:F,6,FALSE),"")</f>
        <v/>
      </c>
    </row>
    <row r="2203" spans="4:9" x14ac:dyDescent="0.45">
      <c r="D2203" t="str">
        <f>IFERROR(VLOOKUP(C2203,'Clients List'!$A:$F,2,FALSE),"")</f>
        <v/>
      </c>
      <c r="F2203" s="1" t="str">
        <f>IF(OR(C2203="",NOT(ISNUMBER(SEARCH("Package",D2203)))),"",VLOOKUP(C2203,'Clients List'!$A:$F,4,FALSE)-SUMIFS($E$2:$E2203,$C$2:$C2203,C2203,$D$2:$D2203,"*Package*"))</f>
        <v/>
      </c>
      <c r="G2203" t="str">
        <f t="shared" si="67"/>
        <v/>
      </c>
      <c r="H2203" s="33">
        <f>IF(ISNUMBER(SEARCH("Group",D2203)),IF(G2203="",E2203,IFERROR(E2203/COUNTIF($G2:$G6000,G2203),E2203)),E2203)</f>
        <v>0</v>
      </c>
      <c r="I2203" s="1" t="str">
        <f>IFERROR(VLOOKUP(C2203,'Clients List'!A:F,6,FALSE),"")</f>
        <v/>
      </c>
    </row>
    <row r="2204" spans="4:9" x14ac:dyDescent="0.45">
      <c r="D2204" t="str">
        <f>IFERROR(VLOOKUP(C2204,'Clients List'!$A:$F,2,FALSE),"")</f>
        <v/>
      </c>
      <c r="F2204" s="1" t="str">
        <f>IF(OR(C2204="",NOT(ISNUMBER(SEARCH("Package",D2204)))),"",VLOOKUP(C2204,'Clients List'!$A:$F,4,FALSE)-SUMIFS($E$2:$E2204,$C$2:$C2204,C2204,$D$2:$D2204,"*Package*"))</f>
        <v/>
      </c>
      <c r="G2204" t="str">
        <f t="shared" si="67"/>
        <v/>
      </c>
      <c r="H2204" s="33">
        <f>IF(ISNUMBER(SEARCH("Group",D2204)),IF(G2204="",E2204,IFERROR(E2204/COUNTIF($G2:$G6000,G2204),E2204)),E2204)</f>
        <v>0</v>
      </c>
      <c r="I2204" s="1" t="str">
        <f>IFERROR(VLOOKUP(C2204,'Clients List'!A:F,6,FALSE),"")</f>
        <v/>
      </c>
    </row>
    <row r="2205" spans="4:9" x14ac:dyDescent="0.45">
      <c r="D2205" t="str">
        <f>IFERROR(VLOOKUP(C2205,'Clients List'!$A:$F,2,FALSE),"")</f>
        <v/>
      </c>
      <c r="F2205" s="1" t="str">
        <f>IF(OR(C2205="",NOT(ISNUMBER(SEARCH("Package",D2205)))),"",VLOOKUP(C2205,'Clients List'!$A:$F,4,FALSE)-SUMIFS($E$2:$E2205,$C$2:$C2205,C2205,$D$2:$D2205,"*Package*"))</f>
        <v/>
      </c>
      <c r="G2205" t="str">
        <f t="shared" si="67"/>
        <v/>
      </c>
      <c r="H2205" s="33">
        <f>IF(ISNUMBER(SEARCH("Group",D2205)),IF(G2205="",E2205,IFERROR(E2205/COUNTIF($G2:$G6000,G2205),E2205)),E2205)</f>
        <v>0</v>
      </c>
      <c r="I2205" s="1" t="str">
        <f>IFERROR(VLOOKUP(C2205,'Clients List'!A:F,6,FALSE),"")</f>
        <v/>
      </c>
    </row>
    <row r="2206" spans="4:9" x14ac:dyDescent="0.45">
      <c r="D2206" t="str">
        <f>IFERROR(VLOOKUP(C2206,'Clients List'!$A:$F,2,FALSE),"")</f>
        <v/>
      </c>
      <c r="F2206" s="1" t="str">
        <f>IF(OR(C2206="",NOT(ISNUMBER(SEARCH("Package",D2206)))),"",VLOOKUP(C2206,'Clients List'!$A:$F,4,FALSE)-SUMIFS($E$2:$E2206,$C$2:$C2206,C2206,$D$2:$D2206,"*Package*"))</f>
        <v/>
      </c>
      <c r="G2206" t="str">
        <f t="shared" si="67"/>
        <v/>
      </c>
      <c r="H2206" s="33">
        <f>IF(ISNUMBER(SEARCH("Group",D2206)),IF(G2206="",E2206,IFERROR(E2206/COUNTIF($G2:$G6000,G2206),E2206)),E2206)</f>
        <v>0</v>
      </c>
      <c r="I2206" s="1" t="str">
        <f>IFERROR(VLOOKUP(C2206,'Clients List'!A:F,6,FALSE),"")</f>
        <v/>
      </c>
    </row>
    <row r="2207" spans="4:9" x14ac:dyDescent="0.45">
      <c r="D2207" t="str">
        <f>IFERROR(VLOOKUP(C2207,'Clients List'!$A:$F,2,FALSE),"")</f>
        <v/>
      </c>
      <c r="F2207" s="1" t="str">
        <f>IF(OR(C2207="",NOT(ISNUMBER(SEARCH("Package",D2207)))),"",VLOOKUP(C2207,'Clients List'!$A:$F,4,FALSE)-SUMIFS($E$2:$E2207,$C$2:$C2207,C2207,$D$2:$D2207,"*Package*"))</f>
        <v/>
      </c>
      <c r="G2207" t="str">
        <f t="shared" si="67"/>
        <v/>
      </c>
      <c r="H2207" s="33">
        <f>IF(ISNUMBER(SEARCH("Group",D2207)),IF(G2207="",E2207,IFERROR(E2207/COUNTIF($G2:$G6000,G2207),E2207)),E2207)</f>
        <v>0</v>
      </c>
      <c r="I2207" s="1" t="str">
        <f>IFERROR(VLOOKUP(C2207,'Clients List'!A:F,6,FALSE),"")</f>
        <v/>
      </c>
    </row>
    <row r="2208" spans="4:9" x14ac:dyDescent="0.45">
      <c r="D2208" t="str">
        <f>IFERROR(VLOOKUP(C2208,'Clients List'!$A:$F,2,FALSE),"")</f>
        <v/>
      </c>
      <c r="F2208" s="1" t="str">
        <f>IF(OR(C2208="",NOT(ISNUMBER(SEARCH("Package",D2208)))),"",VLOOKUP(C2208,'Clients List'!$A:$F,4,FALSE)-SUMIFS($E$2:$E2208,$C$2:$C2208,C2208,$D$2:$D2208,"*Package*"))</f>
        <v/>
      </c>
      <c r="G2208" t="str">
        <f t="shared" si="67"/>
        <v/>
      </c>
      <c r="H2208" s="33">
        <f>IF(ISNUMBER(SEARCH("Group",D2208)),IF(G2208="",E2208,IFERROR(E2208/COUNTIF($G2:$G6000,G2208),E2208)),E2208)</f>
        <v>0</v>
      </c>
      <c r="I2208" s="1" t="str">
        <f>IFERROR(VLOOKUP(C2208,'Clients List'!A:F,6,FALSE),"")</f>
        <v/>
      </c>
    </row>
    <row r="2209" spans="4:9" x14ac:dyDescent="0.45">
      <c r="D2209" t="str">
        <f>IFERROR(VLOOKUP(C2209,'Clients List'!$A:$F,2,FALSE),"")</f>
        <v/>
      </c>
      <c r="F2209" s="1" t="str">
        <f>IF(OR(C2209="",NOT(ISNUMBER(SEARCH("Package",D2209)))),"",VLOOKUP(C2209,'Clients List'!$A:$F,4,FALSE)-SUMIFS($E$2:$E2209,$C$2:$C2209,C2209,$D$2:$D2209,"*Package*"))</f>
        <v/>
      </c>
      <c r="G2209" t="str">
        <f t="shared" si="67"/>
        <v/>
      </c>
      <c r="H2209" s="33">
        <f>IF(ISNUMBER(SEARCH("Group",D2209)),IF(G2209="",E2209,IFERROR(E2209/COUNTIF($G2:$G6000,G2209),E2209)),E2209)</f>
        <v>0</v>
      </c>
      <c r="I2209" s="1" t="str">
        <f>IFERROR(VLOOKUP(C2209,'Clients List'!A:F,6,FALSE),"")</f>
        <v/>
      </c>
    </row>
    <row r="2210" spans="4:9" x14ac:dyDescent="0.45">
      <c r="D2210" t="str">
        <f>IFERROR(VLOOKUP(C2210,'Clients List'!$A:$F,2,FALSE),"")</f>
        <v/>
      </c>
      <c r="F2210" s="1" t="str">
        <f>IF(OR(C2210="",NOT(ISNUMBER(SEARCH("Package",D2210)))),"",VLOOKUP(C2210,'Clients List'!$A:$F,4,FALSE)-SUMIFS($E$2:$E2210,$C$2:$C2210,C2210,$D$2:$D2210,"*Package*"))</f>
        <v/>
      </c>
      <c r="G2210" t="str">
        <f t="shared" si="67"/>
        <v/>
      </c>
      <c r="H2210" s="33">
        <f>IF(ISNUMBER(SEARCH("Group",D2210)),IF(G2210="",E2210,IFERROR(E2210/COUNTIF($G2:$G6000,G2210),E2210)),E2210)</f>
        <v>0</v>
      </c>
      <c r="I2210" s="1" t="str">
        <f>IFERROR(VLOOKUP(C2210,'Clients List'!A:F,6,FALSE),"")</f>
        <v/>
      </c>
    </row>
    <row r="2211" spans="4:9" x14ac:dyDescent="0.45">
      <c r="D2211" t="str">
        <f>IFERROR(VLOOKUP(C2211,'Clients List'!$A:$F,2,FALSE),"")</f>
        <v/>
      </c>
      <c r="F2211" s="1" t="str">
        <f>IF(OR(C2211="",NOT(ISNUMBER(SEARCH("Package",D2211)))),"",VLOOKUP(C2211,'Clients List'!$A:$F,4,FALSE)-SUMIFS($E$2:$E2211,$C$2:$C2211,C2211,$D$2:$D2211,"*Package*"))</f>
        <v/>
      </c>
      <c r="G2211" t="str">
        <f t="shared" si="67"/>
        <v/>
      </c>
      <c r="H2211" s="33">
        <f>IF(ISNUMBER(SEARCH("Group",D2211)),IF(G2211="",E2211,IFERROR(E2211/COUNTIF($G2:$G6000,G2211),E2211)),E2211)</f>
        <v>0</v>
      </c>
      <c r="I2211" s="1" t="str">
        <f>IFERROR(VLOOKUP(C2211,'Clients List'!A:F,6,FALSE),"")</f>
        <v/>
      </c>
    </row>
    <row r="2212" spans="4:9" x14ac:dyDescent="0.45">
      <c r="D2212" t="str">
        <f>IFERROR(VLOOKUP(C2212,'Clients List'!$A:$F,2,FALSE),"")</f>
        <v/>
      </c>
      <c r="F2212" s="1" t="str">
        <f>IF(OR(C2212="",NOT(ISNUMBER(SEARCH("Package",D2212)))),"",VLOOKUP(C2212,'Clients List'!$A:$F,4,FALSE)-SUMIFS($E$2:$E2212,$C$2:$C2212,C2212,$D$2:$D2212,"*Package*"))</f>
        <v/>
      </c>
      <c r="G2212" t="str">
        <f t="shared" si="67"/>
        <v/>
      </c>
      <c r="H2212" s="33">
        <f>IF(ISNUMBER(SEARCH("Group",D2212)),IF(G2212="",E2212,IFERROR(E2212/COUNTIF($G2:$G6000,G2212),E2212)),E2212)</f>
        <v>0</v>
      </c>
      <c r="I2212" s="1" t="str">
        <f>IFERROR(VLOOKUP(C2212,'Clients List'!A:F,6,FALSE),"")</f>
        <v/>
      </c>
    </row>
    <row r="2213" spans="4:9" x14ac:dyDescent="0.45">
      <c r="D2213" t="str">
        <f>IFERROR(VLOOKUP(C2213,'Clients List'!$A:$F,2,FALSE),"")</f>
        <v/>
      </c>
      <c r="F2213" s="1" t="str">
        <f>IF(OR(C2213="",NOT(ISNUMBER(SEARCH("Package",D2213)))),"",VLOOKUP(C2213,'Clients List'!$A:$F,4,FALSE)-SUMIFS($E$2:$E2213,$C$2:$C2213,C2213,$D$2:$D2213,"*Package*"))</f>
        <v/>
      </c>
      <c r="G2213" t="str">
        <f t="shared" si="67"/>
        <v/>
      </c>
      <c r="H2213" s="33">
        <f>IF(ISNUMBER(SEARCH("Group",D2213)),IF(G2213="",E2213,IFERROR(E2213/COUNTIF($G2:$G6000,G2213),E2213)),E2213)</f>
        <v>0</v>
      </c>
      <c r="I2213" s="1" t="str">
        <f>IFERROR(VLOOKUP(C2213,'Clients List'!A:F,6,FALSE),"")</f>
        <v/>
      </c>
    </row>
    <row r="2214" spans="4:9" x14ac:dyDescent="0.45">
      <c r="D2214" t="str">
        <f>IFERROR(VLOOKUP(C2214,'Clients List'!$A:$F,2,FALSE),"")</f>
        <v/>
      </c>
      <c r="F2214" s="1" t="str">
        <f>IF(OR(C2214="",NOT(ISNUMBER(SEARCH("Package",D2214)))),"",VLOOKUP(C2214,'Clients List'!$A:$F,4,FALSE)-SUMIFS($E$2:$E2214,$C$2:$C2214,C2214,$D$2:$D2214,"*Package*"))</f>
        <v/>
      </c>
      <c r="G2214" t="str">
        <f t="shared" si="67"/>
        <v/>
      </c>
      <c r="H2214" s="33">
        <f>IF(ISNUMBER(SEARCH("Group",D2214)),IF(G2214="",E2214,IFERROR(E2214/COUNTIF($G2:$G6000,G2214),E2214)),E2214)</f>
        <v>0</v>
      </c>
      <c r="I2214" s="1" t="str">
        <f>IFERROR(VLOOKUP(C2214,'Clients List'!A:F,6,FALSE),"")</f>
        <v/>
      </c>
    </row>
    <row r="2215" spans="4:9" x14ac:dyDescent="0.45">
      <c r="D2215" t="str">
        <f>IFERROR(VLOOKUP(C2215,'Clients List'!$A:$F,2,FALSE),"")</f>
        <v/>
      </c>
      <c r="F2215" s="1" t="str">
        <f>IF(OR(C2215="",NOT(ISNUMBER(SEARCH("Package",D2215)))),"",VLOOKUP(C2215,'Clients List'!$A:$F,4,FALSE)-SUMIFS($E$2:$E2215,$C$2:$C2215,C2215,$D$2:$D2215,"*Package*"))</f>
        <v/>
      </c>
      <c r="G2215" t="str">
        <f t="shared" si="67"/>
        <v/>
      </c>
      <c r="H2215" s="33">
        <f>IF(ISNUMBER(SEARCH("Group",D2215)),IF(G2215="",E2215,IFERROR(E2215/COUNTIF($G2:$G6000,G2215),E2215)),E2215)</f>
        <v>0</v>
      </c>
      <c r="I2215" s="1" t="str">
        <f>IFERROR(VLOOKUP(C2215,'Clients List'!A:F,6,FALSE),"")</f>
        <v/>
      </c>
    </row>
    <row r="2216" spans="4:9" x14ac:dyDescent="0.45">
      <c r="D2216" t="str">
        <f>IFERROR(VLOOKUP(C2216,'Clients List'!$A:$F,2,FALSE),"")</f>
        <v/>
      </c>
      <c r="F2216" s="1" t="str">
        <f>IF(OR(C2216="",NOT(ISNUMBER(SEARCH("Package",D2216)))),"",VLOOKUP(C2216,'Clients List'!$A:$F,4,FALSE)-SUMIFS($E$2:$E2216,$C$2:$C2216,C2216,$D$2:$D2216,"*Package*"))</f>
        <v/>
      </c>
      <c r="G2216" t="str">
        <f t="shared" si="67"/>
        <v/>
      </c>
      <c r="H2216" s="33">
        <f>IF(ISNUMBER(SEARCH("Group",D2216)),IF(G2216="",E2216,IFERROR(E2216/COUNTIF($G2:$G6000,G2216),E2216)),E2216)</f>
        <v>0</v>
      </c>
      <c r="I2216" s="1" t="str">
        <f>IFERROR(VLOOKUP(C2216,'Clients List'!A:F,6,FALSE),"")</f>
        <v/>
      </c>
    </row>
    <row r="2217" spans="4:9" x14ac:dyDescent="0.45">
      <c r="D2217" t="str">
        <f>IFERROR(VLOOKUP(C2217,'Clients List'!$A:$F,2,FALSE),"")</f>
        <v/>
      </c>
      <c r="F2217" s="1" t="str">
        <f>IF(OR(C2217="",NOT(ISNUMBER(SEARCH("Package",D2217)))),"",VLOOKUP(C2217,'Clients List'!$A:$F,4,FALSE)-SUMIFS($E$2:$E2217,$C$2:$C2217,C2217,$D$2:$D2217,"*Package*"))</f>
        <v/>
      </c>
      <c r="G2217" t="str">
        <f t="shared" si="67"/>
        <v/>
      </c>
      <c r="H2217" s="33">
        <f>IF(ISNUMBER(SEARCH("Group",D2217)),IF(G2217="",E2217,IFERROR(E2217/COUNTIF($G2:$G6000,G2217),E2217)),E2217)</f>
        <v>0</v>
      </c>
      <c r="I2217" s="1" t="str">
        <f>IFERROR(VLOOKUP(C2217,'Clients List'!A:F,6,FALSE),"")</f>
        <v/>
      </c>
    </row>
    <row r="2218" spans="4:9" x14ac:dyDescent="0.45">
      <c r="D2218" t="str">
        <f>IFERROR(VLOOKUP(C2218,'Clients List'!$A:$F,2,FALSE),"")</f>
        <v/>
      </c>
      <c r="F2218" s="1" t="str">
        <f>IF(OR(C2218="",NOT(ISNUMBER(SEARCH("Package",D2218)))),"",VLOOKUP(C2218,'Clients List'!$A:$F,4,FALSE)-SUMIFS($E$2:$E2218,$C$2:$C2218,C2218,$D$2:$D2218,"*Package*"))</f>
        <v/>
      </c>
      <c r="G2218" t="str">
        <f t="shared" si="67"/>
        <v/>
      </c>
      <c r="H2218" s="33">
        <f>IF(ISNUMBER(SEARCH("Group",D2218)),IF(G2218="",E2218,IFERROR(E2218/COUNTIF($G2:$G6000,G2218),E2218)),E2218)</f>
        <v>0</v>
      </c>
      <c r="I2218" s="1" t="str">
        <f>IFERROR(VLOOKUP(C2218,'Clients List'!A:F,6,FALSE),"")</f>
        <v/>
      </c>
    </row>
    <row r="2219" spans="4:9" x14ac:dyDescent="0.45">
      <c r="D2219" t="str">
        <f>IFERROR(VLOOKUP(C2219,'Clients List'!$A:$F,2,FALSE),"")</f>
        <v/>
      </c>
      <c r="F2219" s="1" t="str">
        <f>IF(OR(C2219="",NOT(ISNUMBER(SEARCH("Package",D2219)))),"",VLOOKUP(C2219,'Clients List'!$A:$F,4,FALSE)-SUMIFS($E$2:$E2219,$C$2:$C2219,C2219,$D$2:$D2219,"*Package*"))</f>
        <v/>
      </c>
      <c r="G2219" t="str">
        <f t="shared" si="67"/>
        <v/>
      </c>
      <c r="H2219" s="33">
        <f>IF(ISNUMBER(SEARCH("Group",D2219)),IF(G2219="",E2219,IFERROR(E2219/COUNTIF($G2:$G6000,G2219),E2219)),E2219)</f>
        <v>0</v>
      </c>
      <c r="I2219" s="1" t="str">
        <f>IFERROR(VLOOKUP(C2219,'Clients List'!A:F,6,FALSE),"")</f>
        <v/>
      </c>
    </row>
    <row r="2220" spans="4:9" x14ac:dyDescent="0.45">
      <c r="D2220" t="str">
        <f>IFERROR(VLOOKUP(C2220,'Clients List'!$A:$F,2,FALSE),"")</f>
        <v/>
      </c>
      <c r="F2220" s="1" t="str">
        <f>IF(OR(C2220="",NOT(ISNUMBER(SEARCH("Package",D2220)))),"",VLOOKUP(C2220,'Clients List'!$A:$F,4,FALSE)-SUMIFS($E$2:$E2220,$C$2:$C2220,C2220,$D$2:$D2220,"*Package*"))</f>
        <v/>
      </c>
      <c r="G2220" t="str">
        <f t="shared" si="67"/>
        <v/>
      </c>
      <c r="H2220" s="33">
        <f>IF(ISNUMBER(SEARCH("Group",D2220)),IF(G2220="",E2220,IFERROR(E2220/COUNTIF($G2:$G6000,G2220),E2220)),E2220)</f>
        <v>0</v>
      </c>
      <c r="I2220" s="1" t="str">
        <f>IFERROR(VLOOKUP(C2220,'Clients List'!A:F,6,FALSE),"")</f>
        <v/>
      </c>
    </row>
    <row r="2221" spans="4:9" x14ac:dyDescent="0.45">
      <c r="D2221" t="str">
        <f>IFERROR(VLOOKUP(C2221,'Clients List'!$A:$F,2,FALSE),"")</f>
        <v/>
      </c>
      <c r="F2221" s="1" t="str">
        <f>IF(OR(C2221="",NOT(ISNUMBER(SEARCH("Package",D2221)))),"",VLOOKUP(C2221,'Clients List'!$A:$F,4,FALSE)-SUMIFS($E$2:$E2221,$C$2:$C2221,C2221,$D$2:$D2221,"*Package*"))</f>
        <v/>
      </c>
      <c r="G2221" t="str">
        <f t="shared" si="67"/>
        <v/>
      </c>
      <c r="H2221" s="33">
        <f>IF(ISNUMBER(SEARCH("Group",D2221)),IF(G2221="",E2221,IFERROR(E2221/COUNTIF($G2:$G6000,G2221),E2221)),E2221)</f>
        <v>0</v>
      </c>
      <c r="I2221" s="1" t="str">
        <f>IFERROR(VLOOKUP(C2221,'Clients List'!A:F,6,FALSE),"")</f>
        <v/>
      </c>
    </row>
    <row r="2222" spans="4:9" x14ac:dyDescent="0.45">
      <c r="D2222" t="str">
        <f>IFERROR(VLOOKUP(C2222,'Clients List'!$A:$F,2,FALSE),"")</f>
        <v/>
      </c>
      <c r="F2222" s="1" t="str">
        <f>IF(OR(C2222="",NOT(ISNUMBER(SEARCH("Package",D2222)))),"",VLOOKUP(C2222,'Clients List'!$A:$F,4,FALSE)-SUMIFS($E$2:$E2222,$C$2:$C2222,C2222,$D$2:$D2222,"*Package*"))</f>
        <v/>
      </c>
      <c r="G2222" t="str">
        <f t="shared" si="67"/>
        <v/>
      </c>
      <c r="H2222" s="33">
        <f>IF(ISNUMBER(SEARCH("Group",D2222)),IF(G2222="",E2222,IFERROR(E2222/COUNTIF($G2:$G6000,G2222),E2222)),E2222)</f>
        <v>0</v>
      </c>
      <c r="I2222" s="1" t="str">
        <f>IFERROR(VLOOKUP(C2222,'Clients List'!A:F,6,FALSE),"")</f>
        <v/>
      </c>
    </row>
    <row r="2223" spans="4:9" x14ac:dyDescent="0.45">
      <c r="D2223" t="str">
        <f>IFERROR(VLOOKUP(C2223,'Clients List'!$A:$F,2,FALSE),"")</f>
        <v/>
      </c>
      <c r="F2223" s="1" t="str">
        <f>IF(OR(C2223="",NOT(ISNUMBER(SEARCH("Package",D2223)))),"",VLOOKUP(C2223,'Clients List'!$A:$F,4,FALSE)-SUMIFS($E$2:$E2223,$C$2:$C2223,C2223,$D$2:$D2223,"*Package*"))</f>
        <v/>
      </c>
      <c r="G2223" t="str">
        <f t="shared" si="67"/>
        <v/>
      </c>
      <c r="H2223" s="33">
        <f>IF(ISNUMBER(SEARCH("Group",D2223)),IF(G2223="",E2223,IFERROR(E2223/COUNTIF($G2:$G6000,G2223),E2223)),E2223)</f>
        <v>0</v>
      </c>
      <c r="I2223" s="1" t="str">
        <f>IFERROR(VLOOKUP(C2223,'Clients List'!A:F,6,FALSE),"")</f>
        <v/>
      </c>
    </row>
    <row r="2224" spans="4:9" x14ac:dyDescent="0.45">
      <c r="D2224" t="str">
        <f>IFERROR(VLOOKUP(C2224,'Clients List'!$A:$F,2,FALSE),"")</f>
        <v/>
      </c>
      <c r="F2224" s="1" t="str">
        <f>IF(OR(C2224="",NOT(ISNUMBER(SEARCH("Package",D2224)))),"",VLOOKUP(C2224,'Clients List'!$A:$F,4,FALSE)-SUMIFS($E$2:$E2224,$C$2:$C2224,C2224,$D$2:$D2224,"*Package*"))</f>
        <v/>
      </c>
      <c r="G2224" t="str">
        <f t="shared" si="67"/>
        <v/>
      </c>
      <c r="H2224" s="33">
        <f>IF(ISNUMBER(SEARCH("Group",D2224)),IF(G2224="",E2224,IFERROR(E2224/COUNTIF($G2:$G6000,G2224),E2224)),E2224)</f>
        <v>0</v>
      </c>
      <c r="I2224" s="1" t="str">
        <f>IFERROR(VLOOKUP(C2224,'Clients List'!A:F,6,FALSE),"")</f>
        <v/>
      </c>
    </row>
    <row r="2225" spans="4:9" x14ac:dyDescent="0.45">
      <c r="D2225" t="str">
        <f>IFERROR(VLOOKUP(C2225,'Clients List'!$A:$F,2,FALSE),"")</f>
        <v/>
      </c>
      <c r="F2225" s="1" t="str">
        <f>IF(OR(C2225="",NOT(ISNUMBER(SEARCH("Package",D2225)))),"",VLOOKUP(C2225,'Clients List'!$A:$F,4,FALSE)-SUMIFS($E$2:$E2225,$C$2:$C2225,C2225,$D$2:$D2225,"*Package*"))</f>
        <v/>
      </c>
      <c r="G2225" t="str">
        <f t="shared" si="67"/>
        <v/>
      </c>
      <c r="H2225" s="33">
        <f>IF(ISNUMBER(SEARCH("Group",D2225)),IF(G2225="",E2225,IFERROR(E2225/COUNTIF($G2:$G6000,G2225),E2225)),E2225)</f>
        <v>0</v>
      </c>
      <c r="I2225" s="1" t="str">
        <f>IFERROR(VLOOKUP(C2225,'Clients List'!A:F,6,FALSE),"")</f>
        <v/>
      </c>
    </row>
    <row r="2226" spans="4:9" x14ac:dyDescent="0.45">
      <c r="D2226" t="str">
        <f>IFERROR(VLOOKUP(C2226,'Clients List'!$A:$F,2,FALSE),"")</f>
        <v/>
      </c>
      <c r="F2226" s="1" t="str">
        <f>IF(OR(C2226="",NOT(ISNUMBER(SEARCH("Package",D2226)))),"",VLOOKUP(C2226,'Clients List'!$A:$F,4,FALSE)-SUMIFS($E$2:$E2226,$C$2:$C2226,C2226,$D$2:$D2226,"*Package*"))</f>
        <v/>
      </c>
      <c r="G2226" t="str">
        <f t="shared" si="67"/>
        <v/>
      </c>
      <c r="H2226" s="33">
        <f>IF(ISNUMBER(SEARCH("Group",D2226)),IF(G2226="",E2226,IFERROR(E2226/COUNTIF($G2:$G6000,G2226),E2226)),E2226)</f>
        <v>0</v>
      </c>
      <c r="I2226" s="1" t="str">
        <f>IFERROR(VLOOKUP(C2226,'Clients List'!A:F,6,FALSE),"")</f>
        <v/>
      </c>
    </row>
    <row r="2227" spans="4:9" x14ac:dyDescent="0.45">
      <c r="D2227" t="str">
        <f>IFERROR(VLOOKUP(C2227,'Clients List'!$A:$F,2,FALSE),"")</f>
        <v/>
      </c>
      <c r="F2227" s="1" t="str">
        <f>IF(OR(C2227="",NOT(ISNUMBER(SEARCH("Package",D2227)))),"",VLOOKUP(C2227,'Clients List'!$A:$F,4,FALSE)-SUMIFS($E$2:$E2227,$C$2:$C2227,C2227,$D$2:$D2227,"*Package*"))</f>
        <v/>
      </c>
      <c r="G2227" t="str">
        <f t="shared" si="67"/>
        <v/>
      </c>
      <c r="H2227" s="33">
        <f>IF(ISNUMBER(SEARCH("Group",D2227)),IF(G2227="",E2227,IFERROR(E2227/COUNTIF($G2:$G6000,G2227),E2227)),E2227)</f>
        <v>0</v>
      </c>
      <c r="I2227" s="1" t="str">
        <f>IFERROR(VLOOKUP(C2227,'Clients List'!A:F,6,FALSE),"")</f>
        <v/>
      </c>
    </row>
    <row r="2228" spans="4:9" x14ac:dyDescent="0.45">
      <c r="D2228" t="str">
        <f>IFERROR(VLOOKUP(C2228,'Clients List'!$A:$F,2,FALSE),"")</f>
        <v/>
      </c>
      <c r="F2228" s="1" t="str">
        <f>IF(OR(C2228="",NOT(ISNUMBER(SEARCH("Package",D2228)))),"",VLOOKUP(C2228,'Clients List'!$A:$F,4,FALSE)-SUMIFS($E$2:$E2228,$C$2:$C2228,C2228,$D$2:$D2228,"*Package*"))</f>
        <v/>
      </c>
      <c r="G2228" t="str">
        <f t="shared" si="67"/>
        <v/>
      </c>
      <c r="H2228" s="33">
        <f>IF(ISNUMBER(SEARCH("Group",D2228)),IF(G2228="",E2228,IFERROR(E2228/COUNTIF($G2:$G6000,G2228),E2228)),E2228)</f>
        <v>0</v>
      </c>
      <c r="I2228" s="1" t="str">
        <f>IFERROR(VLOOKUP(C2228,'Clients List'!A:F,6,FALSE),"")</f>
        <v/>
      </c>
    </row>
    <row r="2229" spans="4:9" x14ac:dyDescent="0.45">
      <c r="D2229" t="str">
        <f>IFERROR(VLOOKUP(C2229,'Clients List'!$A:$F,2,FALSE),"")</f>
        <v/>
      </c>
      <c r="F2229" s="1" t="str">
        <f>IF(OR(C2229="",NOT(ISNUMBER(SEARCH("Package",D2229)))),"",VLOOKUP(C2229,'Clients List'!$A:$F,4,FALSE)-SUMIFS($E$2:$E2229,$C$2:$C2229,C2229,$D$2:$D2229,"*Package*"))</f>
        <v/>
      </c>
      <c r="G2229" t="str">
        <f t="shared" ref="G2229:G2292" si="68">IF(ISNUMBER(SEARCH("Group",D2229)),IFERROR("GRP-"&amp;TEXT(IF(ISNUMBER(A2229),A2229,DATEVALUE(A2229)),"yyyymmdd"),""),"" )</f>
        <v/>
      </c>
      <c r="H2229" s="33">
        <f>IF(ISNUMBER(SEARCH("Group",D2229)),IF(G2229="",E2229,IFERROR(E2229/COUNTIF($G2:$G6000,G2229),E2229)),E2229)</f>
        <v>0</v>
      </c>
      <c r="I2229" s="1" t="str">
        <f>IFERROR(VLOOKUP(C2229,'Clients List'!A:F,6,FALSE),"")</f>
        <v/>
      </c>
    </row>
    <row r="2230" spans="4:9" x14ac:dyDescent="0.45">
      <c r="D2230" t="str">
        <f>IFERROR(VLOOKUP(C2230,'Clients List'!$A:$F,2,FALSE),"")</f>
        <v/>
      </c>
      <c r="F2230" s="1" t="str">
        <f>IF(OR(C2230="",NOT(ISNUMBER(SEARCH("Package",D2230)))),"",VLOOKUP(C2230,'Clients List'!$A:$F,4,FALSE)-SUMIFS($E$2:$E2230,$C$2:$C2230,C2230,$D$2:$D2230,"*Package*"))</f>
        <v/>
      </c>
      <c r="G2230" t="str">
        <f t="shared" si="68"/>
        <v/>
      </c>
      <c r="H2230" s="33">
        <f>IF(ISNUMBER(SEARCH("Group",D2230)),IF(G2230="",E2230,IFERROR(E2230/COUNTIF($G2:$G6000,G2230),E2230)),E2230)</f>
        <v>0</v>
      </c>
      <c r="I2230" s="1" t="str">
        <f>IFERROR(VLOOKUP(C2230,'Clients List'!A:F,6,FALSE),"")</f>
        <v/>
      </c>
    </row>
    <row r="2231" spans="4:9" x14ac:dyDescent="0.45">
      <c r="D2231" t="str">
        <f>IFERROR(VLOOKUP(C2231,'Clients List'!$A:$F,2,FALSE),"")</f>
        <v/>
      </c>
      <c r="F2231" s="1" t="str">
        <f>IF(OR(C2231="",NOT(ISNUMBER(SEARCH("Package",D2231)))),"",VLOOKUP(C2231,'Clients List'!$A:$F,4,FALSE)-SUMIFS($E$2:$E2231,$C$2:$C2231,C2231,$D$2:$D2231,"*Package*"))</f>
        <v/>
      </c>
      <c r="G2231" t="str">
        <f t="shared" si="68"/>
        <v/>
      </c>
      <c r="H2231" s="33">
        <f>IF(ISNUMBER(SEARCH("Group",D2231)),IF(G2231="",E2231,IFERROR(E2231/COUNTIF($G2:$G6000,G2231),E2231)),E2231)</f>
        <v>0</v>
      </c>
      <c r="I2231" s="1" t="str">
        <f>IFERROR(VLOOKUP(C2231,'Clients List'!A:F,6,FALSE),"")</f>
        <v/>
      </c>
    </row>
    <row r="2232" spans="4:9" x14ac:dyDescent="0.45">
      <c r="D2232" t="str">
        <f>IFERROR(VLOOKUP(C2232,'Clients List'!$A:$F,2,FALSE),"")</f>
        <v/>
      </c>
      <c r="F2232" s="1" t="str">
        <f>IF(OR(C2232="",NOT(ISNUMBER(SEARCH("Package",D2232)))),"",VLOOKUP(C2232,'Clients List'!$A:$F,4,FALSE)-SUMIFS($E$2:$E2232,$C$2:$C2232,C2232,$D$2:$D2232,"*Package*"))</f>
        <v/>
      </c>
      <c r="G2232" t="str">
        <f t="shared" si="68"/>
        <v/>
      </c>
      <c r="H2232" s="33">
        <f>IF(ISNUMBER(SEARCH("Group",D2232)),IF(G2232="",E2232,IFERROR(E2232/COUNTIF($G2:$G6000,G2232),E2232)),E2232)</f>
        <v>0</v>
      </c>
      <c r="I2232" s="1" t="str">
        <f>IFERROR(VLOOKUP(C2232,'Clients List'!A:F,6,FALSE),"")</f>
        <v/>
      </c>
    </row>
    <row r="2233" spans="4:9" x14ac:dyDescent="0.45">
      <c r="D2233" t="str">
        <f>IFERROR(VLOOKUP(C2233,'Clients List'!$A:$F,2,FALSE),"")</f>
        <v/>
      </c>
      <c r="F2233" s="1" t="str">
        <f>IF(OR(C2233="",NOT(ISNUMBER(SEARCH("Package",D2233)))),"",VLOOKUP(C2233,'Clients List'!$A:$F,4,FALSE)-SUMIFS($E$2:$E2233,$C$2:$C2233,C2233,$D$2:$D2233,"*Package*"))</f>
        <v/>
      </c>
      <c r="G2233" t="str">
        <f t="shared" si="68"/>
        <v/>
      </c>
      <c r="H2233" s="33">
        <f>IF(ISNUMBER(SEARCH("Group",D2233)),IF(G2233="",E2233,IFERROR(E2233/COUNTIF($G2:$G6000,G2233),E2233)),E2233)</f>
        <v>0</v>
      </c>
      <c r="I2233" s="1" t="str">
        <f>IFERROR(VLOOKUP(C2233,'Clients List'!A:F,6,FALSE),"")</f>
        <v/>
      </c>
    </row>
    <row r="2234" spans="4:9" x14ac:dyDescent="0.45">
      <c r="D2234" t="str">
        <f>IFERROR(VLOOKUP(C2234,'Clients List'!$A:$F,2,FALSE),"")</f>
        <v/>
      </c>
      <c r="F2234" s="1" t="str">
        <f>IF(OR(C2234="",NOT(ISNUMBER(SEARCH("Package",D2234)))),"",VLOOKUP(C2234,'Clients List'!$A:$F,4,FALSE)-SUMIFS($E$2:$E2234,$C$2:$C2234,C2234,$D$2:$D2234,"*Package*"))</f>
        <v/>
      </c>
      <c r="G2234" t="str">
        <f t="shared" si="68"/>
        <v/>
      </c>
      <c r="H2234" s="33">
        <f>IF(ISNUMBER(SEARCH("Group",D2234)),IF(G2234="",E2234,IFERROR(E2234/COUNTIF($G2:$G6000,G2234),E2234)),E2234)</f>
        <v>0</v>
      </c>
      <c r="I2234" s="1" t="str">
        <f>IFERROR(VLOOKUP(C2234,'Clients List'!A:F,6,FALSE),"")</f>
        <v/>
      </c>
    </row>
    <row r="2235" spans="4:9" x14ac:dyDescent="0.45">
      <c r="D2235" t="str">
        <f>IFERROR(VLOOKUP(C2235,'Clients List'!$A:$F,2,FALSE),"")</f>
        <v/>
      </c>
      <c r="F2235" s="1" t="str">
        <f>IF(OR(C2235="",NOT(ISNUMBER(SEARCH("Package",D2235)))),"",VLOOKUP(C2235,'Clients List'!$A:$F,4,FALSE)-SUMIFS($E$2:$E2235,$C$2:$C2235,C2235,$D$2:$D2235,"*Package*"))</f>
        <v/>
      </c>
      <c r="G2235" t="str">
        <f t="shared" si="68"/>
        <v/>
      </c>
      <c r="H2235" s="33">
        <f>IF(ISNUMBER(SEARCH("Group",D2235)),IF(G2235="",E2235,IFERROR(E2235/COUNTIF($G2:$G6000,G2235),E2235)),E2235)</f>
        <v>0</v>
      </c>
      <c r="I2235" s="1" t="str">
        <f>IFERROR(VLOOKUP(C2235,'Clients List'!A:F,6,FALSE),"")</f>
        <v/>
      </c>
    </row>
    <row r="2236" spans="4:9" x14ac:dyDescent="0.45">
      <c r="D2236" t="str">
        <f>IFERROR(VLOOKUP(C2236,'Clients List'!$A:$F,2,FALSE),"")</f>
        <v/>
      </c>
      <c r="F2236" s="1" t="str">
        <f>IF(OR(C2236="",NOT(ISNUMBER(SEARCH("Package",D2236)))),"",VLOOKUP(C2236,'Clients List'!$A:$F,4,FALSE)-SUMIFS($E$2:$E2236,$C$2:$C2236,C2236,$D$2:$D2236,"*Package*"))</f>
        <v/>
      </c>
      <c r="G2236" t="str">
        <f t="shared" si="68"/>
        <v/>
      </c>
      <c r="H2236" s="33">
        <f>IF(ISNUMBER(SEARCH("Group",D2236)),IF(G2236="",E2236,IFERROR(E2236/COUNTIF($G2:$G6000,G2236),E2236)),E2236)</f>
        <v>0</v>
      </c>
      <c r="I2236" s="1" t="str">
        <f>IFERROR(VLOOKUP(C2236,'Clients List'!A:F,6,FALSE),"")</f>
        <v/>
      </c>
    </row>
    <row r="2237" spans="4:9" x14ac:dyDescent="0.45">
      <c r="D2237" t="str">
        <f>IFERROR(VLOOKUP(C2237,'Clients List'!$A:$F,2,FALSE),"")</f>
        <v/>
      </c>
      <c r="F2237" s="1" t="str">
        <f>IF(OR(C2237="",NOT(ISNUMBER(SEARCH("Package",D2237)))),"",VLOOKUP(C2237,'Clients List'!$A:$F,4,FALSE)-SUMIFS($E$2:$E2237,$C$2:$C2237,C2237,$D$2:$D2237,"*Package*"))</f>
        <v/>
      </c>
      <c r="G2237" t="str">
        <f t="shared" si="68"/>
        <v/>
      </c>
      <c r="H2237" s="33">
        <f>IF(ISNUMBER(SEARCH("Group",D2237)),IF(G2237="",E2237,IFERROR(E2237/COUNTIF($G2:$G6000,G2237),E2237)),E2237)</f>
        <v>0</v>
      </c>
      <c r="I2237" s="1" t="str">
        <f>IFERROR(VLOOKUP(C2237,'Clients List'!A:F,6,FALSE),"")</f>
        <v/>
      </c>
    </row>
    <row r="2238" spans="4:9" x14ac:dyDescent="0.45">
      <c r="D2238" t="str">
        <f>IFERROR(VLOOKUP(C2238,'Clients List'!$A:$F,2,FALSE),"")</f>
        <v/>
      </c>
      <c r="F2238" s="1" t="str">
        <f>IF(OR(C2238="",NOT(ISNUMBER(SEARCH("Package",D2238)))),"",VLOOKUP(C2238,'Clients List'!$A:$F,4,FALSE)-SUMIFS($E$2:$E2238,$C$2:$C2238,C2238,$D$2:$D2238,"*Package*"))</f>
        <v/>
      </c>
      <c r="G2238" t="str">
        <f t="shared" si="68"/>
        <v/>
      </c>
      <c r="H2238" s="33">
        <f>IF(ISNUMBER(SEARCH("Group",D2238)),IF(G2238="",E2238,IFERROR(E2238/COUNTIF($G2:$G6000,G2238),E2238)),E2238)</f>
        <v>0</v>
      </c>
      <c r="I2238" s="1" t="str">
        <f>IFERROR(VLOOKUP(C2238,'Clients List'!A:F,6,FALSE),"")</f>
        <v/>
      </c>
    </row>
    <row r="2239" spans="4:9" x14ac:dyDescent="0.45">
      <c r="D2239" t="str">
        <f>IFERROR(VLOOKUP(C2239,'Clients List'!$A:$F,2,FALSE),"")</f>
        <v/>
      </c>
      <c r="F2239" s="1" t="str">
        <f>IF(OR(C2239="",NOT(ISNUMBER(SEARCH("Package",D2239)))),"",VLOOKUP(C2239,'Clients List'!$A:$F,4,FALSE)-SUMIFS($E$2:$E2239,$C$2:$C2239,C2239,$D$2:$D2239,"*Package*"))</f>
        <v/>
      </c>
      <c r="G2239" t="str">
        <f t="shared" si="68"/>
        <v/>
      </c>
      <c r="H2239" s="33">
        <f>IF(ISNUMBER(SEARCH("Group",D2239)),IF(G2239="",E2239,IFERROR(E2239/COUNTIF($G2:$G6000,G2239),E2239)),E2239)</f>
        <v>0</v>
      </c>
      <c r="I2239" s="1" t="str">
        <f>IFERROR(VLOOKUP(C2239,'Clients List'!A:F,6,FALSE),"")</f>
        <v/>
      </c>
    </row>
    <row r="2240" spans="4:9" x14ac:dyDescent="0.45">
      <c r="D2240" t="str">
        <f>IFERROR(VLOOKUP(C2240,'Clients List'!$A:$F,2,FALSE),"")</f>
        <v/>
      </c>
      <c r="F2240" s="1" t="str">
        <f>IF(OR(C2240="",NOT(ISNUMBER(SEARCH("Package",D2240)))),"",VLOOKUP(C2240,'Clients List'!$A:$F,4,FALSE)-SUMIFS($E$2:$E2240,$C$2:$C2240,C2240,$D$2:$D2240,"*Package*"))</f>
        <v/>
      </c>
      <c r="G2240" t="str">
        <f t="shared" si="68"/>
        <v/>
      </c>
      <c r="H2240" s="33">
        <f>IF(ISNUMBER(SEARCH("Group",D2240)),IF(G2240="",E2240,IFERROR(E2240/COUNTIF($G2:$G6000,G2240),E2240)),E2240)</f>
        <v>0</v>
      </c>
      <c r="I2240" s="1" t="str">
        <f>IFERROR(VLOOKUP(C2240,'Clients List'!A:F,6,FALSE),"")</f>
        <v/>
      </c>
    </row>
    <row r="2241" spans="4:9" x14ac:dyDescent="0.45">
      <c r="D2241" t="str">
        <f>IFERROR(VLOOKUP(C2241,'Clients List'!$A:$F,2,FALSE),"")</f>
        <v/>
      </c>
      <c r="F2241" s="1" t="str">
        <f>IF(OR(C2241="",NOT(ISNUMBER(SEARCH("Package",D2241)))),"",VLOOKUP(C2241,'Clients List'!$A:$F,4,FALSE)-SUMIFS($E$2:$E2241,$C$2:$C2241,C2241,$D$2:$D2241,"*Package*"))</f>
        <v/>
      </c>
      <c r="G2241" t="str">
        <f t="shared" si="68"/>
        <v/>
      </c>
      <c r="H2241" s="33">
        <f>IF(ISNUMBER(SEARCH("Group",D2241)),IF(G2241="",E2241,IFERROR(E2241/COUNTIF($G2:$G6000,G2241),E2241)),E2241)</f>
        <v>0</v>
      </c>
      <c r="I2241" s="1" t="str">
        <f>IFERROR(VLOOKUP(C2241,'Clients List'!A:F,6,FALSE),"")</f>
        <v/>
      </c>
    </row>
    <row r="2242" spans="4:9" x14ac:dyDescent="0.45">
      <c r="D2242" t="str">
        <f>IFERROR(VLOOKUP(C2242,'Clients List'!$A:$F,2,FALSE),"")</f>
        <v/>
      </c>
      <c r="F2242" s="1" t="str">
        <f>IF(OR(C2242="",NOT(ISNUMBER(SEARCH("Package",D2242)))),"",VLOOKUP(C2242,'Clients List'!$A:$F,4,FALSE)-SUMIFS($E$2:$E2242,$C$2:$C2242,C2242,$D$2:$D2242,"*Package*"))</f>
        <v/>
      </c>
      <c r="G2242" t="str">
        <f t="shared" si="68"/>
        <v/>
      </c>
      <c r="H2242" s="33">
        <f>IF(ISNUMBER(SEARCH("Group",D2242)),IF(G2242="",E2242,IFERROR(E2242/COUNTIF($G2:$G6000,G2242),E2242)),E2242)</f>
        <v>0</v>
      </c>
      <c r="I2242" s="1" t="str">
        <f>IFERROR(VLOOKUP(C2242,'Clients List'!A:F,6,FALSE),"")</f>
        <v/>
      </c>
    </row>
    <row r="2243" spans="4:9" x14ac:dyDescent="0.45">
      <c r="D2243" t="str">
        <f>IFERROR(VLOOKUP(C2243,'Clients List'!$A:$F,2,FALSE),"")</f>
        <v/>
      </c>
      <c r="F2243" s="1" t="str">
        <f>IF(OR(C2243="",NOT(ISNUMBER(SEARCH("Package",D2243)))),"",VLOOKUP(C2243,'Clients List'!$A:$F,4,FALSE)-SUMIFS($E$2:$E2243,$C$2:$C2243,C2243,$D$2:$D2243,"*Package*"))</f>
        <v/>
      </c>
      <c r="G2243" t="str">
        <f t="shared" si="68"/>
        <v/>
      </c>
      <c r="H2243" s="33">
        <f>IF(ISNUMBER(SEARCH("Group",D2243)),IF(G2243="",E2243,IFERROR(E2243/COUNTIF($G2:$G6000,G2243),E2243)),E2243)</f>
        <v>0</v>
      </c>
      <c r="I2243" s="1" t="str">
        <f>IFERROR(VLOOKUP(C2243,'Clients List'!A:F,6,FALSE),"")</f>
        <v/>
      </c>
    </row>
    <row r="2244" spans="4:9" x14ac:dyDescent="0.45">
      <c r="D2244" t="str">
        <f>IFERROR(VLOOKUP(C2244,'Clients List'!$A:$F,2,FALSE),"")</f>
        <v/>
      </c>
      <c r="F2244" s="1" t="str">
        <f>IF(OR(C2244="",NOT(ISNUMBER(SEARCH("Package",D2244)))),"",VLOOKUP(C2244,'Clients List'!$A:$F,4,FALSE)-SUMIFS($E$2:$E2244,$C$2:$C2244,C2244,$D$2:$D2244,"*Package*"))</f>
        <v/>
      </c>
      <c r="G2244" t="str">
        <f t="shared" si="68"/>
        <v/>
      </c>
      <c r="H2244" s="33">
        <f>IF(ISNUMBER(SEARCH("Group",D2244)),IF(G2244="",E2244,IFERROR(E2244/COUNTIF($G2:$G6000,G2244),E2244)),E2244)</f>
        <v>0</v>
      </c>
      <c r="I2244" s="1" t="str">
        <f>IFERROR(VLOOKUP(C2244,'Clients List'!A:F,6,FALSE),"")</f>
        <v/>
      </c>
    </row>
    <row r="2245" spans="4:9" x14ac:dyDescent="0.45">
      <c r="D2245" t="str">
        <f>IFERROR(VLOOKUP(C2245,'Clients List'!$A:$F,2,FALSE),"")</f>
        <v/>
      </c>
      <c r="F2245" s="1" t="str">
        <f>IF(OR(C2245="",NOT(ISNUMBER(SEARCH("Package",D2245)))),"",VLOOKUP(C2245,'Clients List'!$A:$F,4,FALSE)-SUMIFS($E$2:$E2245,$C$2:$C2245,C2245,$D$2:$D2245,"*Package*"))</f>
        <v/>
      </c>
      <c r="G2245" t="str">
        <f t="shared" si="68"/>
        <v/>
      </c>
      <c r="H2245" s="33">
        <f>IF(ISNUMBER(SEARCH("Group",D2245)),IF(G2245="",E2245,IFERROR(E2245/COUNTIF($G2:$G6000,G2245),E2245)),E2245)</f>
        <v>0</v>
      </c>
      <c r="I2245" s="1" t="str">
        <f>IFERROR(VLOOKUP(C2245,'Clients List'!A:F,6,FALSE),"")</f>
        <v/>
      </c>
    </row>
    <row r="2246" spans="4:9" x14ac:dyDescent="0.45">
      <c r="D2246" t="str">
        <f>IFERROR(VLOOKUP(C2246,'Clients List'!$A:$F,2,FALSE),"")</f>
        <v/>
      </c>
      <c r="F2246" s="1" t="str">
        <f>IF(OR(C2246="",NOT(ISNUMBER(SEARCH("Package",D2246)))),"",VLOOKUP(C2246,'Clients List'!$A:$F,4,FALSE)-SUMIFS($E$2:$E2246,$C$2:$C2246,C2246,$D$2:$D2246,"*Package*"))</f>
        <v/>
      </c>
      <c r="G2246" t="str">
        <f t="shared" si="68"/>
        <v/>
      </c>
      <c r="H2246" s="33">
        <f>IF(ISNUMBER(SEARCH("Group",D2246)),IF(G2246="",E2246,IFERROR(E2246/COUNTIF($G2:$G6000,G2246),E2246)),E2246)</f>
        <v>0</v>
      </c>
      <c r="I2246" s="1" t="str">
        <f>IFERROR(VLOOKUP(C2246,'Clients List'!A:F,6,FALSE),"")</f>
        <v/>
      </c>
    </row>
    <row r="2247" spans="4:9" x14ac:dyDescent="0.45">
      <c r="D2247" t="str">
        <f>IFERROR(VLOOKUP(C2247,'Clients List'!$A:$F,2,FALSE),"")</f>
        <v/>
      </c>
      <c r="F2247" s="1" t="str">
        <f>IF(OR(C2247="",NOT(ISNUMBER(SEARCH("Package",D2247)))),"",VLOOKUP(C2247,'Clients List'!$A:$F,4,FALSE)-SUMIFS($E$2:$E2247,$C$2:$C2247,C2247,$D$2:$D2247,"*Package*"))</f>
        <v/>
      </c>
      <c r="G2247" t="str">
        <f t="shared" si="68"/>
        <v/>
      </c>
      <c r="H2247" s="33">
        <f>IF(ISNUMBER(SEARCH("Group",D2247)),IF(G2247="",E2247,IFERROR(E2247/COUNTIF($G2:$G6000,G2247),E2247)),E2247)</f>
        <v>0</v>
      </c>
      <c r="I2247" s="1" t="str">
        <f>IFERROR(VLOOKUP(C2247,'Clients List'!A:F,6,FALSE),"")</f>
        <v/>
      </c>
    </row>
    <row r="2248" spans="4:9" x14ac:dyDescent="0.45">
      <c r="D2248" t="str">
        <f>IFERROR(VLOOKUP(C2248,'Clients List'!$A:$F,2,FALSE),"")</f>
        <v/>
      </c>
      <c r="F2248" s="1" t="str">
        <f>IF(OR(C2248="",NOT(ISNUMBER(SEARCH("Package",D2248)))),"",VLOOKUP(C2248,'Clients List'!$A:$F,4,FALSE)-SUMIFS($E$2:$E2248,$C$2:$C2248,C2248,$D$2:$D2248,"*Package*"))</f>
        <v/>
      </c>
      <c r="G2248" t="str">
        <f t="shared" si="68"/>
        <v/>
      </c>
      <c r="H2248" s="33">
        <f>IF(ISNUMBER(SEARCH("Group",D2248)),IF(G2248="",E2248,IFERROR(E2248/COUNTIF($G2:$G6000,G2248),E2248)),E2248)</f>
        <v>0</v>
      </c>
      <c r="I2248" s="1" t="str">
        <f>IFERROR(VLOOKUP(C2248,'Clients List'!A:F,6,FALSE),"")</f>
        <v/>
      </c>
    </row>
    <row r="2249" spans="4:9" x14ac:dyDescent="0.45">
      <c r="D2249" t="str">
        <f>IFERROR(VLOOKUP(C2249,'Clients List'!$A:$F,2,FALSE),"")</f>
        <v/>
      </c>
      <c r="F2249" s="1" t="str">
        <f>IF(OR(C2249="",NOT(ISNUMBER(SEARCH("Package",D2249)))),"",VLOOKUP(C2249,'Clients List'!$A:$F,4,FALSE)-SUMIFS($E$2:$E2249,$C$2:$C2249,C2249,$D$2:$D2249,"*Package*"))</f>
        <v/>
      </c>
      <c r="G2249" t="str">
        <f t="shared" si="68"/>
        <v/>
      </c>
      <c r="H2249" s="33">
        <f>IF(ISNUMBER(SEARCH("Group",D2249)),IF(G2249="",E2249,IFERROR(E2249/COUNTIF($G2:$G6000,G2249),E2249)),E2249)</f>
        <v>0</v>
      </c>
      <c r="I2249" s="1" t="str">
        <f>IFERROR(VLOOKUP(C2249,'Clients List'!A:F,6,FALSE),"")</f>
        <v/>
      </c>
    </row>
    <row r="2250" spans="4:9" x14ac:dyDescent="0.45">
      <c r="D2250" t="str">
        <f>IFERROR(VLOOKUP(C2250,'Clients List'!$A:$F,2,FALSE),"")</f>
        <v/>
      </c>
      <c r="F2250" s="1" t="str">
        <f>IF(OR(C2250="",NOT(ISNUMBER(SEARCH("Package",D2250)))),"",VLOOKUP(C2250,'Clients List'!$A:$F,4,FALSE)-SUMIFS($E$2:$E2250,$C$2:$C2250,C2250,$D$2:$D2250,"*Package*"))</f>
        <v/>
      </c>
      <c r="G2250" t="str">
        <f t="shared" si="68"/>
        <v/>
      </c>
      <c r="H2250" s="33">
        <f>IF(ISNUMBER(SEARCH("Group",D2250)),IF(G2250="",E2250,IFERROR(E2250/COUNTIF($G2:$G6000,G2250),E2250)),E2250)</f>
        <v>0</v>
      </c>
      <c r="I2250" s="1" t="str">
        <f>IFERROR(VLOOKUP(C2250,'Clients List'!A:F,6,FALSE),"")</f>
        <v/>
      </c>
    </row>
    <row r="2251" spans="4:9" x14ac:dyDescent="0.45">
      <c r="D2251" t="str">
        <f>IFERROR(VLOOKUP(C2251,'Clients List'!$A:$F,2,FALSE),"")</f>
        <v/>
      </c>
      <c r="F2251" s="1" t="str">
        <f>IF(OR(C2251="",NOT(ISNUMBER(SEARCH("Package",D2251)))),"",VLOOKUP(C2251,'Clients List'!$A:$F,4,FALSE)-SUMIFS($E$2:$E2251,$C$2:$C2251,C2251,$D$2:$D2251,"*Package*"))</f>
        <v/>
      </c>
      <c r="G2251" t="str">
        <f t="shared" si="68"/>
        <v/>
      </c>
      <c r="H2251" s="33">
        <f>IF(ISNUMBER(SEARCH("Group",D2251)),IF(G2251="",E2251,IFERROR(E2251/COUNTIF($G2:$G6000,G2251),E2251)),E2251)</f>
        <v>0</v>
      </c>
      <c r="I2251" s="1" t="str">
        <f>IFERROR(VLOOKUP(C2251,'Clients List'!A:F,6,FALSE),"")</f>
        <v/>
      </c>
    </row>
    <row r="2252" spans="4:9" x14ac:dyDescent="0.45">
      <c r="D2252" t="str">
        <f>IFERROR(VLOOKUP(C2252,'Clients List'!$A:$F,2,FALSE),"")</f>
        <v/>
      </c>
      <c r="F2252" s="1" t="str">
        <f>IF(OR(C2252="",NOT(ISNUMBER(SEARCH("Package",D2252)))),"",VLOOKUP(C2252,'Clients List'!$A:$F,4,FALSE)-SUMIFS($E$2:$E2252,$C$2:$C2252,C2252,$D$2:$D2252,"*Package*"))</f>
        <v/>
      </c>
      <c r="G2252" t="str">
        <f t="shared" si="68"/>
        <v/>
      </c>
      <c r="H2252" s="33">
        <f>IF(ISNUMBER(SEARCH("Group",D2252)),IF(G2252="",E2252,IFERROR(E2252/COUNTIF($G2:$G6000,G2252),E2252)),E2252)</f>
        <v>0</v>
      </c>
      <c r="I2252" s="1" t="str">
        <f>IFERROR(VLOOKUP(C2252,'Clients List'!A:F,6,FALSE),"")</f>
        <v/>
      </c>
    </row>
    <row r="2253" spans="4:9" x14ac:dyDescent="0.45">
      <c r="D2253" t="str">
        <f>IFERROR(VLOOKUP(C2253,'Clients List'!$A:$F,2,FALSE),"")</f>
        <v/>
      </c>
      <c r="F2253" s="1" t="str">
        <f>IF(OR(C2253="",NOT(ISNUMBER(SEARCH("Package",D2253)))),"",VLOOKUP(C2253,'Clients List'!$A:$F,4,FALSE)-SUMIFS($E$2:$E2253,$C$2:$C2253,C2253,$D$2:$D2253,"*Package*"))</f>
        <v/>
      </c>
      <c r="G2253" t="str">
        <f t="shared" si="68"/>
        <v/>
      </c>
      <c r="H2253" s="33">
        <f>IF(ISNUMBER(SEARCH("Group",D2253)),IF(G2253="",E2253,IFERROR(E2253/COUNTIF($G2:$G6000,G2253),E2253)),E2253)</f>
        <v>0</v>
      </c>
      <c r="I2253" s="1" t="str">
        <f>IFERROR(VLOOKUP(C2253,'Clients List'!A:F,6,FALSE),"")</f>
        <v/>
      </c>
    </row>
    <row r="2254" spans="4:9" x14ac:dyDescent="0.45">
      <c r="D2254" t="str">
        <f>IFERROR(VLOOKUP(C2254,'Clients List'!$A:$F,2,FALSE),"")</f>
        <v/>
      </c>
      <c r="F2254" s="1" t="str">
        <f>IF(OR(C2254="",NOT(ISNUMBER(SEARCH("Package",D2254)))),"",VLOOKUP(C2254,'Clients List'!$A:$F,4,FALSE)-SUMIFS($E$2:$E2254,$C$2:$C2254,C2254,$D$2:$D2254,"*Package*"))</f>
        <v/>
      </c>
      <c r="G2254" t="str">
        <f t="shared" si="68"/>
        <v/>
      </c>
      <c r="H2254" s="33">
        <f>IF(ISNUMBER(SEARCH("Group",D2254)),IF(G2254="",E2254,IFERROR(E2254/COUNTIF($G2:$G6000,G2254),E2254)),E2254)</f>
        <v>0</v>
      </c>
      <c r="I2254" s="1" t="str">
        <f>IFERROR(VLOOKUP(C2254,'Clients List'!A:F,6,FALSE),"")</f>
        <v/>
      </c>
    </row>
    <row r="2255" spans="4:9" x14ac:dyDescent="0.45">
      <c r="D2255" t="str">
        <f>IFERROR(VLOOKUP(C2255,'Clients List'!$A:$F,2,FALSE),"")</f>
        <v/>
      </c>
      <c r="F2255" s="1" t="str">
        <f>IF(OR(C2255="",NOT(ISNUMBER(SEARCH("Package",D2255)))),"",VLOOKUP(C2255,'Clients List'!$A:$F,4,FALSE)-SUMIFS($E$2:$E2255,$C$2:$C2255,C2255,$D$2:$D2255,"*Package*"))</f>
        <v/>
      </c>
      <c r="G2255" t="str">
        <f t="shared" si="68"/>
        <v/>
      </c>
      <c r="H2255" s="33">
        <f>IF(ISNUMBER(SEARCH("Group",D2255)),IF(G2255="",E2255,IFERROR(E2255/COUNTIF($G2:$G6000,G2255),E2255)),E2255)</f>
        <v>0</v>
      </c>
      <c r="I2255" s="1" t="str">
        <f>IFERROR(VLOOKUP(C2255,'Clients List'!A:F,6,FALSE),"")</f>
        <v/>
      </c>
    </row>
    <row r="2256" spans="4:9" x14ac:dyDescent="0.45">
      <c r="D2256" t="str">
        <f>IFERROR(VLOOKUP(C2256,'Clients List'!$A:$F,2,FALSE),"")</f>
        <v/>
      </c>
      <c r="F2256" s="1" t="str">
        <f>IF(OR(C2256="",NOT(ISNUMBER(SEARCH("Package",D2256)))),"",VLOOKUP(C2256,'Clients List'!$A:$F,4,FALSE)-SUMIFS($E$2:$E2256,$C$2:$C2256,C2256,$D$2:$D2256,"*Package*"))</f>
        <v/>
      </c>
      <c r="G2256" t="str">
        <f t="shared" si="68"/>
        <v/>
      </c>
      <c r="H2256" s="33">
        <f>IF(ISNUMBER(SEARCH("Group",D2256)),IF(G2256="",E2256,IFERROR(E2256/COUNTIF($G2:$G6000,G2256),E2256)),E2256)</f>
        <v>0</v>
      </c>
      <c r="I2256" s="1" t="str">
        <f>IFERROR(VLOOKUP(C2256,'Clients List'!A:F,6,FALSE),"")</f>
        <v/>
      </c>
    </row>
    <row r="2257" spans="4:9" x14ac:dyDescent="0.45">
      <c r="D2257" t="str">
        <f>IFERROR(VLOOKUP(C2257,'Clients List'!$A:$F,2,FALSE),"")</f>
        <v/>
      </c>
      <c r="F2257" s="1" t="str">
        <f>IF(OR(C2257="",NOT(ISNUMBER(SEARCH("Package",D2257)))),"",VLOOKUP(C2257,'Clients List'!$A:$F,4,FALSE)-SUMIFS($E$2:$E2257,$C$2:$C2257,C2257,$D$2:$D2257,"*Package*"))</f>
        <v/>
      </c>
      <c r="G2257" t="str">
        <f t="shared" si="68"/>
        <v/>
      </c>
      <c r="H2257" s="33">
        <f>IF(ISNUMBER(SEARCH("Group",D2257)),IF(G2257="",E2257,IFERROR(E2257/COUNTIF($G2:$G6000,G2257),E2257)),E2257)</f>
        <v>0</v>
      </c>
      <c r="I2257" s="1" t="str">
        <f>IFERROR(VLOOKUP(C2257,'Clients List'!A:F,6,FALSE),"")</f>
        <v/>
      </c>
    </row>
    <row r="2258" spans="4:9" x14ac:dyDescent="0.45">
      <c r="D2258" t="str">
        <f>IFERROR(VLOOKUP(C2258,'Clients List'!$A:$F,2,FALSE),"")</f>
        <v/>
      </c>
      <c r="F2258" s="1" t="str">
        <f>IF(OR(C2258="",NOT(ISNUMBER(SEARCH("Package",D2258)))),"",VLOOKUP(C2258,'Clients List'!$A:$F,4,FALSE)-SUMIFS($E$2:$E2258,$C$2:$C2258,C2258,$D$2:$D2258,"*Package*"))</f>
        <v/>
      </c>
      <c r="G2258" t="str">
        <f t="shared" si="68"/>
        <v/>
      </c>
      <c r="H2258" s="33">
        <f>IF(ISNUMBER(SEARCH("Group",D2258)),IF(G2258="",E2258,IFERROR(E2258/COUNTIF($G2:$G6000,G2258),E2258)),E2258)</f>
        <v>0</v>
      </c>
      <c r="I2258" s="1" t="str">
        <f>IFERROR(VLOOKUP(C2258,'Clients List'!A:F,6,FALSE),"")</f>
        <v/>
      </c>
    </row>
    <row r="2259" spans="4:9" x14ac:dyDescent="0.45">
      <c r="D2259" t="str">
        <f>IFERROR(VLOOKUP(C2259,'Clients List'!$A:$F,2,FALSE),"")</f>
        <v/>
      </c>
      <c r="F2259" s="1" t="str">
        <f>IF(OR(C2259="",NOT(ISNUMBER(SEARCH("Package",D2259)))),"",VLOOKUP(C2259,'Clients List'!$A:$F,4,FALSE)-SUMIFS($E$2:$E2259,$C$2:$C2259,C2259,$D$2:$D2259,"*Package*"))</f>
        <v/>
      </c>
      <c r="G2259" t="str">
        <f t="shared" si="68"/>
        <v/>
      </c>
      <c r="H2259" s="33">
        <f>IF(ISNUMBER(SEARCH("Group",D2259)),IF(G2259="",E2259,IFERROR(E2259/COUNTIF($G2:$G6000,G2259),E2259)),E2259)</f>
        <v>0</v>
      </c>
      <c r="I2259" s="1" t="str">
        <f>IFERROR(VLOOKUP(C2259,'Clients List'!A:F,6,FALSE),"")</f>
        <v/>
      </c>
    </row>
    <row r="2260" spans="4:9" x14ac:dyDescent="0.45">
      <c r="D2260" t="str">
        <f>IFERROR(VLOOKUP(C2260,'Clients List'!$A:$F,2,FALSE),"")</f>
        <v/>
      </c>
      <c r="F2260" s="1" t="str">
        <f>IF(OR(C2260="",NOT(ISNUMBER(SEARCH("Package",D2260)))),"",VLOOKUP(C2260,'Clients List'!$A:$F,4,FALSE)-SUMIFS($E$2:$E2260,$C$2:$C2260,C2260,$D$2:$D2260,"*Package*"))</f>
        <v/>
      </c>
      <c r="G2260" t="str">
        <f t="shared" si="68"/>
        <v/>
      </c>
      <c r="H2260" s="33">
        <f>IF(ISNUMBER(SEARCH("Group",D2260)),IF(G2260="",E2260,IFERROR(E2260/COUNTIF($G2:$G6000,G2260),E2260)),E2260)</f>
        <v>0</v>
      </c>
      <c r="I2260" s="1" t="str">
        <f>IFERROR(VLOOKUP(C2260,'Clients List'!A:F,6,FALSE),"")</f>
        <v/>
      </c>
    </row>
    <row r="2261" spans="4:9" x14ac:dyDescent="0.45">
      <c r="D2261" t="str">
        <f>IFERROR(VLOOKUP(C2261,'Clients List'!$A:$F,2,FALSE),"")</f>
        <v/>
      </c>
      <c r="F2261" s="1" t="str">
        <f>IF(OR(C2261="",NOT(ISNUMBER(SEARCH("Package",D2261)))),"",VLOOKUP(C2261,'Clients List'!$A:$F,4,FALSE)-SUMIFS($E$2:$E2261,$C$2:$C2261,C2261,$D$2:$D2261,"*Package*"))</f>
        <v/>
      </c>
      <c r="G2261" t="str">
        <f t="shared" si="68"/>
        <v/>
      </c>
      <c r="H2261" s="33">
        <f>IF(ISNUMBER(SEARCH("Group",D2261)),IF(G2261="",E2261,IFERROR(E2261/COUNTIF($G2:$G6000,G2261),E2261)),E2261)</f>
        <v>0</v>
      </c>
      <c r="I2261" s="1" t="str">
        <f>IFERROR(VLOOKUP(C2261,'Clients List'!A:F,6,FALSE),"")</f>
        <v/>
      </c>
    </row>
    <row r="2262" spans="4:9" x14ac:dyDescent="0.45">
      <c r="D2262" t="str">
        <f>IFERROR(VLOOKUP(C2262,'Clients List'!$A:$F,2,FALSE),"")</f>
        <v/>
      </c>
      <c r="F2262" s="1" t="str">
        <f>IF(OR(C2262="",NOT(ISNUMBER(SEARCH("Package",D2262)))),"",VLOOKUP(C2262,'Clients List'!$A:$F,4,FALSE)-SUMIFS($E$2:$E2262,$C$2:$C2262,C2262,$D$2:$D2262,"*Package*"))</f>
        <v/>
      </c>
      <c r="G2262" t="str">
        <f t="shared" si="68"/>
        <v/>
      </c>
      <c r="H2262" s="33">
        <f>IF(ISNUMBER(SEARCH("Group",D2262)),IF(G2262="",E2262,IFERROR(E2262/COUNTIF($G2:$G6000,G2262),E2262)),E2262)</f>
        <v>0</v>
      </c>
      <c r="I2262" s="1" t="str">
        <f>IFERROR(VLOOKUP(C2262,'Clients List'!A:F,6,FALSE),"")</f>
        <v/>
      </c>
    </row>
    <row r="2263" spans="4:9" x14ac:dyDescent="0.45">
      <c r="D2263" t="str">
        <f>IFERROR(VLOOKUP(C2263,'Clients List'!$A:$F,2,FALSE),"")</f>
        <v/>
      </c>
      <c r="F2263" s="1" t="str">
        <f>IF(OR(C2263="",NOT(ISNUMBER(SEARCH("Package",D2263)))),"",VLOOKUP(C2263,'Clients List'!$A:$F,4,FALSE)-SUMIFS($E$2:$E2263,$C$2:$C2263,C2263,$D$2:$D2263,"*Package*"))</f>
        <v/>
      </c>
      <c r="G2263" t="str">
        <f t="shared" si="68"/>
        <v/>
      </c>
      <c r="H2263" s="33">
        <f>IF(ISNUMBER(SEARCH("Group",D2263)),IF(G2263="",E2263,IFERROR(E2263/COUNTIF($G2:$G6000,G2263),E2263)),E2263)</f>
        <v>0</v>
      </c>
      <c r="I2263" s="1" t="str">
        <f>IFERROR(VLOOKUP(C2263,'Clients List'!A:F,6,FALSE),"")</f>
        <v/>
      </c>
    </row>
    <row r="2264" spans="4:9" x14ac:dyDescent="0.45">
      <c r="D2264" t="str">
        <f>IFERROR(VLOOKUP(C2264,'Clients List'!$A:$F,2,FALSE),"")</f>
        <v/>
      </c>
      <c r="F2264" s="1" t="str">
        <f>IF(OR(C2264="",NOT(ISNUMBER(SEARCH("Package",D2264)))),"",VLOOKUP(C2264,'Clients List'!$A:$F,4,FALSE)-SUMIFS($E$2:$E2264,$C$2:$C2264,C2264,$D$2:$D2264,"*Package*"))</f>
        <v/>
      </c>
      <c r="G2264" t="str">
        <f t="shared" si="68"/>
        <v/>
      </c>
      <c r="H2264" s="33">
        <f>IF(ISNUMBER(SEARCH("Group",D2264)),IF(G2264="",E2264,IFERROR(E2264/COUNTIF($G2:$G6000,G2264),E2264)),E2264)</f>
        <v>0</v>
      </c>
      <c r="I2264" s="1" t="str">
        <f>IFERROR(VLOOKUP(C2264,'Clients List'!A:F,6,FALSE),"")</f>
        <v/>
      </c>
    </row>
    <row r="2265" spans="4:9" x14ac:dyDescent="0.45">
      <c r="D2265" t="str">
        <f>IFERROR(VLOOKUP(C2265,'Clients List'!$A:$F,2,FALSE),"")</f>
        <v/>
      </c>
      <c r="F2265" s="1" t="str">
        <f>IF(OR(C2265="",NOT(ISNUMBER(SEARCH("Package",D2265)))),"",VLOOKUP(C2265,'Clients List'!$A:$F,4,FALSE)-SUMIFS($E$2:$E2265,$C$2:$C2265,C2265,$D$2:$D2265,"*Package*"))</f>
        <v/>
      </c>
      <c r="G2265" t="str">
        <f t="shared" si="68"/>
        <v/>
      </c>
      <c r="H2265" s="33">
        <f>IF(ISNUMBER(SEARCH("Group",D2265)),IF(G2265="",E2265,IFERROR(E2265/COUNTIF($G2:$G6000,G2265),E2265)),E2265)</f>
        <v>0</v>
      </c>
      <c r="I2265" s="1" t="str">
        <f>IFERROR(VLOOKUP(C2265,'Clients List'!A:F,6,FALSE),"")</f>
        <v/>
      </c>
    </row>
    <row r="2266" spans="4:9" x14ac:dyDescent="0.45">
      <c r="D2266" t="str">
        <f>IFERROR(VLOOKUP(C2266,'Clients List'!$A:$F,2,FALSE),"")</f>
        <v/>
      </c>
      <c r="F2266" s="1" t="str">
        <f>IF(OR(C2266="",NOT(ISNUMBER(SEARCH("Package",D2266)))),"",VLOOKUP(C2266,'Clients List'!$A:$F,4,FALSE)-SUMIFS($E$2:$E2266,$C$2:$C2266,C2266,$D$2:$D2266,"*Package*"))</f>
        <v/>
      </c>
      <c r="G2266" t="str">
        <f t="shared" si="68"/>
        <v/>
      </c>
      <c r="H2266" s="33">
        <f>IF(ISNUMBER(SEARCH("Group",D2266)),IF(G2266="",E2266,IFERROR(E2266/COUNTIF($G2:$G6000,G2266),E2266)),E2266)</f>
        <v>0</v>
      </c>
      <c r="I2266" s="1" t="str">
        <f>IFERROR(VLOOKUP(C2266,'Clients List'!A:F,6,FALSE),"")</f>
        <v/>
      </c>
    </row>
    <row r="2267" spans="4:9" x14ac:dyDescent="0.45">
      <c r="D2267" t="str">
        <f>IFERROR(VLOOKUP(C2267,'Clients List'!$A:$F,2,FALSE),"")</f>
        <v/>
      </c>
      <c r="F2267" s="1" t="str">
        <f>IF(OR(C2267="",NOT(ISNUMBER(SEARCH("Package",D2267)))),"",VLOOKUP(C2267,'Clients List'!$A:$F,4,FALSE)-SUMIFS($E$2:$E2267,$C$2:$C2267,C2267,$D$2:$D2267,"*Package*"))</f>
        <v/>
      </c>
      <c r="G2267" t="str">
        <f t="shared" si="68"/>
        <v/>
      </c>
      <c r="H2267" s="33">
        <f>IF(ISNUMBER(SEARCH("Group",D2267)),IF(G2267="",E2267,IFERROR(E2267/COUNTIF($G2:$G6000,G2267),E2267)),E2267)</f>
        <v>0</v>
      </c>
      <c r="I2267" s="1" t="str">
        <f>IFERROR(VLOOKUP(C2267,'Clients List'!A:F,6,FALSE),"")</f>
        <v/>
      </c>
    </row>
    <row r="2268" spans="4:9" x14ac:dyDescent="0.45">
      <c r="D2268" t="str">
        <f>IFERROR(VLOOKUP(C2268,'Clients List'!$A:$F,2,FALSE),"")</f>
        <v/>
      </c>
      <c r="F2268" s="1" t="str">
        <f>IF(OR(C2268="",NOT(ISNUMBER(SEARCH("Package",D2268)))),"",VLOOKUP(C2268,'Clients List'!$A:$F,4,FALSE)-SUMIFS($E$2:$E2268,$C$2:$C2268,C2268,$D$2:$D2268,"*Package*"))</f>
        <v/>
      </c>
      <c r="G2268" t="str">
        <f t="shared" si="68"/>
        <v/>
      </c>
      <c r="H2268" s="33">
        <f>IF(ISNUMBER(SEARCH("Group",D2268)),IF(G2268="",E2268,IFERROR(E2268/COUNTIF($G2:$G6000,G2268),E2268)),E2268)</f>
        <v>0</v>
      </c>
      <c r="I2268" s="1" t="str">
        <f>IFERROR(VLOOKUP(C2268,'Clients List'!A:F,6,FALSE),"")</f>
        <v/>
      </c>
    </row>
    <row r="2269" spans="4:9" x14ac:dyDescent="0.45">
      <c r="D2269" t="str">
        <f>IFERROR(VLOOKUP(C2269,'Clients List'!$A:$F,2,FALSE),"")</f>
        <v/>
      </c>
      <c r="F2269" s="1" t="str">
        <f>IF(OR(C2269="",NOT(ISNUMBER(SEARCH("Package",D2269)))),"",VLOOKUP(C2269,'Clients List'!$A:$F,4,FALSE)-SUMIFS($E$2:$E2269,$C$2:$C2269,C2269,$D$2:$D2269,"*Package*"))</f>
        <v/>
      </c>
      <c r="G2269" t="str">
        <f t="shared" si="68"/>
        <v/>
      </c>
      <c r="H2269" s="33">
        <f>IF(ISNUMBER(SEARCH("Group",D2269)),IF(G2269="",E2269,IFERROR(E2269/COUNTIF($G2:$G6000,G2269),E2269)),E2269)</f>
        <v>0</v>
      </c>
      <c r="I2269" s="1" t="str">
        <f>IFERROR(VLOOKUP(C2269,'Clients List'!A:F,6,FALSE),"")</f>
        <v/>
      </c>
    </row>
    <row r="2270" spans="4:9" x14ac:dyDescent="0.45">
      <c r="D2270" t="str">
        <f>IFERROR(VLOOKUP(C2270,'Clients List'!$A:$F,2,FALSE),"")</f>
        <v/>
      </c>
      <c r="F2270" s="1" t="str">
        <f>IF(OR(C2270="",NOT(ISNUMBER(SEARCH("Package",D2270)))),"",VLOOKUP(C2270,'Clients List'!$A:$F,4,FALSE)-SUMIFS($E$2:$E2270,$C$2:$C2270,C2270,$D$2:$D2270,"*Package*"))</f>
        <v/>
      </c>
      <c r="G2270" t="str">
        <f t="shared" si="68"/>
        <v/>
      </c>
      <c r="H2270" s="33">
        <f>IF(ISNUMBER(SEARCH("Group",D2270)),IF(G2270="",E2270,IFERROR(E2270/COUNTIF($G2:$G6000,G2270),E2270)),E2270)</f>
        <v>0</v>
      </c>
      <c r="I2270" s="1" t="str">
        <f>IFERROR(VLOOKUP(C2270,'Clients List'!A:F,6,FALSE),"")</f>
        <v/>
      </c>
    </row>
    <row r="2271" spans="4:9" x14ac:dyDescent="0.45">
      <c r="D2271" t="str">
        <f>IFERROR(VLOOKUP(C2271,'Clients List'!$A:$F,2,FALSE),"")</f>
        <v/>
      </c>
      <c r="F2271" s="1" t="str">
        <f>IF(OR(C2271="",NOT(ISNUMBER(SEARCH("Package",D2271)))),"",VLOOKUP(C2271,'Clients List'!$A:$F,4,FALSE)-SUMIFS($E$2:$E2271,$C$2:$C2271,C2271,$D$2:$D2271,"*Package*"))</f>
        <v/>
      </c>
      <c r="G2271" t="str">
        <f t="shared" si="68"/>
        <v/>
      </c>
      <c r="H2271" s="33">
        <f>IF(ISNUMBER(SEARCH("Group",D2271)),IF(G2271="",E2271,IFERROR(E2271/COUNTIF($G2:$G6000,G2271),E2271)),E2271)</f>
        <v>0</v>
      </c>
      <c r="I2271" s="1" t="str">
        <f>IFERROR(VLOOKUP(C2271,'Clients List'!A:F,6,FALSE),"")</f>
        <v/>
      </c>
    </row>
    <row r="2272" spans="4:9" x14ac:dyDescent="0.45">
      <c r="D2272" t="str">
        <f>IFERROR(VLOOKUP(C2272,'Clients List'!$A:$F,2,FALSE),"")</f>
        <v/>
      </c>
      <c r="F2272" s="1" t="str">
        <f>IF(OR(C2272="",NOT(ISNUMBER(SEARCH("Package",D2272)))),"",VLOOKUP(C2272,'Clients List'!$A:$F,4,FALSE)-SUMIFS($E$2:$E2272,$C$2:$C2272,C2272,$D$2:$D2272,"*Package*"))</f>
        <v/>
      </c>
      <c r="G2272" t="str">
        <f t="shared" si="68"/>
        <v/>
      </c>
      <c r="H2272" s="33">
        <f>IF(ISNUMBER(SEARCH("Group",D2272)),IF(G2272="",E2272,IFERROR(E2272/COUNTIF($G2:$G6000,G2272),E2272)),E2272)</f>
        <v>0</v>
      </c>
      <c r="I2272" s="1" t="str">
        <f>IFERROR(VLOOKUP(C2272,'Clients List'!A:F,6,FALSE),"")</f>
        <v/>
      </c>
    </row>
    <row r="2273" spans="4:9" x14ac:dyDescent="0.45">
      <c r="D2273" t="str">
        <f>IFERROR(VLOOKUP(C2273,'Clients List'!$A:$F,2,FALSE),"")</f>
        <v/>
      </c>
      <c r="F2273" s="1" t="str">
        <f>IF(OR(C2273="",NOT(ISNUMBER(SEARCH("Package",D2273)))),"",VLOOKUP(C2273,'Clients List'!$A:$F,4,FALSE)-SUMIFS($E$2:$E2273,$C$2:$C2273,C2273,$D$2:$D2273,"*Package*"))</f>
        <v/>
      </c>
      <c r="G2273" t="str">
        <f t="shared" si="68"/>
        <v/>
      </c>
      <c r="H2273" s="33">
        <f>IF(ISNUMBER(SEARCH("Group",D2273)),IF(G2273="",E2273,IFERROR(E2273/COUNTIF($G2:$G6000,G2273),E2273)),E2273)</f>
        <v>0</v>
      </c>
      <c r="I2273" s="1" t="str">
        <f>IFERROR(VLOOKUP(C2273,'Clients List'!A:F,6,FALSE),"")</f>
        <v/>
      </c>
    </row>
    <row r="2274" spans="4:9" x14ac:dyDescent="0.45">
      <c r="D2274" t="str">
        <f>IFERROR(VLOOKUP(C2274,'Clients List'!$A:$F,2,FALSE),"")</f>
        <v/>
      </c>
      <c r="F2274" s="1" t="str">
        <f>IF(OR(C2274="",NOT(ISNUMBER(SEARCH("Package",D2274)))),"",VLOOKUP(C2274,'Clients List'!$A:$F,4,FALSE)-SUMIFS($E$2:$E2274,$C$2:$C2274,C2274,$D$2:$D2274,"*Package*"))</f>
        <v/>
      </c>
      <c r="G2274" t="str">
        <f t="shared" si="68"/>
        <v/>
      </c>
      <c r="H2274" s="33">
        <f>IF(ISNUMBER(SEARCH("Group",D2274)),IF(G2274="",E2274,IFERROR(E2274/COUNTIF($G2:$G6000,G2274),E2274)),E2274)</f>
        <v>0</v>
      </c>
      <c r="I2274" s="1" t="str">
        <f>IFERROR(VLOOKUP(C2274,'Clients List'!A:F,6,FALSE),"")</f>
        <v/>
      </c>
    </row>
    <row r="2275" spans="4:9" x14ac:dyDescent="0.45">
      <c r="D2275" t="str">
        <f>IFERROR(VLOOKUP(C2275,'Clients List'!$A:$F,2,FALSE),"")</f>
        <v/>
      </c>
      <c r="F2275" s="1" t="str">
        <f>IF(OR(C2275="",NOT(ISNUMBER(SEARCH("Package",D2275)))),"",VLOOKUP(C2275,'Clients List'!$A:$F,4,FALSE)-SUMIFS($E$2:$E2275,$C$2:$C2275,C2275,$D$2:$D2275,"*Package*"))</f>
        <v/>
      </c>
      <c r="G2275" t="str">
        <f t="shared" si="68"/>
        <v/>
      </c>
      <c r="H2275" s="33">
        <f>IF(ISNUMBER(SEARCH("Group",D2275)),IF(G2275="",E2275,IFERROR(E2275/COUNTIF($G2:$G6000,G2275),E2275)),E2275)</f>
        <v>0</v>
      </c>
      <c r="I2275" s="1" t="str">
        <f>IFERROR(VLOOKUP(C2275,'Clients List'!A:F,6,FALSE),"")</f>
        <v/>
      </c>
    </row>
    <row r="2276" spans="4:9" x14ac:dyDescent="0.45">
      <c r="D2276" t="str">
        <f>IFERROR(VLOOKUP(C2276,'Clients List'!$A:$F,2,FALSE),"")</f>
        <v/>
      </c>
      <c r="F2276" s="1" t="str">
        <f>IF(OR(C2276="",NOT(ISNUMBER(SEARCH("Package",D2276)))),"",VLOOKUP(C2276,'Clients List'!$A:$F,4,FALSE)-SUMIFS($E$2:$E2276,$C$2:$C2276,C2276,$D$2:$D2276,"*Package*"))</f>
        <v/>
      </c>
      <c r="G2276" t="str">
        <f t="shared" si="68"/>
        <v/>
      </c>
      <c r="H2276" s="33">
        <f>IF(ISNUMBER(SEARCH("Group",D2276)),IF(G2276="",E2276,IFERROR(E2276/COUNTIF($G2:$G6000,G2276),E2276)),E2276)</f>
        <v>0</v>
      </c>
      <c r="I2276" s="1" t="str">
        <f>IFERROR(VLOOKUP(C2276,'Clients List'!A:F,6,FALSE),"")</f>
        <v/>
      </c>
    </row>
    <row r="2277" spans="4:9" x14ac:dyDescent="0.45">
      <c r="D2277" t="str">
        <f>IFERROR(VLOOKUP(C2277,'Clients List'!$A:$F,2,FALSE),"")</f>
        <v/>
      </c>
      <c r="F2277" s="1" t="str">
        <f>IF(OR(C2277="",NOT(ISNUMBER(SEARCH("Package",D2277)))),"",VLOOKUP(C2277,'Clients List'!$A:$F,4,FALSE)-SUMIFS($E$2:$E2277,$C$2:$C2277,C2277,$D$2:$D2277,"*Package*"))</f>
        <v/>
      </c>
      <c r="G2277" t="str">
        <f t="shared" si="68"/>
        <v/>
      </c>
      <c r="H2277" s="33">
        <f>IF(ISNUMBER(SEARCH("Group",D2277)),IF(G2277="",E2277,IFERROR(E2277/COUNTIF($G2:$G6000,G2277),E2277)),E2277)</f>
        <v>0</v>
      </c>
      <c r="I2277" s="1" t="str">
        <f>IFERROR(VLOOKUP(C2277,'Clients List'!A:F,6,FALSE),"")</f>
        <v/>
      </c>
    </row>
    <row r="2278" spans="4:9" x14ac:dyDescent="0.45">
      <c r="D2278" t="str">
        <f>IFERROR(VLOOKUP(C2278,'Clients List'!$A:$F,2,FALSE),"")</f>
        <v/>
      </c>
      <c r="F2278" s="1" t="str">
        <f>IF(OR(C2278="",NOT(ISNUMBER(SEARCH("Package",D2278)))),"",VLOOKUP(C2278,'Clients List'!$A:$F,4,FALSE)-SUMIFS($E$2:$E2278,$C$2:$C2278,C2278,$D$2:$D2278,"*Package*"))</f>
        <v/>
      </c>
      <c r="G2278" t="str">
        <f t="shared" si="68"/>
        <v/>
      </c>
      <c r="H2278" s="33">
        <f>IF(ISNUMBER(SEARCH("Group",D2278)),IF(G2278="",E2278,IFERROR(E2278/COUNTIF($G2:$G6000,G2278),E2278)),E2278)</f>
        <v>0</v>
      </c>
      <c r="I2278" s="1" t="str">
        <f>IFERROR(VLOOKUP(C2278,'Clients List'!A:F,6,FALSE),"")</f>
        <v/>
      </c>
    </row>
    <row r="2279" spans="4:9" x14ac:dyDescent="0.45">
      <c r="D2279" t="str">
        <f>IFERROR(VLOOKUP(C2279,'Clients List'!$A:$F,2,FALSE),"")</f>
        <v/>
      </c>
      <c r="F2279" s="1" t="str">
        <f>IF(OR(C2279="",NOT(ISNUMBER(SEARCH("Package",D2279)))),"",VLOOKUP(C2279,'Clients List'!$A:$F,4,FALSE)-SUMIFS($E$2:$E2279,$C$2:$C2279,C2279,$D$2:$D2279,"*Package*"))</f>
        <v/>
      </c>
      <c r="G2279" t="str">
        <f t="shared" si="68"/>
        <v/>
      </c>
      <c r="H2279" s="33">
        <f>IF(ISNUMBER(SEARCH("Group",D2279)),IF(G2279="",E2279,IFERROR(E2279/COUNTIF($G2:$G6000,G2279),E2279)),E2279)</f>
        <v>0</v>
      </c>
      <c r="I2279" s="1" t="str">
        <f>IFERROR(VLOOKUP(C2279,'Clients List'!A:F,6,FALSE),"")</f>
        <v/>
      </c>
    </row>
    <row r="2280" spans="4:9" x14ac:dyDescent="0.45">
      <c r="D2280" t="str">
        <f>IFERROR(VLOOKUP(C2280,'Clients List'!$A:$F,2,FALSE),"")</f>
        <v/>
      </c>
      <c r="F2280" s="1" t="str">
        <f>IF(OR(C2280="",NOT(ISNUMBER(SEARCH("Package",D2280)))),"",VLOOKUP(C2280,'Clients List'!$A:$F,4,FALSE)-SUMIFS($E$2:$E2280,$C$2:$C2280,C2280,$D$2:$D2280,"*Package*"))</f>
        <v/>
      </c>
      <c r="G2280" t="str">
        <f t="shared" si="68"/>
        <v/>
      </c>
      <c r="H2280" s="33">
        <f>IF(ISNUMBER(SEARCH("Group",D2280)),IF(G2280="",E2280,IFERROR(E2280/COUNTIF($G2:$G6000,G2280),E2280)),E2280)</f>
        <v>0</v>
      </c>
      <c r="I2280" s="1" t="str">
        <f>IFERROR(VLOOKUP(C2280,'Clients List'!A:F,6,FALSE),"")</f>
        <v/>
      </c>
    </row>
    <row r="2281" spans="4:9" x14ac:dyDescent="0.45">
      <c r="D2281" t="str">
        <f>IFERROR(VLOOKUP(C2281,'Clients List'!$A:$F,2,FALSE),"")</f>
        <v/>
      </c>
      <c r="F2281" s="1" t="str">
        <f>IF(OR(C2281="",NOT(ISNUMBER(SEARCH("Package",D2281)))),"",VLOOKUP(C2281,'Clients List'!$A:$F,4,FALSE)-SUMIFS($E$2:$E2281,$C$2:$C2281,C2281,$D$2:$D2281,"*Package*"))</f>
        <v/>
      </c>
      <c r="G2281" t="str">
        <f t="shared" si="68"/>
        <v/>
      </c>
      <c r="H2281" s="33">
        <f>IF(ISNUMBER(SEARCH("Group",D2281)),IF(G2281="",E2281,IFERROR(E2281/COUNTIF($G2:$G6000,G2281),E2281)),E2281)</f>
        <v>0</v>
      </c>
      <c r="I2281" s="1" t="str">
        <f>IFERROR(VLOOKUP(C2281,'Clients List'!A:F,6,FALSE),"")</f>
        <v/>
      </c>
    </row>
    <row r="2282" spans="4:9" x14ac:dyDescent="0.45">
      <c r="D2282" t="str">
        <f>IFERROR(VLOOKUP(C2282,'Clients List'!$A:$F,2,FALSE),"")</f>
        <v/>
      </c>
      <c r="F2282" s="1" t="str">
        <f>IF(OR(C2282="",NOT(ISNUMBER(SEARCH("Package",D2282)))),"",VLOOKUP(C2282,'Clients List'!$A:$F,4,FALSE)-SUMIFS($E$2:$E2282,$C$2:$C2282,C2282,$D$2:$D2282,"*Package*"))</f>
        <v/>
      </c>
      <c r="G2282" t="str">
        <f t="shared" si="68"/>
        <v/>
      </c>
      <c r="H2282" s="33">
        <f>IF(ISNUMBER(SEARCH("Group",D2282)),IF(G2282="",E2282,IFERROR(E2282/COUNTIF($G2:$G6000,G2282),E2282)),E2282)</f>
        <v>0</v>
      </c>
      <c r="I2282" s="1" t="str">
        <f>IFERROR(VLOOKUP(C2282,'Clients List'!A:F,6,FALSE),"")</f>
        <v/>
      </c>
    </row>
    <row r="2283" spans="4:9" x14ac:dyDescent="0.45">
      <c r="D2283" t="str">
        <f>IFERROR(VLOOKUP(C2283,'Clients List'!$A:$F,2,FALSE),"")</f>
        <v/>
      </c>
      <c r="F2283" s="1" t="str">
        <f>IF(OR(C2283="",NOT(ISNUMBER(SEARCH("Package",D2283)))),"",VLOOKUP(C2283,'Clients List'!$A:$F,4,FALSE)-SUMIFS($E$2:$E2283,$C$2:$C2283,C2283,$D$2:$D2283,"*Package*"))</f>
        <v/>
      </c>
      <c r="G2283" t="str">
        <f t="shared" si="68"/>
        <v/>
      </c>
      <c r="H2283" s="33">
        <f>IF(ISNUMBER(SEARCH("Group",D2283)),IF(G2283="",E2283,IFERROR(E2283/COUNTIF($G2:$G6000,G2283),E2283)),E2283)</f>
        <v>0</v>
      </c>
      <c r="I2283" s="1" t="str">
        <f>IFERROR(VLOOKUP(C2283,'Clients List'!A:F,6,FALSE),"")</f>
        <v/>
      </c>
    </row>
    <row r="2284" spans="4:9" x14ac:dyDescent="0.45">
      <c r="D2284" t="str">
        <f>IFERROR(VLOOKUP(C2284,'Clients List'!$A:$F,2,FALSE),"")</f>
        <v/>
      </c>
      <c r="F2284" s="1" t="str">
        <f>IF(OR(C2284="",NOT(ISNUMBER(SEARCH("Package",D2284)))),"",VLOOKUP(C2284,'Clients List'!$A:$F,4,FALSE)-SUMIFS($E$2:$E2284,$C$2:$C2284,C2284,$D$2:$D2284,"*Package*"))</f>
        <v/>
      </c>
      <c r="G2284" t="str">
        <f t="shared" si="68"/>
        <v/>
      </c>
      <c r="H2284" s="33">
        <f>IF(ISNUMBER(SEARCH("Group",D2284)),IF(G2284="",E2284,IFERROR(E2284/COUNTIF($G2:$G6000,G2284),E2284)),E2284)</f>
        <v>0</v>
      </c>
      <c r="I2284" s="1" t="str">
        <f>IFERROR(VLOOKUP(C2284,'Clients List'!A:F,6,FALSE),"")</f>
        <v/>
      </c>
    </row>
    <row r="2285" spans="4:9" x14ac:dyDescent="0.45">
      <c r="D2285" t="str">
        <f>IFERROR(VLOOKUP(C2285,'Clients List'!$A:$F,2,FALSE),"")</f>
        <v/>
      </c>
      <c r="F2285" s="1" t="str">
        <f>IF(OR(C2285="",NOT(ISNUMBER(SEARCH("Package",D2285)))),"",VLOOKUP(C2285,'Clients List'!$A:$F,4,FALSE)-SUMIFS($E$2:$E2285,$C$2:$C2285,C2285,$D$2:$D2285,"*Package*"))</f>
        <v/>
      </c>
      <c r="G2285" t="str">
        <f t="shared" si="68"/>
        <v/>
      </c>
      <c r="H2285" s="33">
        <f>IF(ISNUMBER(SEARCH("Group",D2285)),IF(G2285="",E2285,IFERROR(E2285/COUNTIF($G2:$G6000,G2285),E2285)),E2285)</f>
        <v>0</v>
      </c>
      <c r="I2285" s="1" t="str">
        <f>IFERROR(VLOOKUP(C2285,'Clients List'!A:F,6,FALSE),"")</f>
        <v/>
      </c>
    </row>
    <row r="2286" spans="4:9" x14ac:dyDescent="0.45">
      <c r="D2286" t="str">
        <f>IFERROR(VLOOKUP(C2286,'Clients List'!$A:$F,2,FALSE),"")</f>
        <v/>
      </c>
      <c r="F2286" s="1" t="str">
        <f>IF(OR(C2286="",NOT(ISNUMBER(SEARCH("Package",D2286)))),"",VLOOKUP(C2286,'Clients List'!$A:$F,4,FALSE)-SUMIFS($E$2:$E2286,$C$2:$C2286,C2286,$D$2:$D2286,"*Package*"))</f>
        <v/>
      </c>
      <c r="G2286" t="str">
        <f t="shared" si="68"/>
        <v/>
      </c>
      <c r="H2286" s="33">
        <f>IF(ISNUMBER(SEARCH("Group",D2286)),IF(G2286="",E2286,IFERROR(E2286/COUNTIF($G2:$G6000,G2286),E2286)),E2286)</f>
        <v>0</v>
      </c>
      <c r="I2286" s="1" t="str">
        <f>IFERROR(VLOOKUP(C2286,'Clients List'!A:F,6,FALSE),"")</f>
        <v/>
      </c>
    </row>
    <row r="2287" spans="4:9" x14ac:dyDescent="0.45">
      <c r="D2287" t="str">
        <f>IFERROR(VLOOKUP(C2287,'Clients List'!$A:$F,2,FALSE),"")</f>
        <v/>
      </c>
      <c r="F2287" s="1" t="str">
        <f>IF(OR(C2287="",NOT(ISNUMBER(SEARCH("Package",D2287)))),"",VLOOKUP(C2287,'Clients List'!$A:$F,4,FALSE)-SUMIFS($E$2:$E2287,$C$2:$C2287,C2287,$D$2:$D2287,"*Package*"))</f>
        <v/>
      </c>
      <c r="G2287" t="str">
        <f t="shared" si="68"/>
        <v/>
      </c>
      <c r="H2287" s="33">
        <f>IF(ISNUMBER(SEARCH("Group",D2287)),IF(G2287="",E2287,IFERROR(E2287/COUNTIF($G2:$G6000,G2287),E2287)),E2287)</f>
        <v>0</v>
      </c>
      <c r="I2287" s="1" t="str">
        <f>IFERROR(VLOOKUP(C2287,'Clients List'!A:F,6,FALSE),"")</f>
        <v/>
      </c>
    </row>
    <row r="2288" spans="4:9" x14ac:dyDescent="0.45">
      <c r="D2288" t="str">
        <f>IFERROR(VLOOKUP(C2288,'Clients List'!$A:$F,2,FALSE),"")</f>
        <v/>
      </c>
      <c r="F2288" s="1" t="str">
        <f>IF(OR(C2288="",NOT(ISNUMBER(SEARCH("Package",D2288)))),"",VLOOKUP(C2288,'Clients List'!$A:$F,4,FALSE)-SUMIFS($E$2:$E2288,$C$2:$C2288,C2288,$D$2:$D2288,"*Package*"))</f>
        <v/>
      </c>
      <c r="G2288" t="str">
        <f t="shared" si="68"/>
        <v/>
      </c>
      <c r="H2288" s="33">
        <f>IF(ISNUMBER(SEARCH("Group",D2288)),IF(G2288="",E2288,IFERROR(E2288/COUNTIF($G2:$G6000,G2288),E2288)),E2288)</f>
        <v>0</v>
      </c>
      <c r="I2288" s="1" t="str">
        <f>IFERROR(VLOOKUP(C2288,'Clients List'!A:F,6,FALSE),"")</f>
        <v/>
      </c>
    </row>
    <row r="2289" spans="4:9" x14ac:dyDescent="0.45">
      <c r="D2289" t="str">
        <f>IFERROR(VLOOKUP(C2289,'Clients List'!$A:$F,2,FALSE),"")</f>
        <v/>
      </c>
      <c r="F2289" s="1" t="str">
        <f>IF(OR(C2289="",NOT(ISNUMBER(SEARCH("Package",D2289)))),"",VLOOKUP(C2289,'Clients List'!$A:$F,4,FALSE)-SUMIFS($E$2:$E2289,$C$2:$C2289,C2289,$D$2:$D2289,"*Package*"))</f>
        <v/>
      </c>
      <c r="G2289" t="str">
        <f t="shared" si="68"/>
        <v/>
      </c>
      <c r="H2289" s="33">
        <f>IF(ISNUMBER(SEARCH("Group",D2289)),IF(G2289="",E2289,IFERROR(E2289/COUNTIF($G2:$G6000,G2289),E2289)),E2289)</f>
        <v>0</v>
      </c>
      <c r="I2289" s="1" t="str">
        <f>IFERROR(VLOOKUP(C2289,'Clients List'!A:F,6,FALSE),"")</f>
        <v/>
      </c>
    </row>
    <row r="2290" spans="4:9" x14ac:dyDescent="0.45">
      <c r="D2290" t="str">
        <f>IFERROR(VLOOKUP(C2290,'Clients List'!$A:$F,2,FALSE),"")</f>
        <v/>
      </c>
      <c r="F2290" s="1" t="str">
        <f>IF(OR(C2290="",NOT(ISNUMBER(SEARCH("Package",D2290)))),"",VLOOKUP(C2290,'Clients List'!$A:$F,4,FALSE)-SUMIFS($E$2:$E2290,$C$2:$C2290,C2290,$D$2:$D2290,"*Package*"))</f>
        <v/>
      </c>
      <c r="G2290" t="str">
        <f t="shared" si="68"/>
        <v/>
      </c>
      <c r="H2290" s="33">
        <f>IF(ISNUMBER(SEARCH("Group",D2290)),IF(G2290="",E2290,IFERROR(E2290/COUNTIF($G2:$G6000,G2290),E2290)),E2290)</f>
        <v>0</v>
      </c>
      <c r="I2290" s="1" t="str">
        <f>IFERROR(VLOOKUP(C2290,'Clients List'!A:F,6,FALSE),"")</f>
        <v/>
      </c>
    </row>
    <row r="2291" spans="4:9" x14ac:dyDescent="0.45">
      <c r="D2291" t="str">
        <f>IFERROR(VLOOKUP(C2291,'Clients List'!$A:$F,2,FALSE),"")</f>
        <v/>
      </c>
      <c r="F2291" s="1" t="str">
        <f>IF(OR(C2291="",NOT(ISNUMBER(SEARCH("Package",D2291)))),"",VLOOKUP(C2291,'Clients List'!$A:$F,4,FALSE)-SUMIFS($E$2:$E2291,$C$2:$C2291,C2291,$D$2:$D2291,"*Package*"))</f>
        <v/>
      </c>
      <c r="G2291" t="str">
        <f t="shared" si="68"/>
        <v/>
      </c>
      <c r="H2291" s="33">
        <f>IF(ISNUMBER(SEARCH("Group",D2291)),IF(G2291="",E2291,IFERROR(E2291/COUNTIF($G2:$G6000,G2291),E2291)),E2291)</f>
        <v>0</v>
      </c>
      <c r="I2291" s="1" t="str">
        <f>IFERROR(VLOOKUP(C2291,'Clients List'!A:F,6,FALSE),"")</f>
        <v/>
      </c>
    </row>
    <row r="2292" spans="4:9" x14ac:dyDescent="0.45">
      <c r="D2292" t="str">
        <f>IFERROR(VLOOKUP(C2292,'Clients List'!$A:$F,2,FALSE),"")</f>
        <v/>
      </c>
      <c r="F2292" s="1" t="str">
        <f>IF(OR(C2292="",NOT(ISNUMBER(SEARCH("Package",D2292)))),"",VLOOKUP(C2292,'Clients List'!$A:$F,4,FALSE)-SUMIFS($E$2:$E2292,$C$2:$C2292,C2292,$D$2:$D2292,"*Package*"))</f>
        <v/>
      </c>
      <c r="G2292" t="str">
        <f t="shared" si="68"/>
        <v/>
      </c>
      <c r="H2292" s="33">
        <f>IF(ISNUMBER(SEARCH("Group",D2292)),IF(G2292="",E2292,IFERROR(E2292/COUNTIF($G2:$G6000,G2292),E2292)),E2292)</f>
        <v>0</v>
      </c>
      <c r="I2292" s="1" t="str">
        <f>IFERROR(VLOOKUP(C2292,'Clients List'!A:F,6,FALSE),"")</f>
        <v/>
      </c>
    </row>
    <row r="2293" spans="4:9" x14ac:dyDescent="0.45">
      <c r="D2293" t="str">
        <f>IFERROR(VLOOKUP(C2293,'Clients List'!$A:$F,2,FALSE),"")</f>
        <v/>
      </c>
      <c r="F2293" s="1" t="str">
        <f>IF(OR(C2293="",NOT(ISNUMBER(SEARCH("Package",D2293)))),"",VLOOKUP(C2293,'Clients List'!$A:$F,4,FALSE)-SUMIFS($E$2:$E2293,$C$2:$C2293,C2293,$D$2:$D2293,"*Package*"))</f>
        <v/>
      </c>
      <c r="G2293" t="str">
        <f t="shared" ref="G2293:G2356" si="69">IF(ISNUMBER(SEARCH("Group",D2293)),IFERROR("GRP-"&amp;TEXT(IF(ISNUMBER(A2293),A2293,DATEVALUE(A2293)),"yyyymmdd"),""),"" )</f>
        <v/>
      </c>
      <c r="H2293" s="33">
        <f>IF(ISNUMBER(SEARCH("Group",D2293)),IF(G2293="",E2293,IFERROR(E2293/COUNTIF($G2:$G6000,G2293),E2293)),E2293)</f>
        <v>0</v>
      </c>
      <c r="I2293" s="1" t="str">
        <f>IFERROR(VLOOKUP(C2293,'Clients List'!A:F,6,FALSE),"")</f>
        <v/>
      </c>
    </row>
    <row r="2294" spans="4:9" x14ac:dyDescent="0.45">
      <c r="D2294" t="str">
        <f>IFERROR(VLOOKUP(C2294,'Clients List'!$A:$F,2,FALSE),"")</f>
        <v/>
      </c>
      <c r="F2294" s="1" t="str">
        <f>IF(OR(C2294="",NOT(ISNUMBER(SEARCH("Package",D2294)))),"",VLOOKUP(C2294,'Clients List'!$A:$F,4,FALSE)-SUMIFS($E$2:$E2294,$C$2:$C2294,C2294,$D$2:$D2294,"*Package*"))</f>
        <v/>
      </c>
      <c r="G2294" t="str">
        <f t="shared" si="69"/>
        <v/>
      </c>
      <c r="H2294" s="33">
        <f>IF(ISNUMBER(SEARCH("Group",D2294)),IF(G2294="",E2294,IFERROR(E2294/COUNTIF($G2:$G6000,G2294),E2294)),E2294)</f>
        <v>0</v>
      </c>
      <c r="I2294" s="1" t="str">
        <f>IFERROR(VLOOKUP(C2294,'Clients List'!A:F,6,FALSE),"")</f>
        <v/>
      </c>
    </row>
    <row r="2295" spans="4:9" x14ac:dyDescent="0.45">
      <c r="D2295" t="str">
        <f>IFERROR(VLOOKUP(C2295,'Clients List'!$A:$F,2,FALSE),"")</f>
        <v/>
      </c>
      <c r="F2295" s="1" t="str">
        <f>IF(OR(C2295="",NOT(ISNUMBER(SEARCH("Package",D2295)))),"",VLOOKUP(C2295,'Clients List'!$A:$F,4,FALSE)-SUMIFS($E$2:$E2295,$C$2:$C2295,C2295,$D$2:$D2295,"*Package*"))</f>
        <v/>
      </c>
      <c r="G2295" t="str">
        <f t="shared" si="69"/>
        <v/>
      </c>
      <c r="H2295" s="33">
        <f>IF(ISNUMBER(SEARCH("Group",D2295)),IF(G2295="",E2295,IFERROR(E2295/COUNTIF($G2:$G6000,G2295),E2295)),E2295)</f>
        <v>0</v>
      </c>
      <c r="I2295" s="1" t="str">
        <f>IFERROR(VLOOKUP(C2295,'Clients List'!A:F,6,FALSE),"")</f>
        <v/>
      </c>
    </row>
    <row r="2296" spans="4:9" x14ac:dyDescent="0.45">
      <c r="D2296" t="str">
        <f>IFERROR(VLOOKUP(C2296,'Clients List'!$A:$F,2,FALSE),"")</f>
        <v/>
      </c>
      <c r="F2296" s="1" t="str">
        <f>IF(OR(C2296="",NOT(ISNUMBER(SEARCH("Package",D2296)))),"",VLOOKUP(C2296,'Clients List'!$A:$F,4,FALSE)-SUMIFS($E$2:$E2296,$C$2:$C2296,C2296,$D$2:$D2296,"*Package*"))</f>
        <v/>
      </c>
      <c r="G2296" t="str">
        <f t="shared" si="69"/>
        <v/>
      </c>
      <c r="H2296" s="33">
        <f>IF(ISNUMBER(SEARCH("Group",D2296)),IF(G2296="",E2296,IFERROR(E2296/COUNTIF($G2:$G6000,G2296),E2296)),E2296)</f>
        <v>0</v>
      </c>
      <c r="I2296" s="1" t="str">
        <f>IFERROR(VLOOKUP(C2296,'Clients List'!A:F,6,FALSE),"")</f>
        <v/>
      </c>
    </row>
    <row r="2297" spans="4:9" x14ac:dyDescent="0.45">
      <c r="D2297" t="str">
        <f>IFERROR(VLOOKUP(C2297,'Clients List'!$A:$F,2,FALSE),"")</f>
        <v/>
      </c>
      <c r="F2297" s="1" t="str">
        <f>IF(OR(C2297="",NOT(ISNUMBER(SEARCH("Package",D2297)))),"",VLOOKUP(C2297,'Clients List'!$A:$F,4,FALSE)-SUMIFS($E$2:$E2297,$C$2:$C2297,C2297,$D$2:$D2297,"*Package*"))</f>
        <v/>
      </c>
      <c r="G2297" t="str">
        <f t="shared" si="69"/>
        <v/>
      </c>
      <c r="H2297" s="33">
        <f>IF(ISNUMBER(SEARCH("Group",D2297)),IF(G2297="",E2297,IFERROR(E2297/COUNTIF($G2:$G6000,G2297),E2297)),E2297)</f>
        <v>0</v>
      </c>
      <c r="I2297" s="1" t="str">
        <f>IFERROR(VLOOKUP(C2297,'Clients List'!A:F,6,FALSE),"")</f>
        <v/>
      </c>
    </row>
    <row r="2298" spans="4:9" x14ac:dyDescent="0.45">
      <c r="D2298" t="str">
        <f>IFERROR(VLOOKUP(C2298,'Clients List'!$A:$F,2,FALSE),"")</f>
        <v/>
      </c>
      <c r="F2298" s="1" t="str">
        <f>IF(OR(C2298="",NOT(ISNUMBER(SEARCH("Package",D2298)))),"",VLOOKUP(C2298,'Clients List'!$A:$F,4,FALSE)-SUMIFS($E$2:$E2298,$C$2:$C2298,C2298,$D$2:$D2298,"*Package*"))</f>
        <v/>
      </c>
      <c r="G2298" t="str">
        <f t="shared" si="69"/>
        <v/>
      </c>
      <c r="H2298" s="33">
        <f>IF(ISNUMBER(SEARCH("Group",D2298)),IF(G2298="",E2298,IFERROR(E2298/COUNTIF($G2:$G6000,G2298),E2298)),E2298)</f>
        <v>0</v>
      </c>
      <c r="I2298" s="1" t="str">
        <f>IFERROR(VLOOKUP(C2298,'Clients List'!A:F,6,FALSE),"")</f>
        <v/>
      </c>
    </row>
    <row r="2299" spans="4:9" x14ac:dyDescent="0.45">
      <c r="D2299" t="str">
        <f>IFERROR(VLOOKUP(C2299,'Clients List'!$A:$F,2,FALSE),"")</f>
        <v/>
      </c>
      <c r="F2299" s="1" t="str">
        <f>IF(OR(C2299="",NOT(ISNUMBER(SEARCH("Package",D2299)))),"",VLOOKUP(C2299,'Clients List'!$A:$F,4,FALSE)-SUMIFS($E$2:$E2299,$C$2:$C2299,C2299,$D$2:$D2299,"*Package*"))</f>
        <v/>
      </c>
      <c r="G2299" t="str">
        <f t="shared" si="69"/>
        <v/>
      </c>
      <c r="H2299" s="33">
        <f>IF(ISNUMBER(SEARCH("Group",D2299)),IF(G2299="",E2299,IFERROR(E2299/COUNTIF($G2:$G6000,G2299),E2299)),E2299)</f>
        <v>0</v>
      </c>
      <c r="I2299" s="1" t="str">
        <f>IFERROR(VLOOKUP(C2299,'Clients List'!A:F,6,FALSE),"")</f>
        <v/>
      </c>
    </row>
    <row r="2300" spans="4:9" x14ac:dyDescent="0.45">
      <c r="D2300" t="str">
        <f>IFERROR(VLOOKUP(C2300,'Clients List'!$A:$F,2,FALSE),"")</f>
        <v/>
      </c>
      <c r="F2300" s="1" t="str">
        <f>IF(OR(C2300="",NOT(ISNUMBER(SEARCH("Package",D2300)))),"",VLOOKUP(C2300,'Clients List'!$A:$F,4,FALSE)-SUMIFS($E$2:$E2300,$C$2:$C2300,C2300,$D$2:$D2300,"*Package*"))</f>
        <v/>
      </c>
      <c r="G2300" t="str">
        <f t="shared" si="69"/>
        <v/>
      </c>
      <c r="H2300" s="33">
        <f>IF(ISNUMBER(SEARCH("Group",D2300)),IF(G2300="",E2300,IFERROR(E2300/COUNTIF($G2:$G6000,G2300),E2300)),E2300)</f>
        <v>0</v>
      </c>
      <c r="I2300" s="1" t="str">
        <f>IFERROR(VLOOKUP(C2300,'Clients List'!A:F,6,FALSE),"")</f>
        <v/>
      </c>
    </row>
    <row r="2301" spans="4:9" x14ac:dyDescent="0.45">
      <c r="D2301" t="str">
        <f>IFERROR(VLOOKUP(C2301,'Clients List'!$A:$F,2,FALSE),"")</f>
        <v/>
      </c>
      <c r="F2301" s="1" t="str">
        <f>IF(OR(C2301="",NOT(ISNUMBER(SEARCH("Package",D2301)))),"",VLOOKUP(C2301,'Clients List'!$A:$F,4,FALSE)-SUMIFS($E$2:$E2301,$C$2:$C2301,C2301,$D$2:$D2301,"*Package*"))</f>
        <v/>
      </c>
      <c r="G2301" t="str">
        <f t="shared" si="69"/>
        <v/>
      </c>
      <c r="H2301" s="33">
        <f>IF(ISNUMBER(SEARCH("Group",D2301)),IF(G2301="",E2301,IFERROR(E2301/COUNTIF($G2:$G6000,G2301),E2301)),E2301)</f>
        <v>0</v>
      </c>
      <c r="I2301" s="1" t="str">
        <f>IFERROR(VLOOKUP(C2301,'Clients List'!A:F,6,FALSE),"")</f>
        <v/>
      </c>
    </row>
    <row r="2302" spans="4:9" x14ac:dyDescent="0.45">
      <c r="D2302" t="str">
        <f>IFERROR(VLOOKUP(C2302,'Clients List'!$A:$F,2,FALSE),"")</f>
        <v/>
      </c>
      <c r="F2302" s="1" t="str">
        <f>IF(OR(C2302="",NOT(ISNUMBER(SEARCH("Package",D2302)))),"",VLOOKUP(C2302,'Clients List'!$A:$F,4,FALSE)-SUMIFS($E$2:$E2302,$C$2:$C2302,C2302,$D$2:$D2302,"*Package*"))</f>
        <v/>
      </c>
      <c r="G2302" t="str">
        <f t="shared" si="69"/>
        <v/>
      </c>
      <c r="H2302" s="33">
        <f>IF(ISNUMBER(SEARCH("Group",D2302)),IF(G2302="",E2302,IFERROR(E2302/COUNTIF($G2:$G6000,G2302),E2302)),E2302)</f>
        <v>0</v>
      </c>
      <c r="I2302" s="1" t="str">
        <f>IFERROR(VLOOKUP(C2302,'Clients List'!A:F,6,FALSE),"")</f>
        <v/>
      </c>
    </row>
    <row r="2303" spans="4:9" x14ac:dyDescent="0.45">
      <c r="D2303" t="str">
        <f>IFERROR(VLOOKUP(C2303,'Clients List'!$A:$F,2,FALSE),"")</f>
        <v/>
      </c>
      <c r="F2303" s="1" t="str">
        <f>IF(OR(C2303="",NOT(ISNUMBER(SEARCH("Package",D2303)))),"",VLOOKUP(C2303,'Clients List'!$A:$F,4,FALSE)-SUMIFS($E$2:$E2303,$C$2:$C2303,C2303,$D$2:$D2303,"*Package*"))</f>
        <v/>
      </c>
      <c r="G2303" t="str">
        <f t="shared" si="69"/>
        <v/>
      </c>
      <c r="H2303" s="33">
        <f>IF(ISNUMBER(SEARCH("Group",D2303)),IF(G2303="",E2303,IFERROR(E2303/COUNTIF($G2:$G6000,G2303),E2303)),E2303)</f>
        <v>0</v>
      </c>
      <c r="I2303" s="1" t="str">
        <f>IFERROR(VLOOKUP(C2303,'Clients List'!A:F,6,FALSE),"")</f>
        <v/>
      </c>
    </row>
    <row r="2304" spans="4:9" x14ac:dyDescent="0.45">
      <c r="D2304" t="str">
        <f>IFERROR(VLOOKUP(C2304,'Clients List'!$A:$F,2,FALSE),"")</f>
        <v/>
      </c>
      <c r="F2304" s="1" t="str">
        <f>IF(OR(C2304="",NOT(ISNUMBER(SEARCH("Package",D2304)))),"",VLOOKUP(C2304,'Clients List'!$A:$F,4,FALSE)-SUMIFS($E$2:$E2304,$C$2:$C2304,C2304,$D$2:$D2304,"*Package*"))</f>
        <v/>
      </c>
      <c r="G2304" t="str">
        <f t="shared" si="69"/>
        <v/>
      </c>
      <c r="H2304" s="33">
        <f>IF(ISNUMBER(SEARCH("Group",D2304)),IF(G2304="",E2304,IFERROR(E2304/COUNTIF($G2:$G6000,G2304),E2304)),E2304)</f>
        <v>0</v>
      </c>
      <c r="I2304" s="1" t="str">
        <f>IFERROR(VLOOKUP(C2304,'Clients List'!A:F,6,FALSE),"")</f>
        <v/>
      </c>
    </row>
    <row r="2305" spans="4:9" x14ac:dyDescent="0.45">
      <c r="D2305" t="str">
        <f>IFERROR(VLOOKUP(C2305,'Clients List'!$A:$F,2,FALSE),"")</f>
        <v/>
      </c>
      <c r="F2305" s="1" t="str">
        <f>IF(OR(C2305="",NOT(ISNUMBER(SEARCH("Package",D2305)))),"",VLOOKUP(C2305,'Clients List'!$A:$F,4,FALSE)-SUMIFS($E$2:$E2305,$C$2:$C2305,C2305,$D$2:$D2305,"*Package*"))</f>
        <v/>
      </c>
      <c r="G2305" t="str">
        <f t="shared" si="69"/>
        <v/>
      </c>
      <c r="H2305" s="33">
        <f>IF(ISNUMBER(SEARCH("Group",D2305)),IF(G2305="",E2305,IFERROR(E2305/COUNTIF($G2:$G6000,G2305),E2305)),E2305)</f>
        <v>0</v>
      </c>
      <c r="I2305" s="1" t="str">
        <f>IFERROR(VLOOKUP(C2305,'Clients List'!A:F,6,FALSE),"")</f>
        <v/>
      </c>
    </row>
    <row r="2306" spans="4:9" x14ac:dyDescent="0.45">
      <c r="D2306" t="str">
        <f>IFERROR(VLOOKUP(C2306,'Clients List'!$A:$F,2,FALSE),"")</f>
        <v/>
      </c>
      <c r="F2306" s="1" t="str">
        <f>IF(OR(C2306="",NOT(ISNUMBER(SEARCH("Package",D2306)))),"",VLOOKUP(C2306,'Clients List'!$A:$F,4,FALSE)-SUMIFS($E$2:$E2306,$C$2:$C2306,C2306,$D$2:$D2306,"*Package*"))</f>
        <v/>
      </c>
      <c r="G2306" t="str">
        <f t="shared" si="69"/>
        <v/>
      </c>
      <c r="H2306" s="33">
        <f>IF(ISNUMBER(SEARCH("Group",D2306)),IF(G2306="",E2306,IFERROR(E2306/COUNTIF($G2:$G6000,G2306),E2306)),E2306)</f>
        <v>0</v>
      </c>
      <c r="I2306" s="1" t="str">
        <f>IFERROR(VLOOKUP(C2306,'Clients List'!A:F,6,FALSE),"")</f>
        <v/>
      </c>
    </row>
    <row r="2307" spans="4:9" x14ac:dyDescent="0.45">
      <c r="D2307" t="str">
        <f>IFERROR(VLOOKUP(C2307,'Clients List'!$A:$F,2,FALSE),"")</f>
        <v/>
      </c>
      <c r="F2307" s="1" t="str">
        <f>IF(OR(C2307="",NOT(ISNUMBER(SEARCH("Package",D2307)))),"",VLOOKUP(C2307,'Clients List'!$A:$F,4,FALSE)-SUMIFS($E$2:$E2307,$C$2:$C2307,C2307,$D$2:$D2307,"*Package*"))</f>
        <v/>
      </c>
      <c r="G2307" t="str">
        <f t="shared" si="69"/>
        <v/>
      </c>
      <c r="H2307" s="33">
        <f>IF(ISNUMBER(SEARCH("Group",D2307)),IF(G2307="",E2307,IFERROR(E2307/COUNTIF($G2:$G6000,G2307),E2307)),E2307)</f>
        <v>0</v>
      </c>
      <c r="I2307" s="1" t="str">
        <f>IFERROR(VLOOKUP(C2307,'Clients List'!A:F,6,FALSE),"")</f>
        <v/>
      </c>
    </row>
    <row r="2308" spans="4:9" x14ac:dyDescent="0.45">
      <c r="D2308" t="str">
        <f>IFERROR(VLOOKUP(C2308,'Clients List'!$A:$F,2,FALSE),"")</f>
        <v/>
      </c>
      <c r="F2308" s="1" t="str">
        <f>IF(OR(C2308="",NOT(ISNUMBER(SEARCH("Package",D2308)))),"",VLOOKUP(C2308,'Clients List'!$A:$F,4,FALSE)-SUMIFS($E$2:$E2308,$C$2:$C2308,C2308,$D$2:$D2308,"*Package*"))</f>
        <v/>
      </c>
      <c r="G2308" t="str">
        <f t="shared" si="69"/>
        <v/>
      </c>
      <c r="H2308" s="33">
        <f>IF(ISNUMBER(SEARCH("Group",D2308)),IF(G2308="",E2308,IFERROR(E2308/COUNTIF($G2:$G6000,G2308),E2308)),E2308)</f>
        <v>0</v>
      </c>
      <c r="I2308" s="1" t="str">
        <f>IFERROR(VLOOKUP(C2308,'Clients List'!A:F,6,FALSE),"")</f>
        <v/>
      </c>
    </row>
    <row r="2309" spans="4:9" x14ac:dyDescent="0.45">
      <c r="D2309" t="str">
        <f>IFERROR(VLOOKUP(C2309,'Clients List'!$A:$F,2,FALSE),"")</f>
        <v/>
      </c>
      <c r="F2309" s="1" t="str">
        <f>IF(OR(C2309="",NOT(ISNUMBER(SEARCH("Package",D2309)))),"",VLOOKUP(C2309,'Clients List'!$A:$F,4,FALSE)-SUMIFS($E$2:$E2309,$C$2:$C2309,C2309,$D$2:$D2309,"*Package*"))</f>
        <v/>
      </c>
      <c r="G2309" t="str">
        <f t="shared" si="69"/>
        <v/>
      </c>
      <c r="H2309" s="33">
        <f>IF(ISNUMBER(SEARCH("Group",D2309)),IF(G2309="",E2309,IFERROR(E2309/COUNTIF($G2:$G6000,G2309),E2309)),E2309)</f>
        <v>0</v>
      </c>
      <c r="I2309" s="1" t="str">
        <f>IFERROR(VLOOKUP(C2309,'Clients List'!A:F,6,FALSE),"")</f>
        <v/>
      </c>
    </row>
    <row r="2310" spans="4:9" x14ac:dyDescent="0.45">
      <c r="D2310" t="str">
        <f>IFERROR(VLOOKUP(C2310,'Clients List'!$A:$F,2,FALSE),"")</f>
        <v/>
      </c>
      <c r="F2310" s="1" t="str">
        <f>IF(OR(C2310="",NOT(ISNUMBER(SEARCH("Package",D2310)))),"",VLOOKUP(C2310,'Clients List'!$A:$F,4,FALSE)-SUMIFS($E$2:$E2310,$C$2:$C2310,C2310,$D$2:$D2310,"*Package*"))</f>
        <v/>
      </c>
      <c r="G2310" t="str">
        <f t="shared" si="69"/>
        <v/>
      </c>
      <c r="H2310" s="33">
        <f>IF(ISNUMBER(SEARCH("Group",D2310)),IF(G2310="",E2310,IFERROR(E2310/COUNTIF($G2:$G6000,G2310),E2310)),E2310)</f>
        <v>0</v>
      </c>
      <c r="I2310" s="1" t="str">
        <f>IFERROR(VLOOKUP(C2310,'Clients List'!A:F,6,FALSE),"")</f>
        <v/>
      </c>
    </row>
    <row r="2311" spans="4:9" x14ac:dyDescent="0.45">
      <c r="D2311" t="str">
        <f>IFERROR(VLOOKUP(C2311,'Clients List'!$A:$F,2,FALSE),"")</f>
        <v/>
      </c>
      <c r="F2311" s="1" t="str">
        <f>IF(OR(C2311="",NOT(ISNUMBER(SEARCH("Package",D2311)))),"",VLOOKUP(C2311,'Clients List'!$A:$F,4,FALSE)-SUMIFS($E$2:$E2311,$C$2:$C2311,C2311,$D$2:$D2311,"*Package*"))</f>
        <v/>
      </c>
      <c r="G2311" t="str">
        <f t="shared" si="69"/>
        <v/>
      </c>
      <c r="H2311" s="33">
        <f>IF(ISNUMBER(SEARCH("Group",D2311)),IF(G2311="",E2311,IFERROR(E2311/COUNTIF($G2:$G6000,G2311),E2311)),E2311)</f>
        <v>0</v>
      </c>
      <c r="I2311" s="1" t="str">
        <f>IFERROR(VLOOKUP(C2311,'Clients List'!A:F,6,FALSE),"")</f>
        <v/>
      </c>
    </row>
    <row r="2312" spans="4:9" x14ac:dyDescent="0.45">
      <c r="D2312" t="str">
        <f>IFERROR(VLOOKUP(C2312,'Clients List'!$A:$F,2,FALSE),"")</f>
        <v/>
      </c>
      <c r="F2312" s="1" t="str">
        <f>IF(OR(C2312="",NOT(ISNUMBER(SEARCH("Package",D2312)))),"",VLOOKUP(C2312,'Clients List'!$A:$F,4,FALSE)-SUMIFS($E$2:$E2312,$C$2:$C2312,C2312,$D$2:$D2312,"*Package*"))</f>
        <v/>
      </c>
      <c r="G2312" t="str">
        <f t="shared" si="69"/>
        <v/>
      </c>
      <c r="H2312" s="33">
        <f>IF(ISNUMBER(SEARCH("Group",D2312)),IF(G2312="",E2312,IFERROR(E2312/COUNTIF($G2:$G6000,G2312),E2312)),E2312)</f>
        <v>0</v>
      </c>
      <c r="I2312" s="1" t="str">
        <f>IFERROR(VLOOKUP(C2312,'Clients List'!A:F,6,FALSE),"")</f>
        <v/>
      </c>
    </row>
    <row r="2313" spans="4:9" x14ac:dyDescent="0.45">
      <c r="D2313" t="str">
        <f>IFERROR(VLOOKUP(C2313,'Clients List'!$A:$F,2,FALSE),"")</f>
        <v/>
      </c>
      <c r="F2313" s="1" t="str">
        <f>IF(OR(C2313="",NOT(ISNUMBER(SEARCH("Package",D2313)))),"",VLOOKUP(C2313,'Clients List'!$A:$F,4,FALSE)-SUMIFS($E$2:$E2313,$C$2:$C2313,C2313,$D$2:$D2313,"*Package*"))</f>
        <v/>
      </c>
      <c r="G2313" t="str">
        <f t="shared" si="69"/>
        <v/>
      </c>
      <c r="H2313" s="33">
        <f>IF(ISNUMBER(SEARCH("Group",D2313)),IF(G2313="",E2313,IFERROR(E2313/COUNTIF($G2:$G6000,G2313),E2313)),E2313)</f>
        <v>0</v>
      </c>
      <c r="I2313" s="1" t="str">
        <f>IFERROR(VLOOKUP(C2313,'Clients List'!A:F,6,FALSE),"")</f>
        <v/>
      </c>
    </row>
    <row r="2314" spans="4:9" x14ac:dyDescent="0.45">
      <c r="D2314" t="str">
        <f>IFERROR(VLOOKUP(C2314,'Clients List'!$A:$F,2,FALSE),"")</f>
        <v/>
      </c>
      <c r="F2314" s="1" t="str">
        <f>IF(OR(C2314="",NOT(ISNUMBER(SEARCH("Package",D2314)))),"",VLOOKUP(C2314,'Clients List'!$A:$F,4,FALSE)-SUMIFS($E$2:$E2314,$C$2:$C2314,C2314,$D$2:$D2314,"*Package*"))</f>
        <v/>
      </c>
      <c r="G2314" t="str">
        <f t="shared" si="69"/>
        <v/>
      </c>
      <c r="H2314" s="33">
        <f>IF(ISNUMBER(SEARCH("Group",D2314)),IF(G2314="",E2314,IFERROR(E2314/COUNTIF($G2:$G6000,G2314),E2314)),E2314)</f>
        <v>0</v>
      </c>
      <c r="I2314" s="1" t="str">
        <f>IFERROR(VLOOKUP(C2314,'Clients List'!A:F,6,FALSE),"")</f>
        <v/>
      </c>
    </row>
    <row r="2315" spans="4:9" x14ac:dyDescent="0.45">
      <c r="D2315" t="str">
        <f>IFERROR(VLOOKUP(C2315,'Clients List'!$A:$F,2,FALSE),"")</f>
        <v/>
      </c>
      <c r="F2315" s="1" t="str">
        <f>IF(OR(C2315="",NOT(ISNUMBER(SEARCH("Package",D2315)))),"",VLOOKUP(C2315,'Clients List'!$A:$F,4,FALSE)-SUMIFS($E$2:$E2315,$C$2:$C2315,C2315,$D$2:$D2315,"*Package*"))</f>
        <v/>
      </c>
      <c r="G2315" t="str">
        <f t="shared" si="69"/>
        <v/>
      </c>
      <c r="H2315" s="33">
        <f>IF(ISNUMBER(SEARCH("Group",D2315)),IF(G2315="",E2315,IFERROR(E2315/COUNTIF($G2:$G6000,G2315),E2315)),E2315)</f>
        <v>0</v>
      </c>
      <c r="I2315" s="1" t="str">
        <f>IFERROR(VLOOKUP(C2315,'Clients List'!A:F,6,FALSE),"")</f>
        <v/>
      </c>
    </row>
    <row r="2316" spans="4:9" x14ac:dyDescent="0.45">
      <c r="D2316" t="str">
        <f>IFERROR(VLOOKUP(C2316,'Clients List'!$A:$F,2,FALSE),"")</f>
        <v/>
      </c>
      <c r="F2316" s="1" t="str">
        <f>IF(OR(C2316="",NOT(ISNUMBER(SEARCH("Package",D2316)))),"",VLOOKUP(C2316,'Clients List'!$A:$F,4,FALSE)-SUMIFS($E$2:$E2316,$C$2:$C2316,C2316,$D$2:$D2316,"*Package*"))</f>
        <v/>
      </c>
      <c r="G2316" t="str">
        <f t="shared" si="69"/>
        <v/>
      </c>
      <c r="H2316" s="33">
        <f>IF(ISNUMBER(SEARCH("Group",D2316)),IF(G2316="",E2316,IFERROR(E2316/COUNTIF($G2:$G6000,G2316),E2316)),E2316)</f>
        <v>0</v>
      </c>
      <c r="I2316" s="1" t="str">
        <f>IFERROR(VLOOKUP(C2316,'Clients List'!A:F,6,FALSE),"")</f>
        <v/>
      </c>
    </row>
    <row r="2317" spans="4:9" x14ac:dyDescent="0.45">
      <c r="D2317" t="str">
        <f>IFERROR(VLOOKUP(C2317,'Clients List'!$A:$F,2,FALSE),"")</f>
        <v/>
      </c>
      <c r="F2317" s="1" t="str">
        <f>IF(OR(C2317="",NOT(ISNUMBER(SEARCH("Package",D2317)))),"",VLOOKUP(C2317,'Clients List'!$A:$F,4,FALSE)-SUMIFS($E$2:$E2317,$C$2:$C2317,C2317,$D$2:$D2317,"*Package*"))</f>
        <v/>
      </c>
      <c r="G2317" t="str">
        <f t="shared" si="69"/>
        <v/>
      </c>
      <c r="H2317" s="33">
        <f>IF(ISNUMBER(SEARCH("Group",D2317)),IF(G2317="",E2317,IFERROR(E2317/COUNTIF($G2:$G6000,G2317),E2317)),E2317)</f>
        <v>0</v>
      </c>
      <c r="I2317" s="1" t="str">
        <f>IFERROR(VLOOKUP(C2317,'Clients List'!A:F,6,FALSE),"")</f>
        <v/>
      </c>
    </row>
    <row r="2318" spans="4:9" x14ac:dyDescent="0.45">
      <c r="D2318" t="str">
        <f>IFERROR(VLOOKUP(C2318,'Clients List'!$A:$F,2,FALSE),"")</f>
        <v/>
      </c>
      <c r="F2318" s="1" t="str">
        <f>IF(OR(C2318="",NOT(ISNUMBER(SEARCH("Package",D2318)))),"",VLOOKUP(C2318,'Clients List'!$A:$F,4,FALSE)-SUMIFS($E$2:$E2318,$C$2:$C2318,C2318,$D$2:$D2318,"*Package*"))</f>
        <v/>
      </c>
      <c r="G2318" t="str">
        <f t="shared" si="69"/>
        <v/>
      </c>
      <c r="H2318" s="33">
        <f>IF(ISNUMBER(SEARCH("Group",D2318)),IF(G2318="",E2318,IFERROR(E2318/COUNTIF($G2:$G6000,G2318),E2318)),E2318)</f>
        <v>0</v>
      </c>
      <c r="I2318" s="1" t="str">
        <f>IFERROR(VLOOKUP(C2318,'Clients List'!A:F,6,FALSE),"")</f>
        <v/>
      </c>
    </row>
    <row r="2319" spans="4:9" x14ac:dyDescent="0.45">
      <c r="D2319" t="str">
        <f>IFERROR(VLOOKUP(C2319,'Clients List'!$A:$F,2,FALSE),"")</f>
        <v/>
      </c>
      <c r="F2319" s="1" t="str">
        <f>IF(OR(C2319="",NOT(ISNUMBER(SEARCH("Package",D2319)))),"",VLOOKUP(C2319,'Clients List'!$A:$F,4,FALSE)-SUMIFS($E$2:$E2319,$C$2:$C2319,C2319,$D$2:$D2319,"*Package*"))</f>
        <v/>
      </c>
      <c r="G2319" t="str">
        <f t="shared" si="69"/>
        <v/>
      </c>
      <c r="H2319" s="33">
        <f>IF(ISNUMBER(SEARCH("Group",D2319)),IF(G2319="",E2319,IFERROR(E2319/COUNTIF($G2:$G6000,G2319),E2319)),E2319)</f>
        <v>0</v>
      </c>
      <c r="I2319" s="1" t="str">
        <f>IFERROR(VLOOKUP(C2319,'Clients List'!A:F,6,FALSE),"")</f>
        <v/>
      </c>
    </row>
    <row r="2320" spans="4:9" x14ac:dyDescent="0.45">
      <c r="D2320" t="str">
        <f>IFERROR(VLOOKUP(C2320,'Clients List'!$A:$F,2,FALSE),"")</f>
        <v/>
      </c>
      <c r="F2320" s="1" t="str">
        <f>IF(OR(C2320="",NOT(ISNUMBER(SEARCH("Package",D2320)))),"",VLOOKUP(C2320,'Clients List'!$A:$F,4,FALSE)-SUMIFS($E$2:$E2320,$C$2:$C2320,C2320,$D$2:$D2320,"*Package*"))</f>
        <v/>
      </c>
      <c r="G2320" t="str">
        <f t="shared" si="69"/>
        <v/>
      </c>
      <c r="H2320" s="33">
        <f>IF(ISNUMBER(SEARCH("Group",D2320)),IF(G2320="",E2320,IFERROR(E2320/COUNTIF($G2:$G6000,G2320),E2320)),E2320)</f>
        <v>0</v>
      </c>
      <c r="I2320" s="1" t="str">
        <f>IFERROR(VLOOKUP(C2320,'Clients List'!A:F,6,FALSE),"")</f>
        <v/>
      </c>
    </row>
    <row r="2321" spans="4:9" x14ac:dyDescent="0.45">
      <c r="D2321" t="str">
        <f>IFERROR(VLOOKUP(C2321,'Clients List'!$A:$F,2,FALSE),"")</f>
        <v/>
      </c>
      <c r="F2321" s="1" t="str">
        <f>IF(OR(C2321="",NOT(ISNUMBER(SEARCH("Package",D2321)))),"",VLOOKUP(C2321,'Clients List'!$A:$F,4,FALSE)-SUMIFS($E$2:$E2321,$C$2:$C2321,C2321,$D$2:$D2321,"*Package*"))</f>
        <v/>
      </c>
      <c r="G2321" t="str">
        <f t="shared" si="69"/>
        <v/>
      </c>
      <c r="H2321" s="33">
        <f>IF(ISNUMBER(SEARCH("Group",D2321)),IF(G2321="",E2321,IFERROR(E2321/COUNTIF($G2:$G6000,G2321),E2321)),E2321)</f>
        <v>0</v>
      </c>
      <c r="I2321" s="1" t="str">
        <f>IFERROR(VLOOKUP(C2321,'Clients List'!A:F,6,FALSE),"")</f>
        <v/>
      </c>
    </row>
    <row r="2322" spans="4:9" x14ac:dyDescent="0.45">
      <c r="D2322" t="str">
        <f>IFERROR(VLOOKUP(C2322,'Clients List'!$A:$F,2,FALSE),"")</f>
        <v/>
      </c>
      <c r="F2322" s="1" t="str">
        <f>IF(OR(C2322="",NOT(ISNUMBER(SEARCH("Package",D2322)))),"",VLOOKUP(C2322,'Clients List'!$A:$F,4,FALSE)-SUMIFS($E$2:$E2322,$C$2:$C2322,C2322,$D$2:$D2322,"*Package*"))</f>
        <v/>
      </c>
      <c r="G2322" t="str">
        <f t="shared" si="69"/>
        <v/>
      </c>
      <c r="H2322" s="33">
        <f>IF(ISNUMBER(SEARCH("Group",D2322)),IF(G2322="",E2322,IFERROR(E2322/COUNTIF($G2:$G6000,G2322),E2322)),E2322)</f>
        <v>0</v>
      </c>
      <c r="I2322" s="1" t="str">
        <f>IFERROR(VLOOKUP(C2322,'Clients List'!A:F,6,FALSE),"")</f>
        <v/>
      </c>
    </row>
    <row r="2323" spans="4:9" x14ac:dyDescent="0.45">
      <c r="D2323" t="str">
        <f>IFERROR(VLOOKUP(C2323,'Clients List'!$A:$F,2,FALSE),"")</f>
        <v/>
      </c>
      <c r="F2323" s="1" t="str">
        <f>IF(OR(C2323="",NOT(ISNUMBER(SEARCH("Package",D2323)))),"",VLOOKUP(C2323,'Clients List'!$A:$F,4,FALSE)-SUMIFS($E$2:$E2323,$C$2:$C2323,C2323,$D$2:$D2323,"*Package*"))</f>
        <v/>
      </c>
      <c r="G2323" t="str">
        <f t="shared" si="69"/>
        <v/>
      </c>
      <c r="H2323" s="33">
        <f>IF(ISNUMBER(SEARCH("Group",D2323)),IF(G2323="",E2323,IFERROR(E2323/COUNTIF($G2:$G6000,G2323),E2323)),E2323)</f>
        <v>0</v>
      </c>
      <c r="I2323" s="1" t="str">
        <f>IFERROR(VLOOKUP(C2323,'Clients List'!A:F,6,FALSE),"")</f>
        <v/>
      </c>
    </row>
    <row r="2324" spans="4:9" x14ac:dyDescent="0.45">
      <c r="D2324" t="str">
        <f>IFERROR(VLOOKUP(C2324,'Clients List'!$A:$F,2,FALSE),"")</f>
        <v/>
      </c>
      <c r="F2324" s="1" t="str">
        <f>IF(OR(C2324="",NOT(ISNUMBER(SEARCH("Package",D2324)))),"",VLOOKUP(C2324,'Clients List'!$A:$F,4,FALSE)-SUMIFS($E$2:$E2324,$C$2:$C2324,C2324,$D$2:$D2324,"*Package*"))</f>
        <v/>
      </c>
      <c r="G2324" t="str">
        <f t="shared" si="69"/>
        <v/>
      </c>
      <c r="H2324" s="33">
        <f>IF(ISNUMBER(SEARCH("Group",D2324)),IF(G2324="",E2324,IFERROR(E2324/COUNTIF($G2:$G6000,G2324),E2324)),E2324)</f>
        <v>0</v>
      </c>
      <c r="I2324" s="1" t="str">
        <f>IFERROR(VLOOKUP(C2324,'Clients List'!A:F,6,FALSE),"")</f>
        <v/>
      </c>
    </row>
    <row r="2325" spans="4:9" x14ac:dyDescent="0.45">
      <c r="D2325" t="str">
        <f>IFERROR(VLOOKUP(C2325,'Clients List'!$A:$F,2,FALSE),"")</f>
        <v/>
      </c>
      <c r="F2325" s="1" t="str">
        <f>IF(OR(C2325="",NOT(ISNUMBER(SEARCH("Package",D2325)))),"",VLOOKUP(C2325,'Clients List'!$A:$F,4,FALSE)-SUMIFS($E$2:$E2325,$C$2:$C2325,C2325,$D$2:$D2325,"*Package*"))</f>
        <v/>
      </c>
      <c r="G2325" t="str">
        <f t="shared" si="69"/>
        <v/>
      </c>
      <c r="H2325" s="33">
        <f>IF(ISNUMBER(SEARCH("Group",D2325)),IF(G2325="",E2325,IFERROR(E2325/COUNTIF($G2:$G6000,G2325),E2325)),E2325)</f>
        <v>0</v>
      </c>
      <c r="I2325" s="1" t="str">
        <f>IFERROR(VLOOKUP(C2325,'Clients List'!A:F,6,FALSE),"")</f>
        <v/>
      </c>
    </row>
    <row r="2326" spans="4:9" x14ac:dyDescent="0.45">
      <c r="D2326" t="str">
        <f>IFERROR(VLOOKUP(C2326,'Clients List'!$A:$F,2,FALSE),"")</f>
        <v/>
      </c>
      <c r="F2326" s="1" t="str">
        <f>IF(OR(C2326="",NOT(ISNUMBER(SEARCH("Package",D2326)))),"",VLOOKUP(C2326,'Clients List'!$A:$F,4,FALSE)-SUMIFS($E$2:$E2326,$C$2:$C2326,C2326,$D$2:$D2326,"*Package*"))</f>
        <v/>
      </c>
      <c r="G2326" t="str">
        <f t="shared" si="69"/>
        <v/>
      </c>
      <c r="H2326" s="33">
        <f>IF(ISNUMBER(SEARCH("Group",D2326)),IF(G2326="",E2326,IFERROR(E2326/COUNTIF($G2:$G6000,G2326),E2326)),E2326)</f>
        <v>0</v>
      </c>
      <c r="I2326" s="1" t="str">
        <f>IFERROR(VLOOKUP(C2326,'Clients List'!A:F,6,FALSE),"")</f>
        <v/>
      </c>
    </row>
    <row r="2327" spans="4:9" x14ac:dyDescent="0.45">
      <c r="D2327" t="str">
        <f>IFERROR(VLOOKUP(C2327,'Clients List'!$A:$F,2,FALSE),"")</f>
        <v/>
      </c>
      <c r="F2327" s="1" t="str">
        <f>IF(OR(C2327="",NOT(ISNUMBER(SEARCH("Package",D2327)))),"",VLOOKUP(C2327,'Clients List'!$A:$F,4,FALSE)-SUMIFS($E$2:$E2327,$C$2:$C2327,C2327,$D$2:$D2327,"*Package*"))</f>
        <v/>
      </c>
      <c r="G2327" t="str">
        <f t="shared" si="69"/>
        <v/>
      </c>
      <c r="H2327" s="33">
        <f>IF(ISNUMBER(SEARCH("Group",D2327)),IF(G2327="",E2327,IFERROR(E2327/COUNTIF($G2:$G6000,G2327),E2327)),E2327)</f>
        <v>0</v>
      </c>
      <c r="I2327" s="1" t="str">
        <f>IFERROR(VLOOKUP(C2327,'Clients List'!A:F,6,FALSE),"")</f>
        <v/>
      </c>
    </row>
    <row r="2328" spans="4:9" x14ac:dyDescent="0.45">
      <c r="D2328" t="str">
        <f>IFERROR(VLOOKUP(C2328,'Clients List'!$A:$F,2,FALSE),"")</f>
        <v/>
      </c>
      <c r="F2328" s="1" t="str">
        <f>IF(OR(C2328="",NOT(ISNUMBER(SEARCH("Package",D2328)))),"",VLOOKUP(C2328,'Clients List'!$A:$F,4,FALSE)-SUMIFS($E$2:$E2328,$C$2:$C2328,C2328,$D$2:$D2328,"*Package*"))</f>
        <v/>
      </c>
      <c r="G2328" t="str">
        <f t="shared" si="69"/>
        <v/>
      </c>
      <c r="H2328" s="33">
        <f>IF(ISNUMBER(SEARCH("Group",D2328)),IF(G2328="",E2328,IFERROR(E2328/COUNTIF($G2:$G6000,G2328),E2328)),E2328)</f>
        <v>0</v>
      </c>
      <c r="I2328" s="1" t="str">
        <f>IFERROR(VLOOKUP(C2328,'Clients List'!A:F,6,FALSE),"")</f>
        <v/>
      </c>
    </row>
    <row r="2329" spans="4:9" x14ac:dyDescent="0.45">
      <c r="D2329" t="str">
        <f>IFERROR(VLOOKUP(C2329,'Clients List'!$A:$F,2,FALSE),"")</f>
        <v/>
      </c>
      <c r="F2329" s="1" t="str">
        <f>IF(OR(C2329="",NOT(ISNUMBER(SEARCH("Package",D2329)))),"",VLOOKUP(C2329,'Clients List'!$A:$F,4,FALSE)-SUMIFS($E$2:$E2329,$C$2:$C2329,C2329,$D$2:$D2329,"*Package*"))</f>
        <v/>
      </c>
      <c r="G2329" t="str">
        <f t="shared" si="69"/>
        <v/>
      </c>
      <c r="H2329" s="33">
        <f>IF(ISNUMBER(SEARCH("Group",D2329)),IF(G2329="",E2329,IFERROR(E2329/COUNTIF($G2:$G6000,G2329),E2329)),E2329)</f>
        <v>0</v>
      </c>
      <c r="I2329" s="1" t="str">
        <f>IFERROR(VLOOKUP(C2329,'Clients List'!A:F,6,FALSE),"")</f>
        <v/>
      </c>
    </row>
    <row r="2330" spans="4:9" x14ac:dyDescent="0.45">
      <c r="D2330" t="str">
        <f>IFERROR(VLOOKUP(C2330,'Clients List'!$A:$F,2,FALSE),"")</f>
        <v/>
      </c>
      <c r="F2330" s="1" t="str">
        <f>IF(OR(C2330="",NOT(ISNUMBER(SEARCH("Package",D2330)))),"",VLOOKUP(C2330,'Clients List'!$A:$F,4,FALSE)-SUMIFS($E$2:$E2330,$C$2:$C2330,C2330,$D$2:$D2330,"*Package*"))</f>
        <v/>
      </c>
      <c r="G2330" t="str">
        <f t="shared" si="69"/>
        <v/>
      </c>
      <c r="H2330" s="33">
        <f>IF(ISNUMBER(SEARCH("Group",D2330)),IF(G2330="",E2330,IFERROR(E2330/COUNTIF($G2:$G6000,G2330),E2330)),E2330)</f>
        <v>0</v>
      </c>
      <c r="I2330" s="1" t="str">
        <f>IFERROR(VLOOKUP(C2330,'Clients List'!A:F,6,FALSE),"")</f>
        <v/>
      </c>
    </row>
    <row r="2331" spans="4:9" x14ac:dyDescent="0.45">
      <c r="D2331" t="str">
        <f>IFERROR(VLOOKUP(C2331,'Clients List'!$A:$F,2,FALSE),"")</f>
        <v/>
      </c>
      <c r="F2331" s="1" t="str">
        <f>IF(OR(C2331="",NOT(ISNUMBER(SEARCH("Package",D2331)))),"",VLOOKUP(C2331,'Clients List'!$A:$F,4,FALSE)-SUMIFS($E$2:$E2331,$C$2:$C2331,C2331,$D$2:$D2331,"*Package*"))</f>
        <v/>
      </c>
      <c r="G2331" t="str">
        <f t="shared" si="69"/>
        <v/>
      </c>
      <c r="H2331" s="33">
        <f>IF(ISNUMBER(SEARCH("Group",D2331)),IF(G2331="",E2331,IFERROR(E2331/COUNTIF($G2:$G6000,G2331),E2331)),E2331)</f>
        <v>0</v>
      </c>
      <c r="I2331" s="1" t="str">
        <f>IFERROR(VLOOKUP(C2331,'Clients List'!A:F,6,FALSE),"")</f>
        <v/>
      </c>
    </row>
    <row r="2332" spans="4:9" x14ac:dyDescent="0.45">
      <c r="D2332" t="str">
        <f>IFERROR(VLOOKUP(C2332,'Clients List'!$A:$F,2,FALSE),"")</f>
        <v/>
      </c>
      <c r="F2332" s="1" t="str">
        <f>IF(OR(C2332="",NOT(ISNUMBER(SEARCH("Package",D2332)))),"",VLOOKUP(C2332,'Clients List'!$A:$F,4,FALSE)-SUMIFS($E$2:$E2332,$C$2:$C2332,C2332,$D$2:$D2332,"*Package*"))</f>
        <v/>
      </c>
      <c r="G2332" t="str">
        <f t="shared" si="69"/>
        <v/>
      </c>
      <c r="H2332" s="33">
        <f>IF(ISNUMBER(SEARCH("Group",D2332)),IF(G2332="",E2332,IFERROR(E2332/COUNTIF($G2:$G6000,G2332),E2332)),E2332)</f>
        <v>0</v>
      </c>
      <c r="I2332" s="1" t="str">
        <f>IFERROR(VLOOKUP(C2332,'Clients List'!A:F,6,FALSE),"")</f>
        <v/>
      </c>
    </row>
    <row r="2333" spans="4:9" x14ac:dyDescent="0.45">
      <c r="D2333" t="str">
        <f>IFERROR(VLOOKUP(C2333,'Clients List'!$A:$F,2,FALSE),"")</f>
        <v/>
      </c>
      <c r="F2333" s="1" t="str">
        <f>IF(OR(C2333="",NOT(ISNUMBER(SEARCH("Package",D2333)))),"",VLOOKUP(C2333,'Clients List'!$A:$F,4,FALSE)-SUMIFS($E$2:$E2333,$C$2:$C2333,C2333,$D$2:$D2333,"*Package*"))</f>
        <v/>
      </c>
      <c r="G2333" t="str">
        <f t="shared" si="69"/>
        <v/>
      </c>
      <c r="H2333" s="33">
        <f>IF(ISNUMBER(SEARCH("Group",D2333)),IF(G2333="",E2333,IFERROR(E2333/COUNTIF($G2:$G6000,G2333),E2333)),E2333)</f>
        <v>0</v>
      </c>
      <c r="I2333" s="1" t="str">
        <f>IFERROR(VLOOKUP(C2333,'Clients List'!A:F,6,FALSE),"")</f>
        <v/>
      </c>
    </row>
    <row r="2334" spans="4:9" x14ac:dyDescent="0.45">
      <c r="D2334" t="str">
        <f>IFERROR(VLOOKUP(C2334,'Clients List'!$A:$F,2,FALSE),"")</f>
        <v/>
      </c>
      <c r="F2334" s="1" t="str">
        <f>IF(OR(C2334="",NOT(ISNUMBER(SEARCH("Package",D2334)))),"",VLOOKUP(C2334,'Clients List'!$A:$F,4,FALSE)-SUMIFS($E$2:$E2334,$C$2:$C2334,C2334,$D$2:$D2334,"*Package*"))</f>
        <v/>
      </c>
      <c r="G2334" t="str">
        <f t="shared" si="69"/>
        <v/>
      </c>
      <c r="H2334" s="33">
        <f>IF(ISNUMBER(SEARCH("Group",D2334)),IF(G2334="",E2334,IFERROR(E2334/COUNTIF($G2:$G6000,G2334),E2334)),E2334)</f>
        <v>0</v>
      </c>
      <c r="I2334" s="1" t="str">
        <f>IFERROR(VLOOKUP(C2334,'Clients List'!A:F,6,FALSE),"")</f>
        <v/>
      </c>
    </row>
    <row r="2335" spans="4:9" x14ac:dyDescent="0.45">
      <c r="D2335" t="str">
        <f>IFERROR(VLOOKUP(C2335,'Clients List'!$A:$F,2,FALSE),"")</f>
        <v/>
      </c>
      <c r="F2335" s="1" t="str">
        <f>IF(OR(C2335="",NOT(ISNUMBER(SEARCH("Package",D2335)))),"",VLOOKUP(C2335,'Clients List'!$A:$F,4,FALSE)-SUMIFS($E$2:$E2335,$C$2:$C2335,C2335,$D$2:$D2335,"*Package*"))</f>
        <v/>
      </c>
      <c r="G2335" t="str">
        <f t="shared" si="69"/>
        <v/>
      </c>
      <c r="H2335" s="33">
        <f>IF(ISNUMBER(SEARCH("Group",D2335)),IF(G2335="",E2335,IFERROR(E2335/COUNTIF($G2:$G6000,G2335),E2335)),E2335)</f>
        <v>0</v>
      </c>
      <c r="I2335" s="1" t="str">
        <f>IFERROR(VLOOKUP(C2335,'Clients List'!A:F,6,FALSE),"")</f>
        <v/>
      </c>
    </row>
    <row r="2336" spans="4:9" x14ac:dyDescent="0.45">
      <c r="D2336" t="str">
        <f>IFERROR(VLOOKUP(C2336,'Clients List'!$A:$F,2,FALSE),"")</f>
        <v/>
      </c>
      <c r="F2336" s="1" t="str">
        <f>IF(OR(C2336="",NOT(ISNUMBER(SEARCH("Package",D2336)))),"",VLOOKUP(C2336,'Clients List'!$A:$F,4,FALSE)-SUMIFS($E$2:$E2336,$C$2:$C2336,C2336,$D$2:$D2336,"*Package*"))</f>
        <v/>
      </c>
      <c r="G2336" t="str">
        <f t="shared" si="69"/>
        <v/>
      </c>
      <c r="H2336" s="33">
        <f>IF(ISNUMBER(SEARCH("Group",D2336)),IF(G2336="",E2336,IFERROR(E2336/COUNTIF($G2:$G6000,G2336),E2336)),E2336)</f>
        <v>0</v>
      </c>
      <c r="I2336" s="1" t="str">
        <f>IFERROR(VLOOKUP(C2336,'Clients List'!A:F,6,FALSE),"")</f>
        <v/>
      </c>
    </row>
    <row r="2337" spans="4:9" x14ac:dyDescent="0.45">
      <c r="D2337" t="str">
        <f>IFERROR(VLOOKUP(C2337,'Clients List'!$A:$F,2,FALSE),"")</f>
        <v/>
      </c>
      <c r="F2337" s="1" t="str">
        <f>IF(OR(C2337="",NOT(ISNUMBER(SEARCH("Package",D2337)))),"",VLOOKUP(C2337,'Clients List'!$A:$F,4,FALSE)-SUMIFS($E$2:$E2337,$C$2:$C2337,C2337,$D$2:$D2337,"*Package*"))</f>
        <v/>
      </c>
      <c r="G2337" t="str">
        <f t="shared" si="69"/>
        <v/>
      </c>
      <c r="H2337" s="33">
        <f>IF(ISNUMBER(SEARCH("Group",D2337)),IF(G2337="",E2337,IFERROR(E2337/COUNTIF($G2:$G6000,G2337),E2337)),E2337)</f>
        <v>0</v>
      </c>
      <c r="I2337" s="1" t="str">
        <f>IFERROR(VLOOKUP(C2337,'Clients List'!A:F,6,FALSE),"")</f>
        <v/>
      </c>
    </row>
    <row r="2338" spans="4:9" x14ac:dyDescent="0.45">
      <c r="D2338" t="str">
        <f>IFERROR(VLOOKUP(C2338,'Clients List'!$A:$F,2,FALSE),"")</f>
        <v/>
      </c>
      <c r="F2338" s="1" t="str">
        <f>IF(OR(C2338="",NOT(ISNUMBER(SEARCH("Package",D2338)))),"",VLOOKUP(C2338,'Clients List'!$A:$F,4,FALSE)-SUMIFS($E$2:$E2338,$C$2:$C2338,C2338,$D$2:$D2338,"*Package*"))</f>
        <v/>
      </c>
      <c r="G2338" t="str">
        <f t="shared" si="69"/>
        <v/>
      </c>
      <c r="H2338" s="33">
        <f>IF(ISNUMBER(SEARCH("Group",D2338)),IF(G2338="",E2338,IFERROR(E2338/COUNTIF($G2:$G6000,G2338),E2338)),E2338)</f>
        <v>0</v>
      </c>
      <c r="I2338" s="1" t="str">
        <f>IFERROR(VLOOKUP(C2338,'Clients List'!A:F,6,FALSE),"")</f>
        <v/>
      </c>
    </row>
    <row r="2339" spans="4:9" x14ac:dyDescent="0.45">
      <c r="D2339" t="str">
        <f>IFERROR(VLOOKUP(C2339,'Clients List'!$A:$F,2,FALSE),"")</f>
        <v/>
      </c>
      <c r="F2339" s="1" t="str">
        <f>IF(OR(C2339="",NOT(ISNUMBER(SEARCH("Package",D2339)))),"",VLOOKUP(C2339,'Clients List'!$A:$F,4,FALSE)-SUMIFS($E$2:$E2339,$C$2:$C2339,C2339,$D$2:$D2339,"*Package*"))</f>
        <v/>
      </c>
      <c r="G2339" t="str">
        <f t="shared" si="69"/>
        <v/>
      </c>
      <c r="H2339" s="33">
        <f>IF(ISNUMBER(SEARCH("Group",D2339)),IF(G2339="",E2339,IFERROR(E2339/COUNTIF($G2:$G6000,G2339),E2339)),E2339)</f>
        <v>0</v>
      </c>
      <c r="I2339" s="1" t="str">
        <f>IFERROR(VLOOKUP(C2339,'Clients List'!A:F,6,FALSE),"")</f>
        <v/>
      </c>
    </row>
    <row r="2340" spans="4:9" x14ac:dyDescent="0.45">
      <c r="D2340" t="str">
        <f>IFERROR(VLOOKUP(C2340,'Clients List'!$A:$F,2,FALSE),"")</f>
        <v/>
      </c>
      <c r="F2340" s="1" t="str">
        <f>IF(OR(C2340="",NOT(ISNUMBER(SEARCH("Package",D2340)))),"",VLOOKUP(C2340,'Clients List'!$A:$F,4,FALSE)-SUMIFS($E$2:$E2340,$C$2:$C2340,C2340,$D$2:$D2340,"*Package*"))</f>
        <v/>
      </c>
      <c r="G2340" t="str">
        <f t="shared" si="69"/>
        <v/>
      </c>
      <c r="H2340" s="33">
        <f>IF(ISNUMBER(SEARCH("Group",D2340)),IF(G2340="",E2340,IFERROR(E2340/COUNTIF($G2:$G6000,G2340),E2340)),E2340)</f>
        <v>0</v>
      </c>
      <c r="I2340" s="1" t="str">
        <f>IFERROR(VLOOKUP(C2340,'Clients List'!A:F,6,FALSE),"")</f>
        <v/>
      </c>
    </row>
    <row r="2341" spans="4:9" x14ac:dyDescent="0.45">
      <c r="D2341" t="str">
        <f>IFERROR(VLOOKUP(C2341,'Clients List'!$A:$F,2,FALSE),"")</f>
        <v/>
      </c>
      <c r="F2341" s="1" t="str">
        <f>IF(OR(C2341="",NOT(ISNUMBER(SEARCH("Package",D2341)))),"",VLOOKUP(C2341,'Clients List'!$A:$F,4,FALSE)-SUMIFS($E$2:$E2341,$C$2:$C2341,C2341,$D$2:$D2341,"*Package*"))</f>
        <v/>
      </c>
      <c r="G2341" t="str">
        <f t="shared" si="69"/>
        <v/>
      </c>
      <c r="H2341" s="33">
        <f>IF(ISNUMBER(SEARCH("Group",D2341)),IF(G2341="",E2341,IFERROR(E2341/COUNTIF($G2:$G6000,G2341),E2341)),E2341)</f>
        <v>0</v>
      </c>
      <c r="I2341" s="1" t="str">
        <f>IFERROR(VLOOKUP(C2341,'Clients List'!A:F,6,FALSE),"")</f>
        <v/>
      </c>
    </row>
    <row r="2342" spans="4:9" x14ac:dyDescent="0.45">
      <c r="D2342" t="str">
        <f>IFERROR(VLOOKUP(C2342,'Clients List'!$A:$F,2,FALSE),"")</f>
        <v/>
      </c>
      <c r="F2342" s="1" t="str">
        <f>IF(OR(C2342="",NOT(ISNUMBER(SEARCH("Package",D2342)))),"",VLOOKUP(C2342,'Clients List'!$A:$F,4,FALSE)-SUMIFS($E$2:$E2342,$C$2:$C2342,C2342,$D$2:$D2342,"*Package*"))</f>
        <v/>
      </c>
      <c r="G2342" t="str">
        <f t="shared" si="69"/>
        <v/>
      </c>
      <c r="H2342" s="33">
        <f>IF(ISNUMBER(SEARCH("Group",D2342)),IF(G2342="",E2342,IFERROR(E2342/COUNTIF($G2:$G6000,G2342),E2342)),E2342)</f>
        <v>0</v>
      </c>
      <c r="I2342" s="1" t="str">
        <f>IFERROR(VLOOKUP(C2342,'Clients List'!A:F,6,FALSE),"")</f>
        <v/>
      </c>
    </row>
    <row r="2343" spans="4:9" x14ac:dyDescent="0.45">
      <c r="D2343" t="str">
        <f>IFERROR(VLOOKUP(C2343,'Clients List'!$A:$F,2,FALSE),"")</f>
        <v/>
      </c>
      <c r="F2343" s="1" t="str">
        <f>IF(OR(C2343="",NOT(ISNUMBER(SEARCH("Package",D2343)))),"",VLOOKUP(C2343,'Clients List'!$A:$F,4,FALSE)-SUMIFS($E$2:$E2343,$C$2:$C2343,C2343,$D$2:$D2343,"*Package*"))</f>
        <v/>
      </c>
      <c r="G2343" t="str">
        <f t="shared" si="69"/>
        <v/>
      </c>
      <c r="H2343" s="33">
        <f>IF(ISNUMBER(SEARCH("Group",D2343)),IF(G2343="",E2343,IFERROR(E2343/COUNTIF($G2:$G6000,G2343),E2343)),E2343)</f>
        <v>0</v>
      </c>
      <c r="I2343" s="1" t="str">
        <f>IFERROR(VLOOKUP(C2343,'Clients List'!A:F,6,FALSE),"")</f>
        <v/>
      </c>
    </row>
    <row r="2344" spans="4:9" x14ac:dyDescent="0.45">
      <c r="D2344" t="str">
        <f>IFERROR(VLOOKUP(C2344,'Clients List'!$A:$F,2,FALSE),"")</f>
        <v/>
      </c>
      <c r="F2344" s="1" t="str">
        <f>IF(OR(C2344="",NOT(ISNUMBER(SEARCH("Package",D2344)))),"",VLOOKUP(C2344,'Clients List'!$A:$F,4,FALSE)-SUMIFS($E$2:$E2344,$C$2:$C2344,C2344,$D$2:$D2344,"*Package*"))</f>
        <v/>
      </c>
      <c r="G2344" t="str">
        <f t="shared" si="69"/>
        <v/>
      </c>
      <c r="H2344" s="33">
        <f>IF(ISNUMBER(SEARCH("Group",D2344)),IF(G2344="",E2344,IFERROR(E2344/COUNTIF($G2:$G6000,G2344),E2344)),E2344)</f>
        <v>0</v>
      </c>
      <c r="I2344" s="1" t="str">
        <f>IFERROR(VLOOKUP(C2344,'Clients List'!A:F,6,FALSE),"")</f>
        <v/>
      </c>
    </row>
    <row r="2345" spans="4:9" x14ac:dyDescent="0.45">
      <c r="D2345" t="str">
        <f>IFERROR(VLOOKUP(C2345,'Clients List'!$A:$F,2,FALSE),"")</f>
        <v/>
      </c>
      <c r="F2345" s="1" t="str">
        <f>IF(OR(C2345="",NOT(ISNUMBER(SEARCH("Package",D2345)))),"",VLOOKUP(C2345,'Clients List'!$A:$F,4,FALSE)-SUMIFS($E$2:$E2345,$C$2:$C2345,C2345,$D$2:$D2345,"*Package*"))</f>
        <v/>
      </c>
      <c r="G2345" t="str">
        <f t="shared" si="69"/>
        <v/>
      </c>
      <c r="H2345" s="33">
        <f>IF(ISNUMBER(SEARCH("Group",D2345)),IF(G2345="",E2345,IFERROR(E2345/COUNTIF($G2:$G6000,G2345),E2345)),E2345)</f>
        <v>0</v>
      </c>
      <c r="I2345" s="1" t="str">
        <f>IFERROR(VLOOKUP(C2345,'Clients List'!A:F,6,FALSE),"")</f>
        <v/>
      </c>
    </row>
    <row r="2346" spans="4:9" x14ac:dyDescent="0.45">
      <c r="D2346" t="str">
        <f>IFERROR(VLOOKUP(C2346,'Clients List'!$A:$F,2,FALSE),"")</f>
        <v/>
      </c>
      <c r="F2346" s="1" t="str">
        <f>IF(OR(C2346="",NOT(ISNUMBER(SEARCH("Package",D2346)))),"",VLOOKUP(C2346,'Clients List'!$A:$F,4,FALSE)-SUMIFS($E$2:$E2346,$C$2:$C2346,C2346,$D$2:$D2346,"*Package*"))</f>
        <v/>
      </c>
      <c r="G2346" t="str">
        <f t="shared" si="69"/>
        <v/>
      </c>
      <c r="H2346" s="33">
        <f>IF(ISNUMBER(SEARCH("Group",D2346)),IF(G2346="",E2346,IFERROR(E2346/COUNTIF($G2:$G6000,G2346),E2346)),E2346)</f>
        <v>0</v>
      </c>
      <c r="I2346" s="1" t="str">
        <f>IFERROR(VLOOKUP(C2346,'Clients List'!A:F,6,FALSE),"")</f>
        <v/>
      </c>
    </row>
    <row r="2347" spans="4:9" x14ac:dyDescent="0.45">
      <c r="D2347" t="str">
        <f>IFERROR(VLOOKUP(C2347,'Clients List'!$A:$F,2,FALSE),"")</f>
        <v/>
      </c>
      <c r="F2347" s="1" t="str">
        <f>IF(OR(C2347="",NOT(ISNUMBER(SEARCH("Package",D2347)))),"",VLOOKUP(C2347,'Clients List'!$A:$F,4,FALSE)-SUMIFS($E$2:$E2347,$C$2:$C2347,C2347,$D$2:$D2347,"*Package*"))</f>
        <v/>
      </c>
      <c r="G2347" t="str">
        <f t="shared" si="69"/>
        <v/>
      </c>
      <c r="H2347" s="33">
        <f>IF(ISNUMBER(SEARCH("Group",D2347)),IF(G2347="",E2347,IFERROR(E2347/COUNTIF($G2:$G6000,G2347),E2347)),E2347)</f>
        <v>0</v>
      </c>
      <c r="I2347" s="1" t="str">
        <f>IFERROR(VLOOKUP(C2347,'Clients List'!A:F,6,FALSE),"")</f>
        <v/>
      </c>
    </row>
    <row r="2348" spans="4:9" x14ac:dyDescent="0.45">
      <c r="D2348" t="str">
        <f>IFERROR(VLOOKUP(C2348,'Clients List'!$A:$F,2,FALSE),"")</f>
        <v/>
      </c>
      <c r="F2348" s="1" t="str">
        <f>IF(OR(C2348="",NOT(ISNUMBER(SEARCH("Package",D2348)))),"",VLOOKUP(C2348,'Clients List'!$A:$F,4,FALSE)-SUMIFS($E$2:$E2348,$C$2:$C2348,C2348,$D$2:$D2348,"*Package*"))</f>
        <v/>
      </c>
      <c r="G2348" t="str">
        <f t="shared" si="69"/>
        <v/>
      </c>
      <c r="H2348" s="33">
        <f>IF(ISNUMBER(SEARCH("Group",D2348)),IF(G2348="",E2348,IFERROR(E2348/COUNTIF($G2:$G6000,G2348),E2348)),E2348)</f>
        <v>0</v>
      </c>
      <c r="I2348" s="1" t="str">
        <f>IFERROR(VLOOKUP(C2348,'Clients List'!A:F,6,FALSE),"")</f>
        <v/>
      </c>
    </row>
    <row r="2349" spans="4:9" x14ac:dyDescent="0.45">
      <c r="D2349" t="str">
        <f>IFERROR(VLOOKUP(C2349,'Clients List'!$A:$F,2,FALSE),"")</f>
        <v/>
      </c>
      <c r="F2349" s="1" t="str">
        <f>IF(OR(C2349="",NOT(ISNUMBER(SEARCH("Package",D2349)))),"",VLOOKUP(C2349,'Clients List'!$A:$F,4,FALSE)-SUMIFS($E$2:$E2349,$C$2:$C2349,C2349,$D$2:$D2349,"*Package*"))</f>
        <v/>
      </c>
      <c r="G2349" t="str">
        <f t="shared" si="69"/>
        <v/>
      </c>
      <c r="H2349" s="33">
        <f>IF(ISNUMBER(SEARCH("Group",D2349)),IF(G2349="",E2349,IFERROR(E2349/COUNTIF($G2:$G6000,G2349),E2349)),E2349)</f>
        <v>0</v>
      </c>
      <c r="I2349" s="1" t="str">
        <f>IFERROR(VLOOKUP(C2349,'Clients List'!A:F,6,FALSE),"")</f>
        <v/>
      </c>
    </row>
    <row r="2350" spans="4:9" x14ac:dyDescent="0.45">
      <c r="D2350" t="str">
        <f>IFERROR(VLOOKUP(C2350,'Clients List'!$A:$F,2,FALSE),"")</f>
        <v/>
      </c>
      <c r="F2350" s="1" t="str">
        <f>IF(OR(C2350="",NOT(ISNUMBER(SEARCH("Package",D2350)))),"",VLOOKUP(C2350,'Clients List'!$A:$F,4,FALSE)-SUMIFS($E$2:$E2350,$C$2:$C2350,C2350,$D$2:$D2350,"*Package*"))</f>
        <v/>
      </c>
      <c r="G2350" t="str">
        <f t="shared" si="69"/>
        <v/>
      </c>
      <c r="H2350" s="33">
        <f>IF(ISNUMBER(SEARCH("Group",D2350)),IF(G2350="",E2350,IFERROR(E2350/COUNTIF($G2:$G6000,G2350),E2350)),E2350)</f>
        <v>0</v>
      </c>
      <c r="I2350" s="1" t="str">
        <f>IFERROR(VLOOKUP(C2350,'Clients List'!A:F,6,FALSE),"")</f>
        <v/>
      </c>
    </row>
    <row r="2351" spans="4:9" x14ac:dyDescent="0.45">
      <c r="D2351" t="str">
        <f>IFERROR(VLOOKUP(C2351,'Clients List'!$A:$F,2,FALSE),"")</f>
        <v/>
      </c>
      <c r="F2351" s="1" t="str">
        <f>IF(OR(C2351="",NOT(ISNUMBER(SEARCH("Package",D2351)))),"",VLOOKUP(C2351,'Clients List'!$A:$F,4,FALSE)-SUMIFS($E$2:$E2351,$C$2:$C2351,C2351,$D$2:$D2351,"*Package*"))</f>
        <v/>
      </c>
      <c r="G2351" t="str">
        <f t="shared" si="69"/>
        <v/>
      </c>
      <c r="H2351" s="33">
        <f>IF(ISNUMBER(SEARCH("Group",D2351)),IF(G2351="",E2351,IFERROR(E2351/COUNTIF($G2:$G6000,G2351),E2351)),E2351)</f>
        <v>0</v>
      </c>
      <c r="I2351" s="1" t="str">
        <f>IFERROR(VLOOKUP(C2351,'Clients List'!A:F,6,FALSE),"")</f>
        <v/>
      </c>
    </row>
    <row r="2352" spans="4:9" x14ac:dyDescent="0.45">
      <c r="D2352" t="str">
        <f>IFERROR(VLOOKUP(C2352,'Clients List'!$A:$F,2,FALSE),"")</f>
        <v/>
      </c>
      <c r="F2352" s="1" t="str">
        <f>IF(OR(C2352="",NOT(ISNUMBER(SEARCH("Package",D2352)))),"",VLOOKUP(C2352,'Clients List'!$A:$F,4,FALSE)-SUMIFS($E$2:$E2352,$C$2:$C2352,C2352,$D$2:$D2352,"*Package*"))</f>
        <v/>
      </c>
      <c r="G2352" t="str">
        <f t="shared" si="69"/>
        <v/>
      </c>
      <c r="H2352" s="33">
        <f>IF(ISNUMBER(SEARCH("Group",D2352)),IF(G2352="",E2352,IFERROR(E2352/COUNTIF($G2:$G6000,G2352),E2352)),E2352)</f>
        <v>0</v>
      </c>
      <c r="I2352" s="1" t="str">
        <f>IFERROR(VLOOKUP(C2352,'Clients List'!A:F,6,FALSE),"")</f>
        <v/>
      </c>
    </row>
    <row r="2353" spans="4:9" x14ac:dyDescent="0.45">
      <c r="D2353" t="str">
        <f>IFERROR(VLOOKUP(C2353,'Clients List'!$A:$F,2,FALSE),"")</f>
        <v/>
      </c>
      <c r="F2353" s="1" t="str">
        <f>IF(OR(C2353="",NOT(ISNUMBER(SEARCH("Package",D2353)))),"",VLOOKUP(C2353,'Clients List'!$A:$F,4,FALSE)-SUMIFS($E$2:$E2353,$C$2:$C2353,C2353,$D$2:$D2353,"*Package*"))</f>
        <v/>
      </c>
      <c r="G2353" t="str">
        <f t="shared" si="69"/>
        <v/>
      </c>
      <c r="H2353" s="33">
        <f>IF(ISNUMBER(SEARCH("Group",D2353)),IF(G2353="",E2353,IFERROR(E2353/COUNTIF($G2:$G6000,G2353),E2353)),E2353)</f>
        <v>0</v>
      </c>
      <c r="I2353" s="1" t="str">
        <f>IFERROR(VLOOKUP(C2353,'Clients List'!A:F,6,FALSE),"")</f>
        <v/>
      </c>
    </row>
    <row r="2354" spans="4:9" x14ac:dyDescent="0.45">
      <c r="D2354" t="str">
        <f>IFERROR(VLOOKUP(C2354,'Clients List'!$A:$F,2,FALSE),"")</f>
        <v/>
      </c>
      <c r="F2354" s="1" t="str">
        <f>IF(OR(C2354="",NOT(ISNUMBER(SEARCH("Package",D2354)))),"",VLOOKUP(C2354,'Clients List'!$A:$F,4,FALSE)-SUMIFS($E$2:$E2354,$C$2:$C2354,C2354,$D$2:$D2354,"*Package*"))</f>
        <v/>
      </c>
      <c r="G2354" t="str">
        <f t="shared" si="69"/>
        <v/>
      </c>
      <c r="H2354" s="33">
        <f>IF(ISNUMBER(SEARCH("Group",D2354)),IF(G2354="",E2354,IFERROR(E2354/COUNTIF($G2:$G6000,G2354),E2354)),E2354)</f>
        <v>0</v>
      </c>
      <c r="I2354" s="1" t="str">
        <f>IFERROR(VLOOKUP(C2354,'Clients List'!A:F,6,FALSE),"")</f>
        <v/>
      </c>
    </row>
    <row r="2355" spans="4:9" x14ac:dyDescent="0.45">
      <c r="D2355" t="str">
        <f>IFERROR(VLOOKUP(C2355,'Clients List'!$A:$F,2,FALSE),"")</f>
        <v/>
      </c>
      <c r="F2355" s="1" t="str">
        <f>IF(OR(C2355="",NOT(ISNUMBER(SEARCH("Package",D2355)))),"",VLOOKUP(C2355,'Clients List'!$A:$F,4,FALSE)-SUMIFS($E$2:$E2355,$C$2:$C2355,C2355,$D$2:$D2355,"*Package*"))</f>
        <v/>
      </c>
      <c r="G2355" t="str">
        <f t="shared" si="69"/>
        <v/>
      </c>
      <c r="H2355" s="33">
        <f>IF(ISNUMBER(SEARCH("Group",D2355)),IF(G2355="",E2355,IFERROR(E2355/COUNTIF($G2:$G6000,G2355),E2355)),E2355)</f>
        <v>0</v>
      </c>
      <c r="I2355" s="1" t="str">
        <f>IFERROR(VLOOKUP(C2355,'Clients List'!A:F,6,FALSE),"")</f>
        <v/>
      </c>
    </row>
    <row r="2356" spans="4:9" x14ac:dyDescent="0.45">
      <c r="D2356" t="str">
        <f>IFERROR(VLOOKUP(C2356,'Clients List'!$A:$F,2,FALSE),"")</f>
        <v/>
      </c>
      <c r="F2356" s="1" t="str">
        <f>IF(OR(C2356="",NOT(ISNUMBER(SEARCH("Package",D2356)))),"",VLOOKUP(C2356,'Clients List'!$A:$F,4,FALSE)-SUMIFS($E$2:$E2356,$C$2:$C2356,C2356,$D$2:$D2356,"*Package*"))</f>
        <v/>
      </c>
      <c r="G2356" t="str">
        <f t="shared" si="69"/>
        <v/>
      </c>
      <c r="H2356" s="33">
        <f>IF(ISNUMBER(SEARCH("Group",D2356)),IF(G2356="",E2356,IFERROR(E2356/COUNTIF($G2:$G6000,G2356),E2356)),E2356)</f>
        <v>0</v>
      </c>
      <c r="I2356" s="1" t="str">
        <f>IFERROR(VLOOKUP(C2356,'Clients List'!A:F,6,FALSE),"")</f>
        <v/>
      </c>
    </row>
    <row r="2357" spans="4:9" x14ac:dyDescent="0.45">
      <c r="D2357" t="str">
        <f>IFERROR(VLOOKUP(C2357,'Clients List'!$A:$F,2,FALSE),"")</f>
        <v/>
      </c>
      <c r="F2357" s="1" t="str">
        <f>IF(OR(C2357="",NOT(ISNUMBER(SEARCH("Package",D2357)))),"",VLOOKUP(C2357,'Clients List'!$A:$F,4,FALSE)-SUMIFS($E$2:$E2357,$C$2:$C2357,C2357,$D$2:$D2357,"*Package*"))</f>
        <v/>
      </c>
      <c r="G2357" t="str">
        <f t="shared" ref="G2357:G2420" si="70">IF(ISNUMBER(SEARCH("Group",D2357)),IFERROR("GRP-"&amp;TEXT(IF(ISNUMBER(A2357),A2357,DATEVALUE(A2357)),"yyyymmdd"),""),"" )</f>
        <v/>
      </c>
      <c r="H2357" s="33">
        <f>IF(ISNUMBER(SEARCH("Group",D2357)),IF(G2357="",E2357,IFERROR(E2357/COUNTIF($G2:$G6000,G2357),E2357)),E2357)</f>
        <v>0</v>
      </c>
      <c r="I2357" s="1" t="str">
        <f>IFERROR(VLOOKUP(C2357,'Clients List'!A:F,6,FALSE),"")</f>
        <v/>
      </c>
    </row>
    <row r="2358" spans="4:9" x14ac:dyDescent="0.45">
      <c r="D2358" t="str">
        <f>IFERROR(VLOOKUP(C2358,'Clients List'!$A:$F,2,FALSE),"")</f>
        <v/>
      </c>
      <c r="F2358" s="1" t="str">
        <f>IF(OR(C2358="",NOT(ISNUMBER(SEARCH("Package",D2358)))),"",VLOOKUP(C2358,'Clients List'!$A:$F,4,FALSE)-SUMIFS($E$2:$E2358,$C$2:$C2358,C2358,$D$2:$D2358,"*Package*"))</f>
        <v/>
      </c>
      <c r="G2358" t="str">
        <f t="shared" si="70"/>
        <v/>
      </c>
      <c r="H2358" s="33">
        <f>IF(ISNUMBER(SEARCH("Group",D2358)),IF(G2358="",E2358,IFERROR(E2358/COUNTIF($G2:$G6000,G2358),E2358)),E2358)</f>
        <v>0</v>
      </c>
      <c r="I2358" s="1" t="str">
        <f>IFERROR(VLOOKUP(C2358,'Clients List'!A:F,6,FALSE),"")</f>
        <v/>
      </c>
    </row>
    <row r="2359" spans="4:9" x14ac:dyDescent="0.45">
      <c r="D2359" t="str">
        <f>IFERROR(VLOOKUP(C2359,'Clients List'!$A:$F,2,FALSE),"")</f>
        <v/>
      </c>
      <c r="F2359" s="1" t="str">
        <f>IF(OR(C2359="",NOT(ISNUMBER(SEARCH("Package",D2359)))),"",VLOOKUP(C2359,'Clients List'!$A:$F,4,FALSE)-SUMIFS($E$2:$E2359,$C$2:$C2359,C2359,$D$2:$D2359,"*Package*"))</f>
        <v/>
      </c>
      <c r="G2359" t="str">
        <f t="shared" si="70"/>
        <v/>
      </c>
      <c r="H2359" s="33">
        <f>IF(ISNUMBER(SEARCH("Group",D2359)),IF(G2359="",E2359,IFERROR(E2359/COUNTIF($G2:$G6000,G2359),E2359)),E2359)</f>
        <v>0</v>
      </c>
      <c r="I2359" s="1" t="str">
        <f>IFERROR(VLOOKUP(C2359,'Clients List'!A:F,6,FALSE),"")</f>
        <v/>
      </c>
    </row>
    <row r="2360" spans="4:9" x14ac:dyDescent="0.45">
      <c r="D2360" t="str">
        <f>IFERROR(VLOOKUP(C2360,'Clients List'!$A:$F,2,FALSE),"")</f>
        <v/>
      </c>
      <c r="F2360" s="1" t="str">
        <f>IF(OR(C2360="",NOT(ISNUMBER(SEARCH("Package",D2360)))),"",VLOOKUP(C2360,'Clients List'!$A:$F,4,FALSE)-SUMIFS($E$2:$E2360,$C$2:$C2360,C2360,$D$2:$D2360,"*Package*"))</f>
        <v/>
      </c>
      <c r="G2360" t="str">
        <f t="shared" si="70"/>
        <v/>
      </c>
      <c r="H2360" s="33">
        <f>IF(ISNUMBER(SEARCH("Group",D2360)),IF(G2360="",E2360,IFERROR(E2360/COUNTIF($G2:$G6000,G2360),E2360)),E2360)</f>
        <v>0</v>
      </c>
      <c r="I2360" s="1" t="str">
        <f>IFERROR(VLOOKUP(C2360,'Clients List'!A:F,6,FALSE),"")</f>
        <v/>
      </c>
    </row>
    <row r="2361" spans="4:9" x14ac:dyDescent="0.45">
      <c r="D2361" t="str">
        <f>IFERROR(VLOOKUP(C2361,'Clients List'!$A:$F,2,FALSE),"")</f>
        <v/>
      </c>
      <c r="F2361" s="1" t="str">
        <f>IF(OR(C2361="",NOT(ISNUMBER(SEARCH("Package",D2361)))),"",VLOOKUP(C2361,'Clients List'!$A:$F,4,FALSE)-SUMIFS($E$2:$E2361,$C$2:$C2361,C2361,$D$2:$D2361,"*Package*"))</f>
        <v/>
      </c>
      <c r="G2361" t="str">
        <f t="shared" si="70"/>
        <v/>
      </c>
      <c r="H2361" s="33">
        <f>IF(ISNUMBER(SEARCH("Group",D2361)),IF(G2361="",E2361,IFERROR(E2361/COUNTIF($G2:$G6000,G2361),E2361)),E2361)</f>
        <v>0</v>
      </c>
      <c r="I2361" s="1" t="str">
        <f>IFERROR(VLOOKUP(C2361,'Clients List'!A:F,6,FALSE),"")</f>
        <v/>
      </c>
    </row>
    <row r="2362" spans="4:9" x14ac:dyDescent="0.45">
      <c r="D2362" t="str">
        <f>IFERROR(VLOOKUP(C2362,'Clients List'!$A:$F,2,FALSE),"")</f>
        <v/>
      </c>
      <c r="F2362" s="1" t="str">
        <f>IF(OR(C2362="",NOT(ISNUMBER(SEARCH("Package",D2362)))),"",VLOOKUP(C2362,'Clients List'!$A:$F,4,FALSE)-SUMIFS($E$2:$E2362,$C$2:$C2362,C2362,$D$2:$D2362,"*Package*"))</f>
        <v/>
      </c>
      <c r="G2362" t="str">
        <f t="shared" si="70"/>
        <v/>
      </c>
      <c r="H2362" s="33">
        <f>IF(ISNUMBER(SEARCH("Group",D2362)),IF(G2362="",E2362,IFERROR(E2362/COUNTIF($G2:$G6000,G2362),E2362)),E2362)</f>
        <v>0</v>
      </c>
      <c r="I2362" s="1" t="str">
        <f>IFERROR(VLOOKUP(C2362,'Clients List'!A:F,6,FALSE),"")</f>
        <v/>
      </c>
    </row>
    <row r="2363" spans="4:9" x14ac:dyDescent="0.45">
      <c r="D2363" t="str">
        <f>IFERROR(VLOOKUP(C2363,'Clients List'!$A:$F,2,FALSE),"")</f>
        <v/>
      </c>
      <c r="F2363" s="1" t="str">
        <f>IF(OR(C2363="",NOT(ISNUMBER(SEARCH("Package",D2363)))),"",VLOOKUP(C2363,'Clients List'!$A:$F,4,FALSE)-SUMIFS($E$2:$E2363,$C$2:$C2363,C2363,$D$2:$D2363,"*Package*"))</f>
        <v/>
      </c>
      <c r="G2363" t="str">
        <f t="shared" si="70"/>
        <v/>
      </c>
      <c r="H2363" s="33">
        <f>IF(ISNUMBER(SEARCH("Group",D2363)),IF(G2363="",E2363,IFERROR(E2363/COUNTIF($G2:$G6000,G2363),E2363)),E2363)</f>
        <v>0</v>
      </c>
      <c r="I2363" s="1" t="str">
        <f>IFERROR(VLOOKUP(C2363,'Clients List'!A:F,6,FALSE),"")</f>
        <v/>
      </c>
    </row>
    <row r="2364" spans="4:9" x14ac:dyDescent="0.45">
      <c r="D2364" t="str">
        <f>IFERROR(VLOOKUP(C2364,'Clients List'!$A:$F,2,FALSE),"")</f>
        <v/>
      </c>
      <c r="F2364" s="1" t="str">
        <f>IF(OR(C2364="",NOT(ISNUMBER(SEARCH("Package",D2364)))),"",VLOOKUP(C2364,'Clients List'!$A:$F,4,FALSE)-SUMIFS($E$2:$E2364,$C$2:$C2364,C2364,$D$2:$D2364,"*Package*"))</f>
        <v/>
      </c>
      <c r="G2364" t="str">
        <f t="shared" si="70"/>
        <v/>
      </c>
      <c r="H2364" s="33">
        <f>IF(ISNUMBER(SEARCH("Group",D2364)),IF(G2364="",E2364,IFERROR(E2364/COUNTIF($G2:$G6000,G2364),E2364)),E2364)</f>
        <v>0</v>
      </c>
      <c r="I2364" s="1" t="str">
        <f>IFERROR(VLOOKUP(C2364,'Clients List'!A:F,6,FALSE),"")</f>
        <v/>
      </c>
    </row>
    <row r="2365" spans="4:9" x14ac:dyDescent="0.45">
      <c r="D2365" t="str">
        <f>IFERROR(VLOOKUP(C2365,'Clients List'!$A:$F,2,FALSE),"")</f>
        <v/>
      </c>
      <c r="F2365" s="1" t="str">
        <f>IF(OR(C2365="",NOT(ISNUMBER(SEARCH("Package",D2365)))),"",VLOOKUP(C2365,'Clients List'!$A:$F,4,FALSE)-SUMIFS($E$2:$E2365,$C$2:$C2365,C2365,$D$2:$D2365,"*Package*"))</f>
        <v/>
      </c>
      <c r="G2365" t="str">
        <f t="shared" si="70"/>
        <v/>
      </c>
      <c r="H2365" s="33">
        <f>IF(ISNUMBER(SEARCH("Group",D2365)),IF(G2365="",E2365,IFERROR(E2365/COUNTIF($G2:$G6000,G2365),E2365)),E2365)</f>
        <v>0</v>
      </c>
      <c r="I2365" s="1" t="str">
        <f>IFERROR(VLOOKUP(C2365,'Clients List'!A:F,6,FALSE),"")</f>
        <v/>
      </c>
    </row>
    <row r="2366" spans="4:9" x14ac:dyDescent="0.45">
      <c r="D2366" t="str">
        <f>IFERROR(VLOOKUP(C2366,'Clients List'!$A:$F,2,FALSE),"")</f>
        <v/>
      </c>
      <c r="F2366" s="1" t="str">
        <f>IF(OR(C2366="",NOT(ISNUMBER(SEARCH("Package",D2366)))),"",VLOOKUP(C2366,'Clients List'!$A:$F,4,FALSE)-SUMIFS($E$2:$E2366,$C$2:$C2366,C2366,$D$2:$D2366,"*Package*"))</f>
        <v/>
      </c>
      <c r="G2366" t="str">
        <f t="shared" si="70"/>
        <v/>
      </c>
      <c r="H2366" s="33">
        <f>IF(ISNUMBER(SEARCH("Group",D2366)),IF(G2366="",E2366,IFERROR(E2366/COUNTIF($G2:$G6000,G2366),E2366)),E2366)</f>
        <v>0</v>
      </c>
      <c r="I2366" s="1" t="str">
        <f>IFERROR(VLOOKUP(C2366,'Clients List'!A:F,6,FALSE),"")</f>
        <v/>
      </c>
    </row>
    <row r="2367" spans="4:9" x14ac:dyDescent="0.45">
      <c r="D2367" t="str">
        <f>IFERROR(VLOOKUP(C2367,'Clients List'!$A:$F,2,FALSE),"")</f>
        <v/>
      </c>
      <c r="F2367" s="1" t="str">
        <f>IF(OR(C2367="",NOT(ISNUMBER(SEARCH("Package",D2367)))),"",VLOOKUP(C2367,'Clients List'!$A:$F,4,FALSE)-SUMIFS($E$2:$E2367,$C$2:$C2367,C2367,$D$2:$D2367,"*Package*"))</f>
        <v/>
      </c>
      <c r="G2367" t="str">
        <f t="shared" si="70"/>
        <v/>
      </c>
      <c r="H2367" s="33">
        <f>IF(ISNUMBER(SEARCH("Group",D2367)),IF(G2367="",E2367,IFERROR(E2367/COUNTIF($G2:$G6000,G2367),E2367)),E2367)</f>
        <v>0</v>
      </c>
      <c r="I2367" s="1" t="str">
        <f>IFERROR(VLOOKUP(C2367,'Clients List'!A:F,6,FALSE),"")</f>
        <v/>
      </c>
    </row>
    <row r="2368" spans="4:9" x14ac:dyDescent="0.45">
      <c r="D2368" t="str">
        <f>IFERROR(VLOOKUP(C2368,'Clients List'!$A:$F,2,FALSE),"")</f>
        <v/>
      </c>
      <c r="F2368" s="1" t="str">
        <f>IF(OR(C2368="",NOT(ISNUMBER(SEARCH("Package",D2368)))),"",VLOOKUP(C2368,'Clients List'!$A:$F,4,FALSE)-SUMIFS($E$2:$E2368,$C$2:$C2368,C2368,$D$2:$D2368,"*Package*"))</f>
        <v/>
      </c>
      <c r="G2368" t="str">
        <f t="shared" si="70"/>
        <v/>
      </c>
      <c r="H2368" s="33">
        <f>IF(ISNUMBER(SEARCH("Group",D2368)),IF(G2368="",E2368,IFERROR(E2368/COUNTIF($G2:$G6000,G2368),E2368)),E2368)</f>
        <v>0</v>
      </c>
      <c r="I2368" s="1" t="str">
        <f>IFERROR(VLOOKUP(C2368,'Clients List'!A:F,6,FALSE),"")</f>
        <v/>
      </c>
    </row>
    <row r="2369" spans="4:9" x14ac:dyDescent="0.45">
      <c r="D2369" t="str">
        <f>IFERROR(VLOOKUP(C2369,'Clients List'!$A:$F,2,FALSE),"")</f>
        <v/>
      </c>
      <c r="F2369" s="1" t="str">
        <f>IF(OR(C2369="",NOT(ISNUMBER(SEARCH("Package",D2369)))),"",VLOOKUP(C2369,'Clients List'!$A:$F,4,FALSE)-SUMIFS($E$2:$E2369,$C$2:$C2369,C2369,$D$2:$D2369,"*Package*"))</f>
        <v/>
      </c>
      <c r="G2369" t="str">
        <f t="shared" si="70"/>
        <v/>
      </c>
      <c r="H2369" s="33">
        <f>IF(ISNUMBER(SEARCH("Group",D2369)),IF(G2369="",E2369,IFERROR(E2369/COUNTIF($G2:$G6000,G2369),E2369)),E2369)</f>
        <v>0</v>
      </c>
      <c r="I2369" s="1" t="str">
        <f>IFERROR(VLOOKUP(C2369,'Clients List'!A:F,6,FALSE),"")</f>
        <v/>
      </c>
    </row>
    <row r="2370" spans="4:9" x14ac:dyDescent="0.45">
      <c r="D2370" t="str">
        <f>IFERROR(VLOOKUP(C2370,'Clients List'!$A:$F,2,FALSE),"")</f>
        <v/>
      </c>
      <c r="F2370" s="1" t="str">
        <f>IF(OR(C2370="",NOT(ISNUMBER(SEARCH("Package",D2370)))),"",VLOOKUP(C2370,'Clients List'!$A:$F,4,FALSE)-SUMIFS($E$2:$E2370,$C$2:$C2370,C2370,$D$2:$D2370,"*Package*"))</f>
        <v/>
      </c>
      <c r="G2370" t="str">
        <f t="shared" si="70"/>
        <v/>
      </c>
      <c r="H2370" s="33">
        <f>IF(ISNUMBER(SEARCH("Group",D2370)),IF(G2370="",E2370,IFERROR(E2370/COUNTIF($G2:$G6000,G2370),E2370)),E2370)</f>
        <v>0</v>
      </c>
      <c r="I2370" s="1" t="str">
        <f>IFERROR(VLOOKUP(C2370,'Clients List'!A:F,6,FALSE),"")</f>
        <v/>
      </c>
    </row>
    <row r="2371" spans="4:9" x14ac:dyDescent="0.45">
      <c r="D2371" t="str">
        <f>IFERROR(VLOOKUP(C2371,'Clients List'!$A:$F,2,FALSE),"")</f>
        <v/>
      </c>
      <c r="F2371" s="1" t="str">
        <f>IF(OR(C2371="",NOT(ISNUMBER(SEARCH("Package",D2371)))),"",VLOOKUP(C2371,'Clients List'!$A:$F,4,FALSE)-SUMIFS($E$2:$E2371,$C$2:$C2371,C2371,$D$2:$D2371,"*Package*"))</f>
        <v/>
      </c>
      <c r="G2371" t="str">
        <f t="shared" si="70"/>
        <v/>
      </c>
      <c r="H2371" s="33">
        <f>IF(ISNUMBER(SEARCH("Group",D2371)),IF(G2371="",E2371,IFERROR(E2371/COUNTIF($G2:$G6000,G2371),E2371)),E2371)</f>
        <v>0</v>
      </c>
      <c r="I2371" s="1" t="str">
        <f>IFERROR(VLOOKUP(C2371,'Clients List'!A:F,6,FALSE),"")</f>
        <v/>
      </c>
    </row>
    <row r="2372" spans="4:9" x14ac:dyDescent="0.45">
      <c r="D2372" t="str">
        <f>IFERROR(VLOOKUP(C2372,'Clients List'!$A:$F,2,FALSE),"")</f>
        <v/>
      </c>
      <c r="F2372" s="1" t="str">
        <f>IF(OR(C2372="",NOT(ISNUMBER(SEARCH("Package",D2372)))),"",VLOOKUP(C2372,'Clients List'!$A:$F,4,FALSE)-SUMIFS($E$2:$E2372,$C$2:$C2372,C2372,$D$2:$D2372,"*Package*"))</f>
        <v/>
      </c>
      <c r="G2372" t="str">
        <f t="shared" si="70"/>
        <v/>
      </c>
      <c r="H2372" s="33">
        <f>IF(ISNUMBER(SEARCH("Group",D2372)),IF(G2372="",E2372,IFERROR(E2372/COUNTIF($G2:$G6000,G2372),E2372)),E2372)</f>
        <v>0</v>
      </c>
      <c r="I2372" s="1" t="str">
        <f>IFERROR(VLOOKUP(C2372,'Clients List'!A:F,6,FALSE),"")</f>
        <v/>
      </c>
    </row>
    <row r="2373" spans="4:9" x14ac:dyDescent="0.45">
      <c r="D2373" t="str">
        <f>IFERROR(VLOOKUP(C2373,'Clients List'!$A:$F,2,FALSE),"")</f>
        <v/>
      </c>
      <c r="F2373" s="1" t="str">
        <f>IF(OR(C2373="",NOT(ISNUMBER(SEARCH("Package",D2373)))),"",VLOOKUP(C2373,'Clients List'!$A:$F,4,FALSE)-SUMIFS($E$2:$E2373,$C$2:$C2373,C2373,$D$2:$D2373,"*Package*"))</f>
        <v/>
      </c>
      <c r="G2373" t="str">
        <f t="shared" si="70"/>
        <v/>
      </c>
      <c r="H2373" s="33">
        <f>IF(ISNUMBER(SEARCH("Group",D2373)),IF(G2373="",E2373,IFERROR(E2373/COUNTIF($G2:$G6000,G2373),E2373)),E2373)</f>
        <v>0</v>
      </c>
      <c r="I2373" s="1" t="str">
        <f>IFERROR(VLOOKUP(C2373,'Clients List'!A:F,6,FALSE),"")</f>
        <v/>
      </c>
    </row>
    <row r="2374" spans="4:9" x14ac:dyDescent="0.45">
      <c r="D2374" t="str">
        <f>IFERROR(VLOOKUP(C2374,'Clients List'!$A:$F,2,FALSE),"")</f>
        <v/>
      </c>
      <c r="F2374" s="1" t="str">
        <f>IF(OR(C2374="",NOT(ISNUMBER(SEARCH("Package",D2374)))),"",VLOOKUP(C2374,'Clients List'!$A:$F,4,FALSE)-SUMIFS($E$2:$E2374,$C$2:$C2374,C2374,$D$2:$D2374,"*Package*"))</f>
        <v/>
      </c>
      <c r="G2374" t="str">
        <f t="shared" si="70"/>
        <v/>
      </c>
      <c r="H2374" s="33">
        <f>IF(ISNUMBER(SEARCH("Group",D2374)),IF(G2374="",E2374,IFERROR(E2374/COUNTIF($G2:$G6000,G2374),E2374)),E2374)</f>
        <v>0</v>
      </c>
      <c r="I2374" s="1" t="str">
        <f>IFERROR(VLOOKUP(C2374,'Clients List'!A:F,6,FALSE),"")</f>
        <v/>
      </c>
    </row>
    <row r="2375" spans="4:9" x14ac:dyDescent="0.45">
      <c r="D2375" t="str">
        <f>IFERROR(VLOOKUP(C2375,'Clients List'!$A:$F,2,FALSE),"")</f>
        <v/>
      </c>
      <c r="F2375" s="1" t="str">
        <f>IF(OR(C2375="",NOT(ISNUMBER(SEARCH("Package",D2375)))),"",VLOOKUP(C2375,'Clients List'!$A:$F,4,FALSE)-SUMIFS($E$2:$E2375,$C$2:$C2375,C2375,$D$2:$D2375,"*Package*"))</f>
        <v/>
      </c>
      <c r="G2375" t="str">
        <f t="shared" si="70"/>
        <v/>
      </c>
      <c r="H2375" s="33">
        <f>IF(ISNUMBER(SEARCH("Group",D2375)),IF(G2375="",E2375,IFERROR(E2375/COUNTIF($G2:$G6000,G2375),E2375)),E2375)</f>
        <v>0</v>
      </c>
      <c r="I2375" s="1" t="str">
        <f>IFERROR(VLOOKUP(C2375,'Clients List'!A:F,6,FALSE),"")</f>
        <v/>
      </c>
    </row>
    <row r="2376" spans="4:9" x14ac:dyDescent="0.45">
      <c r="D2376" t="str">
        <f>IFERROR(VLOOKUP(C2376,'Clients List'!$A:$F,2,FALSE),"")</f>
        <v/>
      </c>
      <c r="F2376" s="1" t="str">
        <f>IF(OR(C2376="",NOT(ISNUMBER(SEARCH("Package",D2376)))),"",VLOOKUP(C2376,'Clients List'!$A:$F,4,FALSE)-SUMIFS($E$2:$E2376,$C$2:$C2376,C2376,$D$2:$D2376,"*Package*"))</f>
        <v/>
      </c>
      <c r="G2376" t="str">
        <f t="shared" si="70"/>
        <v/>
      </c>
      <c r="H2376" s="33">
        <f>IF(ISNUMBER(SEARCH("Group",D2376)),IF(G2376="",E2376,IFERROR(E2376/COUNTIF($G2:$G6000,G2376),E2376)),E2376)</f>
        <v>0</v>
      </c>
      <c r="I2376" s="1" t="str">
        <f>IFERROR(VLOOKUP(C2376,'Clients List'!A:F,6,FALSE),"")</f>
        <v/>
      </c>
    </row>
    <row r="2377" spans="4:9" x14ac:dyDescent="0.45">
      <c r="D2377" t="str">
        <f>IFERROR(VLOOKUP(C2377,'Clients List'!$A:$F,2,FALSE),"")</f>
        <v/>
      </c>
      <c r="F2377" s="1" t="str">
        <f>IF(OR(C2377="",NOT(ISNUMBER(SEARCH("Package",D2377)))),"",VLOOKUP(C2377,'Clients List'!$A:$F,4,FALSE)-SUMIFS($E$2:$E2377,$C$2:$C2377,C2377,$D$2:$D2377,"*Package*"))</f>
        <v/>
      </c>
      <c r="G2377" t="str">
        <f t="shared" si="70"/>
        <v/>
      </c>
      <c r="H2377" s="33">
        <f>IF(ISNUMBER(SEARCH("Group",D2377)),IF(G2377="",E2377,IFERROR(E2377/COUNTIF($G2:$G6000,G2377),E2377)),E2377)</f>
        <v>0</v>
      </c>
      <c r="I2377" s="1" t="str">
        <f>IFERROR(VLOOKUP(C2377,'Clients List'!A:F,6,FALSE),"")</f>
        <v/>
      </c>
    </row>
    <row r="2378" spans="4:9" x14ac:dyDescent="0.45">
      <c r="D2378" t="str">
        <f>IFERROR(VLOOKUP(C2378,'Clients List'!$A:$F,2,FALSE),"")</f>
        <v/>
      </c>
      <c r="F2378" s="1" t="str">
        <f>IF(OR(C2378="",NOT(ISNUMBER(SEARCH("Package",D2378)))),"",VLOOKUP(C2378,'Clients List'!$A:$F,4,FALSE)-SUMIFS($E$2:$E2378,$C$2:$C2378,C2378,$D$2:$D2378,"*Package*"))</f>
        <v/>
      </c>
      <c r="G2378" t="str">
        <f t="shared" si="70"/>
        <v/>
      </c>
      <c r="H2378" s="33">
        <f>IF(ISNUMBER(SEARCH("Group",D2378)),IF(G2378="",E2378,IFERROR(E2378/COUNTIF($G2:$G6000,G2378),E2378)),E2378)</f>
        <v>0</v>
      </c>
      <c r="I2378" s="1" t="str">
        <f>IFERROR(VLOOKUP(C2378,'Clients List'!A:F,6,FALSE),"")</f>
        <v/>
      </c>
    </row>
    <row r="2379" spans="4:9" x14ac:dyDescent="0.45">
      <c r="D2379" t="str">
        <f>IFERROR(VLOOKUP(C2379,'Clients List'!$A:$F,2,FALSE),"")</f>
        <v/>
      </c>
      <c r="F2379" s="1" t="str">
        <f>IF(OR(C2379="",NOT(ISNUMBER(SEARCH("Package",D2379)))),"",VLOOKUP(C2379,'Clients List'!$A:$F,4,FALSE)-SUMIFS($E$2:$E2379,$C$2:$C2379,C2379,$D$2:$D2379,"*Package*"))</f>
        <v/>
      </c>
      <c r="G2379" t="str">
        <f t="shared" si="70"/>
        <v/>
      </c>
      <c r="H2379" s="33">
        <f>IF(ISNUMBER(SEARCH("Group",D2379)),IF(G2379="",E2379,IFERROR(E2379/COUNTIF($G2:$G6000,G2379),E2379)),E2379)</f>
        <v>0</v>
      </c>
      <c r="I2379" s="1" t="str">
        <f>IFERROR(VLOOKUP(C2379,'Clients List'!A:F,6,FALSE),"")</f>
        <v/>
      </c>
    </row>
    <row r="2380" spans="4:9" x14ac:dyDescent="0.45">
      <c r="D2380" t="str">
        <f>IFERROR(VLOOKUP(C2380,'Clients List'!$A:$F,2,FALSE),"")</f>
        <v/>
      </c>
      <c r="F2380" s="1" t="str">
        <f>IF(OR(C2380="",NOT(ISNUMBER(SEARCH("Package",D2380)))),"",VLOOKUP(C2380,'Clients List'!$A:$F,4,FALSE)-SUMIFS($E$2:$E2380,$C$2:$C2380,C2380,$D$2:$D2380,"*Package*"))</f>
        <v/>
      </c>
      <c r="G2380" t="str">
        <f t="shared" si="70"/>
        <v/>
      </c>
      <c r="H2380" s="33">
        <f>IF(ISNUMBER(SEARCH("Group",D2380)),IF(G2380="",E2380,IFERROR(E2380/COUNTIF($G2:$G6000,G2380),E2380)),E2380)</f>
        <v>0</v>
      </c>
      <c r="I2380" s="1" t="str">
        <f>IFERROR(VLOOKUP(C2380,'Clients List'!A:F,6,FALSE),"")</f>
        <v/>
      </c>
    </row>
    <row r="2381" spans="4:9" x14ac:dyDescent="0.45">
      <c r="D2381" t="str">
        <f>IFERROR(VLOOKUP(C2381,'Clients List'!$A:$F,2,FALSE),"")</f>
        <v/>
      </c>
      <c r="F2381" s="1" t="str">
        <f>IF(OR(C2381="",NOT(ISNUMBER(SEARCH("Package",D2381)))),"",VLOOKUP(C2381,'Clients List'!$A:$F,4,FALSE)-SUMIFS($E$2:$E2381,$C$2:$C2381,C2381,$D$2:$D2381,"*Package*"))</f>
        <v/>
      </c>
      <c r="G2381" t="str">
        <f t="shared" si="70"/>
        <v/>
      </c>
      <c r="H2381" s="33">
        <f>IF(ISNUMBER(SEARCH("Group",D2381)),IF(G2381="",E2381,IFERROR(E2381/COUNTIF($G2:$G6000,G2381),E2381)),E2381)</f>
        <v>0</v>
      </c>
      <c r="I2381" s="1" t="str">
        <f>IFERROR(VLOOKUP(C2381,'Clients List'!A:F,6,FALSE),"")</f>
        <v/>
      </c>
    </row>
    <row r="2382" spans="4:9" x14ac:dyDescent="0.45">
      <c r="D2382" t="str">
        <f>IFERROR(VLOOKUP(C2382,'Clients List'!$A:$F,2,FALSE),"")</f>
        <v/>
      </c>
      <c r="F2382" s="1" t="str">
        <f>IF(OR(C2382="",NOT(ISNUMBER(SEARCH("Package",D2382)))),"",VLOOKUP(C2382,'Clients List'!$A:$F,4,FALSE)-SUMIFS($E$2:$E2382,$C$2:$C2382,C2382,$D$2:$D2382,"*Package*"))</f>
        <v/>
      </c>
      <c r="G2382" t="str">
        <f t="shared" si="70"/>
        <v/>
      </c>
      <c r="H2382" s="33">
        <f>IF(ISNUMBER(SEARCH("Group",D2382)),IF(G2382="",E2382,IFERROR(E2382/COUNTIF($G2:$G6000,G2382),E2382)),E2382)</f>
        <v>0</v>
      </c>
      <c r="I2382" s="1" t="str">
        <f>IFERROR(VLOOKUP(C2382,'Clients List'!A:F,6,FALSE),"")</f>
        <v/>
      </c>
    </row>
    <row r="2383" spans="4:9" x14ac:dyDescent="0.45">
      <c r="D2383" t="str">
        <f>IFERROR(VLOOKUP(C2383,'Clients List'!$A:$F,2,FALSE),"")</f>
        <v/>
      </c>
      <c r="F2383" s="1" t="str">
        <f>IF(OR(C2383="",NOT(ISNUMBER(SEARCH("Package",D2383)))),"",VLOOKUP(C2383,'Clients List'!$A:$F,4,FALSE)-SUMIFS($E$2:$E2383,$C$2:$C2383,C2383,$D$2:$D2383,"*Package*"))</f>
        <v/>
      </c>
      <c r="G2383" t="str">
        <f t="shared" si="70"/>
        <v/>
      </c>
      <c r="H2383" s="33">
        <f>IF(ISNUMBER(SEARCH("Group",D2383)),IF(G2383="",E2383,IFERROR(E2383/COUNTIF($G2:$G6000,G2383),E2383)),E2383)</f>
        <v>0</v>
      </c>
      <c r="I2383" s="1" t="str">
        <f>IFERROR(VLOOKUP(C2383,'Clients List'!A:F,6,FALSE),"")</f>
        <v/>
      </c>
    </row>
    <row r="2384" spans="4:9" x14ac:dyDescent="0.45">
      <c r="D2384" t="str">
        <f>IFERROR(VLOOKUP(C2384,'Clients List'!$A:$F,2,FALSE),"")</f>
        <v/>
      </c>
      <c r="F2384" s="1" t="str">
        <f>IF(OR(C2384="",NOT(ISNUMBER(SEARCH("Package",D2384)))),"",VLOOKUP(C2384,'Clients List'!$A:$F,4,FALSE)-SUMIFS($E$2:$E2384,$C$2:$C2384,C2384,$D$2:$D2384,"*Package*"))</f>
        <v/>
      </c>
      <c r="G2384" t="str">
        <f t="shared" si="70"/>
        <v/>
      </c>
      <c r="H2384" s="33">
        <f>IF(ISNUMBER(SEARCH("Group",D2384)),IF(G2384="",E2384,IFERROR(E2384/COUNTIF($G2:$G6000,G2384),E2384)),E2384)</f>
        <v>0</v>
      </c>
      <c r="I2384" s="1" t="str">
        <f>IFERROR(VLOOKUP(C2384,'Clients List'!A:F,6,FALSE),"")</f>
        <v/>
      </c>
    </row>
    <row r="2385" spans="4:9" x14ac:dyDescent="0.45">
      <c r="D2385" t="str">
        <f>IFERROR(VLOOKUP(C2385,'Clients List'!$A:$F,2,FALSE),"")</f>
        <v/>
      </c>
      <c r="F2385" s="1" t="str">
        <f>IF(OR(C2385="",NOT(ISNUMBER(SEARCH("Package",D2385)))),"",VLOOKUP(C2385,'Clients List'!$A:$F,4,FALSE)-SUMIFS($E$2:$E2385,$C$2:$C2385,C2385,$D$2:$D2385,"*Package*"))</f>
        <v/>
      </c>
      <c r="G2385" t="str">
        <f t="shared" si="70"/>
        <v/>
      </c>
      <c r="H2385" s="33">
        <f>IF(ISNUMBER(SEARCH("Group",D2385)),IF(G2385="",E2385,IFERROR(E2385/COUNTIF($G2:$G6000,G2385),E2385)),E2385)</f>
        <v>0</v>
      </c>
      <c r="I2385" s="1" t="str">
        <f>IFERROR(VLOOKUP(C2385,'Clients List'!A:F,6,FALSE),"")</f>
        <v/>
      </c>
    </row>
    <row r="2386" spans="4:9" x14ac:dyDescent="0.45">
      <c r="D2386" t="str">
        <f>IFERROR(VLOOKUP(C2386,'Clients List'!$A:$F,2,FALSE),"")</f>
        <v/>
      </c>
      <c r="F2386" s="1" t="str">
        <f>IF(OR(C2386="",NOT(ISNUMBER(SEARCH("Package",D2386)))),"",VLOOKUP(C2386,'Clients List'!$A:$F,4,FALSE)-SUMIFS($E$2:$E2386,$C$2:$C2386,C2386,$D$2:$D2386,"*Package*"))</f>
        <v/>
      </c>
      <c r="G2386" t="str">
        <f t="shared" si="70"/>
        <v/>
      </c>
      <c r="H2386" s="33">
        <f>IF(ISNUMBER(SEARCH("Group",D2386)),IF(G2386="",E2386,IFERROR(E2386/COUNTIF($G2:$G6000,G2386),E2386)),E2386)</f>
        <v>0</v>
      </c>
      <c r="I2386" s="1" t="str">
        <f>IFERROR(VLOOKUP(C2386,'Clients List'!A:F,6,FALSE),"")</f>
        <v/>
      </c>
    </row>
    <row r="2387" spans="4:9" x14ac:dyDescent="0.45">
      <c r="D2387" t="str">
        <f>IFERROR(VLOOKUP(C2387,'Clients List'!$A:$F,2,FALSE),"")</f>
        <v/>
      </c>
      <c r="F2387" s="1" t="str">
        <f>IF(OR(C2387="",NOT(ISNUMBER(SEARCH("Package",D2387)))),"",VLOOKUP(C2387,'Clients List'!$A:$F,4,FALSE)-SUMIFS($E$2:$E2387,$C$2:$C2387,C2387,$D$2:$D2387,"*Package*"))</f>
        <v/>
      </c>
      <c r="G2387" t="str">
        <f t="shared" si="70"/>
        <v/>
      </c>
      <c r="H2387" s="33">
        <f>IF(ISNUMBER(SEARCH("Group",D2387)),IF(G2387="",E2387,IFERROR(E2387/COUNTIF($G2:$G6000,G2387),E2387)),E2387)</f>
        <v>0</v>
      </c>
      <c r="I2387" s="1" t="str">
        <f>IFERROR(VLOOKUP(C2387,'Clients List'!A:F,6,FALSE),"")</f>
        <v/>
      </c>
    </row>
    <row r="2388" spans="4:9" x14ac:dyDescent="0.45">
      <c r="D2388" t="str">
        <f>IFERROR(VLOOKUP(C2388,'Clients List'!$A:$F,2,FALSE),"")</f>
        <v/>
      </c>
      <c r="F2388" s="1" t="str">
        <f>IF(OR(C2388="",NOT(ISNUMBER(SEARCH("Package",D2388)))),"",VLOOKUP(C2388,'Clients List'!$A:$F,4,FALSE)-SUMIFS($E$2:$E2388,$C$2:$C2388,C2388,$D$2:$D2388,"*Package*"))</f>
        <v/>
      </c>
      <c r="G2388" t="str">
        <f t="shared" si="70"/>
        <v/>
      </c>
      <c r="H2388" s="33">
        <f>IF(ISNUMBER(SEARCH("Group",D2388)),IF(G2388="",E2388,IFERROR(E2388/COUNTIF($G2:$G6000,G2388),E2388)),E2388)</f>
        <v>0</v>
      </c>
      <c r="I2388" s="1" t="str">
        <f>IFERROR(VLOOKUP(C2388,'Clients List'!A:F,6,FALSE),"")</f>
        <v/>
      </c>
    </row>
    <row r="2389" spans="4:9" x14ac:dyDescent="0.45">
      <c r="D2389" t="str">
        <f>IFERROR(VLOOKUP(C2389,'Clients List'!$A:$F,2,FALSE),"")</f>
        <v/>
      </c>
      <c r="F2389" s="1" t="str">
        <f>IF(OR(C2389="",NOT(ISNUMBER(SEARCH("Package",D2389)))),"",VLOOKUP(C2389,'Clients List'!$A:$F,4,FALSE)-SUMIFS($E$2:$E2389,$C$2:$C2389,C2389,$D$2:$D2389,"*Package*"))</f>
        <v/>
      </c>
      <c r="G2389" t="str">
        <f t="shared" si="70"/>
        <v/>
      </c>
      <c r="H2389" s="33">
        <f>IF(ISNUMBER(SEARCH("Group",D2389)),IF(G2389="",E2389,IFERROR(E2389/COUNTIF($G2:$G6000,G2389),E2389)),E2389)</f>
        <v>0</v>
      </c>
      <c r="I2389" s="1" t="str">
        <f>IFERROR(VLOOKUP(C2389,'Clients List'!A:F,6,FALSE),"")</f>
        <v/>
      </c>
    </row>
    <row r="2390" spans="4:9" x14ac:dyDescent="0.45">
      <c r="D2390" t="str">
        <f>IFERROR(VLOOKUP(C2390,'Clients List'!$A:$F,2,FALSE),"")</f>
        <v/>
      </c>
      <c r="F2390" s="1" t="str">
        <f>IF(OR(C2390="",NOT(ISNUMBER(SEARCH("Package",D2390)))),"",VLOOKUP(C2390,'Clients List'!$A:$F,4,FALSE)-SUMIFS($E$2:$E2390,$C$2:$C2390,C2390,$D$2:$D2390,"*Package*"))</f>
        <v/>
      </c>
      <c r="G2390" t="str">
        <f t="shared" si="70"/>
        <v/>
      </c>
      <c r="H2390" s="33">
        <f>IF(ISNUMBER(SEARCH("Group",D2390)),IF(G2390="",E2390,IFERROR(E2390/COUNTIF($G2:$G6000,G2390),E2390)),E2390)</f>
        <v>0</v>
      </c>
      <c r="I2390" s="1" t="str">
        <f>IFERROR(VLOOKUP(C2390,'Clients List'!A:F,6,FALSE),"")</f>
        <v/>
      </c>
    </row>
    <row r="2391" spans="4:9" x14ac:dyDescent="0.45">
      <c r="D2391" t="str">
        <f>IFERROR(VLOOKUP(C2391,'Clients List'!$A:$F,2,FALSE),"")</f>
        <v/>
      </c>
      <c r="F2391" s="1" t="str">
        <f>IF(OR(C2391="",NOT(ISNUMBER(SEARCH("Package",D2391)))),"",VLOOKUP(C2391,'Clients List'!$A:$F,4,FALSE)-SUMIFS($E$2:$E2391,$C$2:$C2391,C2391,$D$2:$D2391,"*Package*"))</f>
        <v/>
      </c>
      <c r="G2391" t="str">
        <f t="shared" si="70"/>
        <v/>
      </c>
      <c r="H2391" s="33">
        <f>IF(ISNUMBER(SEARCH("Group",D2391)),IF(G2391="",E2391,IFERROR(E2391/COUNTIF($G2:$G6000,G2391),E2391)),E2391)</f>
        <v>0</v>
      </c>
      <c r="I2391" s="1" t="str">
        <f>IFERROR(VLOOKUP(C2391,'Clients List'!A:F,6,FALSE),"")</f>
        <v/>
      </c>
    </row>
    <row r="2392" spans="4:9" x14ac:dyDescent="0.45">
      <c r="D2392" t="str">
        <f>IFERROR(VLOOKUP(C2392,'Clients List'!$A:$F,2,FALSE),"")</f>
        <v/>
      </c>
      <c r="F2392" s="1" t="str">
        <f>IF(OR(C2392="",NOT(ISNUMBER(SEARCH("Package",D2392)))),"",VLOOKUP(C2392,'Clients List'!$A:$F,4,FALSE)-SUMIFS($E$2:$E2392,$C$2:$C2392,C2392,$D$2:$D2392,"*Package*"))</f>
        <v/>
      </c>
      <c r="G2392" t="str">
        <f t="shared" si="70"/>
        <v/>
      </c>
      <c r="H2392" s="33">
        <f>IF(ISNUMBER(SEARCH("Group",D2392)),IF(G2392="",E2392,IFERROR(E2392/COUNTIF($G2:$G6000,G2392),E2392)),E2392)</f>
        <v>0</v>
      </c>
      <c r="I2392" s="1" t="str">
        <f>IFERROR(VLOOKUP(C2392,'Clients List'!A:F,6,FALSE),"")</f>
        <v/>
      </c>
    </row>
    <row r="2393" spans="4:9" x14ac:dyDescent="0.45">
      <c r="D2393" t="str">
        <f>IFERROR(VLOOKUP(C2393,'Clients List'!$A:$F,2,FALSE),"")</f>
        <v/>
      </c>
      <c r="F2393" s="1" t="str">
        <f>IF(OR(C2393="",NOT(ISNUMBER(SEARCH("Package",D2393)))),"",VLOOKUP(C2393,'Clients List'!$A:$F,4,FALSE)-SUMIFS($E$2:$E2393,$C$2:$C2393,C2393,$D$2:$D2393,"*Package*"))</f>
        <v/>
      </c>
      <c r="G2393" t="str">
        <f t="shared" si="70"/>
        <v/>
      </c>
      <c r="H2393" s="33">
        <f>IF(ISNUMBER(SEARCH("Group",D2393)),IF(G2393="",E2393,IFERROR(E2393/COUNTIF($G2:$G6000,G2393),E2393)),E2393)</f>
        <v>0</v>
      </c>
      <c r="I2393" s="1" t="str">
        <f>IFERROR(VLOOKUP(C2393,'Clients List'!A:F,6,FALSE),"")</f>
        <v/>
      </c>
    </row>
    <row r="2394" spans="4:9" x14ac:dyDescent="0.45">
      <c r="D2394" t="str">
        <f>IFERROR(VLOOKUP(C2394,'Clients List'!$A:$F,2,FALSE),"")</f>
        <v/>
      </c>
      <c r="F2394" s="1" t="str">
        <f>IF(OR(C2394="",NOT(ISNUMBER(SEARCH("Package",D2394)))),"",VLOOKUP(C2394,'Clients List'!$A:$F,4,FALSE)-SUMIFS($E$2:$E2394,$C$2:$C2394,C2394,$D$2:$D2394,"*Package*"))</f>
        <v/>
      </c>
      <c r="G2394" t="str">
        <f t="shared" si="70"/>
        <v/>
      </c>
      <c r="H2394" s="33">
        <f>IF(ISNUMBER(SEARCH("Group",D2394)),IF(G2394="",E2394,IFERROR(E2394/COUNTIF($G2:$G6000,G2394),E2394)),E2394)</f>
        <v>0</v>
      </c>
      <c r="I2394" s="1" t="str">
        <f>IFERROR(VLOOKUP(C2394,'Clients List'!A:F,6,FALSE),"")</f>
        <v/>
      </c>
    </row>
    <row r="2395" spans="4:9" x14ac:dyDescent="0.45">
      <c r="D2395" t="str">
        <f>IFERROR(VLOOKUP(C2395,'Clients List'!$A:$F,2,FALSE),"")</f>
        <v/>
      </c>
      <c r="F2395" s="1" t="str">
        <f>IF(OR(C2395="",NOT(ISNUMBER(SEARCH("Package",D2395)))),"",VLOOKUP(C2395,'Clients List'!$A:$F,4,FALSE)-SUMIFS($E$2:$E2395,$C$2:$C2395,C2395,$D$2:$D2395,"*Package*"))</f>
        <v/>
      </c>
      <c r="G2395" t="str">
        <f t="shared" si="70"/>
        <v/>
      </c>
      <c r="H2395" s="33">
        <f>IF(ISNUMBER(SEARCH("Group",D2395)),IF(G2395="",E2395,IFERROR(E2395/COUNTIF($G2:$G6000,G2395),E2395)),E2395)</f>
        <v>0</v>
      </c>
      <c r="I2395" s="1" t="str">
        <f>IFERROR(VLOOKUP(C2395,'Clients List'!A:F,6,FALSE),"")</f>
        <v/>
      </c>
    </row>
    <row r="2396" spans="4:9" x14ac:dyDescent="0.45">
      <c r="D2396" t="str">
        <f>IFERROR(VLOOKUP(C2396,'Clients List'!$A:$F,2,FALSE),"")</f>
        <v/>
      </c>
      <c r="F2396" s="1" t="str">
        <f>IF(OR(C2396="",NOT(ISNUMBER(SEARCH("Package",D2396)))),"",VLOOKUP(C2396,'Clients List'!$A:$F,4,FALSE)-SUMIFS($E$2:$E2396,$C$2:$C2396,C2396,$D$2:$D2396,"*Package*"))</f>
        <v/>
      </c>
      <c r="G2396" t="str">
        <f t="shared" si="70"/>
        <v/>
      </c>
      <c r="H2396" s="33">
        <f>IF(ISNUMBER(SEARCH("Group",D2396)),IF(G2396="",E2396,IFERROR(E2396/COUNTIF($G2:$G6000,G2396),E2396)),E2396)</f>
        <v>0</v>
      </c>
      <c r="I2396" s="1" t="str">
        <f>IFERROR(VLOOKUP(C2396,'Clients List'!A:F,6,FALSE),"")</f>
        <v/>
      </c>
    </row>
    <row r="2397" spans="4:9" x14ac:dyDescent="0.45">
      <c r="D2397" t="str">
        <f>IFERROR(VLOOKUP(C2397,'Clients List'!$A:$F,2,FALSE),"")</f>
        <v/>
      </c>
      <c r="F2397" s="1" t="str">
        <f>IF(OR(C2397="",NOT(ISNUMBER(SEARCH("Package",D2397)))),"",VLOOKUP(C2397,'Clients List'!$A:$F,4,FALSE)-SUMIFS($E$2:$E2397,$C$2:$C2397,C2397,$D$2:$D2397,"*Package*"))</f>
        <v/>
      </c>
      <c r="G2397" t="str">
        <f t="shared" si="70"/>
        <v/>
      </c>
      <c r="H2397" s="33">
        <f>IF(ISNUMBER(SEARCH("Group",D2397)),IF(G2397="",E2397,IFERROR(E2397/COUNTIF($G2:$G6000,G2397),E2397)),E2397)</f>
        <v>0</v>
      </c>
      <c r="I2397" s="1" t="str">
        <f>IFERROR(VLOOKUP(C2397,'Clients List'!A:F,6,FALSE),"")</f>
        <v/>
      </c>
    </row>
    <row r="2398" spans="4:9" x14ac:dyDescent="0.45">
      <c r="D2398" t="str">
        <f>IFERROR(VLOOKUP(C2398,'Clients List'!$A:$F,2,FALSE),"")</f>
        <v/>
      </c>
      <c r="F2398" s="1" t="str">
        <f>IF(OR(C2398="",NOT(ISNUMBER(SEARCH("Package",D2398)))),"",VLOOKUP(C2398,'Clients List'!$A:$F,4,FALSE)-SUMIFS($E$2:$E2398,$C$2:$C2398,C2398,$D$2:$D2398,"*Package*"))</f>
        <v/>
      </c>
      <c r="G2398" t="str">
        <f t="shared" si="70"/>
        <v/>
      </c>
      <c r="H2398" s="33">
        <f>IF(ISNUMBER(SEARCH("Group",D2398)),IF(G2398="",E2398,IFERROR(E2398/COUNTIF($G2:$G6000,G2398),E2398)),E2398)</f>
        <v>0</v>
      </c>
      <c r="I2398" s="1" t="str">
        <f>IFERROR(VLOOKUP(C2398,'Clients List'!A:F,6,FALSE),"")</f>
        <v/>
      </c>
    </row>
    <row r="2399" spans="4:9" x14ac:dyDescent="0.45">
      <c r="D2399" t="str">
        <f>IFERROR(VLOOKUP(C2399,'Clients List'!$A:$F,2,FALSE),"")</f>
        <v/>
      </c>
      <c r="F2399" s="1" t="str">
        <f>IF(OR(C2399="",NOT(ISNUMBER(SEARCH("Package",D2399)))),"",VLOOKUP(C2399,'Clients List'!$A:$F,4,FALSE)-SUMIFS($E$2:$E2399,$C$2:$C2399,C2399,$D$2:$D2399,"*Package*"))</f>
        <v/>
      </c>
      <c r="G2399" t="str">
        <f t="shared" si="70"/>
        <v/>
      </c>
      <c r="H2399" s="33">
        <f>IF(ISNUMBER(SEARCH("Group",D2399)),IF(G2399="",E2399,IFERROR(E2399/COUNTIF($G2:$G6000,G2399),E2399)),E2399)</f>
        <v>0</v>
      </c>
      <c r="I2399" s="1" t="str">
        <f>IFERROR(VLOOKUP(C2399,'Clients List'!A:F,6,FALSE),"")</f>
        <v/>
      </c>
    </row>
    <row r="2400" spans="4:9" x14ac:dyDescent="0.45">
      <c r="D2400" t="str">
        <f>IFERROR(VLOOKUP(C2400,'Clients List'!$A:$F,2,FALSE),"")</f>
        <v/>
      </c>
      <c r="F2400" s="1" t="str">
        <f>IF(OR(C2400="",NOT(ISNUMBER(SEARCH("Package",D2400)))),"",VLOOKUP(C2400,'Clients List'!$A:$F,4,FALSE)-SUMIFS($E$2:$E2400,$C$2:$C2400,C2400,$D$2:$D2400,"*Package*"))</f>
        <v/>
      </c>
      <c r="G2400" t="str">
        <f t="shared" si="70"/>
        <v/>
      </c>
      <c r="H2400" s="33">
        <f>IF(ISNUMBER(SEARCH("Group",D2400)),IF(G2400="",E2400,IFERROR(E2400/COUNTIF($G2:$G6000,G2400),E2400)),E2400)</f>
        <v>0</v>
      </c>
      <c r="I2400" s="1" t="str">
        <f>IFERROR(VLOOKUP(C2400,'Clients List'!A:F,6,FALSE),"")</f>
        <v/>
      </c>
    </row>
    <row r="2401" spans="4:9" x14ac:dyDescent="0.45">
      <c r="D2401" t="str">
        <f>IFERROR(VLOOKUP(C2401,'Clients List'!$A:$F,2,FALSE),"")</f>
        <v/>
      </c>
      <c r="F2401" s="1" t="str">
        <f>IF(OR(C2401="",NOT(ISNUMBER(SEARCH("Package",D2401)))),"",VLOOKUP(C2401,'Clients List'!$A:$F,4,FALSE)-SUMIFS($E$2:$E2401,$C$2:$C2401,C2401,$D$2:$D2401,"*Package*"))</f>
        <v/>
      </c>
      <c r="G2401" t="str">
        <f t="shared" si="70"/>
        <v/>
      </c>
      <c r="H2401" s="33">
        <f>IF(ISNUMBER(SEARCH("Group",D2401)),IF(G2401="",E2401,IFERROR(E2401/COUNTIF($G2:$G6000,G2401),E2401)),E2401)</f>
        <v>0</v>
      </c>
      <c r="I2401" s="1" t="str">
        <f>IFERROR(VLOOKUP(C2401,'Clients List'!A:F,6,FALSE),"")</f>
        <v/>
      </c>
    </row>
    <row r="2402" spans="4:9" x14ac:dyDescent="0.45">
      <c r="D2402" t="str">
        <f>IFERROR(VLOOKUP(C2402,'Clients List'!$A:$F,2,FALSE),"")</f>
        <v/>
      </c>
      <c r="F2402" s="1" t="str">
        <f>IF(OR(C2402="",NOT(ISNUMBER(SEARCH("Package",D2402)))),"",VLOOKUP(C2402,'Clients List'!$A:$F,4,FALSE)-SUMIFS($E$2:$E2402,$C$2:$C2402,C2402,$D$2:$D2402,"*Package*"))</f>
        <v/>
      </c>
      <c r="G2402" t="str">
        <f t="shared" si="70"/>
        <v/>
      </c>
      <c r="H2402" s="33">
        <f>IF(ISNUMBER(SEARCH("Group",D2402)),IF(G2402="",E2402,IFERROR(E2402/COUNTIF($G2:$G6000,G2402),E2402)),E2402)</f>
        <v>0</v>
      </c>
      <c r="I2402" s="1" t="str">
        <f>IFERROR(VLOOKUP(C2402,'Clients List'!A:F,6,FALSE),"")</f>
        <v/>
      </c>
    </row>
    <row r="2403" spans="4:9" x14ac:dyDescent="0.45">
      <c r="D2403" t="str">
        <f>IFERROR(VLOOKUP(C2403,'Clients List'!$A:$F,2,FALSE),"")</f>
        <v/>
      </c>
      <c r="F2403" s="1" t="str">
        <f>IF(OR(C2403="",NOT(ISNUMBER(SEARCH("Package",D2403)))),"",VLOOKUP(C2403,'Clients List'!$A:$F,4,FALSE)-SUMIFS($E$2:$E2403,$C$2:$C2403,C2403,$D$2:$D2403,"*Package*"))</f>
        <v/>
      </c>
      <c r="G2403" t="str">
        <f t="shared" si="70"/>
        <v/>
      </c>
      <c r="H2403" s="33">
        <f>IF(ISNUMBER(SEARCH("Group",D2403)),IF(G2403="",E2403,IFERROR(E2403/COUNTIF($G2:$G6000,G2403),E2403)),E2403)</f>
        <v>0</v>
      </c>
      <c r="I2403" s="1" t="str">
        <f>IFERROR(VLOOKUP(C2403,'Clients List'!A:F,6,FALSE),"")</f>
        <v/>
      </c>
    </row>
    <row r="2404" spans="4:9" x14ac:dyDescent="0.45">
      <c r="D2404" t="str">
        <f>IFERROR(VLOOKUP(C2404,'Clients List'!$A:$F,2,FALSE),"")</f>
        <v/>
      </c>
      <c r="F2404" s="1" t="str">
        <f>IF(OR(C2404="",NOT(ISNUMBER(SEARCH("Package",D2404)))),"",VLOOKUP(C2404,'Clients List'!$A:$F,4,FALSE)-SUMIFS($E$2:$E2404,$C$2:$C2404,C2404,$D$2:$D2404,"*Package*"))</f>
        <v/>
      </c>
      <c r="G2404" t="str">
        <f t="shared" si="70"/>
        <v/>
      </c>
      <c r="H2404" s="33">
        <f>IF(ISNUMBER(SEARCH("Group",D2404)),IF(G2404="",E2404,IFERROR(E2404/COUNTIF($G2:$G6000,G2404),E2404)),E2404)</f>
        <v>0</v>
      </c>
      <c r="I2404" s="1" t="str">
        <f>IFERROR(VLOOKUP(C2404,'Clients List'!A:F,6,FALSE),"")</f>
        <v/>
      </c>
    </row>
    <row r="2405" spans="4:9" x14ac:dyDescent="0.45">
      <c r="D2405" t="str">
        <f>IFERROR(VLOOKUP(C2405,'Clients List'!$A:$F,2,FALSE),"")</f>
        <v/>
      </c>
      <c r="F2405" s="1" t="str">
        <f>IF(OR(C2405="",NOT(ISNUMBER(SEARCH("Package",D2405)))),"",VLOOKUP(C2405,'Clients List'!$A:$F,4,FALSE)-SUMIFS($E$2:$E2405,$C$2:$C2405,C2405,$D$2:$D2405,"*Package*"))</f>
        <v/>
      </c>
      <c r="G2405" t="str">
        <f t="shared" si="70"/>
        <v/>
      </c>
      <c r="H2405" s="33">
        <f>IF(ISNUMBER(SEARCH("Group",D2405)),IF(G2405="",E2405,IFERROR(E2405/COUNTIF($G2:$G6000,G2405),E2405)),E2405)</f>
        <v>0</v>
      </c>
      <c r="I2405" s="1" t="str">
        <f>IFERROR(VLOOKUP(C2405,'Clients List'!A:F,6,FALSE),"")</f>
        <v/>
      </c>
    </row>
    <row r="2406" spans="4:9" x14ac:dyDescent="0.45">
      <c r="D2406" t="str">
        <f>IFERROR(VLOOKUP(C2406,'Clients List'!$A:$F,2,FALSE),"")</f>
        <v/>
      </c>
      <c r="F2406" s="1" t="str">
        <f>IF(OR(C2406="",NOT(ISNUMBER(SEARCH("Package",D2406)))),"",VLOOKUP(C2406,'Clients List'!$A:$F,4,FALSE)-SUMIFS($E$2:$E2406,$C$2:$C2406,C2406,$D$2:$D2406,"*Package*"))</f>
        <v/>
      </c>
      <c r="G2406" t="str">
        <f t="shared" si="70"/>
        <v/>
      </c>
      <c r="H2406" s="33">
        <f>IF(ISNUMBER(SEARCH("Group",D2406)),IF(G2406="",E2406,IFERROR(E2406/COUNTIF($G2:$G6000,G2406),E2406)),E2406)</f>
        <v>0</v>
      </c>
      <c r="I2406" s="1" t="str">
        <f>IFERROR(VLOOKUP(C2406,'Clients List'!A:F,6,FALSE),"")</f>
        <v/>
      </c>
    </row>
    <row r="2407" spans="4:9" x14ac:dyDescent="0.45">
      <c r="D2407" t="str">
        <f>IFERROR(VLOOKUP(C2407,'Clients List'!$A:$F,2,FALSE),"")</f>
        <v/>
      </c>
      <c r="F2407" s="1" t="str">
        <f>IF(OR(C2407="",NOT(ISNUMBER(SEARCH("Package",D2407)))),"",VLOOKUP(C2407,'Clients List'!$A:$F,4,FALSE)-SUMIFS($E$2:$E2407,$C$2:$C2407,C2407,$D$2:$D2407,"*Package*"))</f>
        <v/>
      </c>
      <c r="G2407" t="str">
        <f t="shared" si="70"/>
        <v/>
      </c>
      <c r="H2407" s="33">
        <f>IF(ISNUMBER(SEARCH("Group",D2407)),IF(G2407="",E2407,IFERROR(E2407/COUNTIF($G2:$G6000,G2407),E2407)),E2407)</f>
        <v>0</v>
      </c>
      <c r="I2407" s="1" t="str">
        <f>IFERROR(VLOOKUP(C2407,'Clients List'!A:F,6,FALSE),"")</f>
        <v/>
      </c>
    </row>
    <row r="2408" spans="4:9" x14ac:dyDescent="0.45">
      <c r="D2408" t="str">
        <f>IFERROR(VLOOKUP(C2408,'Clients List'!$A:$F,2,FALSE),"")</f>
        <v/>
      </c>
      <c r="F2408" s="1" t="str">
        <f>IF(OR(C2408="",NOT(ISNUMBER(SEARCH("Package",D2408)))),"",VLOOKUP(C2408,'Clients List'!$A:$F,4,FALSE)-SUMIFS($E$2:$E2408,$C$2:$C2408,C2408,$D$2:$D2408,"*Package*"))</f>
        <v/>
      </c>
      <c r="G2408" t="str">
        <f t="shared" si="70"/>
        <v/>
      </c>
      <c r="H2408" s="33">
        <f>IF(ISNUMBER(SEARCH("Group",D2408)),IF(G2408="",E2408,IFERROR(E2408/COUNTIF($G2:$G6000,G2408),E2408)),E2408)</f>
        <v>0</v>
      </c>
      <c r="I2408" s="1" t="str">
        <f>IFERROR(VLOOKUP(C2408,'Clients List'!A:F,6,FALSE),"")</f>
        <v/>
      </c>
    </row>
    <row r="2409" spans="4:9" x14ac:dyDescent="0.45">
      <c r="D2409" t="str">
        <f>IFERROR(VLOOKUP(C2409,'Clients List'!$A:$F,2,FALSE),"")</f>
        <v/>
      </c>
      <c r="F2409" s="1" t="str">
        <f>IF(OR(C2409="",NOT(ISNUMBER(SEARCH("Package",D2409)))),"",VLOOKUP(C2409,'Clients List'!$A:$F,4,FALSE)-SUMIFS($E$2:$E2409,$C$2:$C2409,C2409,$D$2:$D2409,"*Package*"))</f>
        <v/>
      </c>
      <c r="G2409" t="str">
        <f t="shared" si="70"/>
        <v/>
      </c>
      <c r="H2409" s="33">
        <f>IF(ISNUMBER(SEARCH("Group",D2409)),IF(G2409="",E2409,IFERROR(E2409/COUNTIF($G2:$G6000,G2409),E2409)),E2409)</f>
        <v>0</v>
      </c>
      <c r="I2409" s="1" t="str">
        <f>IFERROR(VLOOKUP(C2409,'Clients List'!A:F,6,FALSE),"")</f>
        <v/>
      </c>
    </row>
    <row r="2410" spans="4:9" x14ac:dyDescent="0.45">
      <c r="D2410" t="str">
        <f>IFERROR(VLOOKUP(C2410,'Clients List'!$A:$F,2,FALSE),"")</f>
        <v/>
      </c>
      <c r="F2410" s="1" t="str">
        <f>IF(OR(C2410="",NOT(ISNUMBER(SEARCH("Package",D2410)))),"",VLOOKUP(C2410,'Clients List'!$A:$F,4,FALSE)-SUMIFS($E$2:$E2410,$C$2:$C2410,C2410,$D$2:$D2410,"*Package*"))</f>
        <v/>
      </c>
      <c r="G2410" t="str">
        <f t="shared" si="70"/>
        <v/>
      </c>
      <c r="H2410" s="33">
        <f>IF(ISNUMBER(SEARCH("Group",D2410)),IF(G2410="",E2410,IFERROR(E2410/COUNTIF($G2:$G6000,G2410),E2410)),E2410)</f>
        <v>0</v>
      </c>
      <c r="I2410" s="1" t="str">
        <f>IFERROR(VLOOKUP(C2410,'Clients List'!A:F,6,FALSE),"")</f>
        <v/>
      </c>
    </row>
    <row r="2411" spans="4:9" x14ac:dyDescent="0.45">
      <c r="D2411" t="str">
        <f>IFERROR(VLOOKUP(C2411,'Clients List'!$A:$F,2,FALSE),"")</f>
        <v/>
      </c>
      <c r="F2411" s="1" t="str">
        <f>IF(OR(C2411="",NOT(ISNUMBER(SEARCH("Package",D2411)))),"",VLOOKUP(C2411,'Clients List'!$A:$F,4,FALSE)-SUMIFS($E$2:$E2411,$C$2:$C2411,C2411,$D$2:$D2411,"*Package*"))</f>
        <v/>
      </c>
      <c r="G2411" t="str">
        <f t="shared" si="70"/>
        <v/>
      </c>
      <c r="H2411" s="33">
        <f>IF(ISNUMBER(SEARCH("Group",D2411)),IF(G2411="",E2411,IFERROR(E2411/COUNTIF($G2:$G6000,G2411),E2411)),E2411)</f>
        <v>0</v>
      </c>
      <c r="I2411" s="1" t="str">
        <f>IFERROR(VLOOKUP(C2411,'Clients List'!A:F,6,FALSE),"")</f>
        <v/>
      </c>
    </row>
    <row r="2412" spans="4:9" x14ac:dyDescent="0.45">
      <c r="D2412" t="str">
        <f>IFERROR(VLOOKUP(C2412,'Clients List'!$A:$F,2,FALSE),"")</f>
        <v/>
      </c>
      <c r="F2412" s="1" t="str">
        <f>IF(OR(C2412="",NOT(ISNUMBER(SEARCH("Package",D2412)))),"",VLOOKUP(C2412,'Clients List'!$A:$F,4,FALSE)-SUMIFS($E$2:$E2412,$C$2:$C2412,C2412,$D$2:$D2412,"*Package*"))</f>
        <v/>
      </c>
      <c r="G2412" t="str">
        <f t="shared" si="70"/>
        <v/>
      </c>
      <c r="H2412" s="33">
        <f>IF(ISNUMBER(SEARCH("Group",D2412)),IF(G2412="",E2412,IFERROR(E2412/COUNTIF($G2:$G6000,G2412),E2412)),E2412)</f>
        <v>0</v>
      </c>
      <c r="I2412" s="1" t="str">
        <f>IFERROR(VLOOKUP(C2412,'Clients List'!A:F,6,FALSE),"")</f>
        <v/>
      </c>
    </row>
    <row r="2413" spans="4:9" x14ac:dyDescent="0.45">
      <c r="D2413" t="str">
        <f>IFERROR(VLOOKUP(C2413,'Clients List'!$A:$F,2,FALSE),"")</f>
        <v/>
      </c>
      <c r="F2413" s="1" t="str">
        <f>IF(OR(C2413="",NOT(ISNUMBER(SEARCH("Package",D2413)))),"",VLOOKUP(C2413,'Clients List'!$A:$F,4,FALSE)-SUMIFS($E$2:$E2413,$C$2:$C2413,C2413,$D$2:$D2413,"*Package*"))</f>
        <v/>
      </c>
      <c r="G2413" t="str">
        <f t="shared" si="70"/>
        <v/>
      </c>
      <c r="H2413" s="33">
        <f>IF(ISNUMBER(SEARCH("Group",D2413)),IF(G2413="",E2413,IFERROR(E2413/COUNTIF($G2:$G6000,G2413),E2413)),E2413)</f>
        <v>0</v>
      </c>
      <c r="I2413" s="1" t="str">
        <f>IFERROR(VLOOKUP(C2413,'Clients List'!A:F,6,FALSE),"")</f>
        <v/>
      </c>
    </row>
    <row r="2414" spans="4:9" x14ac:dyDescent="0.45">
      <c r="D2414" t="str">
        <f>IFERROR(VLOOKUP(C2414,'Clients List'!$A:$F,2,FALSE),"")</f>
        <v/>
      </c>
      <c r="F2414" s="1" t="str">
        <f>IF(OR(C2414="",NOT(ISNUMBER(SEARCH("Package",D2414)))),"",VLOOKUP(C2414,'Clients List'!$A:$F,4,FALSE)-SUMIFS($E$2:$E2414,$C$2:$C2414,C2414,$D$2:$D2414,"*Package*"))</f>
        <v/>
      </c>
      <c r="G2414" t="str">
        <f t="shared" si="70"/>
        <v/>
      </c>
      <c r="H2414" s="33">
        <f>IF(ISNUMBER(SEARCH("Group",D2414)),IF(G2414="",E2414,IFERROR(E2414/COUNTIF($G2:$G6000,G2414),E2414)),E2414)</f>
        <v>0</v>
      </c>
      <c r="I2414" s="1" t="str">
        <f>IFERROR(VLOOKUP(C2414,'Clients List'!A:F,6,FALSE),"")</f>
        <v/>
      </c>
    </row>
    <row r="2415" spans="4:9" x14ac:dyDescent="0.45">
      <c r="D2415" t="str">
        <f>IFERROR(VLOOKUP(C2415,'Clients List'!$A:$F,2,FALSE),"")</f>
        <v/>
      </c>
      <c r="F2415" s="1" t="str">
        <f>IF(OR(C2415="",NOT(ISNUMBER(SEARCH("Package",D2415)))),"",VLOOKUP(C2415,'Clients List'!$A:$F,4,FALSE)-SUMIFS($E$2:$E2415,$C$2:$C2415,C2415,$D$2:$D2415,"*Package*"))</f>
        <v/>
      </c>
      <c r="G2415" t="str">
        <f t="shared" si="70"/>
        <v/>
      </c>
      <c r="H2415" s="33">
        <f>IF(ISNUMBER(SEARCH("Group",D2415)),IF(G2415="",E2415,IFERROR(E2415/COUNTIF($G2:$G6000,G2415),E2415)),E2415)</f>
        <v>0</v>
      </c>
      <c r="I2415" s="1" t="str">
        <f>IFERROR(VLOOKUP(C2415,'Clients List'!A:F,6,FALSE),"")</f>
        <v/>
      </c>
    </row>
    <row r="2416" spans="4:9" x14ac:dyDescent="0.45">
      <c r="D2416" t="str">
        <f>IFERROR(VLOOKUP(C2416,'Clients List'!$A:$F,2,FALSE),"")</f>
        <v/>
      </c>
      <c r="F2416" s="1" t="str">
        <f>IF(OR(C2416="",NOT(ISNUMBER(SEARCH("Package",D2416)))),"",VLOOKUP(C2416,'Clients List'!$A:$F,4,FALSE)-SUMIFS($E$2:$E2416,$C$2:$C2416,C2416,$D$2:$D2416,"*Package*"))</f>
        <v/>
      </c>
      <c r="G2416" t="str">
        <f t="shared" si="70"/>
        <v/>
      </c>
      <c r="H2416" s="33">
        <f>IF(ISNUMBER(SEARCH("Group",D2416)),IF(G2416="",E2416,IFERROR(E2416/COUNTIF($G2:$G6000,G2416),E2416)),E2416)</f>
        <v>0</v>
      </c>
      <c r="I2416" s="1" t="str">
        <f>IFERROR(VLOOKUP(C2416,'Clients List'!A:F,6,FALSE),"")</f>
        <v/>
      </c>
    </row>
    <row r="2417" spans="4:9" x14ac:dyDescent="0.45">
      <c r="D2417" t="str">
        <f>IFERROR(VLOOKUP(C2417,'Clients List'!$A:$F,2,FALSE),"")</f>
        <v/>
      </c>
      <c r="F2417" s="1" t="str">
        <f>IF(OR(C2417="",NOT(ISNUMBER(SEARCH("Package",D2417)))),"",VLOOKUP(C2417,'Clients List'!$A:$F,4,FALSE)-SUMIFS($E$2:$E2417,$C$2:$C2417,C2417,$D$2:$D2417,"*Package*"))</f>
        <v/>
      </c>
      <c r="G2417" t="str">
        <f t="shared" si="70"/>
        <v/>
      </c>
      <c r="H2417" s="33">
        <f>IF(ISNUMBER(SEARCH("Group",D2417)),IF(G2417="",E2417,IFERROR(E2417/COUNTIF($G2:$G6000,G2417),E2417)),E2417)</f>
        <v>0</v>
      </c>
      <c r="I2417" s="1" t="str">
        <f>IFERROR(VLOOKUP(C2417,'Clients List'!A:F,6,FALSE),"")</f>
        <v/>
      </c>
    </row>
    <row r="2418" spans="4:9" x14ac:dyDescent="0.45">
      <c r="D2418" t="str">
        <f>IFERROR(VLOOKUP(C2418,'Clients List'!$A:$F,2,FALSE),"")</f>
        <v/>
      </c>
      <c r="F2418" s="1" t="str">
        <f>IF(OR(C2418="",NOT(ISNUMBER(SEARCH("Package",D2418)))),"",VLOOKUP(C2418,'Clients List'!$A:$F,4,FALSE)-SUMIFS($E$2:$E2418,$C$2:$C2418,C2418,$D$2:$D2418,"*Package*"))</f>
        <v/>
      </c>
      <c r="G2418" t="str">
        <f t="shared" si="70"/>
        <v/>
      </c>
      <c r="H2418" s="33">
        <f>IF(ISNUMBER(SEARCH("Group",D2418)),IF(G2418="",E2418,IFERROR(E2418/COUNTIF($G2:$G6000,G2418),E2418)),E2418)</f>
        <v>0</v>
      </c>
      <c r="I2418" s="1" t="str">
        <f>IFERROR(VLOOKUP(C2418,'Clients List'!A:F,6,FALSE),"")</f>
        <v/>
      </c>
    </row>
    <row r="2419" spans="4:9" x14ac:dyDescent="0.45">
      <c r="D2419" t="str">
        <f>IFERROR(VLOOKUP(C2419,'Clients List'!$A:$F,2,FALSE),"")</f>
        <v/>
      </c>
      <c r="F2419" s="1" t="str">
        <f>IF(OR(C2419="",NOT(ISNUMBER(SEARCH("Package",D2419)))),"",VLOOKUP(C2419,'Clients List'!$A:$F,4,FALSE)-SUMIFS($E$2:$E2419,$C$2:$C2419,C2419,$D$2:$D2419,"*Package*"))</f>
        <v/>
      </c>
      <c r="G2419" t="str">
        <f t="shared" si="70"/>
        <v/>
      </c>
      <c r="H2419" s="33">
        <f>IF(ISNUMBER(SEARCH("Group",D2419)),IF(G2419="",E2419,IFERROR(E2419/COUNTIF($G2:$G6000,G2419),E2419)),E2419)</f>
        <v>0</v>
      </c>
      <c r="I2419" s="1" t="str">
        <f>IFERROR(VLOOKUP(C2419,'Clients List'!A:F,6,FALSE),"")</f>
        <v/>
      </c>
    </row>
    <row r="2420" spans="4:9" x14ac:dyDescent="0.45">
      <c r="D2420" t="str">
        <f>IFERROR(VLOOKUP(C2420,'Clients List'!$A:$F,2,FALSE),"")</f>
        <v/>
      </c>
      <c r="F2420" s="1" t="str">
        <f>IF(OR(C2420="",NOT(ISNUMBER(SEARCH("Package",D2420)))),"",VLOOKUP(C2420,'Clients List'!$A:$F,4,FALSE)-SUMIFS($E$2:$E2420,$C$2:$C2420,C2420,$D$2:$D2420,"*Package*"))</f>
        <v/>
      </c>
      <c r="G2420" t="str">
        <f t="shared" si="70"/>
        <v/>
      </c>
      <c r="H2420" s="33">
        <f>IF(ISNUMBER(SEARCH("Group",D2420)),IF(G2420="",E2420,IFERROR(E2420/COUNTIF($G2:$G6000,G2420),E2420)),E2420)</f>
        <v>0</v>
      </c>
      <c r="I2420" s="1" t="str">
        <f>IFERROR(VLOOKUP(C2420,'Clients List'!A:F,6,FALSE),"")</f>
        <v/>
      </c>
    </row>
    <row r="2421" spans="4:9" x14ac:dyDescent="0.45">
      <c r="D2421" t="str">
        <f>IFERROR(VLOOKUP(C2421,'Clients List'!$A:$F,2,FALSE),"")</f>
        <v/>
      </c>
      <c r="F2421" s="1" t="str">
        <f>IF(OR(C2421="",NOT(ISNUMBER(SEARCH("Package",D2421)))),"",VLOOKUP(C2421,'Clients List'!$A:$F,4,FALSE)-SUMIFS($E$2:$E2421,$C$2:$C2421,C2421,$D$2:$D2421,"*Package*"))</f>
        <v/>
      </c>
      <c r="G2421" t="str">
        <f t="shared" ref="G2421:G2484" si="71">IF(ISNUMBER(SEARCH("Group",D2421)),IFERROR("GRP-"&amp;TEXT(IF(ISNUMBER(A2421),A2421,DATEVALUE(A2421)),"yyyymmdd"),""),"" )</f>
        <v/>
      </c>
      <c r="H2421" s="33">
        <f>IF(ISNUMBER(SEARCH("Group",D2421)),IF(G2421="",E2421,IFERROR(E2421/COUNTIF($G2:$G6000,G2421),E2421)),E2421)</f>
        <v>0</v>
      </c>
      <c r="I2421" s="1" t="str">
        <f>IFERROR(VLOOKUP(C2421,'Clients List'!A:F,6,FALSE),"")</f>
        <v/>
      </c>
    </row>
    <row r="2422" spans="4:9" x14ac:dyDescent="0.45">
      <c r="D2422" t="str">
        <f>IFERROR(VLOOKUP(C2422,'Clients List'!$A:$F,2,FALSE),"")</f>
        <v/>
      </c>
      <c r="F2422" s="1" t="str">
        <f>IF(OR(C2422="",NOT(ISNUMBER(SEARCH("Package",D2422)))),"",VLOOKUP(C2422,'Clients List'!$A:$F,4,FALSE)-SUMIFS($E$2:$E2422,$C$2:$C2422,C2422,$D$2:$D2422,"*Package*"))</f>
        <v/>
      </c>
      <c r="G2422" t="str">
        <f t="shared" si="71"/>
        <v/>
      </c>
      <c r="H2422" s="33">
        <f>IF(ISNUMBER(SEARCH("Group",D2422)),IF(G2422="",E2422,IFERROR(E2422/COUNTIF($G2:$G6000,G2422),E2422)),E2422)</f>
        <v>0</v>
      </c>
      <c r="I2422" s="1" t="str">
        <f>IFERROR(VLOOKUP(C2422,'Clients List'!A:F,6,FALSE),"")</f>
        <v/>
      </c>
    </row>
    <row r="2423" spans="4:9" x14ac:dyDescent="0.45">
      <c r="D2423" t="str">
        <f>IFERROR(VLOOKUP(C2423,'Clients List'!$A:$F,2,FALSE),"")</f>
        <v/>
      </c>
      <c r="F2423" s="1" t="str">
        <f>IF(OR(C2423="",NOT(ISNUMBER(SEARCH("Package",D2423)))),"",VLOOKUP(C2423,'Clients List'!$A:$F,4,FALSE)-SUMIFS($E$2:$E2423,$C$2:$C2423,C2423,$D$2:$D2423,"*Package*"))</f>
        <v/>
      </c>
      <c r="G2423" t="str">
        <f t="shared" si="71"/>
        <v/>
      </c>
      <c r="H2423" s="33">
        <f>IF(ISNUMBER(SEARCH("Group",D2423)),IF(G2423="",E2423,IFERROR(E2423/COUNTIF($G2:$G6000,G2423),E2423)),E2423)</f>
        <v>0</v>
      </c>
      <c r="I2423" s="1" t="str">
        <f>IFERROR(VLOOKUP(C2423,'Clients List'!A:F,6,FALSE),"")</f>
        <v/>
      </c>
    </row>
    <row r="2424" spans="4:9" x14ac:dyDescent="0.45">
      <c r="D2424" t="str">
        <f>IFERROR(VLOOKUP(C2424,'Clients List'!$A:$F,2,FALSE),"")</f>
        <v/>
      </c>
      <c r="F2424" s="1" t="str">
        <f>IF(OR(C2424="",NOT(ISNUMBER(SEARCH("Package",D2424)))),"",VLOOKUP(C2424,'Clients List'!$A:$F,4,FALSE)-SUMIFS($E$2:$E2424,$C$2:$C2424,C2424,$D$2:$D2424,"*Package*"))</f>
        <v/>
      </c>
      <c r="G2424" t="str">
        <f t="shared" si="71"/>
        <v/>
      </c>
      <c r="H2424" s="33">
        <f>IF(ISNUMBER(SEARCH("Group",D2424)),IF(G2424="",E2424,IFERROR(E2424/COUNTIF($G2:$G6000,G2424),E2424)),E2424)</f>
        <v>0</v>
      </c>
      <c r="I2424" s="1" t="str">
        <f>IFERROR(VLOOKUP(C2424,'Clients List'!A:F,6,FALSE),"")</f>
        <v/>
      </c>
    </row>
    <row r="2425" spans="4:9" x14ac:dyDescent="0.45">
      <c r="D2425" t="str">
        <f>IFERROR(VLOOKUP(C2425,'Clients List'!$A:$F,2,FALSE),"")</f>
        <v/>
      </c>
      <c r="F2425" s="1" t="str">
        <f>IF(OR(C2425="",NOT(ISNUMBER(SEARCH("Package",D2425)))),"",VLOOKUP(C2425,'Clients List'!$A:$F,4,FALSE)-SUMIFS($E$2:$E2425,$C$2:$C2425,C2425,$D$2:$D2425,"*Package*"))</f>
        <v/>
      </c>
      <c r="G2425" t="str">
        <f t="shared" si="71"/>
        <v/>
      </c>
      <c r="H2425" s="33">
        <f>IF(ISNUMBER(SEARCH("Group",D2425)),IF(G2425="",E2425,IFERROR(E2425/COUNTIF($G2:$G6000,G2425),E2425)),E2425)</f>
        <v>0</v>
      </c>
      <c r="I2425" s="1" t="str">
        <f>IFERROR(VLOOKUP(C2425,'Clients List'!A:F,6,FALSE),"")</f>
        <v/>
      </c>
    </row>
    <row r="2426" spans="4:9" x14ac:dyDescent="0.45">
      <c r="D2426" t="str">
        <f>IFERROR(VLOOKUP(C2426,'Clients List'!$A:$F,2,FALSE),"")</f>
        <v/>
      </c>
      <c r="F2426" s="1" t="str">
        <f>IF(OR(C2426="",NOT(ISNUMBER(SEARCH("Package",D2426)))),"",VLOOKUP(C2426,'Clients List'!$A:$F,4,FALSE)-SUMIFS($E$2:$E2426,$C$2:$C2426,C2426,$D$2:$D2426,"*Package*"))</f>
        <v/>
      </c>
      <c r="G2426" t="str">
        <f t="shared" si="71"/>
        <v/>
      </c>
      <c r="H2426" s="33">
        <f>IF(ISNUMBER(SEARCH("Group",D2426)),IF(G2426="",E2426,IFERROR(E2426/COUNTIF($G2:$G6000,G2426),E2426)),E2426)</f>
        <v>0</v>
      </c>
      <c r="I2426" s="1" t="str">
        <f>IFERROR(VLOOKUP(C2426,'Clients List'!A:F,6,FALSE),"")</f>
        <v/>
      </c>
    </row>
    <row r="2427" spans="4:9" x14ac:dyDescent="0.45">
      <c r="D2427" t="str">
        <f>IFERROR(VLOOKUP(C2427,'Clients List'!$A:$F,2,FALSE),"")</f>
        <v/>
      </c>
      <c r="F2427" s="1" t="str">
        <f>IF(OR(C2427="",NOT(ISNUMBER(SEARCH("Package",D2427)))),"",VLOOKUP(C2427,'Clients List'!$A:$F,4,FALSE)-SUMIFS($E$2:$E2427,$C$2:$C2427,C2427,$D$2:$D2427,"*Package*"))</f>
        <v/>
      </c>
      <c r="G2427" t="str">
        <f t="shared" si="71"/>
        <v/>
      </c>
      <c r="H2427" s="33">
        <f>IF(ISNUMBER(SEARCH("Group",D2427)),IF(G2427="",E2427,IFERROR(E2427/COUNTIF($G2:$G6000,G2427),E2427)),E2427)</f>
        <v>0</v>
      </c>
      <c r="I2427" s="1" t="str">
        <f>IFERROR(VLOOKUP(C2427,'Clients List'!A:F,6,FALSE),"")</f>
        <v/>
      </c>
    </row>
    <row r="2428" spans="4:9" x14ac:dyDescent="0.45">
      <c r="D2428" t="str">
        <f>IFERROR(VLOOKUP(C2428,'Clients List'!$A:$F,2,FALSE),"")</f>
        <v/>
      </c>
      <c r="F2428" s="1" t="str">
        <f>IF(OR(C2428="",NOT(ISNUMBER(SEARCH("Package",D2428)))),"",VLOOKUP(C2428,'Clients List'!$A:$F,4,FALSE)-SUMIFS($E$2:$E2428,$C$2:$C2428,C2428,$D$2:$D2428,"*Package*"))</f>
        <v/>
      </c>
      <c r="G2428" t="str">
        <f t="shared" si="71"/>
        <v/>
      </c>
      <c r="H2428" s="33">
        <f>IF(ISNUMBER(SEARCH("Group",D2428)),IF(G2428="",E2428,IFERROR(E2428/COUNTIF($G2:$G6000,G2428),E2428)),E2428)</f>
        <v>0</v>
      </c>
      <c r="I2428" s="1" t="str">
        <f>IFERROR(VLOOKUP(C2428,'Clients List'!A:F,6,FALSE),"")</f>
        <v/>
      </c>
    </row>
    <row r="2429" spans="4:9" x14ac:dyDescent="0.45">
      <c r="D2429" t="str">
        <f>IFERROR(VLOOKUP(C2429,'Clients List'!$A:$F,2,FALSE),"")</f>
        <v/>
      </c>
      <c r="F2429" s="1" t="str">
        <f>IF(OR(C2429="",NOT(ISNUMBER(SEARCH("Package",D2429)))),"",VLOOKUP(C2429,'Clients List'!$A:$F,4,FALSE)-SUMIFS($E$2:$E2429,$C$2:$C2429,C2429,$D$2:$D2429,"*Package*"))</f>
        <v/>
      </c>
      <c r="G2429" t="str">
        <f t="shared" si="71"/>
        <v/>
      </c>
      <c r="H2429" s="33">
        <f>IF(ISNUMBER(SEARCH("Group",D2429)),IF(G2429="",E2429,IFERROR(E2429/COUNTIF($G2:$G6000,G2429),E2429)),E2429)</f>
        <v>0</v>
      </c>
      <c r="I2429" s="1" t="str">
        <f>IFERROR(VLOOKUP(C2429,'Clients List'!A:F,6,FALSE),"")</f>
        <v/>
      </c>
    </row>
    <row r="2430" spans="4:9" x14ac:dyDescent="0.45">
      <c r="D2430" t="str">
        <f>IFERROR(VLOOKUP(C2430,'Clients List'!$A:$F,2,FALSE),"")</f>
        <v/>
      </c>
      <c r="F2430" s="1" t="str">
        <f>IF(OR(C2430="",NOT(ISNUMBER(SEARCH("Package",D2430)))),"",VLOOKUP(C2430,'Clients List'!$A:$F,4,FALSE)-SUMIFS($E$2:$E2430,$C$2:$C2430,C2430,$D$2:$D2430,"*Package*"))</f>
        <v/>
      </c>
      <c r="G2430" t="str">
        <f t="shared" si="71"/>
        <v/>
      </c>
      <c r="H2430" s="33">
        <f>IF(ISNUMBER(SEARCH("Group",D2430)),IF(G2430="",E2430,IFERROR(E2430/COUNTIF($G2:$G6000,G2430),E2430)),E2430)</f>
        <v>0</v>
      </c>
      <c r="I2430" s="1" t="str">
        <f>IFERROR(VLOOKUP(C2430,'Clients List'!A:F,6,FALSE),"")</f>
        <v/>
      </c>
    </row>
    <row r="2431" spans="4:9" x14ac:dyDescent="0.45">
      <c r="D2431" t="str">
        <f>IFERROR(VLOOKUP(C2431,'Clients List'!$A:$F,2,FALSE),"")</f>
        <v/>
      </c>
      <c r="F2431" s="1" t="str">
        <f>IF(OR(C2431="",NOT(ISNUMBER(SEARCH("Package",D2431)))),"",VLOOKUP(C2431,'Clients List'!$A:$F,4,FALSE)-SUMIFS($E$2:$E2431,$C$2:$C2431,C2431,$D$2:$D2431,"*Package*"))</f>
        <v/>
      </c>
      <c r="G2431" t="str">
        <f t="shared" si="71"/>
        <v/>
      </c>
      <c r="H2431" s="33">
        <f>IF(ISNUMBER(SEARCH("Group",D2431)),IF(G2431="",E2431,IFERROR(E2431/COUNTIF($G2:$G6000,G2431),E2431)),E2431)</f>
        <v>0</v>
      </c>
      <c r="I2431" s="1" t="str">
        <f>IFERROR(VLOOKUP(C2431,'Clients List'!A:F,6,FALSE),"")</f>
        <v/>
      </c>
    </row>
    <row r="2432" spans="4:9" x14ac:dyDescent="0.45">
      <c r="D2432" t="str">
        <f>IFERROR(VLOOKUP(C2432,'Clients List'!$A:$F,2,FALSE),"")</f>
        <v/>
      </c>
      <c r="F2432" s="1" t="str">
        <f>IF(OR(C2432="",NOT(ISNUMBER(SEARCH("Package",D2432)))),"",VLOOKUP(C2432,'Clients List'!$A:$F,4,FALSE)-SUMIFS($E$2:$E2432,$C$2:$C2432,C2432,$D$2:$D2432,"*Package*"))</f>
        <v/>
      </c>
      <c r="G2432" t="str">
        <f t="shared" si="71"/>
        <v/>
      </c>
      <c r="H2432" s="33">
        <f>IF(ISNUMBER(SEARCH("Group",D2432)),IF(G2432="",E2432,IFERROR(E2432/COUNTIF($G2:$G6000,G2432),E2432)),E2432)</f>
        <v>0</v>
      </c>
      <c r="I2432" s="1" t="str">
        <f>IFERROR(VLOOKUP(C2432,'Clients List'!A:F,6,FALSE),"")</f>
        <v/>
      </c>
    </row>
    <row r="2433" spans="4:9" x14ac:dyDescent="0.45">
      <c r="D2433" t="str">
        <f>IFERROR(VLOOKUP(C2433,'Clients List'!$A:$F,2,FALSE),"")</f>
        <v/>
      </c>
      <c r="F2433" s="1" t="str">
        <f>IF(OR(C2433="",NOT(ISNUMBER(SEARCH("Package",D2433)))),"",VLOOKUP(C2433,'Clients List'!$A:$F,4,FALSE)-SUMIFS($E$2:$E2433,$C$2:$C2433,C2433,$D$2:$D2433,"*Package*"))</f>
        <v/>
      </c>
      <c r="G2433" t="str">
        <f t="shared" si="71"/>
        <v/>
      </c>
      <c r="H2433" s="33">
        <f>IF(ISNUMBER(SEARCH("Group",D2433)),IF(G2433="",E2433,IFERROR(E2433/COUNTIF($G2:$G6000,G2433),E2433)),E2433)</f>
        <v>0</v>
      </c>
      <c r="I2433" s="1" t="str">
        <f>IFERROR(VLOOKUP(C2433,'Clients List'!A:F,6,FALSE),"")</f>
        <v/>
      </c>
    </row>
    <row r="2434" spans="4:9" x14ac:dyDescent="0.45">
      <c r="D2434" t="str">
        <f>IFERROR(VLOOKUP(C2434,'Clients List'!$A:$F,2,FALSE),"")</f>
        <v/>
      </c>
      <c r="F2434" s="1" t="str">
        <f>IF(OR(C2434="",NOT(ISNUMBER(SEARCH("Package",D2434)))),"",VLOOKUP(C2434,'Clients List'!$A:$F,4,FALSE)-SUMIFS($E$2:$E2434,$C$2:$C2434,C2434,$D$2:$D2434,"*Package*"))</f>
        <v/>
      </c>
      <c r="G2434" t="str">
        <f t="shared" si="71"/>
        <v/>
      </c>
      <c r="H2434" s="33">
        <f>IF(ISNUMBER(SEARCH("Group",D2434)),IF(G2434="",E2434,IFERROR(E2434/COUNTIF($G2:$G6000,G2434),E2434)),E2434)</f>
        <v>0</v>
      </c>
      <c r="I2434" s="1" t="str">
        <f>IFERROR(VLOOKUP(C2434,'Clients List'!A:F,6,FALSE),"")</f>
        <v/>
      </c>
    </row>
    <row r="2435" spans="4:9" x14ac:dyDescent="0.45">
      <c r="D2435" t="str">
        <f>IFERROR(VLOOKUP(C2435,'Clients List'!$A:$F,2,FALSE),"")</f>
        <v/>
      </c>
      <c r="F2435" s="1" t="str">
        <f>IF(OR(C2435="",NOT(ISNUMBER(SEARCH("Package",D2435)))),"",VLOOKUP(C2435,'Clients List'!$A:$F,4,FALSE)-SUMIFS($E$2:$E2435,$C$2:$C2435,C2435,$D$2:$D2435,"*Package*"))</f>
        <v/>
      </c>
      <c r="G2435" t="str">
        <f t="shared" si="71"/>
        <v/>
      </c>
      <c r="H2435" s="33">
        <f>IF(ISNUMBER(SEARCH("Group",D2435)),IF(G2435="",E2435,IFERROR(E2435/COUNTIF($G2:$G6000,G2435),E2435)),E2435)</f>
        <v>0</v>
      </c>
      <c r="I2435" s="1" t="str">
        <f>IFERROR(VLOOKUP(C2435,'Clients List'!A:F,6,FALSE),"")</f>
        <v/>
      </c>
    </row>
    <row r="2436" spans="4:9" x14ac:dyDescent="0.45">
      <c r="D2436" t="str">
        <f>IFERROR(VLOOKUP(C2436,'Clients List'!$A:$F,2,FALSE),"")</f>
        <v/>
      </c>
      <c r="F2436" s="1" t="str">
        <f>IF(OR(C2436="",NOT(ISNUMBER(SEARCH("Package",D2436)))),"",VLOOKUP(C2436,'Clients List'!$A:$F,4,FALSE)-SUMIFS($E$2:$E2436,$C$2:$C2436,C2436,$D$2:$D2436,"*Package*"))</f>
        <v/>
      </c>
      <c r="G2436" t="str">
        <f t="shared" si="71"/>
        <v/>
      </c>
      <c r="H2436" s="33">
        <f>IF(ISNUMBER(SEARCH("Group",D2436)),IF(G2436="",E2436,IFERROR(E2436/COUNTIF($G2:$G6000,G2436),E2436)),E2436)</f>
        <v>0</v>
      </c>
      <c r="I2436" s="1" t="str">
        <f>IFERROR(VLOOKUP(C2436,'Clients List'!A:F,6,FALSE),"")</f>
        <v/>
      </c>
    </row>
    <row r="2437" spans="4:9" x14ac:dyDescent="0.45">
      <c r="D2437" t="str">
        <f>IFERROR(VLOOKUP(C2437,'Clients List'!$A:$F,2,FALSE),"")</f>
        <v/>
      </c>
      <c r="F2437" s="1" t="str">
        <f>IF(OR(C2437="",NOT(ISNUMBER(SEARCH("Package",D2437)))),"",VLOOKUP(C2437,'Clients List'!$A:$F,4,FALSE)-SUMIFS($E$2:$E2437,$C$2:$C2437,C2437,$D$2:$D2437,"*Package*"))</f>
        <v/>
      </c>
      <c r="G2437" t="str">
        <f t="shared" si="71"/>
        <v/>
      </c>
      <c r="H2437" s="33">
        <f>IF(ISNUMBER(SEARCH("Group",D2437)),IF(G2437="",E2437,IFERROR(E2437/COUNTIF($G2:$G6000,G2437),E2437)),E2437)</f>
        <v>0</v>
      </c>
      <c r="I2437" s="1" t="str">
        <f>IFERROR(VLOOKUP(C2437,'Clients List'!A:F,6,FALSE),"")</f>
        <v/>
      </c>
    </row>
    <row r="2438" spans="4:9" x14ac:dyDescent="0.45">
      <c r="D2438" t="str">
        <f>IFERROR(VLOOKUP(C2438,'Clients List'!$A:$F,2,FALSE),"")</f>
        <v/>
      </c>
      <c r="F2438" s="1" t="str">
        <f>IF(OR(C2438="",NOT(ISNUMBER(SEARCH("Package",D2438)))),"",VLOOKUP(C2438,'Clients List'!$A:$F,4,FALSE)-SUMIFS($E$2:$E2438,$C$2:$C2438,C2438,$D$2:$D2438,"*Package*"))</f>
        <v/>
      </c>
      <c r="G2438" t="str">
        <f t="shared" si="71"/>
        <v/>
      </c>
      <c r="H2438" s="33">
        <f>IF(ISNUMBER(SEARCH("Group",D2438)),IF(G2438="",E2438,IFERROR(E2438/COUNTIF($G2:$G6000,G2438),E2438)),E2438)</f>
        <v>0</v>
      </c>
      <c r="I2438" s="1" t="str">
        <f>IFERROR(VLOOKUP(C2438,'Clients List'!A:F,6,FALSE),"")</f>
        <v/>
      </c>
    </row>
    <row r="2439" spans="4:9" x14ac:dyDescent="0.45">
      <c r="D2439" t="str">
        <f>IFERROR(VLOOKUP(C2439,'Clients List'!$A:$F,2,FALSE),"")</f>
        <v/>
      </c>
      <c r="F2439" s="1" t="str">
        <f>IF(OR(C2439="",NOT(ISNUMBER(SEARCH("Package",D2439)))),"",VLOOKUP(C2439,'Clients List'!$A:$F,4,FALSE)-SUMIFS($E$2:$E2439,$C$2:$C2439,C2439,$D$2:$D2439,"*Package*"))</f>
        <v/>
      </c>
      <c r="G2439" t="str">
        <f t="shared" si="71"/>
        <v/>
      </c>
      <c r="H2439" s="33">
        <f>IF(ISNUMBER(SEARCH("Group",D2439)),IF(G2439="",E2439,IFERROR(E2439/COUNTIF($G2:$G6000,G2439),E2439)),E2439)</f>
        <v>0</v>
      </c>
      <c r="I2439" s="1" t="str">
        <f>IFERROR(VLOOKUP(C2439,'Clients List'!A:F,6,FALSE),"")</f>
        <v/>
      </c>
    </row>
    <row r="2440" spans="4:9" x14ac:dyDescent="0.45">
      <c r="D2440" t="str">
        <f>IFERROR(VLOOKUP(C2440,'Clients List'!$A:$F,2,FALSE),"")</f>
        <v/>
      </c>
      <c r="F2440" s="1" t="str">
        <f>IF(OR(C2440="",NOT(ISNUMBER(SEARCH("Package",D2440)))),"",VLOOKUP(C2440,'Clients List'!$A:$F,4,FALSE)-SUMIFS($E$2:$E2440,$C$2:$C2440,C2440,$D$2:$D2440,"*Package*"))</f>
        <v/>
      </c>
      <c r="G2440" t="str">
        <f t="shared" si="71"/>
        <v/>
      </c>
      <c r="H2440" s="33">
        <f>IF(ISNUMBER(SEARCH("Group",D2440)),IF(G2440="",E2440,IFERROR(E2440/COUNTIF($G2:$G6000,G2440),E2440)),E2440)</f>
        <v>0</v>
      </c>
      <c r="I2440" s="1" t="str">
        <f>IFERROR(VLOOKUP(C2440,'Clients List'!A:F,6,FALSE),"")</f>
        <v/>
      </c>
    </row>
    <row r="2441" spans="4:9" x14ac:dyDescent="0.45">
      <c r="D2441" t="str">
        <f>IFERROR(VLOOKUP(C2441,'Clients List'!$A:$F,2,FALSE),"")</f>
        <v/>
      </c>
      <c r="F2441" s="1" t="str">
        <f>IF(OR(C2441="",NOT(ISNUMBER(SEARCH("Package",D2441)))),"",VLOOKUP(C2441,'Clients List'!$A:$F,4,FALSE)-SUMIFS($E$2:$E2441,$C$2:$C2441,C2441,$D$2:$D2441,"*Package*"))</f>
        <v/>
      </c>
      <c r="G2441" t="str">
        <f t="shared" si="71"/>
        <v/>
      </c>
      <c r="H2441" s="33">
        <f>IF(ISNUMBER(SEARCH("Group",D2441)),IF(G2441="",E2441,IFERROR(E2441/COUNTIF($G2:$G6000,G2441),E2441)),E2441)</f>
        <v>0</v>
      </c>
      <c r="I2441" s="1" t="str">
        <f>IFERROR(VLOOKUP(C2441,'Clients List'!A:F,6,FALSE),"")</f>
        <v/>
      </c>
    </row>
    <row r="2442" spans="4:9" x14ac:dyDescent="0.45">
      <c r="D2442" t="str">
        <f>IFERROR(VLOOKUP(C2442,'Clients List'!$A:$F,2,FALSE),"")</f>
        <v/>
      </c>
      <c r="F2442" s="1" t="str">
        <f>IF(OR(C2442="",NOT(ISNUMBER(SEARCH("Package",D2442)))),"",VLOOKUP(C2442,'Clients List'!$A:$F,4,FALSE)-SUMIFS($E$2:$E2442,$C$2:$C2442,C2442,$D$2:$D2442,"*Package*"))</f>
        <v/>
      </c>
      <c r="G2442" t="str">
        <f t="shared" si="71"/>
        <v/>
      </c>
      <c r="H2442" s="33">
        <f>IF(ISNUMBER(SEARCH("Group",D2442)),IF(G2442="",E2442,IFERROR(E2442/COUNTIF($G2:$G6000,G2442),E2442)),E2442)</f>
        <v>0</v>
      </c>
      <c r="I2442" s="1" t="str">
        <f>IFERROR(VLOOKUP(C2442,'Clients List'!A:F,6,FALSE),"")</f>
        <v/>
      </c>
    </row>
    <row r="2443" spans="4:9" x14ac:dyDescent="0.45">
      <c r="D2443" t="str">
        <f>IFERROR(VLOOKUP(C2443,'Clients List'!$A:$F,2,FALSE),"")</f>
        <v/>
      </c>
      <c r="F2443" s="1" t="str">
        <f>IF(OR(C2443="",NOT(ISNUMBER(SEARCH("Package",D2443)))),"",VLOOKUP(C2443,'Clients List'!$A:$F,4,FALSE)-SUMIFS($E$2:$E2443,$C$2:$C2443,C2443,$D$2:$D2443,"*Package*"))</f>
        <v/>
      </c>
      <c r="G2443" t="str">
        <f t="shared" si="71"/>
        <v/>
      </c>
      <c r="H2443" s="33">
        <f>IF(ISNUMBER(SEARCH("Group",D2443)),IF(G2443="",E2443,IFERROR(E2443/COUNTIF($G2:$G6000,G2443),E2443)),E2443)</f>
        <v>0</v>
      </c>
      <c r="I2443" s="1" t="str">
        <f>IFERROR(VLOOKUP(C2443,'Clients List'!A:F,6,FALSE),"")</f>
        <v/>
      </c>
    </row>
    <row r="2444" spans="4:9" x14ac:dyDescent="0.45">
      <c r="D2444" t="str">
        <f>IFERROR(VLOOKUP(C2444,'Clients List'!$A:$F,2,FALSE),"")</f>
        <v/>
      </c>
      <c r="F2444" s="1" t="str">
        <f>IF(OR(C2444="",NOT(ISNUMBER(SEARCH("Package",D2444)))),"",VLOOKUP(C2444,'Clients List'!$A:$F,4,FALSE)-SUMIFS($E$2:$E2444,$C$2:$C2444,C2444,$D$2:$D2444,"*Package*"))</f>
        <v/>
      </c>
      <c r="G2444" t="str">
        <f t="shared" si="71"/>
        <v/>
      </c>
      <c r="H2444" s="33">
        <f>IF(ISNUMBER(SEARCH("Group",D2444)),IF(G2444="",E2444,IFERROR(E2444/COUNTIF($G2:$G6000,G2444),E2444)),E2444)</f>
        <v>0</v>
      </c>
      <c r="I2444" s="1" t="str">
        <f>IFERROR(VLOOKUP(C2444,'Clients List'!A:F,6,FALSE),"")</f>
        <v/>
      </c>
    </row>
    <row r="2445" spans="4:9" x14ac:dyDescent="0.45">
      <c r="D2445" t="str">
        <f>IFERROR(VLOOKUP(C2445,'Clients List'!$A:$F,2,FALSE),"")</f>
        <v/>
      </c>
      <c r="F2445" s="1" t="str">
        <f>IF(OR(C2445="",NOT(ISNUMBER(SEARCH("Package",D2445)))),"",VLOOKUP(C2445,'Clients List'!$A:$F,4,FALSE)-SUMIFS($E$2:$E2445,$C$2:$C2445,C2445,$D$2:$D2445,"*Package*"))</f>
        <v/>
      </c>
      <c r="G2445" t="str">
        <f t="shared" si="71"/>
        <v/>
      </c>
      <c r="H2445" s="33">
        <f>IF(ISNUMBER(SEARCH("Group",D2445)),IF(G2445="",E2445,IFERROR(E2445/COUNTIF($G2:$G6000,G2445),E2445)),E2445)</f>
        <v>0</v>
      </c>
      <c r="I2445" s="1" t="str">
        <f>IFERROR(VLOOKUP(C2445,'Clients List'!A:F,6,FALSE),"")</f>
        <v/>
      </c>
    </row>
    <row r="2446" spans="4:9" x14ac:dyDescent="0.45">
      <c r="D2446" t="str">
        <f>IFERROR(VLOOKUP(C2446,'Clients List'!$A:$F,2,FALSE),"")</f>
        <v/>
      </c>
      <c r="F2446" s="1" t="str">
        <f>IF(OR(C2446="",NOT(ISNUMBER(SEARCH("Package",D2446)))),"",VLOOKUP(C2446,'Clients List'!$A:$F,4,FALSE)-SUMIFS($E$2:$E2446,$C$2:$C2446,C2446,$D$2:$D2446,"*Package*"))</f>
        <v/>
      </c>
      <c r="G2446" t="str">
        <f t="shared" si="71"/>
        <v/>
      </c>
      <c r="H2446" s="33">
        <f>IF(ISNUMBER(SEARCH("Group",D2446)),IF(G2446="",E2446,IFERROR(E2446/COUNTIF($G2:$G6000,G2446),E2446)),E2446)</f>
        <v>0</v>
      </c>
      <c r="I2446" s="1" t="str">
        <f>IFERROR(VLOOKUP(C2446,'Clients List'!A:F,6,FALSE),"")</f>
        <v/>
      </c>
    </row>
    <row r="2447" spans="4:9" x14ac:dyDescent="0.45">
      <c r="D2447" t="str">
        <f>IFERROR(VLOOKUP(C2447,'Clients List'!$A:$F,2,FALSE),"")</f>
        <v/>
      </c>
      <c r="F2447" s="1" t="str">
        <f>IF(OR(C2447="",NOT(ISNUMBER(SEARCH("Package",D2447)))),"",VLOOKUP(C2447,'Clients List'!$A:$F,4,FALSE)-SUMIFS($E$2:$E2447,$C$2:$C2447,C2447,$D$2:$D2447,"*Package*"))</f>
        <v/>
      </c>
      <c r="G2447" t="str">
        <f t="shared" si="71"/>
        <v/>
      </c>
      <c r="H2447" s="33">
        <f>IF(ISNUMBER(SEARCH("Group",D2447)),IF(G2447="",E2447,IFERROR(E2447/COUNTIF($G2:$G6000,G2447),E2447)),E2447)</f>
        <v>0</v>
      </c>
      <c r="I2447" s="1" t="str">
        <f>IFERROR(VLOOKUP(C2447,'Clients List'!A:F,6,FALSE),"")</f>
        <v/>
      </c>
    </row>
    <row r="2448" spans="4:9" x14ac:dyDescent="0.45">
      <c r="D2448" t="str">
        <f>IFERROR(VLOOKUP(C2448,'Clients List'!$A:$F,2,FALSE),"")</f>
        <v/>
      </c>
      <c r="F2448" s="1" t="str">
        <f>IF(OR(C2448="",NOT(ISNUMBER(SEARCH("Package",D2448)))),"",VLOOKUP(C2448,'Clients List'!$A:$F,4,FALSE)-SUMIFS($E$2:$E2448,$C$2:$C2448,C2448,$D$2:$D2448,"*Package*"))</f>
        <v/>
      </c>
      <c r="G2448" t="str">
        <f t="shared" si="71"/>
        <v/>
      </c>
      <c r="H2448" s="33">
        <f>IF(ISNUMBER(SEARCH("Group",D2448)),IF(G2448="",E2448,IFERROR(E2448/COUNTIF($G2:$G6000,G2448),E2448)),E2448)</f>
        <v>0</v>
      </c>
      <c r="I2448" s="1" t="str">
        <f>IFERROR(VLOOKUP(C2448,'Clients List'!A:F,6,FALSE),"")</f>
        <v/>
      </c>
    </row>
    <row r="2449" spans="4:9" x14ac:dyDescent="0.45">
      <c r="D2449" t="str">
        <f>IFERROR(VLOOKUP(C2449,'Clients List'!$A:$F,2,FALSE),"")</f>
        <v/>
      </c>
      <c r="F2449" s="1" t="str">
        <f>IF(OR(C2449="",NOT(ISNUMBER(SEARCH("Package",D2449)))),"",VLOOKUP(C2449,'Clients List'!$A:$F,4,FALSE)-SUMIFS($E$2:$E2449,$C$2:$C2449,C2449,$D$2:$D2449,"*Package*"))</f>
        <v/>
      </c>
      <c r="G2449" t="str">
        <f t="shared" si="71"/>
        <v/>
      </c>
      <c r="H2449" s="33">
        <f>IF(ISNUMBER(SEARCH("Group",D2449)),IF(G2449="",E2449,IFERROR(E2449/COUNTIF($G2:$G6000,G2449),E2449)),E2449)</f>
        <v>0</v>
      </c>
      <c r="I2449" s="1" t="str">
        <f>IFERROR(VLOOKUP(C2449,'Clients List'!A:F,6,FALSE),"")</f>
        <v/>
      </c>
    </row>
    <row r="2450" spans="4:9" x14ac:dyDescent="0.45">
      <c r="D2450" t="str">
        <f>IFERROR(VLOOKUP(C2450,'Clients List'!$A:$F,2,FALSE),"")</f>
        <v/>
      </c>
      <c r="F2450" s="1" t="str">
        <f>IF(OR(C2450="",NOT(ISNUMBER(SEARCH("Package",D2450)))),"",VLOOKUP(C2450,'Clients List'!$A:$F,4,FALSE)-SUMIFS($E$2:$E2450,$C$2:$C2450,C2450,$D$2:$D2450,"*Package*"))</f>
        <v/>
      </c>
      <c r="G2450" t="str">
        <f t="shared" si="71"/>
        <v/>
      </c>
      <c r="H2450" s="33">
        <f>IF(ISNUMBER(SEARCH("Group",D2450)),IF(G2450="",E2450,IFERROR(E2450/COUNTIF($G2:$G6000,G2450),E2450)),E2450)</f>
        <v>0</v>
      </c>
      <c r="I2450" s="1" t="str">
        <f>IFERROR(VLOOKUP(C2450,'Clients List'!A:F,6,FALSE),"")</f>
        <v/>
      </c>
    </row>
    <row r="2451" spans="4:9" x14ac:dyDescent="0.45">
      <c r="D2451" t="str">
        <f>IFERROR(VLOOKUP(C2451,'Clients List'!$A:$F,2,FALSE),"")</f>
        <v/>
      </c>
      <c r="F2451" s="1" t="str">
        <f>IF(OR(C2451="",NOT(ISNUMBER(SEARCH("Package",D2451)))),"",VLOOKUP(C2451,'Clients List'!$A:$F,4,FALSE)-SUMIFS($E$2:$E2451,$C$2:$C2451,C2451,$D$2:$D2451,"*Package*"))</f>
        <v/>
      </c>
      <c r="G2451" t="str">
        <f t="shared" si="71"/>
        <v/>
      </c>
      <c r="H2451" s="33">
        <f>IF(ISNUMBER(SEARCH("Group",D2451)),IF(G2451="",E2451,IFERROR(E2451/COUNTIF($G2:$G6000,G2451),E2451)),E2451)</f>
        <v>0</v>
      </c>
      <c r="I2451" s="1" t="str">
        <f>IFERROR(VLOOKUP(C2451,'Clients List'!A:F,6,FALSE),"")</f>
        <v/>
      </c>
    </row>
    <row r="2452" spans="4:9" x14ac:dyDescent="0.45">
      <c r="D2452" t="str">
        <f>IFERROR(VLOOKUP(C2452,'Clients List'!$A:$F,2,FALSE),"")</f>
        <v/>
      </c>
      <c r="F2452" s="1" t="str">
        <f>IF(OR(C2452="",NOT(ISNUMBER(SEARCH("Package",D2452)))),"",VLOOKUP(C2452,'Clients List'!$A:$F,4,FALSE)-SUMIFS($E$2:$E2452,$C$2:$C2452,C2452,$D$2:$D2452,"*Package*"))</f>
        <v/>
      </c>
      <c r="G2452" t="str">
        <f t="shared" si="71"/>
        <v/>
      </c>
      <c r="H2452" s="33">
        <f>IF(ISNUMBER(SEARCH("Group",D2452)),IF(G2452="",E2452,IFERROR(E2452/COUNTIF($G2:$G6000,G2452),E2452)),E2452)</f>
        <v>0</v>
      </c>
      <c r="I2452" s="1" t="str">
        <f>IFERROR(VLOOKUP(C2452,'Clients List'!A:F,6,FALSE),"")</f>
        <v/>
      </c>
    </row>
    <row r="2453" spans="4:9" x14ac:dyDescent="0.45">
      <c r="D2453" t="str">
        <f>IFERROR(VLOOKUP(C2453,'Clients List'!$A:$F,2,FALSE),"")</f>
        <v/>
      </c>
      <c r="F2453" s="1" t="str">
        <f>IF(OR(C2453="",NOT(ISNUMBER(SEARCH("Package",D2453)))),"",VLOOKUP(C2453,'Clients List'!$A:$F,4,FALSE)-SUMIFS($E$2:$E2453,$C$2:$C2453,C2453,$D$2:$D2453,"*Package*"))</f>
        <v/>
      </c>
      <c r="G2453" t="str">
        <f t="shared" si="71"/>
        <v/>
      </c>
      <c r="H2453" s="33">
        <f>IF(ISNUMBER(SEARCH("Group",D2453)),IF(G2453="",E2453,IFERROR(E2453/COUNTIF($G2:$G6000,G2453),E2453)),E2453)</f>
        <v>0</v>
      </c>
      <c r="I2453" s="1" t="str">
        <f>IFERROR(VLOOKUP(C2453,'Clients List'!A:F,6,FALSE),"")</f>
        <v/>
      </c>
    </row>
    <row r="2454" spans="4:9" x14ac:dyDescent="0.45">
      <c r="D2454" t="str">
        <f>IFERROR(VLOOKUP(C2454,'Clients List'!$A:$F,2,FALSE),"")</f>
        <v/>
      </c>
      <c r="F2454" s="1" t="str">
        <f>IF(OR(C2454="",NOT(ISNUMBER(SEARCH("Package",D2454)))),"",VLOOKUP(C2454,'Clients List'!$A:$F,4,FALSE)-SUMIFS($E$2:$E2454,$C$2:$C2454,C2454,$D$2:$D2454,"*Package*"))</f>
        <v/>
      </c>
      <c r="G2454" t="str">
        <f t="shared" si="71"/>
        <v/>
      </c>
      <c r="H2454" s="33">
        <f>IF(ISNUMBER(SEARCH("Group",D2454)),IF(G2454="",E2454,IFERROR(E2454/COUNTIF($G2:$G6000,G2454),E2454)),E2454)</f>
        <v>0</v>
      </c>
      <c r="I2454" s="1" t="str">
        <f>IFERROR(VLOOKUP(C2454,'Clients List'!A:F,6,FALSE),"")</f>
        <v/>
      </c>
    </row>
    <row r="2455" spans="4:9" x14ac:dyDescent="0.45">
      <c r="D2455" t="str">
        <f>IFERROR(VLOOKUP(C2455,'Clients List'!$A:$F,2,FALSE),"")</f>
        <v/>
      </c>
      <c r="F2455" s="1" t="str">
        <f>IF(OR(C2455="",NOT(ISNUMBER(SEARCH("Package",D2455)))),"",VLOOKUP(C2455,'Clients List'!$A:$F,4,FALSE)-SUMIFS($E$2:$E2455,$C$2:$C2455,C2455,$D$2:$D2455,"*Package*"))</f>
        <v/>
      </c>
      <c r="G2455" t="str">
        <f t="shared" si="71"/>
        <v/>
      </c>
      <c r="H2455" s="33">
        <f>IF(ISNUMBER(SEARCH("Group",D2455)),IF(G2455="",E2455,IFERROR(E2455/COUNTIF($G2:$G6000,G2455),E2455)),E2455)</f>
        <v>0</v>
      </c>
      <c r="I2455" s="1" t="str">
        <f>IFERROR(VLOOKUP(C2455,'Clients List'!A:F,6,FALSE),"")</f>
        <v/>
      </c>
    </row>
    <row r="2456" spans="4:9" x14ac:dyDescent="0.45">
      <c r="D2456" t="str">
        <f>IFERROR(VLOOKUP(C2456,'Clients List'!$A:$F,2,FALSE),"")</f>
        <v/>
      </c>
      <c r="F2456" s="1" t="str">
        <f>IF(OR(C2456="",NOT(ISNUMBER(SEARCH("Package",D2456)))),"",VLOOKUP(C2456,'Clients List'!$A:$F,4,FALSE)-SUMIFS($E$2:$E2456,$C$2:$C2456,C2456,$D$2:$D2456,"*Package*"))</f>
        <v/>
      </c>
      <c r="G2456" t="str">
        <f t="shared" si="71"/>
        <v/>
      </c>
      <c r="H2456" s="33">
        <f>IF(ISNUMBER(SEARCH("Group",D2456)),IF(G2456="",E2456,IFERROR(E2456/COUNTIF($G2:$G6000,G2456),E2456)),E2456)</f>
        <v>0</v>
      </c>
      <c r="I2456" s="1" t="str">
        <f>IFERROR(VLOOKUP(C2456,'Clients List'!A:F,6,FALSE),"")</f>
        <v/>
      </c>
    </row>
    <row r="2457" spans="4:9" x14ac:dyDescent="0.45">
      <c r="D2457" t="str">
        <f>IFERROR(VLOOKUP(C2457,'Clients List'!$A:$F,2,FALSE),"")</f>
        <v/>
      </c>
      <c r="F2457" s="1" t="str">
        <f>IF(OR(C2457="",NOT(ISNUMBER(SEARCH("Package",D2457)))),"",VLOOKUP(C2457,'Clients List'!$A:$F,4,FALSE)-SUMIFS($E$2:$E2457,$C$2:$C2457,C2457,$D$2:$D2457,"*Package*"))</f>
        <v/>
      </c>
      <c r="G2457" t="str">
        <f t="shared" si="71"/>
        <v/>
      </c>
      <c r="H2457" s="33">
        <f>IF(ISNUMBER(SEARCH("Group",D2457)),IF(G2457="",E2457,IFERROR(E2457/COUNTIF($G2:$G6000,G2457),E2457)),E2457)</f>
        <v>0</v>
      </c>
      <c r="I2457" s="1" t="str">
        <f>IFERROR(VLOOKUP(C2457,'Clients List'!A:F,6,FALSE),"")</f>
        <v/>
      </c>
    </row>
    <row r="2458" spans="4:9" x14ac:dyDescent="0.45">
      <c r="D2458" t="str">
        <f>IFERROR(VLOOKUP(C2458,'Clients List'!$A:$F,2,FALSE),"")</f>
        <v/>
      </c>
      <c r="F2458" s="1" t="str">
        <f>IF(OR(C2458="",NOT(ISNUMBER(SEARCH("Package",D2458)))),"",VLOOKUP(C2458,'Clients List'!$A:$F,4,FALSE)-SUMIFS($E$2:$E2458,$C$2:$C2458,C2458,$D$2:$D2458,"*Package*"))</f>
        <v/>
      </c>
      <c r="G2458" t="str">
        <f t="shared" si="71"/>
        <v/>
      </c>
      <c r="H2458" s="33">
        <f>IF(ISNUMBER(SEARCH("Group",D2458)),IF(G2458="",E2458,IFERROR(E2458/COUNTIF($G2:$G6000,G2458),E2458)),E2458)</f>
        <v>0</v>
      </c>
      <c r="I2458" s="1" t="str">
        <f>IFERROR(VLOOKUP(C2458,'Clients List'!A:F,6,FALSE),"")</f>
        <v/>
      </c>
    </row>
    <row r="2459" spans="4:9" x14ac:dyDescent="0.45">
      <c r="D2459" t="str">
        <f>IFERROR(VLOOKUP(C2459,'Clients List'!$A:$F,2,FALSE),"")</f>
        <v/>
      </c>
      <c r="F2459" s="1" t="str">
        <f>IF(OR(C2459="",NOT(ISNUMBER(SEARCH("Package",D2459)))),"",VLOOKUP(C2459,'Clients List'!$A:$F,4,FALSE)-SUMIFS($E$2:$E2459,$C$2:$C2459,C2459,$D$2:$D2459,"*Package*"))</f>
        <v/>
      </c>
      <c r="G2459" t="str">
        <f t="shared" si="71"/>
        <v/>
      </c>
      <c r="H2459" s="33">
        <f>IF(ISNUMBER(SEARCH("Group",D2459)),IF(G2459="",E2459,IFERROR(E2459/COUNTIF($G2:$G6000,G2459),E2459)),E2459)</f>
        <v>0</v>
      </c>
      <c r="I2459" s="1" t="str">
        <f>IFERROR(VLOOKUP(C2459,'Clients List'!A:F,6,FALSE),"")</f>
        <v/>
      </c>
    </row>
    <row r="2460" spans="4:9" x14ac:dyDescent="0.45">
      <c r="D2460" t="str">
        <f>IFERROR(VLOOKUP(C2460,'Clients List'!$A:$F,2,FALSE),"")</f>
        <v/>
      </c>
      <c r="F2460" s="1" t="str">
        <f>IF(OR(C2460="",NOT(ISNUMBER(SEARCH("Package",D2460)))),"",VLOOKUP(C2460,'Clients List'!$A:$F,4,FALSE)-SUMIFS($E$2:$E2460,$C$2:$C2460,C2460,$D$2:$D2460,"*Package*"))</f>
        <v/>
      </c>
      <c r="G2460" t="str">
        <f t="shared" si="71"/>
        <v/>
      </c>
      <c r="H2460" s="33">
        <f>IF(ISNUMBER(SEARCH("Group",D2460)),IF(G2460="",E2460,IFERROR(E2460/COUNTIF($G2:$G6000,G2460),E2460)),E2460)</f>
        <v>0</v>
      </c>
      <c r="I2460" s="1" t="str">
        <f>IFERROR(VLOOKUP(C2460,'Clients List'!A:F,6,FALSE),"")</f>
        <v/>
      </c>
    </row>
    <row r="2461" spans="4:9" x14ac:dyDescent="0.45">
      <c r="D2461" t="str">
        <f>IFERROR(VLOOKUP(C2461,'Clients List'!$A:$F,2,FALSE),"")</f>
        <v/>
      </c>
      <c r="F2461" s="1" t="str">
        <f>IF(OR(C2461="",NOT(ISNUMBER(SEARCH("Package",D2461)))),"",VLOOKUP(C2461,'Clients List'!$A:$F,4,FALSE)-SUMIFS($E$2:$E2461,$C$2:$C2461,C2461,$D$2:$D2461,"*Package*"))</f>
        <v/>
      </c>
      <c r="G2461" t="str">
        <f t="shared" si="71"/>
        <v/>
      </c>
      <c r="H2461" s="33">
        <f>IF(ISNUMBER(SEARCH("Group",D2461)),IF(G2461="",E2461,IFERROR(E2461/COUNTIF($G2:$G6000,G2461),E2461)),E2461)</f>
        <v>0</v>
      </c>
      <c r="I2461" s="1" t="str">
        <f>IFERROR(VLOOKUP(C2461,'Clients List'!A:F,6,FALSE),"")</f>
        <v/>
      </c>
    </row>
    <row r="2462" spans="4:9" x14ac:dyDescent="0.45">
      <c r="D2462" t="str">
        <f>IFERROR(VLOOKUP(C2462,'Clients List'!$A:$F,2,FALSE),"")</f>
        <v/>
      </c>
      <c r="F2462" s="1" t="str">
        <f>IF(OR(C2462="",NOT(ISNUMBER(SEARCH("Package",D2462)))),"",VLOOKUP(C2462,'Clients List'!$A:$F,4,FALSE)-SUMIFS($E$2:$E2462,$C$2:$C2462,C2462,$D$2:$D2462,"*Package*"))</f>
        <v/>
      </c>
      <c r="G2462" t="str">
        <f t="shared" si="71"/>
        <v/>
      </c>
      <c r="H2462" s="33">
        <f>IF(ISNUMBER(SEARCH("Group",D2462)),IF(G2462="",E2462,IFERROR(E2462/COUNTIF($G2:$G6000,G2462),E2462)),E2462)</f>
        <v>0</v>
      </c>
      <c r="I2462" s="1" t="str">
        <f>IFERROR(VLOOKUP(C2462,'Clients List'!A:F,6,FALSE),"")</f>
        <v/>
      </c>
    </row>
    <row r="2463" spans="4:9" x14ac:dyDescent="0.45">
      <c r="D2463" t="str">
        <f>IFERROR(VLOOKUP(C2463,'Clients List'!$A:$F,2,FALSE),"")</f>
        <v/>
      </c>
      <c r="F2463" s="1" t="str">
        <f>IF(OR(C2463="",NOT(ISNUMBER(SEARCH("Package",D2463)))),"",VLOOKUP(C2463,'Clients List'!$A:$F,4,FALSE)-SUMIFS($E$2:$E2463,$C$2:$C2463,C2463,$D$2:$D2463,"*Package*"))</f>
        <v/>
      </c>
      <c r="G2463" t="str">
        <f t="shared" si="71"/>
        <v/>
      </c>
      <c r="H2463" s="33">
        <f>IF(ISNUMBER(SEARCH("Group",D2463)),IF(G2463="",E2463,IFERROR(E2463/COUNTIF($G2:$G6000,G2463),E2463)),E2463)</f>
        <v>0</v>
      </c>
      <c r="I2463" s="1" t="str">
        <f>IFERROR(VLOOKUP(C2463,'Clients List'!A:F,6,FALSE),"")</f>
        <v/>
      </c>
    </row>
    <row r="2464" spans="4:9" x14ac:dyDescent="0.45">
      <c r="D2464" t="str">
        <f>IFERROR(VLOOKUP(C2464,'Clients List'!$A:$F,2,FALSE),"")</f>
        <v/>
      </c>
      <c r="F2464" s="1" t="str">
        <f>IF(OR(C2464="",NOT(ISNUMBER(SEARCH("Package",D2464)))),"",VLOOKUP(C2464,'Clients List'!$A:$F,4,FALSE)-SUMIFS($E$2:$E2464,$C$2:$C2464,C2464,$D$2:$D2464,"*Package*"))</f>
        <v/>
      </c>
      <c r="G2464" t="str">
        <f t="shared" si="71"/>
        <v/>
      </c>
      <c r="H2464" s="33">
        <f>IF(ISNUMBER(SEARCH("Group",D2464)),IF(G2464="",E2464,IFERROR(E2464/COUNTIF($G2:$G6000,G2464),E2464)),E2464)</f>
        <v>0</v>
      </c>
      <c r="I2464" s="1" t="str">
        <f>IFERROR(VLOOKUP(C2464,'Clients List'!A:F,6,FALSE),"")</f>
        <v/>
      </c>
    </row>
    <row r="2465" spans="4:9" x14ac:dyDescent="0.45">
      <c r="D2465" t="str">
        <f>IFERROR(VLOOKUP(C2465,'Clients List'!$A:$F,2,FALSE),"")</f>
        <v/>
      </c>
      <c r="F2465" s="1" t="str">
        <f>IF(OR(C2465="",NOT(ISNUMBER(SEARCH("Package",D2465)))),"",VLOOKUP(C2465,'Clients List'!$A:$F,4,FALSE)-SUMIFS($E$2:$E2465,$C$2:$C2465,C2465,$D$2:$D2465,"*Package*"))</f>
        <v/>
      </c>
      <c r="G2465" t="str">
        <f t="shared" si="71"/>
        <v/>
      </c>
      <c r="H2465" s="33">
        <f>IF(ISNUMBER(SEARCH("Group",D2465)),IF(G2465="",E2465,IFERROR(E2465/COUNTIF($G2:$G6000,G2465),E2465)),E2465)</f>
        <v>0</v>
      </c>
      <c r="I2465" s="1" t="str">
        <f>IFERROR(VLOOKUP(C2465,'Clients List'!A:F,6,FALSE),"")</f>
        <v/>
      </c>
    </row>
    <row r="2466" spans="4:9" x14ac:dyDescent="0.45">
      <c r="D2466" t="str">
        <f>IFERROR(VLOOKUP(C2466,'Clients List'!$A:$F,2,FALSE),"")</f>
        <v/>
      </c>
      <c r="F2466" s="1" t="str">
        <f>IF(OR(C2466="",NOT(ISNUMBER(SEARCH("Package",D2466)))),"",VLOOKUP(C2466,'Clients List'!$A:$F,4,FALSE)-SUMIFS($E$2:$E2466,$C$2:$C2466,C2466,$D$2:$D2466,"*Package*"))</f>
        <v/>
      </c>
      <c r="G2466" t="str">
        <f t="shared" si="71"/>
        <v/>
      </c>
      <c r="H2466" s="33">
        <f>IF(ISNUMBER(SEARCH("Group",D2466)),IF(G2466="",E2466,IFERROR(E2466/COUNTIF($G2:$G6000,G2466),E2466)),E2466)</f>
        <v>0</v>
      </c>
      <c r="I2466" s="1" t="str">
        <f>IFERROR(VLOOKUP(C2466,'Clients List'!A:F,6,FALSE),"")</f>
        <v/>
      </c>
    </row>
    <row r="2467" spans="4:9" x14ac:dyDescent="0.45">
      <c r="D2467" t="str">
        <f>IFERROR(VLOOKUP(C2467,'Clients List'!$A:$F,2,FALSE),"")</f>
        <v/>
      </c>
      <c r="F2467" s="1" t="str">
        <f>IF(OR(C2467="",NOT(ISNUMBER(SEARCH("Package",D2467)))),"",VLOOKUP(C2467,'Clients List'!$A:$F,4,FALSE)-SUMIFS($E$2:$E2467,$C$2:$C2467,C2467,$D$2:$D2467,"*Package*"))</f>
        <v/>
      </c>
      <c r="G2467" t="str">
        <f t="shared" si="71"/>
        <v/>
      </c>
      <c r="H2467" s="33">
        <f>IF(ISNUMBER(SEARCH("Group",D2467)),IF(G2467="",E2467,IFERROR(E2467/COUNTIF($G2:$G6000,G2467),E2467)),E2467)</f>
        <v>0</v>
      </c>
      <c r="I2467" s="1" t="str">
        <f>IFERROR(VLOOKUP(C2467,'Clients List'!A:F,6,FALSE),"")</f>
        <v/>
      </c>
    </row>
    <row r="2468" spans="4:9" x14ac:dyDescent="0.45">
      <c r="D2468" t="str">
        <f>IFERROR(VLOOKUP(C2468,'Clients List'!$A:$F,2,FALSE),"")</f>
        <v/>
      </c>
      <c r="F2468" s="1" t="str">
        <f>IF(OR(C2468="",NOT(ISNUMBER(SEARCH("Package",D2468)))),"",VLOOKUP(C2468,'Clients List'!$A:$F,4,FALSE)-SUMIFS($E$2:$E2468,$C$2:$C2468,C2468,$D$2:$D2468,"*Package*"))</f>
        <v/>
      </c>
      <c r="G2468" t="str">
        <f t="shared" si="71"/>
        <v/>
      </c>
      <c r="H2468" s="33">
        <f>IF(ISNUMBER(SEARCH("Group",D2468)),IF(G2468="",E2468,IFERROR(E2468/COUNTIF($G2:$G6000,G2468),E2468)),E2468)</f>
        <v>0</v>
      </c>
      <c r="I2468" s="1" t="str">
        <f>IFERROR(VLOOKUP(C2468,'Clients List'!A:F,6,FALSE),"")</f>
        <v/>
      </c>
    </row>
    <row r="2469" spans="4:9" x14ac:dyDescent="0.45">
      <c r="D2469" t="str">
        <f>IFERROR(VLOOKUP(C2469,'Clients List'!$A:$F,2,FALSE),"")</f>
        <v/>
      </c>
      <c r="F2469" s="1" t="str">
        <f>IF(OR(C2469="",NOT(ISNUMBER(SEARCH("Package",D2469)))),"",VLOOKUP(C2469,'Clients List'!$A:$F,4,FALSE)-SUMIFS($E$2:$E2469,$C$2:$C2469,C2469,$D$2:$D2469,"*Package*"))</f>
        <v/>
      </c>
      <c r="G2469" t="str">
        <f t="shared" si="71"/>
        <v/>
      </c>
      <c r="H2469" s="33">
        <f>IF(ISNUMBER(SEARCH("Group",D2469)),IF(G2469="",E2469,IFERROR(E2469/COUNTIF($G2:$G6000,G2469),E2469)),E2469)</f>
        <v>0</v>
      </c>
      <c r="I2469" s="1" t="str">
        <f>IFERROR(VLOOKUP(C2469,'Clients List'!A:F,6,FALSE),"")</f>
        <v/>
      </c>
    </row>
    <row r="2470" spans="4:9" x14ac:dyDescent="0.45">
      <c r="D2470" t="str">
        <f>IFERROR(VLOOKUP(C2470,'Clients List'!$A:$F,2,FALSE),"")</f>
        <v/>
      </c>
      <c r="F2470" s="1" t="str">
        <f>IF(OR(C2470="",NOT(ISNUMBER(SEARCH("Package",D2470)))),"",VLOOKUP(C2470,'Clients List'!$A:$F,4,FALSE)-SUMIFS($E$2:$E2470,$C$2:$C2470,C2470,$D$2:$D2470,"*Package*"))</f>
        <v/>
      </c>
      <c r="G2470" t="str">
        <f t="shared" si="71"/>
        <v/>
      </c>
      <c r="H2470" s="33">
        <f>IF(ISNUMBER(SEARCH("Group",D2470)),IF(G2470="",E2470,IFERROR(E2470/COUNTIF($G2:$G6000,G2470),E2470)),E2470)</f>
        <v>0</v>
      </c>
      <c r="I2470" s="1" t="str">
        <f>IFERROR(VLOOKUP(C2470,'Clients List'!A:F,6,FALSE),"")</f>
        <v/>
      </c>
    </row>
    <row r="2471" spans="4:9" x14ac:dyDescent="0.45">
      <c r="D2471" t="str">
        <f>IFERROR(VLOOKUP(C2471,'Clients List'!$A:$F,2,FALSE),"")</f>
        <v/>
      </c>
      <c r="F2471" s="1" t="str">
        <f>IF(OR(C2471="",NOT(ISNUMBER(SEARCH("Package",D2471)))),"",VLOOKUP(C2471,'Clients List'!$A:$F,4,FALSE)-SUMIFS($E$2:$E2471,$C$2:$C2471,C2471,$D$2:$D2471,"*Package*"))</f>
        <v/>
      </c>
      <c r="G2471" t="str">
        <f t="shared" si="71"/>
        <v/>
      </c>
      <c r="H2471" s="33">
        <f>IF(ISNUMBER(SEARCH("Group",D2471)),IF(G2471="",E2471,IFERROR(E2471/COUNTIF($G2:$G6000,G2471),E2471)),E2471)</f>
        <v>0</v>
      </c>
      <c r="I2471" s="1" t="str">
        <f>IFERROR(VLOOKUP(C2471,'Clients List'!A:F,6,FALSE),"")</f>
        <v/>
      </c>
    </row>
    <row r="2472" spans="4:9" x14ac:dyDescent="0.45">
      <c r="D2472" t="str">
        <f>IFERROR(VLOOKUP(C2472,'Clients List'!$A:$F,2,FALSE),"")</f>
        <v/>
      </c>
      <c r="F2472" s="1" t="str">
        <f>IF(OR(C2472="",NOT(ISNUMBER(SEARCH("Package",D2472)))),"",VLOOKUP(C2472,'Clients List'!$A:$F,4,FALSE)-SUMIFS($E$2:$E2472,$C$2:$C2472,C2472,$D$2:$D2472,"*Package*"))</f>
        <v/>
      </c>
      <c r="G2472" t="str">
        <f t="shared" si="71"/>
        <v/>
      </c>
      <c r="H2472" s="33">
        <f>IF(ISNUMBER(SEARCH("Group",D2472)),IF(G2472="",E2472,IFERROR(E2472/COUNTIF($G2:$G6000,G2472),E2472)),E2472)</f>
        <v>0</v>
      </c>
      <c r="I2472" s="1" t="str">
        <f>IFERROR(VLOOKUP(C2472,'Clients List'!A:F,6,FALSE),"")</f>
        <v/>
      </c>
    </row>
    <row r="2473" spans="4:9" x14ac:dyDescent="0.45">
      <c r="D2473" t="str">
        <f>IFERROR(VLOOKUP(C2473,'Clients List'!$A:$F,2,FALSE),"")</f>
        <v/>
      </c>
      <c r="F2473" s="1" t="str">
        <f>IF(OR(C2473="",NOT(ISNUMBER(SEARCH("Package",D2473)))),"",VLOOKUP(C2473,'Clients List'!$A:$F,4,FALSE)-SUMIFS($E$2:$E2473,$C$2:$C2473,C2473,$D$2:$D2473,"*Package*"))</f>
        <v/>
      </c>
      <c r="G2473" t="str">
        <f t="shared" si="71"/>
        <v/>
      </c>
      <c r="H2473" s="33">
        <f>IF(ISNUMBER(SEARCH("Group",D2473)),IF(G2473="",E2473,IFERROR(E2473/COUNTIF($G2:$G6000,G2473),E2473)),E2473)</f>
        <v>0</v>
      </c>
      <c r="I2473" s="1" t="str">
        <f>IFERROR(VLOOKUP(C2473,'Clients List'!A:F,6,FALSE),"")</f>
        <v/>
      </c>
    </row>
    <row r="2474" spans="4:9" x14ac:dyDescent="0.45">
      <c r="D2474" t="str">
        <f>IFERROR(VLOOKUP(C2474,'Clients List'!$A:$F,2,FALSE),"")</f>
        <v/>
      </c>
      <c r="F2474" s="1" t="str">
        <f>IF(OR(C2474="",NOT(ISNUMBER(SEARCH("Package",D2474)))),"",VLOOKUP(C2474,'Clients List'!$A:$F,4,FALSE)-SUMIFS($E$2:$E2474,$C$2:$C2474,C2474,$D$2:$D2474,"*Package*"))</f>
        <v/>
      </c>
      <c r="G2474" t="str">
        <f t="shared" si="71"/>
        <v/>
      </c>
      <c r="H2474" s="33">
        <f>IF(ISNUMBER(SEARCH("Group",D2474)),IF(G2474="",E2474,IFERROR(E2474/COUNTIF($G2:$G6000,G2474),E2474)),E2474)</f>
        <v>0</v>
      </c>
      <c r="I2474" s="1" t="str">
        <f>IFERROR(VLOOKUP(C2474,'Clients List'!A:F,6,FALSE),"")</f>
        <v/>
      </c>
    </row>
    <row r="2475" spans="4:9" x14ac:dyDescent="0.45">
      <c r="D2475" t="str">
        <f>IFERROR(VLOOKUP(C2475,'Clients List'!$A:$F,2,FALSE),"")</f>
        <v/>
      </c>
      <c r="F2475" s="1" t="str">
        <f>IF(OR(C2475="",NOT(ISNUMBER(SEARCH("Package",D2475)))),"",VLOOKUP(C2475,'Clients List'!$A:$F,4,FALSE)-SUMIFS($E$2:$E2475,$C$2:$C2475,C2475,$D$2:$D2475,"*Package*"))</f>
        <v/>
      </c>
      <c r="G2475" t="str">
        <f t="shared" si="71"/>
        <v/>
      </c>
      <c r="H2475" s="33">
        <f>IF(ISNUMBER(SEARCH("Group",D2475)),IF(G2475="",E2475,IFERROR(E2475/COUNTIF($G2:$G6000,G2475),E2475)),E2475)</f>
        <v>0</v>
      </c>
      <c r="I2475" s="1" t="str">
        <f>IFERROR(VLOOKUP(C2475,'Clients List'!A:F,6,FALSE),"")</f>
        <v/>
      </c>
    </row>
    <row r="2476" spans="4:9" x14ac:dyDescent="0.45">
      <c r="D2476" t="str">
        <f>IFERROR(VLOOKUP(C2476,'Clients List'!$A:$F,2,FALSE),"")</f>
        <v/>
      </c>
      <c r="F2476" s="1" t="str">
        <f>IF(OR(C2476="",NOT(ISNUMBER(SEARCH("Package",D2476)))),"",VLOOKUP(C2476,'Clients List'!$A:$F,4,FALSE)-SUMIFS($E$2:$E2476,$C$2:$C2476,C2476,$D$2:$D2476,"*Package*"))</f>
        <v/>
      </c>
      <c r="G2476" t="str">
        <f t="shared" si="71"/>
        <v/>
      </c>
      <c r="H2476" s="33">
        <f>IF(ISNUMBER(SEARCH("Group",D2476)),IF(G2476="",E2476,IFERROR(E2476/COUNTIF($G2:$G6000,G2476),E2476)),E2476)</f>
        <v>0</v>
      </c>
      <c r="I2476" s="1" t="str">
        <f>IFERROR(VLOOKUP(C2476,'Clients List'!A:F,6,FALSE),"")</f>
        <v/>
      </c>
    </row>
    <row r="2477" spans="4:9" x14ac:dyDescent="0.45">
      <c r="D2477" t="str">
        <f>IFERROR(VLOOKUP(C2477,'Clients List'!$A:$F,2,FALSE),"")</f>
        <v/>
      </c>
      <c r="F2477" s="1" t="str">
        <f>IF(OR(C2477="",NOT(ISNUMBER(SEARCH("Package",D2477)))),"",VLOOKUP(C2477,'Clients List'!$A:$F,4,FALSE)-SUMIFS($E$2:$E2477,$C$2:$C2477,C2477,$D$2:$D2477,"*Package*"))</f>
        <v/>
      </c>
      <c r="G2477" t="str">
        <f t="shared" si="71"/>
        <v/>
      </c>
      <c r="H2477" s="33">
        <f>IF(ISNUMBER(SEARCH("Group",D2477)),IF(G2477="",E2477,IFERROR(E2477/COUNTIF($G2:$G6000,G2477),E2477)),E2477)</f>
        <v>0</v>
      </c>
      <c r="I2477" s="1" t="str">
        <f>IFERROR(VLOOKUP(C2477,'Clients List'!A:F,6,FALSE),"")</f>
        <v/>
      </c>
    </row>
    <row r="2478" spans="4:9" x14ac:dyDescent="0.45">
      <c r="D2478" t="str">
        <f>IFERROR(VLOOKUP(C2478,'Clients List'!$A:$F,2,FALSE),"")</f>
        <v/>
      </c>
      <c r="F2478" s="1" t="str">
        <f>IF(OR(C2478="",NOT(ISNUMBER(SEARCH("Package",D2478)))),"",VLOOKUP(C2478,'Clients List'!$A:$F,4,FALSE)-SUMIFS($E$2:$E2478,$C$2:$C2478,C2478,$D$2:$D2478,"*Package*"))</f>
        <v/>
      </c>
      <c r="G2478" t="str">
        <f t="shared" si="71"/>
        <v/>
      </c>
      <c r="H2478" s="33">
        <f>IF(ISNUMBER(SEARCH("Group",D2478)),IF(G2478="",E2478,IFERROR(E2478/COUNTIF($G2:$G6000,G2478),E2478)),E2478)</f>
        <v>0</v>
      </c>
      <c r="I2478" s="1" t="str">
        <f>IFERROR(VLOOKUP(C2478,'Clients List'!A:F,6,FALSE),"")</f>
        <v/>
      </c>
    </row>
    <row r="2479" spans="4:9" x14ac:dyDescent="0.45">
      <c r="D2479" t="str">
        <f>IFERROR(VLOOKUP(C2479,'Clients List'!$A:$F,2,FALSE),"")</f>
        <v/>
      </c>
      <c r="F2479" s="1" t="str">
        <f>IF(OR(C2479="",NOT(ISNUMBER(SEARCH("Package",D2479)))),"",VLOOKUP(C2479,'Clients List'!$A:$F,4,FALSE)-SUMIFS($E$2:$E2479,$C$2:$C2479,C2479,$D$2:$D2479,"*Package*"))</f>
        <v/>
      </c>
      <c r="G2479" t="str">
        <f t="shared" si="71"/>
        <v/>
      </c>
      <c r="H2479" s="33">
        <f>IF(ISNUMBER(SEARCH("Group",D2479)),IF(G2479="",E2479,IFERROR(E2479/COUNTIF($G2:$G6000,G2479),E2479)),E2479)</f>
        <v>0</v>
      </c>
      <c r="I2479" s="1" t="str">
        <f>IFERROR(VLOOKUP(C2479,'Clients List'!A:F,6,FALSE),"")</f>
        <v/>
      </c>
    </row>
    <row r="2480" spans="4:9" x14ac:dyDescent="0.45">
      <c r="D2480" t="str">
        <f>IFERROR(VLOOKUP(C2480,'Clients List'!$A:$F,2,FALSE),"")</f>
        <v/>
      </c>
      <c r="F2480" s="1" t="str">
        <f>IF(OR(C2480="",NOT(ISNUMBER(SEARCH("Package",D2480)))),"",VLOOKUP(C2480,'Clients List'!$A:$F,4,FALSE)-SUMIFS($E$2:$E2480,$C$2:$C2480,C2480,$D$2:$D2480,"*Package*"))</f>
        <v/>
      </c>
      <c r="G2480" t="str">
        <f t="shared" si="71"/>
        <v/>
      </c>
      <c r="H2480" s="33">
        <f>IF(ISNUMBER(SEARCH("Group",D2480)),IF(G2480="",E2480,IFERROR(E2480/COUNTIF($G2:$G6000,G2480),E2480)),E2480)</f>
        <v>0</v>
      </c>
      <c r="I2480" s="1" t="str">
        <f>IFERROR(VLOOKUP(C2480,'Clients List'!A:F,6,FALSE),"")</f>
        <v/>
      </c>
    </row>
    <row r="2481" spans="4:9" x14ac:dyDescent="0.45">
      <c r="D2481" t="str">
        <f>IFERROR(VLOOKUP(C2481,'Clients List'!$A:$F,2,FALSE),"")</f>
        <v/>
      </c>
      <c r="F2481" s="1" t="str">
        <f>IF(OR(C2481="",NOT(ISNUMBER(SEARCH("Package",D2481)))),"",VLOOKUP(C2481,'Clients List'!$A:$F,4,FALSE)-SUMIFS($E$2:$E2481,$C$2:$C2481,C2481,$D$2:$D2481,"*Package*"))</f>
        <v/>
      </c>
      <c r="G2481" t="str">
        <f t="shared" si="71"/>
        <v/>
      </c>
      <c r="H2481" s="33">
        <f>IF(ISNUMBER(SEARCH("Group",D2481)),IF(G2481="",E2481,IFERROR(E2481/COUNTIF($G2:$G6000,G2481),E2481)),E2481)</f>
        <v>0</v>
      </c>
      <c r="I2481" s="1" t="str">
        <f>IFERROR(VLOOKUP(C2481,'Clients List'!A:F,6,FALSE),"")</f>
        <v/>
      </c>
    </row>
    <row r="2482" spans="4:9" x14ac:dyDescent="0.45">
      <c r="D2482" t="str">
        <f>IFERROR(VLOOKUP(C2482,'Clients List'!$A:$F,2,FALSE),"")</f>
        <v/>
      </c>
      <c r="F2482" s="1" t="str">
        <f>IF(OR(C2482="",NOT(ISNUMBER(SEARCH("Package",D2482)))),"",VLOOKUP(C2482,'Clients List'!$A:$F,4,FALSE)-SUMIFS($E$2:$E2482,$C$2:$C2482,C2482,$D$2:$D2482,"*Package*"))</f>
        <v/>
      </c>
      <c r="G2482" t="str">
        <f t="shared" si="71"/>
        <v/>
      </c>
      <c r="H2482" s="33">
        <f>IF(ISNUMBER(SEARCH("Group",D2482)),IF(G2482="",E2482,IFERROR(E2482/COUNTIF($G2:$G6000,G2482),E2482)),E2482)</f>
        <v>0</v>
      </c>
      <c r="I2482" s="1" t="str">
        <f>IFERROR(VLOOKUP(C2482,'Clients List'!A:F,6,FALSE),"")</f>
        <v/>
      </c>
    </row>
    <row r="2483" spans="4:9" x14ac:dyDescent="0.45">
      <c r="D2483" t="str">
        <f>IFERROR(VLOOKUP(C2483,'Clients List'!$A:$F,2,FALSE),"")</f>
        <v/>
      </c>
      <c r="F2483" s="1" t="str">
        <f>IF(OR(C2483="",NOT(ISNUMBER(SEARCH("Package",D2483)))),"",VLOOKUP(C2483,'Clients List'!$A:$F,4,FALSE)-SUMIFS($E$2:$E2483,$C$2:$C2483,C2483,$D$2:$D2483,"*Package*"))</f>
        <v/>
      </c>
      <c r="G2483" t="str">
        <f t="shared" si="71"/>
        <v/>
      </c>
      <c r="H2483" s="33">
        <f>IF(ISNUMBER(SEARCH("Group",D2483)),IF(G2483="",E2483,IFERROR(E2483/COUNTIF($G2:$G6000,G2483),E2483)),E2483)</f>
        <v>0</v>
      </c>
      <c r="I2483" s="1" t="str">
        <f>IFERROR(VLOOKUP(C2483,'Clients List'!A:F,6,FALSE),"")</f>
        <v/>
      </c>
    </row>
    <row r="2484" spans="4:9" x14ac:dyDescent="0.45">
      <c r="D2484" t="str">
        <f>IFERROR(VLOOKUP(C2484,'Clients List'!$A:$F,2,FALSE),"")</f>
        <v/>
      </c>
      <c r="F2484" s="1" t="str">
        <f>IF(OR(C2484="",NOT(ISNUMBER(SEARCH("Package",D2484)))),"",VLOOKUP(C2484,'Clients List'!$A:$F,4,FALSE)-SUMIFS($E$2:$E2484,$C$2:$C2484,C2484,$D$2:$D2484,"*Package*"))</f>
        <v/>
      </c>
      <c r="G2484" t="str">
        <f t="shared" si="71"/>
        <v/>
      </c>
      <c r="H2484" s="33">
        <f>IF(ISNUMBER(SEARCH("Group",D2484)),IF(G2484="",E2484,IFERROR(E2484/COUNTIF($G2:$G6000,G2484),E2484)),E2484)</f>
        <v>0</v>
      </c>
      <c r="I2484" s="1" t="str">
        <f>IFERROR(VLOOKUP(C2484,'Clients List'!A:F,6,FALSE),"")</f>
        <v/>
      </c>
    </row>
    <row r="2485" spans="4:9" x14ac:dyDescent="0.45">
      <c r="D2485" t="str">
        <f>IFERROR(VLOOKUP(C2485,'Clients List'!$A:$F,2,FALSE),"")</f>
        <v/>
      </c>
      <c r="F2485" s="1" t="str">
        <f>IF(OR(C2485="",NOT(ISNUMBER(SEARCH("Package",D2485)))),"",VLOOKUP(C2485,'Clients List'!$A:$F,4,FALSE)-SUMIFS($E$2:$E2485,$C$2:$C2485,C2485,$D$2:$D2485,"*Package*"))</f>
        <v/>
      </c>
      <c r="G2485" t="str">
        <f t="shared" ref="G2485:G2548" si="72">IF(ISNUMBER(SEARCH("Group",D2485)),IFERROR("GRP-"&amp;TEXT(IF(ISNUMBER(A2485),A2485,DATEVALUE(A2485)),"yyyymmdd"),""),"" )</f>
        <v/>
      </c>
      <c r="H2485" s="33">
        <f>IF(ISNUMBER(SEARCH("Group",D2485)),IF(G2485="",E2485,IFERROR(E2485/COUNTIF($G2:$G6000,G2485),E2485)),E2485)</f>
        <v>0</v>
      </c>
      <c r="I2485" s="1" t="str">
        <f>IFERROR(VLOOKUP(C2485,'Clients List'!A:F,6,FALSE),"")</f>
        <v/>
      </c>
    </row>
    <row r="2486" spans="4:9" x14ac:dyDescent="0.45">
      <c r="D2486" t="str">
        <f>IFERROR(VLOOKUP(C2486,'Clients List'!$A:$F,2,FALSE),"")</f>
        <v/>
      </c>
      <c r="F2486" s="1" t="str">
        <f>IF(OR(C2486="",NOT(ISNUMBER(SEARCH("Package",D2486)))),"",VLOOKUP(C2486,'Clients List'!$A:$F,4,FALSE)-SUMIFS($E$2:$E2486,$C$2:$C2486,C2486,$D$2:$D2486,"*Package*"))</f>
        <v/>
      </c>
      <c r="G2486" t="str">
        <f t="shared" si="72"/>
        <v/>
      </c>
      <c r="H2486" s="33">
        <f>IF(ISNUMBER(SEARCH("Group",D2486)),IF(G2486="",E2486,IFERROR(E2486/COUNTIF($G2:$G6000,G2486),E2486)),E2486)</f>
        <v>0</v>
      </c>
      <c r="I2486" s="1" t="str">
        <f>IFERROR(VLOOKUP(C2486,'Clients List'!A:F,6,FALSE),"")</f>
        <v/>
      </c>
    </row>
    <row r="2487" spans="4:9" x14ac:dyDescent="0.45">
      <c r="D2487" t="str">
        <f>IFERROR(VLOOKUP(C2487,'Clients List'!$A:$F,2,FALSE),"")</f>
        <v/>
      </c>
      <c r="F2487" s="1" t="str">
        <f>IF(OR(C2487="",NOT(ISNUMBER(SEARCH("Package",D2487)))),"",VLOOKUP(C2487,'Clients List'!$A:$F,4,FALSE)-SUMIFS($E$2:$E2487,$C$2:$C2487,C2487,$D$2:$D2487,"*Package*"))</f>
        <v/>
      </c>
      <c r="G2487" t="str">
        <f t="shared" si="72"/>
        <v/>
      </c>
      <c r="H2487" s="33">
        <f>IF(ISNUMBER(SEARCH("Group",D2487)),IF(G2487="",E2487,IFERROR(E2487/COUNTIF($G2:$G6000,G2487),E2487)),E2487)</f>
        <v>0</v>
      </c>
      <c r="I2487" s="1" t="str">
        <f>IFERROR(VLOOKUP(C2487,'Clients List'!A:F,6,FALSE),"")</f>
        <v/>
      </c>
    </row>
    <row r="2488" spans="4:9" x14ac:dyDescent="0.45">
      <c r="D2488" t="str">
        <f>IFERROR(VLOOKUP(C2488,'Clients List'!$A:$F,2,FALSE),"")</f>
        <v/>
      </c>
      <c r="F2488" s="1" t="str">
        <f>IF(OR(C2488="",NOT(ISNUMBER(SEARCH("Package",D2488)))),"",VLOOKUP(C2488,'Clients List'!$A:$F,4,FALSE)-SUMIFS($E$2:$E2488,$C$2:$C2488,C2488,$D$2:$D2488,"*Package*"))</f>
        <v/>
      </c>
      <c r="G2488" t="str">
        <f t="shared" si="72"/>
        <v/>
      </c>
      <c r="H2488" s="33">
        <f>IF(ISNUMBER(SEARCH("Group",D2488)),IF(G2488="",E2488,IFERROR(E2488/COUNTIF($G2:$G6000,G2488),E2488)),E2488)</f>
        <v>0</v>
      </c>
      <c r="I2488" s="1" t="str">
        <f>IFERROR(VLOOKUP(C2488,'Clients List'!A:F,6,FALSE),"")</f>
        <v/>
      </c>
    </row>
    <row r="2489" spans="4:9" x14ac:dyDescent="0.45">
      <c r="D2489" t="str">
        <f>IFERROR(VLOOKUP(C2489,'Clients List'!$A:$F,2,FALSE),"")</f>
        <v/>
      </c>
      <c r="F2489" s="1" t="str">
        <f>IF(OR(C2489="",NOT(ISNUMBER(SEARCH("Package",D2489)))),"",VLOOKUP(C2489,'Clients List'!$A:$F,4,FALSE)-SUMIFS($E$2:$E2489,$C$2:$C2489,C2489,$D$2:$D2489,"*Package*"))</f>
        <v/>
      </c>
      <c r="G2489" t="str">
        <f t="shared" si="72"/>
        <v/>
      </c>
      <c r="H2489" s="33">
        <f>IF(ISNUMBER(SEARCH("Group",D2489)),IF(G2489="",E2489,IFERROR(E2489/COUNTIF($G2:$G6000,G2489),E2489)),E2489)</f>
        <v>0</v>
      </c>
      <c r="I2489" s="1" t="str">
        <f>IFERROR(VLOOKUP(C2489,'Clients List'!A:F,6,FALSE),"")</f>
        <v/>
      </c>
    </row>
    <row r="2490" spans="4:9" x14ac:dyDescent="0.45">
      <c r="D2490" t="str">
        <f>IFERROR(VLOOKUP(C2490,'Clients List'!$A:$F,2,FALSE),"")</f>
        <v/>
      </c>
      <c r="F2490" s="1" t="str">
        <f>IF(OR(C2490="",NOT(ISNUMBER(SEARCH("Package",D2490)))),"",VLOOKUP(C2490,'Clients List'!$A:$F,4,FALSE)-SUMIFS($E$2:$E2490,$C$2:$C2490,C2490,$D$2:$D2490,"*Package*"))</f>
        <v/>
      </c>
      <c r="G2490" t="str">
        <f t="shared" si="72"/>
        <v/>
      </c>
      <c r="H2490" s="33">
        <f>IF(ISNUMBER(SEARCH("Group",D2490)),IF(G2490="",E2490,IFERROR(E2490/COUNTIF($G2:$G6000,G2490),E2490)),E2490)</f>
        <v>0</v>
      </c>
      <c r="I2490" s="1" t="str">
        <f>IFERROR(VLOOKUP(C2490,'Clients List'!A:F,6,FALSE),"")</f>
        <v/>
      </c>
    </row>
    <row r="2491" spans="4:9" x14ac:dyDescent="0.45">
      <c r="D2491" t="str">
        <f>IFERROR(VLOOKUP(C2491,'Clients List'!$A:$F,2,FALSE),"")</f>
        <v/>
      </c>
      <c r="F2491" s="1" t="str">
        <f>IF(OR(C2491="",NOT(ISNUMBER(SEARCH("Package",D2491)))),"",VLOOKUP(C2491,'Clients List'!$A:$F,4,FALSE)-SUMIFS($E$2:$E2491,$C$2:$C2491,C2491,$D$2:$D2491,"*Package*"))</f>
        <v/>
      </c>
      <c r="G2491" t="str">
        <f t="shared" si="72"/>
        <v/>
      </c>
      <c r="H2491" s="33">
        <f>IF(ISNUMBER(SEARCH("Group",D2491)),IF(G2491="",E2491,IFERROR(E2491/COUNTIF($G2:$G6000,G2491),E2491)),E2491)</f>
        <v>0</v>
      </c>
      <c r="I2491" s="1" t="str">
        <f>IFERROR(VLOOKUP(C2491,'Clients List'!A:F,6,FALSE),"")</f>
        <v/>
      </c>
    </row>
    <row r="2492" spans="4:9" x14ac:dyDescent="0.45">
      <c r="D2492" t="str">
        <f>IFERROR(VLOOKUP(C2492,'Clients List'!$A:$F,2,FALSE),"")</f>
        <v/>
      </c>
      <c r="F2492" s="1" t="str">
        <f>IF(OR(C2492="",NOT(ISNUMBER(SEARCH("Package",D2492)))),"",VLOOKUP(C2492,'Clients List'!$A:$F,4,FALSE)-SUMIFS($E$2:$E2492,$C$2:$C2492,C2492,$D$2:$D2492,"*Package*"))</f>
        <v/>
      </c>
      <c r="G2492" t="str">
        <f t="shared" si="72"/>
        <v/>
      </c>
      <c r="H2492" s="33">
        <f>IF(ISNUMBER(SEARCH("Group",D2492)),IF(G2492="",E2492,IFERROR(E2492/COUNTIF($G2:$G6000,G2492),E2492)),E2492)</f>
        <v>0</v>
      </c>
      <c r="I2492" s="1" t="str">
        <f>IFERROR(VLOOKUP(C2492,'Clients List'!A:F,6,FALSE),"")</f>
        <v/>
      </c>
    </row>
    <row r="2493" spans="4:9" x14ac:dyDescent="0.45">
      <c r="D2493" t="str">
        <f>IFERROR(VLOOKUP(C2493,'Clients List'!$A:$F,2,FALSE),"")</f>
        <v/>
      </c>
      <c r="F2493" s="1" t="str">
        <f>IF(OR(C2493="",NOT(ISNUMBER(SEARCH("Package",D2493)))),"",VLOOKUP(C2493,'Clients List'!$A:$F,4,FALSE)-SUMIFS($E$2:$E2493,$C$2:$C2493,C2493,$D$2:$D2493,"*Package*"))</f>
        <v/>
      </c>
      <c r="G2493" t="str">
        <f t="shared" si="72"/>
        <v/>
      </c>
      <c r="H2493" s="33">
        <f>IF(ISNUMBER(SEARCH("Group",D2493)),IF(G2493="",E2493,IFERROR(E2493/COUNTIF($G2:$G6000,G2493),E2493)),E2493)</f>
        <v>0</v>
      </c>
      <c r="I2493" s="1" t="str">
        <f>IFERROR(VLOOKUP(C2493,'Clients List'!A:F,6,FALSE),"")</f>
        <v/>
      </c>
    </row>
    <row r="2494" spans="4:9" x14ac:dyDescent="0.45">
      <c r="D2494" t="str">
        <f>IFERROR(VLOOKUP(C2494,'Clients List'!$A:$F,2,FALSE),"")</f>
        <v/>
      </c>
      <c r="F2494" s="1" t="str">
        <f>IF(OR(C2494="",NOT(ISNUMBER(SEARCH("Package",D2494)))),"",VLOOKUP(C2494,'Clients List'!$A:$F,4,FALSE)-SUMIFS($E$2:$E2494,$C$2:$C2494,C2494,$D$2:$D2494,"*Package*"))</f>
        <v/>
      </c>
      <c r="G2494" t="str">
        <f t="shared" si="72"/>
        <v/>
      </c>
      <c r="H2494" s="33">
        <f>IF(ISNUMBER(SEARCH("Group",D2494)),IF(G2494="",E2494,IFERROR(E2494/COUNTIF($G2:$G6000,G2494),E2494)),E2494)</f>
        <v>0</v>
      </c>
      <c r="I2494" s="1" t="str">
        <f>IFERROR(VLOOKUP(C2494,'Clients List'!A:F,6,FALSE),"")</f>
        <v/>
      </c>
    </row>
    <row r="2495" spans="4:9" x14ac:dyDescent="0.45">
      <c r="D2495" t="str">
        <f>IFERROR(VLOOKUP(C2495,'Clients List'!$A:$F,2,FALSE),"")</f>
        <v/>
      </c>
      <c r="F2495" s="1" t="str">
        <f>IF(OR(C2495="",NOT(ISNUMBER(SEARCH("Package",D2495)))),"",VLOOKUP(C2495,'Clients List'!$A:$F,4,FALSE)-SUMIFS($E$2:$E2495,$C$2:$C2495,C2495,$D$2:$D2495,"*Package*"))</f>
        <v/>
      </c>
      <c r="G2495" t="str">
        <f t="shared" si="72"/>
        <v/>
      </c>
      <c r="H2495" s="33">
        <f>IF(ISNUMBER(SEARCH("Group",D2495)),IF(G2495="",E2495,IFERROR(E2495/COUNTIF($G2:$G6000,G2495),E2495)),E2495)</f>
        <v>0</v>
      </c>
      <c r="I2495" s="1" t="str">
        <f>IFERROR(VLOOKUP(C2495,'Clients List'!A:F,6,FALSE),"")</f>
        <v/>
      </c>
    </row>
    <row r="2496" spans="4:9" x14ac:dyDescent="0.45">
      <c r="D2496" t="str">
        <f>IFERROR(VLOOKUP(C2496,'Clients List'!$A:$F,2,FALSE),"")</f>
        <v/>
      </c>
      <c r="F2496" s="1" t="str">
        <f>IF(OR(C2496="",NOT(ISNUMBER(SEARCH("Package",D2496)))),"",VLOOKUP(C2496,'Clients List'!$A:$F,4,FALSE)-SUMIFS($E$2:$E2496,$C$2:$C2496,C2496,$D$2:$D2496,"*Package*"))</f>
        <v/>
      </c>
      <c r="G2496" t="str">
        <f t="shared" si="72"/>
        <v/>
      </c>
      <c r="H2496" s="33">
        <f>IF(ISNUMBER(SEARCH("Group",D2496)),IF(G2496="",E2496,IFERROR(E2496/COUNTIF($G2:$G6000,G2496),E2496)),E2496)</f>
        <v>0</v>
      </c>
      <c r="I2496" s="1" t="str">
        <f>IFERROR(VLOOKUP(C2496,'Clients List'!A:F,6,FALSE),"")</f>
        <v/>
      </c>
    </row>
    <row r="2497" spans="4:9" x14ac:dyDescent="0.45">
      <c r="D2497" t="str">
        <f>IFERROR(VLOOKUP(C2497,'Clients List'!$A:$F,2,FALSE),"")</f>
        <v/>
      </c>
      <c r="F2497" s="1" t="str">
        <f>IF(OR(C2497="",NOT(ISNUMBER(SEARCH("Package",D2497)))),"",VLOOKUP(C2497,'Clients List'!$A:$F,4,FALSE)-SUMIFS($E$2:$E2497,$C$2:$C2497,C2497,$D$2:$D2497,"*Package*"))</f>
        <v/>
      </c>
      <c r="G2497" t="str">
        <f t="shared" si="72"/>
        <v/>
      </c>
      <c r="H2497" s="33">
        <f>IF(ISNUMBER(SEARCH("Group",D2497)),IF(G2497="",E2497,IFERROR(E2497/COUNTIF($G2:$G6000,G2497),E2497)),E2497)</f>
        <v>0</v>
      </c>
      <c r="I2497" s="1" t="str">
        <f>IFERROR(VLOOKUP(C2497,'Clients List'!A:F,6,FALSE),"")</f>
        <v/>
      </c>
    </row>
    <row r="2498" spans="4:9" x14ac:dyDescent="0.45">
      <c r="D2498" t="str">
        <f>IFERROR(VLOOKUP(C2498,'Clients List'!$A:$F,2,FALSE),"")</f>
        <v/>
      </c>
      <c r="F2498" s="1" t="str">
        <f>IF(OR(C2498="",NOT(ISNUMBER(SEARCH("Package",D2498)))),"",VLOOKUP(C2498,'Clients List'!$A:$F,4,FALSE)-SUMIFS($E$2:$E2498,$C$2:$C2498,C2498,$D$2:$D2498,"*Package*"))</f>
        <v/>
      </c>
      <c r="G2498" t="str">
        <f t="shared" si="72"/>
        <v/>
      </c>
      <c r="H2498" s="33">
        <f>IF(ISNUMBER(SEARCH("Group",D2498)),IF(G2498="",E2498,IFERROR(E2498/COUNTIF($G2:$G6000,G2498),E2498)),E2498)</f>
        <v>0</v>
      </c>
      <c r="I2498" s="1" t="str">
        <f>IFERROR(VLOOKUP(C2498,'Clients List'!A:F,6,FALSE),"")</f>
        <v/>
      </c>
    </row>
    <row r="2499" spans="4:9" x14ac:dyDescent="0.45">
      <c r="D2499" t="str">
        <f>IFERROR(VLOOKUP(C2499,'Clients List'!$A:$F,2,FALSE),"")</f>
        <v/>
      </c>
      <c r="F2499" s="1" t="str">
        <f>IF(OR(C2499="",NOT(ISNUMBER(SEARCH("Package",D2499)))),"",VLOOKUP(C2499,'Clients List'!$A:$F,4,FALSE)-SUMIFS($E$2:$E2499,$C$2:$C2499,C2499,$D$2:$D2499,"*Package*"))</f>
        <v/>
      </c>
      <c r="G2499" t="str">
        <f t="shared" si="72"/>
        <v/>
      </c>
      <c r="H2499" s="33">
        <f>IF(ISNUMBER(SEARCH("Group",D2499)),IF(G2499="",E2499,IFERROR(E2499/COUNTIF($G2:$G6000,G2499),E2499)),E2499)</f>
        <v>0</v>
      </c>
      <c r="I2499" s="1" t="str">
        <f>IFERROR(VLOOKUP(C2499,'Clients List'!A:F,6,FALSE),"")</f>
        <v/>
      </c>
    </row>
    <row r="2500" spans="4:9" x14ac:dyDescent="0.45">
      <c r="D2500" t="str">
        <f>IFERROR(VLOOKUP(C2500,'Clients List'!$A:$F,2,FALSE),"")</f>
        <v/>
      </c>
      <c r="F2500" s="1" t="str">
        <f>IF(OR(C2500="",NOT(ISNUMBER(SEARCH("Package",D2500)))),"",VLOOKUP(C2500,'Clients List'!$A:$F,4,FALSE)-SUMIFS($E$2:$E2500,$C$2:$C2500,C2500,$D$2:$D2500,"*Package*"))</f>
        <v/>
      </c>
      <c r="G2500" t="str">
        <f t="shared" si="72"/>
        <v/>
      </c>
      <c r="H2500" s="33">
        <f>IF(ISNUMBER(SEARCH("Group",D2500)),IF(G2500="",E2500,IFERROR(E2500/COUNTIF($G2:$G6000,G2500),E2500)),E2500)</f>
        <v>0</v>
      </c>
      <c r="I2500" s="1" t="str">
        <f>IFERROR(VLOOKUP(C2500,'Clients List'!A:F,6,FALSE),"")</f>
        <v/>
      </c>
    </row>
    <row r="2501" spans="4:9" x14ac:dyDescent="0.45">
      <c r="D2501" t="str">
        <f>IFERROR(VLOOKUP(C2501,'Clients List'!$A:$F,2,FALSE),"")</f>
        <v/>
      </c>
      <c r="F2501" s="1" t="str">
        <f>IF(OR(C2501="",NOT(ISNUMBER(SEARCH("Package",D2501)))),"",VLOOKUP(C2501,'Clients List'!$A:$F,4,FALSE)-SUMIFS($E$2:$E2501,$C$2:$C2501,C2501,$D$2:$D2501,"*Package*"))</f>
        <v/>
      </c>
      <c r="G2501" t="str">
        <f t="shared" si="72"/>
        <v/>
      </c>
      <c r="H2501" s="33">
        <f>IF(ISNUMBER(SEARCH("Group",D2501)),IF(G2501="",E2501,IFERROR(E2501/COUNTIF($G2:$G6000,G2501),E2501)),E2501)</f>
        <v>0</v>
      </c>
      <c r="I2501" s="1" t="str">
        <f>IFERROR(VLOOKUP(C2501,'Clients List'!A:F,6,FALSE),"")</f>
        <v/>
      </c>
    </row>
    <row r="2502" spans="4:9" x14ac:dyDescent="0.45">
      <c r="D2502" t="str">
        <f>IFERROR(VLOOKUP(C2502,'Clients List'!$A:$F,2,FALSE),"")</f>
        <v/>
      </c>
      <c r="F2502" s="1" t="str">
        <f>IF(OR(C2502="",NOT(ISNUMBER(SEARCH("Package",D2502)))),"",VLOOKUP(C2502,'Clients List'!$A:$F,4,FALSE)-SUMIFS($E$2:$E2502,$C$2:$C2502,C2502,$D$2:$D2502,"*Package*"))</f>
        <v/>
      </c>
      <c r="G2502" t="str">
        <f t="shared" si="72"/>
        <v/>
      </c>
      <c r="H2502" s="33">
        <f>IF(ISNUMBER(SEARCH("Group",D2502)),IF(G2502="",E2502,IFERROR(E2502/COUNTIF($G2:$G6000,G2502),E2502)),E2502)</f>
        <v>0</v>
      </c>
      <c r="I2502" s="1" t="str">
        <f>IFERROR(VLOOKUP(C2502,'Clients List'!A:F,6,FALSE),"")</f>
        <v/>
      </c>
    </row>
    <row r="2503" spans="4:9" x14ac:dyDescent="0.45">
      <c r="D2503" t="str">
        <f>IFERROR(VLOOKUP(C2503,'Clients List'!$A:$F,2,FALSE),"")</f>
        <v/>
      </c>
      <c r="F2503" s="1" t="str">
        <f>IF(OR(C2503="",NOT(ISNUMBER(SEARCH("Package",D2503)))),"",VLOOKUP(C2503,'Clients List'!$A:$F,4,FALSE)-SUMIFS($E$2:$E2503,$C$2:$C2503,C2503,$D$2:$D2503,"*Package*"))</f>
        <v/>
      </c>
      <c r="G2503" t="str">
        <f t="shared" si="72"/>
        <v/>
      </c>
      <c r="H2503" s="33">
        <f>IF(ISNUMBER(SEARCH("Group",D2503)),IF(G2503="",E2503,IFERROR(E2503/COUNTIF($G2:$G6000,G2503),E2503)),E2503)</f>
        <v>0</v>
      </c>
      <c r="I2503" s="1" t="str">
        <f>IFERROR(VLOOKUP(C2503,'Clients List'!A:F,6,FALSE),"")</f>
        <v/>
      </c>
    </row>
    <row r="2504" spans="4:9" x14ac:dyDescent="0.45">
      <c r="D2504" t="str">
        <f>IFERROR(VLOOKUP(C2504,'Clients List'!$A:$F,2,FALSE),"")</f>
        <v/>
      </c>
      <c r="F2504" s="1" t="str">
        <f>IF(OR(C2504="",NOT(ISNUMBER(SEARCH("Package",D2504)))),"",VLOOKUP(C2504,'Clients List'!$A:$F,4,FALSE)-SUMIFS($E$2:$E2504,$C$2:$C2504,C2504,$D$2:$D2504,"*Package*"))</f>
        <v/>
      </c>
      <c r="G2504" t="str">
        <f t="shared" si="72"/>
        <v/>
      </c>
      <c r="H2504" s="33">
        <f>IF(ISNUMBER(SEARCH("Group",D2504)),IF(G2504="",E2504,IFERROR(E2504/COUNTIF($G2:$G6000,G2504),E2504)),E2504)</f>
        <v>0</v>
      </c>
      <c r="I2504" s="1" t="str">
        <f>IFERROR(VLOOKUP(C2504,'Clients List'!A:F,6,FALSE),"")</f>
        <v/>
      </c>
    </row>
    <row r="2505" spans="4:9" x14ac:dyDescent="0.45">
      <c r="D2505" t="str">
        <f>IFERROR(VLOOKUP(C2505,'Clients List'!$A:$F,2,FALSE),"")</f>
        <v/>
      </c>
      <c r="F2505" s="1" t="str">
        <f>IF(OR(C2505="",NOT(ISNUMBER(SEARCH("Package",D2505)))),"",VLOOKUP(C2505,'Clients List'!$A:$F,4,FALSE)-SUMIFS($E$2:$E2505,$C$2:$C2505,C2505,$D$2:$D2505,"*Package*"))</f>
        <v/>
      </c>
      <c r="G2505" t="str">
        <f t="shared" si="72"/>
        <v/>
      </c>
      <c r="H2505" s="33">
        <f>IF(ISNUMBER(SEARCH("Group",D2505)),IF(G2505="",E2505,IFERROR(E2505/COUNTIF($G2:$G6000,G2505),E2505)),E2505)</f>
        <v>0</v>
      </c>
      <c r="I2505" s="1" t="str">
        <f>IFERROR(VLOOKUP(C2505,'Clients List'!A:F,6,FALSE),"")</f>
        <v/>
      </c>
    </row>
    <row r="2506" spans="4:9" x14ac:dyDescent="0.45">
      <c r="D2506" t="str">
        <f>IFERROR(VLOOKUP(C2506,'Clients List'!$A:$F,2,FALSE),"")</f>
        <v/>
      </c>
      <c r="F2506" s="1" t="str">
        <f>IF(OR(C2506="",NOT(ISNUMBER(SEARCH("Package",D2506)))),"",VLOOKUP(C2506,'Clients List'!$A:$F,4,FALSE)-SUMIFS($E$2:$E2506,$C$2:$C2506,C2506,$D$2:$D2506,"*Package*"))</f>
        <v/>
      </c>
      <c r="G2506" t="str">
        <f t="shared" si="72"/>
        <v/>
      </c>
      <c r="H2506" s="33">
        <f>IF(ISNUMBER(SEARCH("Group",D2506)),IF(G2506="",E2506,IFERROR(E2506/COUNTIF($G2:$G6000,G2506),E2506)),E2506)</f>
        <v>0</v>
      </c>
      <c r="I2506" s="1" t="str">
        <f>IFERROR(VLOOKUP(C2506,'Clients List'!A:F,6,FALSE),"")</f>
        <v/>
      </c>
    </row>
    <row r="2507" spans="4:9" x14ac:dyDescent="0.45">
      <c r="D2507" t="str">
        <f>IFERROR(VLOOKUP(C2507,'Clients List'!$A:$F,2,FALSE),"")</f>
        <v/>
      </c>
      <c r="F2507" s="1" t="str">
        <f>IF(OR(C2507="",NOT(ISNUMBER(SEARCH("Package",D2507)))),"",VLOOKUP(C2507,'Clients List'!$A:$F,4,FALSE)-SUMIFS($E$2:$E2507,$C$2:$C2507,C2507,$D$2:$D2507,"*Package*"))</f>
        <v/>
      </c>
      <c r="G2507" t="str">
        <f t="shared" si="72"/>
        <v/>
      </c>
      <c r="H2507" s="33">
        <f>IF(ISNUMBER(SEARCH("Group",D2507)),IF(G2507="",E2507,IFERROR(E2507/COUNTIF($G2:$G6000,G2507),E2507)),E2507)</f>
        <v>0</v>
      </c>
      <c r="I2507" s="1" t="str">
        <f>IFERROR(VLOOKUP(C2507,'Clients List'!A:F,6,FALSE),"")</f>
        <v/>
      </c>
    </row>
    <row r="2508" spans="4:9" x14ac:dyDescent="0.45">
      <c r="D2508" t="str">
        <f>IFERROR(VLOOKUP(C2508,'Clients List'!$A:$F,2,FALSE),"")</f>
        <v/>
      </c>
      <c r="F2508" s="1" t="str">
        <f>IF(OR(C2508="",NOT(ISNUMBER(SEARCH("Package",D2508)))),"",VLOOKUP(C2508,'Clients List'!$A:$F,4,FALSE)-SUMIFS($E$2:$E2508,$C$2:$C2508,C2508,$D$2:$D2508,"*Package*"))</f>
        <v/>
      </c>
      <c r="G2508" t="str">
        <f t="shared" si="72"/>
        <v/>
      </c>
      <c r="H2508" s="33">
        <f>IF(ISNUMBER(SEARCH("Group",D2508)),IF(G2508="",E2508,IFERROR(E2508/COUNTIF($G2:$G6000,G2508),E2508)),E2508)</f>
        <v>0</v>
      </c>
      <c r="I2508" s="1" t="str">
        <f>IFERROR(VLOOKUP(C2508,'Clients List'!A:F,6,FALSE),"")</f>
        <v/>
      </c>
    </row>
    <row r="2509" spans="4:9" x14ac:dyDescent="0.45">
      <c r="D2509" t="str">
        <f>IFERROR(VLOOKUP(C2509,'Clients List'!$A:$F,2,FALSE),"")</f>
        <v/>
      </c>
      <c r="F2509" s="1" t="str">
        <f>IF(OR(C2509="",NOT(ISNUMBER(SEARCH("Package",D2509)))),"",VLOOKUP(C2509,'Clients List'!$A:$F,4,FALSE)-SUMIFS($E$2:$E2509,$C$2:$C2509,C2509,$D$2:$D2509,"*Package*"))</f>
        <v/>
      </c>
      <c r="G2509" t="str">
        <f t="shared" si="72"/>
        <v/>
      </c>
      <c r="H2509" s="33">
        <f>IF(ISNUMBER(SEARCH("Group",D2509)),IF(G2509="",E2509,IFERROR(E2509/COUNTIF($G2:$G6000,G2509),E2509)),E2509)</f>
        <v>0</v>
      </c>
      <c r="I2509" s="1" t="str">
        <f>IFERROR(VLOOKUP(C2509,'Clients List'!A:F,6,FALSE),"")</f>
        <v/>
      </c>
    </row>
    <row r="2510" spans="4:9" x14ac:dyDescent="0.45">
      <c r="D2510" t="str">
        <f>IFERROR(VLOOKUP(C2510,'Clients List'!$A:$F,2,FALSE),"")</f>
        <v/>
      </c>
      <c r="F2510" s="1" t="str">
        <f>IF(OR(C2510="",NOT(ISNUMBER(SEARCH("Package",D2510)))),"",VLOOKUP(C2510,'Clients List'!$A:$F,4,FALSE)-SUMIFS($E$2:$E2510,$C$2:$C2510,C2510,$D$2:$D2510,"*Package*"))</f>
        <v/>
      </c>
      <c r="G2510" t="str">
        <f t="shared" si="72"/>
        <v/>
      </c>
      <c r="H2510" s="33">
        <f>IF(ISNUMBER(SEARCH("Group",D2510)),IF(G2510="",E2510,IFERROR(E2510/COUNTIF($G2:$G6000,G2510),E2510)),E2510)</f>
        <v>0</v>
      </c>
      <c r="I2510" s="1" t="str">
        <f>IFERROR(VLOOKUP(C2510,'Clients List'!A:F,6,FALSE),"")</f>
        <v/>
      </c>
    </row>
    <row r="2511" spans="4:9" x14ac:dyDescent="0.45">
      <c r="D2511" t="str">
        <f>IFERROR(VLOOKUP(C2511,'Clients List'!$A:$F,2,FALSE),"")</f>
        <v/>
      </c>
      <c r="F2511" s="1" t="str">
        <f>IF(OR(C2511="",NOT(ISNUMBER(SEARCH("Package",D2511)))),"",VLOOKUP(C2511,'Clients List'!$A:$F,4,FALSE)-SUMIFS($E$2:$E2511,$C$2:$C2511,C2511,$D$2:$D2511,"*Package*"))</f>
        <v/>
      </c>
      <c r="G2511" t="str">
        <f t="shared" si="72"/>
        <v/>
      </c>
      <c r="H2511" s="33">
        <f>IF(ISNUMBER(SEARCH("Group",D2511)),IF(G2511="",E2511,IFERROR(E2511/COUNTIF($G2:$G6000,G2511),E2511)),E2511)</f>
        <v>0</v>
      </c>
      <c r="I2511" s="1" t="str">
        <f>IFERROR(VLOOKUP(C2511,'Clients List'!A:F,6,FALSE),"")</f>
        <v/>
      </c>
    </row>
    <row r="2512" spans="4:9" x14ac:dyDescent="0.45">
      <c r="D2512" t="str">
        <f>IFERROR(VLOOKUP(C2512,'Clients List'!$A:$F,2,FALSE),"")</f>
        <v/>
      </c>
      <c r="F2512" s="1" t="str">
        <f>IF(OR(C2512="",NOT(ISNUMBER(SEARCH("Package",D2512)))),"",VLOOKUP(C2512,'Clients List'!$A:$F,4,FALSE)-SUMIFS($E$2:$E2512,$C$2:$C2512,C2512,$D$2:$D2512,"*Package*"))</f>
        <v/>
      </c>
      <c r="G2512" t="str">
        <f t="shared" si="72"/>
        <v/>
      </c>
      <c r="H2512" s="33">
        <f>IF(ISNUMBER(SEARCH("Group",D2512)),IF(G2512="",E2512,IFERROR(E2512/COUNTIF($G2:$G6000,G2512),E2512)),E2512)</f>
        <v>0</v>
      </c>
      <c r="I2512" s="1" t="str">
        <f>IFERROR(VLOOKUP(C2512,'Clients List'!A:F,6,FALSE),"")</f>
        <v/>
      </c>
    </row>
    <row r="2513" spans="4:9" x14ac:dyDescent="0.45">
      <c r="D2513" t="str">
        <f>IFERROR(VLOOKUP(C2513,'Clients List'!$A:$F,2,FALSE),"")</f>
        <v/>
      </c>
      <c r="F2513" s="1" t="str">
        <f>IF(OR(C2513="",NOT(ISNUMBER(SEARCH("Package",D2513)))),"",VLOOKUP(C2513,'Clients List'!$A:$F,4,FALSE)-SUMIFS($E$2:$E2513,$C$2:$C2513,C2513,$D$2:$D2513,"*Package*"))</f>
        <v/>
      </c>
      <c r="G2513" t="str">
        <f t="shared" si="72"/>
        <v/>
      </c>
      <c r="H2513" s="33">
        <f>IF(ISNUMBER(SEARCH("Group",D2513)),IF(G2513="",E2513,IFERROR(E2513/COUNTIF($G2:$G6000,G2513),E2513)),E2513)</f>
        <v>0</v>
      </c>
      <c r="I2513" s="1" t="str">
        <f>IFERROR(VLOOKUP(C2513,'Clients List'!A:F,6,FALSE),"")</f>
        <v/>
      </c>
    </row>
    <row r="2514" spans="4:9" x14ac:dyDescent="0.45">
      <c r="D2514" t="str">
        <f>IFERROR(VLOOKUP(C2514,'Clients List'!$A:$F,2,FALSE),"")</f>
        <v/>
      </c>
      <c r="F2514" s="1" t="str">
        <f>IF(OR(C2514="",NOT(ISNUMBER(SEARCH("Package",D2514)))),"",VLOOKUP(C2514,'Clients List'!$A:$F,4,FALSE)-SUMIFS($E$2:$E2514,$C$2:$C2514,C2514,$D$2:$D2514,"*Package*"))</f>
        <v/>
      </c>
      <c r="G2514" t="str">
        <f t="shared" si="72"/>
        <v/>
      </c>
      <c r="H2514" s="33">
        <f>IF(ISNUMBER(SEARCH("Group",D2514)),IF(G2514="",E2514,IFERROR(E2514/COUNTIF($G2:$G6000,G2514),E2514)),E2514)</f>
        <v>0</v>
      </c>
      <c r="I2514" s="1" t="str">
        <f>IFERROR(VLOOKUP(C2514,'Clients List'!A:F,6,FALSE),"")</f>
        <v/>
      </c>
    </row>
    <row r="2515" spans="4:9" x14ac:dyDescent="0.45">
      <c r="D2515" t="str">
        <f>IFERROR(VLOOKUP(C2515,'Clients List'!$A:$F,2,FALSE),"")</f>
        <v/>
      </c>
      <c r="F2515" s="1" t="str">
        <f>IF(OR(C2515="",NOT(ISNUMBER(SEARCH("Package",D2515)))),"",VLOOKUP(C2515,'Clients List'!$A:$F,4,FALSE)-SUMIFS($E$2:$E2515,$C$2:$C2515,C2515,$D$2:$D2515,"*Package*"))</f>
        <v/>
      </c>
      <c r="G2515" t="str">
        <f t="shared" si="72"/>
        <v/>
      </c>
      <c r="H2515" s="33">
        <f>IF(ISNUMBER(SEARCH("Group",D2515)),IF(G2515="",E2515,IFERROR(E2515/COUNTIF($G2:$G6000,G2515),E2515)),E2515)</f>
        <v>0</v>
      </c>
      <c r="I2515" s="1" t="str">
        <f>IFERROR(VLOOKUP(C2515,'Clients List'!A:F,6,FALSE),"")</f>
        <v/>
      </c>
    </row>
    <row r="2516" spans="4:9" x14ac:dyDescent="0.45">
      <c r="D2516" t="str">
        <f>IFERROR(VLOOKUP(C2516,'Clients List'!$A:$F,2,FALSE),"")</f>
        <v/>
      </c>
      <c r="F2516" s="1" t="str">
        <f>IF(OR(C2516="",NOT(ISNUMBER(SEARCH("Package",D2516)))),"",VLOOKUP(C2516,'Clients List'!$A:$F,4,FALSE)-SUMIFS($E$2:$E2516,$C$2:$C2516,C2516,$D$2:$D2516,"*Package*"))</f>
        <v/>
      </c>
      <c r="G2516" t="str">
        <f t="shared" si="72"/>
        <v/>
      </c>
      <c r="H2516" s="33">
        <f>IF(ISNUMBER(SEARCH("Group",D2516)),IF(G2516="",E2516,IFERROR(E2516/COUNTIF($G2:$G6000,G2516),E2516)),E2516)</f>
        <v>0</v>
      </c>
      <c r="I2516" s="1" t="str">
        <f>IFERROR(VLOOKUP(C2516,'Clients List'!A:F,6,FALSE),"")</f>
        <v/>
      </c>
    </row>
    <row r="2517" spans="4:9" x14ac:dyDescent="0.45">
      <c r="D2517" t="str">
        <f>IFERROR(VLOOKUP(C2517,'Clients List'!$A:$F,2,FALSE),"")</f>
        <v/>
      </c>
      <c r="F2517" s="1" t="str">
        <f>IF(OR(C2517="",NOT(ISNUMBER(SEARCH("Package",D2517)))),"",VLOOKUP(C2517,'Clients List'!$A:$F,4,FALSE)-SUMIFS($E$2:$E2517,$C$2:$C2517,C2517,$D$2:$D2517,"*Package*"))</f>
        <v/>
      </c>
      <c r="G2517" t="str">
        <f t="shared" si="72"/>
        <v/>
      </c>
      <c r="H2517" s="33">
        <f>IF(ISNUMBER(SEARCH("Group",D2517)),IF(G2517="",E2517,IFERROR(E2517/COUNTIF($G2:$G6000,G2517),E2517)),E2517)</f>
        <v>0</v>
      </c>
      <c r="I2517" s="1" t="str">
        <f>IFERROR(VLOOKUP(C2517,'Clients List'!A:F,6,FALSE),"")</f>
        <v/>
      </c>
    </row>
    <row r="2518" spans="4:9" x14ac:dyDescent="0.45">
      <c r="D2518" t="str">
        <f>IFERROR(VLOOKUP(C2518,'Clients List'!$A:$F,2,FALSE),"")</f>
        <v/>
      </c>
      <c r="F2518" s="1" t="str">
        <f>IF(OR(C2518="",NOT(ISNUMBER(SEARCH("Package",D2518)))),"",VLOOKUP(C2518,'Clients List'!$A:$F,4,FALSE)-SUMIFS($E$2:$E2518,$C$2:$C2518,C2518,$D$2:$D2518,"*Package*"))</f>
        <v/>
      </c>
      <c r="G2518" t="str">
        <f t="shared" si="72"/>
        <v/>
      </c>
      <c r="H2518" s="33">
        <f>IF(ISNUMBER(SEARCH("Group",D2518)),IF(G2518="",E2518,IFERROR(E2518/COUNTIF($G2:$G6000,G2518),E2518)),E2518)</f>
        <v>0</v>
      </c>
      <c r="I2518" s="1" t="str">
        <f>IFERROR(VLOOKUP(C2518,'Clients List'!A:F,6,FALSE),"")</f>
        <v/>
      </c>
    </row>
    <row r="2519" spans="4:9" x14ac:dyDescent="0.45">
      <c r="D2519" t="str">
        <f>IFERROR(VLOOKUP(C2519,'Clients List'!$A:$F,2,FALSE),"")</f>
        <v/>
      </c>
      <c r="F2519" s="1" t="str">
        <f>IF(OR(C2519="",NOT(ISNUMBER(SEARCH("Package",D2519)))),"",VLOOKUP(C2519,'Clients List'!$A:$F,4,FALSE)-SUMIFS($E$2:$E2519,$C$2:$C2519,C2519,$D$2:$D2519,"*Package*"))</f>
        <v/>
      </c>
      <c r="G2519" t="str">
        <f t="shared" si="72"/>
        <v/>
      </c>
      <c r="H2519" s="33">
        <f>IF(ISNUMBER(SEARCH("Group",D2519)),IF(G2519="",E2519,IFERROR(E2519/COUNTIF($G2:$G6000,G2519),E2519)),E2519)</f>
        <v>0</v>
      </c>
      <c r="I2519" s="1" t="str">
        <f>IFERROR(VLOOKUP(C2519,'Clients List'!A:F,6,FALSE),"")</f>
        <v/>
      </c>
    </row>
    <row r="2520" spans="4:9" x14ac:dyDescent="0.45">
      <c r="D2520" t="str">
        <f>IFERROR(VLOOKUP(C2520,'Clients List'!$A:$F,2,FALSE),"")</f>
        <v/>
      </c>
      <c r="F2520" s="1" t="str">
        <f>IF(OR(C2520="",NOT(ISNUMBER(SEARCH("Package",D2520)))),"",VLOOKUP(C2520,'Clients List'!$A:$F,4,FALSE)-SUMIFS($E$2:$E2520,$C$2:$C2520,C2520,$D$2:$D2520,"*Package*"))</f>
        <v/>
      </c>
      <c r="G2520" t="str">
        <f t="shared" si="72"/>
        <v/>
      </c>
      <c r="H2520" s="33">
        <f>IF(ISNUMBER(SEARCH("Group",D2520)),IF(G2520="",E2520,IFERROR(E2520/COUNTIF($G2:$G6000,G2520),E2520)),E2520)</f>
        <v>0</v>
      </c>
      <c r="I2520" s="1" t="str">
        <f>IFERROR(VLOOKUP(C2520,'Clients List'!A:F,6,FALSE),"")</f>
        <v/>
      </c>
    </row>
    <row r="2521" spans="4:9" x14ac:dyDescent="0.45">
      <c r="D2521" t="str">
        <f>IFERROR(VLOOKUP(C2521,'Clients List'!$A:$F,2,FALSE),"")</f>
        <v/>
      </c>
      <c r="F2521" s="1" t="str">
        <f>IF(OR(C2521="",NOT(ISNUMBER(SEARCH("Package",D2521)))),"",VLOOKUP(C2521,'Clients List'!$A:$F,4,FALSE)-SUMIFS($E$2:$E2521,$C$2:$C2521,C2521,$D$2:$D2521,"*Package*"))</f>
        <v/>
      </c>
      <c r="G2521" t="str">
        <f t="shared" si="72"/>
        <v/>
      </c>
      <c r="H2521" s="33">
        <f>IF(ISNUMBER(SEARCH("Group",D2521)),IF(G2521="",E2521,IFERROR(E2521/COUNTIF($G2:$G6000,G2521),E2521)),E2521)</f>
        <v>0</v>
      </c>
      <c r="I2521" s="1" t="str">
        <f>IFERROR(VLOOKUP(C2521,'Clients List'!A:F,6,FALSE),"")</f>
        <v/>
      </c>
    </row>
    <row r="2522" spans="4:9" x14ac:dyDescent="0.45">
      <c r="D2522" t="str">
        <f>IFERROR(VLOOKUP(C2522,'Clients List'!$A:$F,2,FALSE),"")</f>
        <v/>
      </c>
      <c r="F2522" s="1" t="str">
        <f>IF(OR(C2522="",NOT(ISNUMBER(SEARCH("Package",D2522)))),"",VLOOKUP(C2522,'Clients List'!$A:$F,4,FALSE)-SUMIFS($E$2:$E2522,$C$2:$C2522,C2522,$D$2:$D2522,"*Package*"))</f>
        <v/>
      </c>
      <c r="G2522" t="str">
        <f t="shared" si="72"/>
        <v/>
      </c>
      <c r="H2522" s="33">
        <f>IF(ISNUMBER(SEARCH("Group",D2522)),IF(G2522="",E2522,IFERROR(E2522/COUNTIF($G2:$G6000,G2522),E2522)),E2522)</f>
        <v>0</v>
      </c>
      <c r="I2522" s="1" t="str">
        <f>IFERROR(VLOOKUP(C2522,'Clients List'!A:F,6,FALSE),"")</f>
        <v/>
      </c>
    </row>
    <row r="2523" spans="4:9" x14ac:dyDescent="0.45">
      <c r="D2523" t="str">
        <f>IFERROR(VLOOKUP(C2523,'Clients List'!$A:$F,2,FALSE),"")</f>
        <v/>
      </c>
      <c r="F2523" s="1" t="str">
        <f>IF(OR(C2523="",NOT(ISNUMBER(SEARCH("Package",D2523)))),"",VLOOKUP(C2523,'Clients List'!$A:$F,4,FALSE)-SUMIFS($E$2:$E2523,$C$2:$C2523,C2523,$D$2:$D2523,"*Package*"))</f>
        <v/>
      </c>
      <c r="G2523" t="str">
        <f t="shared" si="72"/>
        <v/>
      </c>
      <c r="H2523" s="33">
        <f>IF(ISNUMBER(SEARCH("Group",D2523)),IF(G2523="",E2523,IFERROR(E2523/COUNTIF($G2:$G6000,G2523),E2523)),E2523)</f>
        <v>0</v>
      </c>
      <c r="I2523" s="1" t="str">
        <f>IFERROR(VLOOKUP(C2523,'Clients List'!A:F,6,FALSE),"")</f>
        <v/>
      </c>
    </row>
    <row r="2524" spans="4:9" x14ac:dyDescent="0.45">
      <c r="D2524" t="str">
        <f>IFERROR(VLOOKUP(C2524,'Clients List'!$A:$F,2,FALSE),"")</f>
        <v/>
      </c>
      <c r="F2524" s="1" t="str">
        <f>IF(OR(C2524="",NOT(ISNUMBER(SEARCH("Package",D2524)))),"",VLOOKUP(C2524,'Clients List'!$A:$F,4,FALSE)-SUMIFS($E$2:$E2524,$C$2:$C2524,C2524,$D$2:$D2524,"*Package*"))</f>
        <v/>
      </c>
      <c r="G2524" t="str">
        <f t="shared" si="72"/>
        <v/>
      </c>
      <c r="H2524" s="33">
        <f>IF(ISNUMBER(SEARCH("Group",D2524)),IF(G2524="",E2524,IFERROR(E2524/COUNTIF($G2:$G6000,G2524),E2524)),E2524)</f>
        <v>0</v>
      </c>
      <c r="I2524" s="1" t="str">
        <f>IFERROR(VLOOKUP(C2524,'Clients List'!A:F,6,FALSE),"")</f>
        <v/>
      </c>
    </row>
    <row r="2525" spans="4:9" x14ac:dyDescent="0.45">
      <c r="D2525" t="str">
        <f>IFERROR(VLOOKUP(C2525,'Clients List'!$A:$F,2,FALSE),"")</f>
        <v/>
      </c>
      <c r="F2525" s="1" t="str">
        <f>IF(OR(C2525="",NOT(ISNUMBER(SEARCH("Package",D2525)))),"",VLOOKUP(C2525,'Clients List'!$A:$F,4,FALSE)-SUMIFS($E$2:$E2525,$C$2:$C2525,C2525,$D$2:$D2525,"*Package*"))</f>
        <v/>
      </c>
      <c r="G2525" t="str">
        <f t="shared" si="72"/>
        <v/>
      </c>
      <c r="H2525" s="33">
        <f>IF(ISNUMBER(SEARCH("Group",D2525)),IF(G2525="",E2525,IFERROR(E2525/COUNTIF($G2:$G6000,G2525),E2525)),E2525)</f>
        <v>0</v>
      </c>
      <c r="I2525" s="1" t="str">
        <f>IFERROR(VLOOKUP(C2525,'Clients List'!A:F,6,FALSE),"")</f>
        <v/>
      </c>
    </row>
    <row r="2526" spans="4:9" x14ac:dyDescent="0.45">
      <c r="D2526" t="str">
        <f>IFERROR(VLOOKUP(C2526,'Clients List'!$A:$F,2,FALSE),"")</f>
        <v/>
      </c>
      <c r="F2526" s="1" t="str">
        <f>IF(OR(C2526="",NOT(ISNUMBER(SEARCH("Package",D2526)))),"",VLOOKUP(C2526,'Clients List'!$A:$F,4,FALSE)-SUMIFS($E$2:$E2526,$C$2:$C2526,C2526,$D$2:$D2526,"*Package*"))</f>
        <v/>
      </c>
      <c r="G2526" t="str">
        <f t="shared" si="72"/>
        <v/>
      </c>
      <c r="H2526" s="33">
        <f>IF(ISNUMBER(SEARCH("Group",D2526)),IF(G2526="",E2526,IFERROR(E2526/COUNTIF($G2:$G6000,G2526),E2526)),E2526)</f>
        <v>0</v>
      </c>
      <c r="I2526" s="1" t="str">
        <f>IFERROR(VLOOKUP(C2526,'Clients List'!A:F,6,FALSE),"")</f>
        <v/>
      </c>
    </row>
    <row r="2527" spans="4:9" x14ac:dyDescent="0.45">
      <c r="D2527" t="str">
        <f>IFERROR(VLOOKUP(C2527,'Clients List'!$A:$F,2,FALSE),"")</f>
        <v/>
      </c>
      <c r="F2527" s="1" t="str">
        <f>IF(OR(C2527="",NOT(ISNUMBER(SEARCH("Package",D2527)))),"",VLOOKUP(C2527,'Clients List'!$A:$F,4,FALSE)-SUMIFS($E$2:$E2527,$C$2:$C2527,C2527,$D$2:$D2527,"*Package*"))</f>
        <v/>
      </c>
      <c r="G2527" t="str">
        <f t="shared" si="72"/>
        <v/>
      </c>
      <c r="H2527" s="33">
        <f>IF(ISNUMBER(SEARCH("Group",D2527)),IF(G2527="",E2527,IFERROR(E2527/COUNTIF($G2:$G6000,G2527),E2527)),E2527)</f>
        <v>0</v>
      </c>
      <c r="I2527" s="1" t="str">
        <f>IFERROR(VLOOKUP(C2527,'Clients List'!A:F,6,FALSE),"")</f>
        <v/>
      </c>
    </row>
    <row r="2528" spans="4:9" x14ac:dyDescent="0.45">
      <c r="D2528" t="str">
        <f>IFERROR(VLOOKUP(C2528,'Clients List'!$A:$F,2,FALSE),"")</f>
        <v/>
      </c>
      <c r="F2528" s="1" t="str">
        <f>IF(OR(C2528="",NOT(ISNUMBER(SEARCH("Package",D2528)))),"",VLOOKUP(C2528,'Clients List'!$A:$F,4,FALSE)-SUMIFS($E$2:$E2528,$C$2:$C2528,C2528,$D$2:$D2528,"*Package*"))</f>
        <v/>
      </c>
      <c r="G2528" t="str">
        <f t="shared" si="72"/>
        <v/>
      </c>
      <c r="H2528" s="33">
        <f>IF(ISNUMBER(SEARCH("Group",D2528)),IF(G2528="",E2528,IFERROR(E2528/COUNTIF($G2:$G6000,G2528),E2528)),E2528)</f>
        <v>0</v>
      </c>
      <c r="I2528" s="1" t="str">
        <f>IFERROR(VLOOKUP(C2528,'Clients List'!A:F,6,FALSE),"")</f>
        <v/>
      </c>
    </row>
    <row r="2529" spans="4:9" x14ac:dyDescent="0.45">
      <c r="D2529" t="str">
        <f>IFERROR(VLOOKUP(C2529,'Clients List'!$A:$F,2,FALSE),"")</f>
        <v/>
      </c>
      <c r="F2529" s="1" t="str">
        <f>IF(OR(C2529="",NOT(ISNUMBER(SEARCH("Package",D2529)))),"",VLOOKUP(C2529,'Clients List'!$A:$F,4,FALSE)-SUMIFS($E$2:$E2529,$C$2:$C2529,C2529,$D$2:$D2529,"*Package*"))</f>
        <v/>
      </c>
      <c r="G2529" t="str">
        <f t="shared" si="72"/>
        <v/>
      </c>
      <c r="H2529" s="33">
        <f>IF(ISNUMBER(SEARCH("Group",D2529)),IF(G2529="",E2529,IFERROR(E2529/COUNTIF($G2:$G6000,G2529),E2529)),E2529)</f>
        <v>0</v>
      </c>
      <c r="I2529" s="1" t="str">
        <f>IFERROR(VLOOKUP(C2529,'Clients List'!A:F,6,FALSE),"")</f>
        <v/>
      </c>
    </row>
    <row r="2530" spans="4:9" x14ac:dyDescent="0.45">
      <c r="D2530" t="str">
        <f>IFERROR(VLOOKUP(C2530,'Clients List'!$A:$F,2,FALSE),"")</f>
        <v/>
      </c>
      <c r="F2530" s="1" t="str">
        <f>IF(OR(C2530="",NOT(ISNUMBER(SEARCH("Package",D2530)))),"",VLOOKUP(C2530,'Clients List'!$A:$F,4,FALSE)-SUMIFS($E$2:$E2530,$C$2:$C2530,C2530,$D$2:$D2530,"*Package*"))</f>
        <v/>
      </c>
      <c r="G2530" t="str">
        <f t="shared" si="72"/>
        <v/>
      </c>
      <c r="H2530" s="33">
        <f>IF(ISNUMBER(SEARCH("Group",D2530)),IF(G2530="",E2530,IFERROR(E2530/COUNTIF($G2:$G6000,G2530),E2530)),E2530)</f>
        <v>0</v>
      </c>
      <c r="I2530" s="1" t="str">
        <f>IFERROR(VLOOKUP(C2530,'Clients List'!A:F,6,FALSE),"")</f>
        <v/>
      </c>
    </row>
    <row r="2531" spans="4:9" x14ac:dyDescent="0.45">
      <c r="D2531" t="str">
        <f>IFERROR(VLOOKUP(C2531,'Clients List'!$A:$F,2,FALSE),"")</f>
        <v/>
      </c>
      <c r="F2531" s="1" t="str">
        <f>IF(OR(C2531="",NOT(ISNUMBER(SEARCH("Package",D2531)))),"",VLOOKUP(C2531,'Clients List'!$A:$F,4,FALSE)-SUMIFS($E$2:$E2531,$C$2:$C2531,C2531,$D$2:$D2531,"*Package*"))</f>
        <v/>
      </c>
      <c r="G2531" t="str">
        <f t="shared" si="72"/>
        <v/>
      </c>
      <c r="H2531" s="33">
        <f>IF(ISNUMBER(SEARCH("Group",D2531)),IF(G2531="",E2531,IFERROR(E2531/COUNTIF($G2:$G6000,G2531),E2531)),E2531)</f>
        <v>0</v>
      </c>
      <c r="I2531" s="1" t="str">
        <f>IFERROR(VLOOKUP(C2531,'Clients List'!A:F,6,FALSE),"")</f>
        <v/>
      </c>
    </row>
    <row r="2532" spans="4:9" x14ac:dyDescent="0.45">
      <c r="D2532" t="str">
        <f>IFERROR(VLOOKUP(C2532,'Clients List'!$A:$F,2,FALSE),"")</f>
        <v/>
      </c>
      <c r="F2532" s="1" t="str">
        <f>IF(OR(C2532="",NOT(ISNUMBER(SEARCH("Package",D2532)))),"",VLOOKUP(C2532,'Clients List'!$A:$F,4,FALSE)-SUMIFS($E$2:$E2532,$C$2:$C2532,C2532,$D$2:$D2532,"*Package*"))</f>
        <v/>
      </c>
      <c r="G2532" t="str">
        <f t="shared" si="72"/>
        <v/>
      </c>
      <c r="H2532" s="33">
        <f>IF(ISNUMBER(SEARCH("Group",D2532)),IF(G2532="",E2532,IFERROR(E2532/COUNTIF($G2:$G6000,G2532),E2532)),E2532)</f>
        <v>0</v>
      </c>
      <c r="I2532" s="1" t="str">
        <f>IFERROR(VLOOKUP(C2532,'Clients List'!A:F,6,FALSE),"")</f>
        <v/>
      </c>
    </row>
    <row r="2533" spans="4:9" x14ac:dyDescent="0.45">
      <c r="D2533" t="str">
        <f>IFERROR(VLOOKUP(C2533,'Clients List'!$A:$F,2,FALSE),"")</f>
        <v/>
      </c>
      <c r="F2533" s="1" t="str">
        <f>IF(OR(C2533="",NOT(ISNUMBER(SEARCH("Package",D2533)))),"",VLOOKUP(C2533,'Clients List'!$A:$F,4,FALSE)-SUMIFS($E$2:$E2533,$C$2:$C2533,C2533,$D$2:$D2533,"*Package*"))</f>
        <v/>
      </c>
      <c r="G2533" t="str">
        <f t="shared" si="72"/>
        <v/>
      </c>
      <c r="H2533" s="33">
        <f>IF(ISNUMBER(SEARCH("Group",D2533)),IF(G2533="",E2533,IFERROR(E2533/COUNTIF($G2:$G6000,G2533),E2533)),E2533)</f>
        <v>0</v>
      </c>
      <c r="I2533" s="1" t="str">
        <f>IFERROR(VLOOKUP(C2533,'Clients List'!A:F,6,FALSE),"")</f>
        <v/>
      </c>
    </row>
    <row r="2534" spans="4:9" x14ac:dyDescent="0.45">
      <c r="D2534" t="str">
        <f>IFERROR(VLOOKUP(C2534,'Clients List'!$A:$F,2,FALSE),"")</f>
        <v/>
      </c>
      <c r="F2534" s="1" t="str">
        <f>IF(OR(C2534="",NOT(ISNUMBER(SEARCH("Package",D2534)))),"",VLOOKUP(C2534,'Clients List'!$A:$F,4,FALSE)-SUMIFS($E$2:$E2534,$C$2:$C2534,C2534,$D$2:$D2534,"*Package*"))</f>
        <v/>
      </c>
      <c r="G2534" t="str">
        <f t="shared" si="72"/>
        <v/>
      </c>
      <c r="H2534" s="33">
        <f>IF(ISNUMBER(SEARCH("Group",D2534)),IF(G2534="",E2534,IFERROR(E2534/COUNTIF($G2:$G6000,G2534),E2534)),E2534)</f>
        <v>0</v>
      </c>
      <c r="I2534" s="1" t="str">
        <f>IFERROR(VLOOKUP(C2534,'Clients List'!A:F,6,FALSE),"")</f>
        <v/>
      </c>
    </row>
    <row r="2535" spans="4:9" x14ac:dyDescent="0.45">
      <c r="D2535" t="str">
        <f>IFERROR(VLOOKUP(C2535,'Clients List'!$A:$F,2,FALSE),"")</f>
        <v/>
      </c>
      <c r="F2535" s="1" t="str">
        <f>IF(OR(C2535="",NOT(ISNUMBER(SEARCH("Package",D2535)))),"",VLOOKUP(C2535,'Clients List'!$A:$F,4,FALSE)-SUMIFS($E$2:$E2535,$C$2:$C2535,C2535,$D$2:$D2535,"*Package*"))</f>
        <v/>
      </c>
      <c r="G2535" t="str">
        <f t="shared" si="72"/>
        <v/>
      </c>
      <c r="H2535" s="33">
        <f>IF(ISNUMBER(SEARCH("Group",D2535)),IF(G2535="",E2535,IFERROR(E2535/COUNTIF($G2:$G6000,G2535),E2535)),E2535)</f>
        <v>0</v>
      </c>
      <c r="I2535" s="1" t="str">
        <f>IFERROR(VLOOKUP(C2535,'Clients List'!A:F,6,FALSE),"")</f>
        <v/>
      </c>
    </row>
    <row r="2536" spans="4:9" x14ac:dyDescent="0.45">
      <c r="D2536" t="str">
        <f>IFERROR(VLOOKUP(C2536,'Clients List'!$A:$F,2,FALSE),"")</f>
        <v/>
      </c>
      <c r="F2536" s="1" t="str">
        <f>IF(OR(C2536="",NOT(ISNUMBER(SEARCH("Package",D2536)))),"",VLOOKUP(C2536,'Clients List'!$A:$F,4,FALSE)-SUMIFS($E$2:$E2536,$C$2:$C2536,C2536,$D$2:$D2536,"*Package*"))</f>
        <v/>
      </c>
      <c r="G2536" t="str">
        <f t="shared" si="72"/>
        <v/>
      </c>
      <c r="H2536" s="33">
        <f>IF(ISNUMBER(SEARCH("Group",D2536)),IF(G2536="",E2536,IFERROR(E2536/COUNTIF($G2:$G6000,G2536),E2536)),E2536)</f>
        <v>0</v>
      </c>
      <c r="I2536" s="1" t="str">
        <f>IFERROR(VLOOKUP(C2536,'Clients List'!A:F,6,FALSE),"")</f>
        <v/>
      </c>
    </row>
    <row r="2537" spans="4:9" x14ac:dyDescent="0.45">
      <c r="D2537" t="str">
        <f>IFERROR(VLOOKUP(C2537,'Clients List'!$A:$F,2,FALSE),"")</f>
        <v/>
      </c>
      <c r="F2537" s="1" t="str">
        <f>IF(OR(C2537="",NOT(ISNUMBER(SEARCH("Package",D2537)))),"",VLOOKUP(C2537,'Clients List'!$A:$F,4,FALSE)-SUMIFS($E$2:$E2537,$C$2:$C2537,C2537,$D$2:$D2537,"*Package*"))</f>
        <v/>
      </c>
      <c r="G2537" t="str">
        <f t="shared" si="72"/>
        <v/>
      </c>
      <c r="H2537" s="33">
        <f>IF(ISNUMBER(SEARCH("Group",D2537)),IF(G2537="",E2537,IFERROR(E2537/COUNTIF($G2:$G6000,G2537),E2537)),E2537)</f>
        <v>0</v>
      </c>
      <c r="I2537" s="1" t="str">
        <f>IFERROR(VLOOKUP(C2537,'Clients List'!A:F,6,FALSE),"")</f>
        <v/>
      </c>
    </row>
    <row r="2538" spans="4:9" x14ac:dyDescent="0.45">
      <c r="D2538" t="str">
        <f>IFERROR(VLOOKUP(C2538,'Clients List'!$A:$F,2,FALSE),"")</f>
        <v/>
      </c>
      <c r="F2538" s="1" t="str">
        <f>IF(OR(C2538="",NOT(ISNUMBER(SEARCH("Package",D2538)))),"",VLOOKUP(C2538,'Clients List'!$A:$F,4,FALSE)-SUMIFS($E$2:$E2538,$C$2:$C2538,C2538,$D$2:$D2538,"*Package*"))</f>
        <v/>
      </c>
      <c r="G2538" t="str">
        <f t="shared" si="72"/>
        <v/>
      </c>
      <c r="H2538" s="33">
        <f>IF(ISNUMBER(SEARCH("Group",D2538)),IF(G2538="",E2538,IFERROR(E2538/COUNTIF($G2:$G6000,G2538),E2538)),E2538)</f>
        <v>0</v>
      </c>
      <c r="I2538" s="1" t="str">
        <f>IFERROR(VLOOKUP(C2538,'Clients List'!A:F,6,FALSE),"")</f>
        <v/>
      </c>
    </row>
    <row r="2539" spans="4:9" x14ac:dyDescent="0.45">
      <c r="D2539" t="str">
        <f>IFERROR(VLOOKUP(C2539,'Clients List'!$A:$F,2,FALSE),"")</f>
        <v/>
      </c>
      <c r="F2539" s="1" t="str">
        <f>IF(OR(C2539="",NOT(ISNUMBER(SEARCH("Package",D2539)))),"",VLOOKUP(C2539,'Clients List'!$A:$F,4,FALSE)-SUMIFS($E$2:$E2539,$C$2:$C2539,C2539,$D$2:$D2539,"*Package*"))</f>
        <v/>
      </c>
      <c r="G2539" t="str">
        <f t="shared" si="72"/>
        <v/>
      </c>
      <c r="H2539" s="33">
        <f>IF(ISNUMBER(SEARCH("Group",D2539)),IF(G2539="",E2539,IFERROR(E2539/COUNTIF($G2:$G6000,G2539),E2539)),E2539)</f>
        <v>0</v>
      </c>
      <c r="I2539" s="1" t="str">
        <f>IFERROR(VLOOKUP(C2539,'Clients List'!A:F,6,FALSE),"")</f>
        <v/>
      </c>
    </row>
    <row r="2540" spans="4:9" x14ac:dyDescent="0.45">
      <c r="D2540" t="str">
        <f>IFERROR(VLOOKUP(C2540,'Clients List'!$A:$F,2,FALSE),"")</f>
        <v/>
      </c>
      <c r="F2540" s="1" t="str">
        <f>IF(OR(C2540="",NOT(ISNUMBER(SEARCH("Package",D2540)))),"",VLOOKUP(C2540,'Clients List'!$A:$F,4,FALSE)-SUMIFS($E$2:$E2540,$C$2:$C2540,C2540,$D$2:$D2540,"*Package*"))</f>
        <v/>
      </c>
      <c r="G2540" t="str">
        <f t="shared" si="72"/>
        <v/>
      </c>
      <c r="H2540" s="33">
        <f>IF(ISNUMBER(SEARCH("Group",D2540)),IF(G2540="",E2540,IFERROR(E2540/COUNTIF($G2:$G6000,G2540),E2540)),E2540)</f>
        <v>0</v>
      </c>
      <c r="I2540" s="1" t="str">
        <f>IFERROR(VLOOKUP(C2540,'Clients List'!A:F,6,FALSE),"")</f>
        <v/>
      </c>
    </row>
    <row r="2541" spans="4:9" x14ac:dyDescent="0.45">
      <c r="D2541" t="str">
        <f>IFERROR(VLOOKUP(C2541,'Clients List'!$A:$F,2,FALSE),"")</f>
        <v/>
      </c>
      <c r="F2541" s="1" t="str">
        <f>IF(OR(C2541="",NOT(ISNUMBER(SEARCH("Package",D2541)))),"",VLOOKUP(C2541,'Clients List'!$A:$F,4,FALSE)-SUMIFS($E$2:$E2541,$C$2:$C2541,C2541,$D$2:$D2541,"*Package*"))</f>
        <v/>
      </c>
      <c r="G2541" t="str">
        <f t="shared" si="72"/>
        <v/>
      </c>
      <c r="H2541" s="33">
        <f>IF(ISNUMBER(SEARCH("Group",D2541)),IF(G2541="",E2541,IFERROR(E2541/COUNTIF($G2:$G6000,G2541),E2541)),E2541)</f>
        <v>0</v>
      </c>
      <c r="I2541" s="1" t="str">
        <f>IFERROR(VLOOKUP(C2541,'Clients List'!A:F,6,FALSE),"")</f>
        <v/>
      </c>
    </row>
    <row r="2542" spans="4:9" x14ac:dyDescent="0.45">
      <c r="D2542" t="str">
        <f>IFERROR(VLOOKUP(C2542,'Clients List'!$A:$F,2,FALSE),"")</f>
        <v/>
      </c>
      <c r="F2542" s="1" t="str">
        <f>IF(OR(C2542="",NOT(ISNUMBER(SEARCH("Package",D2542)))),"",VLOOKUP(C2542,'Clients List'!$A:$F,4,FALSE)-SUMIFS($E$2:$E2542,$C$2:$C2542,C2542,$D$2:$D2542,"*Package*"))</f>
        <v/>
      </c>
      <c r="G2542" t="str">
        <f t="shared" si="72"/>
        <v/>
      </c>
      <c r="H2542" s="33">
        <f>IF(ISNUMBER(SEARCH("Group",D2542)),IF(G2542="",E2542,IFERROR(E2542/COUNTIF($G2:$G6000,G2542),E2542)),E2542)</f>
        <v>0</v>
      </c>
      <c r="I2542" s="1" t="str">
        <f>IFERROR(VLOOKUP(C2542,'Clients List'!A:F,6,FALSE),"")</f>
        <v/>
      </c>
    </row>
    <row r="2543" spans="4:9" x14ac:dyDescent="0.45">
      <c r="D2543" t="str">
        <f>IFERROR(VLOOKUP(C2543,'Clients List'!$A:$F,2,FALSE),"")</f>
        <v/>
      </c>
      <c r="F2543" s="1" t="str">
        <f>IF(OR(C2543="",NOT(ISNUMBER(SEARCH("Package",D2543)))),"",VLOOKUP(C2543,'Clients List'!$A:$F,4,FALSE)-SUMIFS($E$2:$E2543,$C$2:$C2543,C2543,$D$2:$D2543,"*Package*"))</f>
        <v/>
      </c>
      <c r="G2543" t="str">
        <f t="shared" si="72"/>
        <v/>
      </c>
      <c r="H2543" s="33">
        <f>IF(ISNUMBER(SEARCH("Group",D2543)),IF(G2543="",E2543,IFERROR(E2543/COUNTIF($G2:$G6000,G2543),E2543)),E2543)</f>
        <v>0</v>
      </c>
      <c r="I2543" s="1" t="str">
        <f>IFERROR(VLOOKUP(C2543,'Clients List'!A:F,6,FALSE),"")</f>
        <v/>
      </c>
    </row>
    <row r="2544" spans="4:9" x14ac:dyDescent="0.45">
      <c r="D2544" t="str">
        <f>IFERROR(VLOOKUP(C2544,'Clients List'!$A:$F,2,FALSE),"")</f>
        <v/>
      </c>
      <c r="F2544" s="1" t="str">
        <f>IF(OR(C2544="",NOT(ISNUMBER(SEARCH("Package",D2544)))),"",VLOOKUP(C2544,'Clients List'!$A:$F,4,FALSE)-SUMIFS($E$2:$E2544,$C$2:$C2544,C2544,$D$2:$D2544,"*Package*"))</f>
        <v/>
      </c>
      <c r="G2544" t="str">
        <f t="shared" si="72"/>
        <v/>
      </c>
      <c r="H2544" s="33">
        <f>IF(ISNUMBER(SEARCH("Group",D2544)),IF(G2544="",E2544,IFERROR(E2544/COUNTIF($G2:$G6000,G2544),E2544)),E2544)</f>
        <v>0</v>
      </c>
      <c r="I2544" s="1" t="str">
        <f>IFERROR(VLOOKUP(C2544,'Clients List'!A:F,6,FALSE),"")</f>
        <v/>
      </c>
    </row>
    <row r="2545" spans="4:9" x14ac:dyDescent="0.45">
      <c r="D2545" t="str">
        <f>IFERROR(VLOOKUP(C2545,'Clients List'!$A:$F,2,FALSE),"")</f>
        <v/>
      </c>
      <c r="F2545" s="1" t="str">
        <f>IF(OR(C2545="",NOT(ISNUMBER(SEARCH("Package",D2545)))),"",VLOOKUP(C2545,'Clients List'!$A:$F,4,FALSE)-SUMIFS($E$2:$E2545,$C$2:$C2545,C2545,$D$2:$D2545,"*Package*"))</f>
        <v/>
      </c>
      <c r="G2545" t="str">
        <f t="shared" si="72"/>
        <v/>
      </c>
      <c r="H2545" s="33">
        <f>IF(ISNUMBER(SEARCH("Group",D2545)),IF(G2545="",E2545,IFERROR(E2545/COUNTIF($G2:$G6000,G2545),E2545)),E2545)</f>
        <v>0</v>
      </c>
      <c r="I2545" s="1" t="str">
        <f>IFERROR(VLOOKUP(C2545,'Clients List'!A:F,6,FALSE),"")</f>
        <v/>
      </c>
    </row>
    <row r="2546" spans="4:9" x14ac:dyDescent="0.45">
      <c r="D2546" t="str">
        <f>IFERROR(VLOOKUP(C2546,'Clients List'!$A:$F,2,FALSE),"")</f>
        <v/>
      </c>
      <c r="F2546" s="1" t="str">
        <f>IF(OR(C2546="",NOT(ISNUMBER(SEARCH("Package",D2546)))),"",VLOOKUP(C2546,'Clients List'!$A:$F,4,FALSE)-SUMIFS($E$2:$E2546,$C$2:$C2546,C2546,$D$2:$D2546,"*Package*"))</f>
        <v/>
      </c>
      <c r="G2546" t="str">
        <f t="shared" si="72"/>
        <v/>
      </c>
      <c r="H2546" s="33">
        <f>IF(ISNUMBER(SEARCH("Group",D2546)),IF(G2546="",E2546,IFERROR(E2546/COUNTIF($G2:$G6000,G2546),E2546)),E2546)</f>
        <v>0</v>
      </c>
      <c r="I2546" s="1" t="str">
        <f>IFERROR(VLOOKUP(C2546,'Clients List'!A:F,6,FALSE),"")</f>
        <v/>
      </c>
    </row>
    <row r="2547" spans="4:9" x14ac:dyDescent="0.45">
      <c r="D2547" t="str">
        <f>IFERROR(VLOOKUP(C2547,'Clients List'!$A:$F,2,FALSE),"")</f>
        <v/>
      </c>
      <c r="F2547" s="1" t="str">
        <f>IF(OR(C2547="",NOT(ISNUMBER(SEARCH("Package",D2547)))),"",VLOOKUP(C2547,'Clients List'!$A:$F,4,FALSE)-SUMIFS($E$2:$E2547,$C$2:$C2547,C2547,$D$2:$D2547,"*Package*"))</f>
        <v/>
      </c>
      <c r="G2547" t="str">
        <f t="shared" si="72"/>
        <v/>
      </c>
      <c r="H2547" s="33">
        <f>IF(ISNUMBER(SEARCH("Group",D2547)),IF(G2547="",E2547,IFERROR(E2547/COUNTIF($G2:$G6000,G2547),E2547)),E2547)</f>
        <v>0</v>
      </c>
      <c r="I2547" s="1" t="str">
        <f>IFERROR(VLOOKUP(C2547,'Clients List'!A:F,6,FALSE),"")</f>
        <v/>
      </c>
    </row>
    <row r="2548" spans="4:9" x14ac:dyDescent="0.45">
      <c r="D2548" t="str">
        <f>IFERROR(VLOOKUP(C2548,'Clients List'!$A:$F,2,FALSE),"")</f>
        <v/>
      </c>
      <c r="F2548" s="1" t="str">
        <f>IF(OR(C2548="",NOT(ISNUMBER(SEARCH("Package",D2548)))),"",VLOOKUP(C2548,'Clients List'!$A:$F,4,FALSE)-SUMIFS($E$2:$E2548,$C$2:$C2548,C2548,$D$2:$D2548,"*Package*"))</f>
        <v/>
      </c>
      <c r="G2548" t="str">
        <f t="shared" si="72"/>
        <v/>
      </c>
      <c r="H2548" s="33">
        <f>IF(ISNUMBER(SEARCH("Group",D2548)),IF(G2548="",E2548,IFERROR(E2548/COUNTIF($G2:$G6000,G2548),E2548)),E2548)</f>
        <v>0</v>
      </c>
      <c r="I2548" s="1" t="str">
        <f>IFERROR(VLOOKUP(C2548,'Clients List'!A:F,6,FALSE),"")</f>
        <v/>
      </c>
    </row>
    <row r="2549" spans="4:9" x14ac:dyDescent="0.45">
      <c r="D2549" t="str">
        <f>IFERROR(VLOOKUP(C2549,'Clients List'!$A:$F,2,FALSE),"")</f>
        <v/>
      </c>
      <c r="F2549" s="1" t="str">
        <f>IF(OR(C2549="",NOT(ISNUMBER(SEARCH("Package",D2549)))),"",VLOOKUP(C2549,'Clients List'!$A:$F,4,FALSE)-SUMIFS($E$2:$E2549,$C$2:$C2549,C2549,$D$2:$D2549,"*Package*"))</f>
        <v/>
      </c>
      <c r="G2549" t="str">
        <f t="shared" ref="G2549:G2612" si="73">IF(ISNUMBER(SEARCH("Group",D2549)),IFERROR("GRP-"&amp;TEXT(IF(ISNUMBER(A2549),A2549,DATEVALUE(A2549)),"yyyymmdd"),""),"" )</f>
        <v/>
      </c>
      <c r="H2549" s="33">
        <f>IF(ISNUMBER(SEARCH("Group",D2549)),IF(G2549="",E2549,IFERROR(E2549/COUNTIF($G2:$G6000,G2549),E2549)),E2549)</f>
        <v>0</v>
      </c>
      <c r="I2549" s="1" t="str">
        <f>IFERROR(VLOOKUP(C2549,'Clients List'!A:F,6,FALSE),"")</f>
        <v/>
      </c>
    </row>
    <row r="2550" spans="4:9" x14ac:dyDescent="0.45">
      <c r="D2550" t="str">
        <f>IFERROR(VLOOKUP(C2550,'Clients List'!$A:$F,2,FALSE),"")</f>
        <v/>
      </c>
      <c r="F2550" s="1" t="str">
        <f>IF(OR(C2550="",NOT(ISNUMBER(SEARCH("Package",D2550)))),"",VLOOKUP(C2550,'Clients List'!$A:$F,4,FALSE)-SUMIFS($E$2:$E2550,$C$2:$C2550,C2550,$D$2:$D2550,"*Package*"))</f>
        <v/>
      </c>
      <c r="G2550" t="str">
        <f t="shared" si="73"/>
        <v/>
      </c>
      <c r="H2550" s="33">
        <f>IF(ISNUMBER(SEARCH("Group",D2550)),IF(G2550="",E2550,IFERROR(E2550/COUNTIF($G2:$G6000,G2550),E2550)),E2550)</f>
        <v>0</v>
      </c>
      <c r="I2550" s="1" t="str">
        <f>IFERROR(VLOOKUP(C2550,'Clients List'!A:F,6,FALSE),"")</f>
        <v/>
      </c>
    </row>
    <row r="2551" spans="4:9" x14ac:dyDescent="0.45">
      <c r="D2551" t="str">
        <f>IFERROR(VLOOKUP(C2551,'Clients List'!$A:$F,2,FALSE),"")</f>
        <v/>
      </c>
      <c r="F2551" s="1" t="str">
        <f>IF(OR(C2551="",NOT(ISNUMBER(SEARCH("Package",D2551)))),"",VLOOKUP(C2551,'Clients List'!$A:$F,4,FALSE)-SUMIFS($E$2:$E2551,$C$2:$C2551,C2551,$D$2:$D2551,"*Package*"))</f>
        <v/>
      </c>
      <c r="G2551" t="str">
        <f t="shared" si="73"/>
        <v/>
      </c>
      <c r="H2551" s="33">
        <f>IF(ISNUMBER(SEARCH("Group",D2551)),IF(G2551="",E2551,IFERROR(E2551/COUNTIF($G2:$G6000,G2551),E2551)),E2551)</f>
        <v>0</v>
      </c>
      <c r="I2551" s="1" t="str">
        <f>IFERROR(VLOOKUP(C2551,'Clients List'!A:F,6,FALSE),"")</f>
        <v/>
      </c>
    </row>
    <row r="2552" spans="4:9" x14ac:dyDescent="0.45">
      <c r="D2552" t="str">
        <f>IFERROR(VLOOKUP(C2552,'Clients List'!$A:$F,2,FALSE),"")</f>
        <v/>
      </c>
      <c r="F2552" s="1" t="str">
        <f>IF(OR(C2552="",NOT(ISNUMBER(SEARCH("Package",D2552)))),"",VLOOKUP(C2552,'Clients List'!$A:$F,4,FALSE)-SUMIFS($E$2:$E2552,$C$2:$C2552,C2552,$D$2:$D2552,"*Package*"))</f>
        <v/>
      </c>
      <c r="G2552" t="str">
        <f t="shared" si="73"/>
        <v/>
      </c>
      <c r="H2552" s="33">
        <f>IF(ISNUMBER(SEARCH("Group",D2552)),IF(G2552="",E2552,IFERROR(E2552/COUNTIF($G2:$G6000,G2552),E2552)),E2552)</f>
        <v>0</v>
      </c>
      <c r="I2552" s="1" t="str">
        <f>IFERROR(VLOOKUP(C2552,'Clients List'!A:F,6,FALSE),"")</f>
        <v/>
      </c>
    </row>
    <row r="2553" spans="4:9" x14ac:dyDescent="0.45">
      <c r="D2553" t="str">
        <f>IFERROR(VLOOKUP(C2553,'Clients List'!$A:$F,2,FALSE),"")</f>
        <v/>
      </c>
      <c r="F2553" s="1" t="str">
        <f>IF(OR(C2553="",NOT(ISNUMBER(SEARCH("Package",D2553)))),"",VLOOKUP(C2553,'Clients List'!$A:$F,4,FALSE)-SUMIFS($E$2:$E2553,$C$2:$C2553,C2553,$D$2:$D2553,"*Package*"))</f>
        <v/>
      </c>
      <c r="G2553" t="str">
        <f t="shared" si="73"/>
        <v/>
      </c>
      <c r="H2553" s="33">
        <f>IF(ISNUMBER(SEARCH("Group",D2553)),IF(G2553="",E2553,IFERROR(E2553/COUNTIF($G2:$G6000,G2553),E2553)),E2553)</f>
        <v>0</v>
      </c>
      <c r="I2553" s="1" t="str">
        <f>IFERROR(VLOOKUP(C2553,'Clients List'!A:F,6,FALSE),"")</f>
        <v/>
      </c>
    </row>
    <row r="2554" spans="4:9" x14ac:dyDescent="0.45">
      <c r="D2554" t="str">
        <f>IFERROR(VLOOKUP(C2554,'Clients List'!$A:$F,2,FALSE),"")</f>
        <v/>
      </c>
      <c r="F2554" s="1" t="str">
        <f>IF(OR(C2554="",NOT(ISNUMBER(SEARCH("Package",D2554)))),"",VLOOKUP(C2554,'Clients List'!$A:$F,4,FALSE)-SUMIFS($E$2:$E2554,$C$2:$C2554,C2554,$D$2:$D2554,"*Package*"))</f>
        <v/>
      </c>
      <c r="G2554" t="str">
        <f t="shared" si="73"/>
        <v/>
      </c>
      <c r="H2554" s="33">
        <f>IF(ISNUMBER(SEARCH("Group",D2554)),IF(G2554="",E2554,IFERROR(E2554/COUNTIF($G2:$G6000,G2554),E2554)),E2554)</f>
        <v>0</v>
      </c>
      <c r="I2554" s="1" t="str">
        <f>IFERROR(VLOOKUP(C2554,'Clients List'!A:F,6,FALSE),"")</f>
        <v/>
      </c>
    </row>
    <row r="2555" spans="4:9" x14ac:dyDescent="0.45">
      <c r="D2555" t="str">
        <f>IFERROR(VLOOKUP(C2555,'Clients List'!$A:$F,2,FALSE),"")</f>
        <v/>
      </c>
      <c r="F2555" s="1" t="str">
        <f>IF(OR(C2555="",NOT(ISNUMBER(SEARCH("Package",D2555)))),"",VLOOKUP(C2555,'Clients List'!$A:$F,4,FALSE)-SUMIFS($E$2:$E2555,$C$2:$C2555,C2555,$D$2:$D2555,"*Package*"))</f>
        <v/>
      </c>
      <c r="G2555" t="str">
        <f t="shared" si="73"/>
        <v/>
      </c>
      <c r="H2555" s="33">
        <f>IF(ISNUMBER(SEARCH("Group",D2555)),IF(G2555="",E2555,IFERROR(E2555/COUNTIF($G2:$G6000,G2555),E2555)),E2555)</f>
        <v>0</v>
      </c>
      <c r="I2555" s="1" t="str">
        <f>IFERROR(VLOOKUP(C2555,'Clients List'!A:F,6,FALSE),"")</f>
        <v/>
      </c>
    </row>
    <row r="2556" spans="4:9" x14ac:dyDescent="0.45">
      <c r="D2556" t="str">
        <f>IFERROR(VLOOKUP(C2556,'Clients List'!$A:$F,2,FALSE),"")</f>
        <v/>
      </c>
      <c r="F2556" s="1" t="str">
        <f>IF(OR(C2556="",NOT(ISNUMBER(SEARCH("Package",D2556)))),"",VLOOKUP(C2556,'Clients List'!$A:$F,4,FALSE)-SUMIFS($E$2:$E2556,$C$2:$C2556,C2556,$D$2:$D2556,"*Package*"))</f>
        <v/>
      </c>
      <c r="G2556" t="str">
        <f t="shared" si="73"/>
        <v/>
      </c>
      <c r="H2556" s="33">
        <f>IF(ISNUMBER(SEARCH("Group",D2556)),IF(G2556="",E2556,IFERROR(E2556/COUNTIF($G2:$G6000,G2556),E2556)),E2556)</f>
        <v>0</v>
      </c>
      <c r="I2556" s="1" t="str">
        <f>IFERROR(VLOOKUP(C2556,'Clients List'!A:F,6,FALSE),"")</f>
        <v/>
      </c>
    </row>
    <row r="2557" spans="4:9" x14ac:dyDescent="0.45">
      <c r="D2557" t="str">
        <f>IFERROR(VLOOKUP(C2557,'Clients List'!$A:$F,2,FALSE),"")</f>
        <v/>
      </c>
      <c r="F2557" s="1" t="str">
        <f>IF(OR(C2557="",NOT(ISNUMBER(SEARCH("Package",D2557)))),"",VLOOKUP(C2557,'Clients List'!$A:$F,4,FALSE)-SUMIFS($E$2:$E2557,$C$2:$C2557,C2557,$D$2:$D2557,"*Package*"))</f>
        <v/>
      </c>
      <c r="G2557" t="str">
        <f t="shared" si="73"/>
        <v/>
      </c>
      <c r="H2557" s="33">
        <f>IF(ISNUMBER(SEARCH("Group",D2557)),IF(G2557="",E2557,IFERROR(E2557/COUNTIF($G2:$G6000,G2557),E2557)),E2557)</f>
        <v>0</v>
      </c>
      <c r="I2557" s="1" t="str">
        <f>IFERROR(VLOOKUP(C2557,'Clients List'!A:F,6,FALSE),"")</f>
        <v/>
      </c>
    </row>
    <row r="2558" spans="4:9" x14ac:dyDescent="0.45">
      <c r="D2558" t="str">
        <f>IFERROR(VLOOKUP(C2558,'Clients List'!$A:$F,2,FALSE),"")</f>
        <v/>
      </c>
      <c r="F2558" s="1" t="str">
        <f>IF(OR(C2558="",NOT(ISNUMBER(SEARCH("Package",D2558)))),"",VLOOKUP(C2558,'Clients List'!$A:$F,4,FALSE)-SUMIFS($E$2:$E2558,$C$2:$C2558,C2558,$D$2:$D2558,"*Package*"))</f>
        <v/>
      </c>
      <c r="G2558" t="str">
        <f t="shared" si="73"/>
        <v/>
      </c>
      <c r="H2558" s="33">
        <f>IF(ISNUMBER(SEARCH("Group",D2558)),IF(G2558="",E2558,IFERROR(E2558/COUNTIF($G2:$G6000,G2558),E2558)),E2558)</f>
        <v>0</v>
      </c>
      <c r="I2558" s="1" t="str">
        <f>IFERROR(VLOOKUP(C2558,'Clients List'!A:F,6,FALSE),"")</f>
        <v/>
      </c>
    </row>
    <row r="2559" spans="4:9" x14ac:dyDescent="0.45">
      <c r="D2559" t="str">
        <f>IFERROR(VLOOKUP(C2559,'Clients List'!$A:$F,2,FALSE),"")</f>
        <v/>
      </c>
      <c r="F2559" s="1" t="str">
        <f>IF(OR(C2559="",NOT(ISNUMBER(SEARCH("Package",D2559)))),"",VLOOKUP(C2559,'Clients List'!$A:$F,4,FALSE)-SUMIFS($E$2:$E2559,$C$2:$C2559,C2559,$D$2:$D2559,"*Package*"))</f>
        <v/>
      </c>
      <c r="G2559" t="str">
        <f t="shared" si="73"/>
        <v/>
      </c>
      <c r="H2559" s="33">
        <f>IF(ISNUMBER(SEARCH("Group",D2559)),IF(G2559="",E2559,IFERROR(E2559/COUNTIF($G2:$G6000,G2559),E2559)),E2559)</f>
        <v>0</v>
      </c>
      <c r="I2559" s="1" t="str">
        <f>IFERROR(VLOOKUP(C2559,'Clients List'!A:F,6,FALSE),"")</f>
        <v/>
      </c>
    </row>
    <row r="2560" spans="4:9" x14ac:dyDescent="0.45">
      <c r="D2560" t="str">
        <f>IFERROR(VLOOKUP(C2560,'Clients List'!$A:$F,2,FALSE),"")</f>
        <v/>
      </c>
      <c r="F2560" s="1" t="str">
        <f>IF(OR(C2560="",NOT(ISNUMBER(SEARCH("Package",D2560)))),"",VLOOKUP(C2560,'Clients List'!$A:$F,4,FALSE)-SUMIFS($E$2:$E2560,$C$2:$C2560,C2560,$D$2:$D2560,"*Package*"))</f>
        <v/>
      </c>
      <c r="G2560" t="str">
        <f t="shared" si="73"/>
        <v/>
      </c>
      <c r="H2560" s="33">
        <f>IF(ISNUMBER(SEARCH("Group",D2560)),IF(G2560="",E2560,IFERROR(E2560/COUNTIF($G2:$G6000,G2560),E2560)),E2560)</f>
        <v>0</v>
      </c>
      <c r="I2560" s="1" t="str">
        <f>IFERROR(VLOOKUP(C2560,'Clients List'!A:F,6,FALSE),"")</f>
        <v/>
      </c>
    </row>
    <row r="2561" spans="4:9" x14ac:dyDescent="0.45">
      <c r="D2561" t="str">
        <f>IFERROR(VLOOKUP(C2561,'Clients List'!$A:$F,2,FALSE),"")</f>
        <v/>
      </c>
      <c r="F2561" s="1" t="str">
        <f>IF(OR(C2561="",NOT(ISNUMBER(SEARCH("Package",D2561)))),"",VLOOKUP(C2561,'Clients List'!$A:$F,4,FALSE)-SUMIFS($E$2:$E2561,$C$2:$C2561,C2561,$D$2:$D2561,"*Package*"))</f>
        <v/>
      </c>
      <c r="G2561" t="str">
        <f t="shared" si="73"/>
        <v/>
      </c>
      <c r="H2561" s="33">
        <f>IF(ISNUMBER(SEARCH("Group",D2561)),IF(G2561="",E2561,IFERROR(E2561/COUNTIF($G2:$G6000,G2561),E2561)),E2561)</f>
        <v>0</v>
      </c>
      <c r="I2561" s="1" t="str">
        <f>IFERROR(VLOOKUP(C2561,'Clients List'!A:F,6,FALSE),"")</f>
        <v/>
      </c>
    </row>
    <row r="2562" spans="4:9" x14ac:dyDescent="0.45">
      <c r="D2562" t="str">
        <f>IFERROR(VLOOKUP(C2562,'Clients List'!$A:$F,2,FALSE),"")</f>
        <v/>
      </c>
      <c r="F2562" s="1" t="str">
        <f>IF(OR(C2562="",NOT(ISNUMBER(SEARCH("Package",D2562)))),"",VLOOKUP(C2562,'Clients List'!$A:$F,4,FALSE)-SUMIFS($E$2:$E2562,$C$2:$C2562,C2562,$D$2:$D2562,"*Package*"))</f>
        <v/>
      </c>
      <c r="G2562" t="str">
        <f t="shared" si="73"/>
        <v/>
      </c>
      <c r="H2562" s="33">
        <f>IF(ISNUMBER(SEARCH("Group",D2562)),IF(G2562="",E2562,IFERROR(E2562/COUNTIF($G2:$G6000,G2562),E2562)),E2562)</f>
        <v>0</v>
      </c>
      <c r="I2562" s="1" t="str">
        <f>IFERROR(VLOOKUP(C2562,'Clients List'!A:F,6,FALSE),"")</f>
        <v/>
      </c>
    </row>
    <row r="2563" spans="4:9" x14ac:dyDescent="0.45">
      <c r="D2563" t="str">
        <f>IFERROR(VLOOKUP(C2563,'Clients List'!$A:$F,2,FALSE),"")</f>
        <v/>
      </c>
      <c r="F2563" s="1" t="str">
        <f>IF(OR(C2563="",NOT(ISNUMBER(SEARCH("Package",D2563)))),"",VLOOKUP(C2563,'Clients List'!$A:$F,4,FALSE)-SUMIFS($E$2:$E2563,$C$2:$C2563,C2563,$D$2:$D2563,"*Package*"))</f>
        <v/>
      </c>
      <c r="G2563" t="str">
        <f t="shared" si="73"/>
        <v/>
      </c>
      <c r="H2563" s="33">
        <f>IF(ISNUMBER(SEARCH("Group",D2563)),IF(G2563="",E2563,IFERROR(E2563/COUNTIF($G2:$G6000,G2563),E2563)),E2563)</f>
        <v>0</v>
      </c>
      <c r="I2563" s="1" t="str">
        <f>IFERROR(VLOOKUP(C2563,'Clients List'!A:F,6,FALSE),"")</f>
        <v/>
      </c>
    </row>
    <row r="2564" spans="4:9" x14ac:dyDescent="0.45">
      <c r="D2564" t="str">
        <f>IFERROR(VLOOKUP(C2564,'Clients List'!$A:$F,2,FALSE),"")</f>
        <v/>
      </c>
      <c r="F2564" s="1" t="str">
        <f>IF(OR(C2564="",NOT(ISNUMBER(SEARCH("Package",D2564)))),"",VLOOKUP(C2564,'Clients List'!$A:$F,4,FALSE)-SUMIFS($E$2:$E2564,$C$2:$C2564,C2564,$D$2:$D2564,"*Package*"))</f>
        <v/>
      </c>
      <c r="G2564" t="str">
        <f t="shared" si="73"/>
        <v/>
      </c>
      <c r="H2564" s="33">
        <f>IF(ISNUMBER(SEARCH("Group",D2564)),IF(G2564="",E2564,IFERROR(E2564/COUNTIF($G2:$G6000,G2564),E2564)),E2564)</f>
        <v>0</v>
      </c>
      <c r="I2564" s="1" t="str">
        <f>IFERROR(VLOOKUP(C2564,'Clients List'!A:F,6,FALSE),"")</f>
        <v/>
      </c>
    </row>
    <row r="2565" spans="4:9" x14ac:dyDescent="0.45">
      <c r="D2565" t="str">
        <f>IFERROR(VLOOKUP(C2565,'Clients List'!$A:$F,2,FALSE),"")</f>
        <v/>
      </c>
      <c r="F2565" s="1" t="str">
        <f>IF(OR(C2565="",NOT(ISNUMBER(SEARCH("Package",D2565)))),"",VLOOKUP(C2565,'Clients List'!$A:$F,4,FALSE)-SUMIFS($E$2:$E2565,$C$2:$C2565,C2565,$D$2:$D2565,"*Package*"))</f>
        <v/>
      </c>
      <c r="G2565" t="str">
        <f t="shared" si="73"/>
        <v/>
      </c>
      <c r="H2565" s="33">
        <f>IF(ISNUMBER(SEARCH("Group",D2565)),IF(G2565="",E2565,IFERROR(E2565/COUNTIF($G2:$G6000,G2565),E2565)),E2565)</f>
        <v>0</v>
      </c>
      <c r="I2565" s="1" t="str">
        <f>IFERROR(VLOOKUP(C2565,'Clients List'!A:F,6,FALSE),"")</f>
        <v/>
      </c>
    </row>
    <row r="2566" spans="4:9" x14ac:dyDescent="0.45">
      <c r="D2566" t="str">
        <f>IFERROR(VLOOKUP(C2566,'Clients List'!$A:$F,2,FALSE),"")</f>
        <v/>
      </c>
      <c r="F2566" s="1" t="str">
        <f>IF(OR(C2566="",NOT(ISNUMBER(SEARCH("Package",D2566)))),"",VLOOKUP(C2566,'Clients List'!$A:$F,4,FALSE)-SUMIFS($E$2:$E2566,$C$2:$C2566,C2566,$D$2:$D2566,"*Package*"))</f>
        <v/>
      </c>
      <c r="G2566" t="str">
        <f t="shared" si="73"/>
        <v/>
      </c>
      <c r="H2566" s="33">
        <f>IF(ISNUMBER(SEARCH("Group",D2566)),IF(G2566="",E2566,IFERROR(E2566/COUNTIF($G2:$G6000,G2566),E2566)),E2566)</f>
        <v>0</v>
      </c>
      <c r="I2566" s="1" t="str">
        <f>IFERROR(VLOOKUP(C2566,'Clients List'!A:F,6,FALSE),"")</f>
        <v/>
      </c>
    </row>
    <row r="2567" spans="4:9" x14ac:dyDescent="0.45">
      <c r="D2567" t="str">
        <f>IFERROR(VLOOKUP(C2567,'Clients List'!$A:$F,2,FALSE),"")</f>
        <v/>
      </c>
      <c r="F2567" s="1" t="str">
        <f>IF(OR(C2567="",NOT(ISNUMBER(SEARCH("Package",D2567)))),"",VLOOKUP(C2567,'Clients List'!$A:$F,4,FALSE)-SUMIFS($E$2:$E2567,$C$2:$C2567,C2567,$D$2:$D2567,"*Package*"))</f>
        <v/>
      </c>
      <c r="G2567" t="str">
        <f t="shared" si="73"/>
        <v/>
      </c>
      <c r="H2567" s="33">
        <f>IF(ISNUMBER(SEARCH("Group",D2567)),IF(G2567="",E2567,IFERROR(E2567/COUNTIF($G2:$G6000,G2567),E2567)),E2567)</f>
        <v>0</v>
      </c>
      <c r="I2567" s="1" t="str">
        <f>IFERROR(VLOOKUP(C2567,'Clients List'!A:F,6,FALSE),"")</f>
        <v/>
      </c>
    </row>
    <row r="2568" spans="4:9" x14ac:dyDescent="0.45">
      <c r="D2568" t="str">
        <f>IFERROR(VLOOKUP(C2568,'Clients List'!$A:$F,2,FALSE),"")</f>
        <v/>
      </c>
      <c r="F2568" s="1" t="str">
        <f>IF(OR(C2568="",NOT(ISNUMBER(SEARCH("Package",D2568)))),"",VLOOKUP(C2568,'Clients List'!$A:$F,4,FALSE)-SUMIFS($E$2:$E2568,$C$2:$C2568,C2568,$D$2:$D2568,"*Package*"))</f>
        <v/>
      </c>
      <c r="G2568" t="str">
        <f t="shared" si="73"/>
        <v/>
      </c>
      <c r="H2568" s="33">
        <f>IF(ISNUMBER(SEARCH("Group",D2568)),IF(G2568="",E2568,IFERROR(E2568/COUNTIF($G2:$G6000,G2568),E2568)),E2568)</f>
        <v>0</v>
      </c>
      <c r="I2568" s="1" t="str">
        <f>IFERROR(VLOOKUP(C2568,'Clients List'!A:F,6,FALSE),"")</f>
        <v/>
      </c>
    </row>
    <row r="2569" spans="4:9" x14ac:dyDescent="0.45">
      <c r="D2569" t="str">
        <f>IFERROR(VLOOKUP(C2569,'Clients List'!$A:$F,2,FALSE),"")</f>
        <v/>
      </c>
      <c r="F2569" s="1" t="str">
        <f>IF(OR(C2569="",NOT(ISNUMBER(SEARCH("Package",D2569)))),"",VLOOKUP(C2569,'Clients List'!$A:$F,4,FALSE)-SUMIFS($E$2:$E2569,$C$2:$C2569,C2569,$D$2:$D2569,"*Package*"))</f>
        <v/>
      </c>
      <c r="G2569" t="str">
        <f t="shared" si="73"/>
        <v/>
      </c>
      <c r="H2569" s="33">
        <f>IF(ISNUMBER(SEARCH("Group",D2569)),IF(G2569="",E2569,IFERROR(E2569/COUNTIF($G2:$G6000,G2569),E2569)),E2569)</f>
        <v>0</v>
      </c>
      <c r="I2569" s="1" t="str">
        <f>IFERROR(VLOOKUP(C2569,'Clients List'!A:F,6,FALSE),"")</f>
        <v/>
      </c>
    </row>
    <row r="2570" spans="4:9" x14ac:dyDescent="0.45">
      <c r="D2570" t="str">
        <f>IFERROR(VLOOKUP(C2570,'Clients List'!$A:$F,2,FALSE),"")</f>
        <v/>
      </c>
      <c r="F2570" s="1" t="str">
        <f>IF(OR(C2570="",NOT(ISNUMBER(SEARCH("Package",D2570)))),"",VLOOKUP(C2570,'Clients List'!$A:$F,4,FALSE)-SUMIFS($E$2:$E2570,$C$2:$C2570,C2570,$D$2:$D2570,"*Package*"))</f>
        <v/>
      </c>
      <c r="G2570" t="str">
        <f t="shared" si="73"/>
        <v/>
      </c>
      <c r="H2570" s="33">
        <f>IF(ISNUMBER(SEARCH("Group",D2570)),IF(G2570="",E2570,IFERROR(E2570/COUNTIF($G2:$G6000,G2570),E2570)),E2570)</f>
        <v>0</v>
      </c>
      <c r="I2570" s="1" t="str">
        <f>IFERROR(VLOOKUP(C2570,'Clients List'!A:F,6,FALSE),"")</f>
        <v/>
      </c>
    </row>
    <row r="2571" spans="4:9" x14ac:dyDescent="0.45">
      <c r="D2571" t="str">
        <f>IFERROR(VLOOKUP(C2571,'Clients List'!$A:$F,2,FALSE),"")</f>
        <v/>
      </c>
      <c r="F2571" s="1" t="str">
        <f>IF(OR(C2571="",NOT(ISNUMBER(SEARCH("Package",D2571)))),"",VLOOKUP(C2571,'Clients List'!$A:$F,4,FALSE)-SUMIFS($E$2:$E2571,$C$2:$C2571,C2571,$D$2:$D2571,"*Package*"))</f>
        <v/>
      </c>
      <c r="G2571" t="str">
        <f t="shared" si="73"/>
        <v/>
      </c>
      <c r="H2571" s="33">
        <f>IF(ISNUMBER(SEARCH("Group",D2571)),IF(G2571="",E2571,IFERROR(E2571/COUNTIF($G2:$G6000,G2571),E2571)),E2571)</f>
        <v>0</v>
      </c>
      <c r="I2571" s="1" t="str">
        <f>IFERROR(VLOOKUP(C2571,'Clients List'!A:F,6,FALSE),"")</f>
        <v/>
      </c>
    </row>
    <row r="2572" spans="4:9" x14ac:dyDescent="0.45">
      <c r="D2572" t="str">
        <f>IFERROR(VLOOKUP(C2572,'Clients List'!$A:$F,2,FALSE),"")</f>
        <v/>
      </c>
      <c r="F2572" s="1" t="str">
        <f>IF(OR(C2572="",NOT(ISNUMBER(SEARCH("Package",D2572)))),"",VLOOKUP(C2572,'Clients List'!$A:$F,4,FALSE)-SUMIFS($E$2:$E2572,$C$2:$C2572,C2572,$D$2:$D2572,"*Package*"))</f>
        <v/>
      </c>
      <c r="G2572" t="str">
        <f t="shared" si="73"/>
        <v/>
      </c>
      <c r="H2572" s="33">
        <f>IF(ISNUMBER(SEARCH("Group",D2572)),IF(G2572="",E2572,IFERROR(E2572/COUNTIF($G2:$G6000,G2572),E2572)),E2572)</f>
        <v>0</v>
      </c>
      <c r="I2572" s="1" t="str">
        <f>IFERROR(VLOOKUP(C2572,'Clients List'!A:F,6,FALSE),"")</f>
        <v/>
      </c>
    </row>
    <row r="2573" spans="4:9" x14ac:dyDescent="0.45">
      <c r="D2573" t="str">
        <f>IFERROR(VLOOKUP(C2573,'Clients List'!$A:$F,2,FALSE),"")</f>
        <v/>
      </c>
      <c r="F2573" s="1" t="str">
        <f>IF(OR(C2573="",NOT(ISNUMBER(SEARCH("Package",D2573)))),"",VLOOKUP(C2573,'Clients List'!$A:$F,4,FALSE)-SUMIFS($E$2:$E2573,$C$2:$C2573,C2573,$D$2:$D2573,"*Package*"))</f>
        <v/>
      </c>
      <c r="G2573" t="str">
        <f t="shared" si="73"/>
        <v/>
      </c>
      <c r="H2573" s="33">
        <f>IF(ISNUMBER(SEARCH("Group",D2573)),IF(G2573="",E2573,IFERROR(E2573/COUNTIF($G2:$G6000,G2573),E2573)),E2573)</f>
        <v>0</v>
      </c>
      <c r="I2573" s="1" t="str">
        <f>IFERROR(VLOOKUP(C2573,'Clients List'!A:F,6,FALSE),"")</f>
        <v/>
      </c>
    </row>
    <row r="2574" spans="4:9" x14ac:dyDescent="0.45">
      <c r="D2574" t="str">
        <f>IFERROR(VLOOKUP(C2574,'Clients List'!$A:$F,2,FALSE),"")</f>
        <v/>
      </c>
      <c r="F2574" s="1" t="str">
        <f>IF(OR(C2574="",NOT(ISNUMBER(SEARCH("Package",D2574)))),"",VLOOKUP(C2574,'Clients List'!$A:$F,4,FALSE)-SUMIFS($E$2:$E2574,$C$2:$C2574,C2574,$D$2:$D2574,"*Package*"))</f>
        <v/>
      </c>
      <c r="G2574" t="str">
        <f t="shared" si="73"/>
        <v/>
      </c>
      <c r="H2574" s="33">
        <f>IF(ISNUMBER(SEARCH("Group",D2574)),IF(G2574="",E2574,IFERROR(E2574/COUNTIF($G2:$G6000,G2574),E2574)),E2574)</f>
        <v>0</v>
      </c>
      <c r="I2574" s="1" t="str">
        <f>IFERROR(VLOOKUP(C2574,'Clients List'!A:F,6,FALSE),"")</f>
        <v/>
      </c>
    </row>
    <row r="2575" spans="4:9" x14ac:dyDescent="0.45">
      <c r="D2575" t="str">
        <f>IFERROR(VLOOKUP(C2575,'Clients List'!$A:$F,2,FALSE),"")</f>
        <v/>
      </c>
      <c r="F2575" s="1" t="str">
        <f>IF(OR(C2575="",NOT(ISNUMBER(SEARCH("Package",D2575)))),"",VLOOKUP(C2575,'Clients List'!$A:$F,4,FALSE)-SUMIFS($E$2:$E2575,$C$2:$C2575,C2575,$D$2:$D2575,"*Package*"))</f>
        <v/>
      </c>
      <c r="G2575" t="str">
        <f t="shared" si="73"/>
        <v/>
      </c>
      <c r="H2575" s="33">
        <f>IF(ISNUMBER(SEARCH("Group",D2575)),IF(G2575="",E2575,IFERROR(E2575/COUNTIF($G2:$G6000,G2575),E2575)),E2575)</f>
        <v>0</v>
      </c>
      <c r="I2575" s="1" t="str">
        <f>IFERROR(VLOOKUP(C2575,'Clients List'!A:F,6,FALSE),"")</f>
        <v/>
      </c>
    </row>
    <row r="2576" spans="4:9" x14ac:dyDescent="0.45">
      <c r="D2576" t="str">
        <f>IFERROR(VLOOKUP(C2576,'Clients List'!$A:$F,2,FALSE),"")</f>
        <v/>
      </c>
      <c r="F2576" s="1" t="str">
        <f>IF(OR(C2576="",NOT(ISNUMBER(SEARCH("Package",D2576)))),"",VLOOKUP(C2576,'Clients List'!$A:$F,4,FALSE)-SUMIFS($E$2:$E2576,$C$2:$C2576,C2576,$D$2:$D2576,"*Package*"))</f>
        <v/>
      </c>
      <c r="G2576" t="str">
        <f t="shared" si="73"/>
        <v/>
      </c>
      <c r="H2576" s="33">
        <f>IF(ISNUMBER(SEARCH("Group",D2576)),IF(G2576="",E2576,IFERROR(E2576/COUNTIF($G2:$G6000,G2576),E2576)),E2576)</f>
        <v>0</v>
      </c>
      <c r="I2576" s="1" t="str">
        <f>IFERROR(VLOOKUP(C2576,'Clients List'!A:F,6,FALSE),"")</f>
        <v/>
      </c>
    </row>
    <row r="2577" spans="4:9" x14ac:dyDescent="0.45">
      <c r="D2577" t="str">
        <f>IFERROR(VLOOKUP(C2577,'Clients List'!$A:$F,2,FALSE),"")</f>
        <v/>
      </c>
      <c r="F2577" s="1" t="str">
        <f>IF(OR(C2577="",NOT(ISNUMBER(SEARCH("Package",D2577)))),"",VLOOKUP(C2577,'Clients List'!$A:$F,4,FALSE)-SUMIFS($E$2:$E2577,$C$2:$C2577,C2577,$D$2:$D2577,"*Package*"))</f>
        <v/>
      </c>
      <c r="G2577" t="str">
        <f t="shared" si="73"/>
        <v/>
      </c>
      <c r="H2577" s="33">
        <f>IF(ISNUMBER(SEARCH("Group",D2577)),IF(G2577="",E2577,IFERROR(E2577/COUNTIF($G2:$G6000,G2577),E2577)),E2577)</f>
        <v>0</v>
      </c>
      <c r="I2577" s="1" t="str">
        <f>IFERROR(VLOOKUP(C2577,'Clients List'!A:F,6,FALSE),"")</f>
        <v/>
      </c>
    </row>
    <row r="2578" spans="4:9" x14ac:dyDescent="0.45">
      <c r="D2578" t="str">
        <f>IFERROR(VLOOKUP(C2578,'Clients List'!$A:$F,2,FALSE),"")</f>
        <v/>
      </c>
      <c r="F2578" s="1" t="str">
        <f>IF(OR(C2578="",NOT(ISNUMBER(SEARCH("Package",D2578)))),"",VLOOKUP(C2578,'Clients List'!$A:$F,4,FALSE)-SUMIFS($E$2:$E2578,$C$2:$C2578,C2578,$D$2:$D2578,"*Package*"))</f>
        <v/>
      </c>
      <c r="G2578" t="str">
        <f t="shared" si="73"/>
        <v/>
      </c>
      <c r="H2578" s="33">
        <f>IF(ISNUMBER(SEARCH("Group",D2578)),IF(G2578="",E2578,IFERROR(E2578/COUNTIF($G2:$G6000,G2578),E2578)),E2578)</f>
        <v>0</v>
      </c>
      <c r="I2578" s="1" t="str">
        <f>IFERROR(VLOOKUP(C2578,'Clients List'!A:F,6,FALSE),"")</f>
        <v/>
      </c>
    </row>
    <row r="2579" spans="4:9" x14ac:dyDescent="0.45">
      <c r="D2579" t="str">
        <f>IFERROR(VLOOKUP(C2579,'Clients List'!$A:$F,2,FALSE),"")</f>
        <v/>
      </c>
      <c r="F2579" s="1" t="str">
        <f>IF(OR(C2579="",NOT(ISNUMBER(SEARCH("Package",D2579)))),"",VLOOKUP(C2579,'Clients List'!$A:$F,4,FALSE)-SUMIFS($E$2:$E2579,$C$2:$C2579,C2579,$D$2:$D2579,"*Package*"))</f>
        <v/>
      </c>
      <c r="G2579" t="str">
        <f t="shared" si="73"/>
        <v/>
      </c>
      <c r="H2579" s="33">
        <f>IF(ISNUMBER(SEARCH("Group",D2579)),IF(G2579="",E2579,IFERROR(E2579/COUNTIF($G2:$G6000,G2579),E2579)),E2579)</f>
        <v>0</v>
      </c>
      <c r="I2579" s="1" t="str">
        <f>IFERROR(VLOOKUP(C2579,'Clients List'!A:F,6,FALSE),"")</f>
        <v/>
      </c>
    </row>
    <row r="2580" spans="4:9" x14ac:dyDescent="0.45">
      <c r="D2580" t="str">
        <f>IFERROR(VLOOKUP(C2580,'Clients List'!$A:$F,2,FALSE),"")</f>
        <v/>
      </c>
      <c r="F2580" s="1" t="str">
        <f>IF(OR(C2580="",NOT(ISNUMBER(SEARCH("Package",D2580)))),"",VLOOKUP(C2580,'Clients List'!$A:$F,4,FALSE)-SUMIFS($E$2:$E2580,$C$2:$C2580,C2580,$D$2:$D2580,"*Package*"))</f>
        <v/>
      </c>
      <c r="G2580" t="str">
        <f t="shared" si="73"/>
        <v/>
      </c>
      <c r="H2580" s="33">
        <f>IF(ISNUMBER(SEARCH("Group",D2580)),IF(G2580="",E2580,IFERROR(E2580/COUNTIF($G2:$G6000,G2580),E2580)),E2580)</f>
        <v>0</v>
      </c>
      <c r="I2580" s="1" t="str">
        <f>IFERROR(VLOOKUP(C2580,'Clients List'!A:F,6,FALSE),"")</f>
        <v/>
      </c>
    </row>
    <row r="2581" spans="4:9" x14ac:dyDescent="0.45">
      <c r="D2581" t="str">
        <f>IFERROR(VLOOKUP(C2581,'Clients List'!$A:$F,2,FALSE),"")</f>
        <v/>
      </c>
      <c r="F2581" s="1" t="str">
        <f>IF(OR(C2581="",NOT(ISNUMBER(SEARCH("Package",D2581)))),"",VLOOKUP(C2581,'Clients List'!$A:$F,4,FALSE)-SUMIFS($E$2:$E2581,$C$2:$C2581,C2581,$D$2:$D2581,"*Package*"))</f>
        <v/>
      </c>
      <c r="G2581" t="str">
        <f t="shared" si="73"/>
        <v/>
      </c>
      <c r="H2581" s="33">
        <f>IF(ISNUMBER(SEARCH("Group",D2581)),IF(G2581="",E2581,IFERROR(E2581/COUNTIF($G2:$G6000,G2581),E2581)),E2581)</f>
        <v>0</v>
      </c>
      <c r="I2581" s="1" t="str">
        <f>IFERROR(VLOOKUP(C2581,'Clients List'!A:F,6,FALSE),"")</f>
        <v/>
      </c>
    </row>
    <row r="2582" spans="4:9" x14ac:dyDescent="0.45">
      <c r="D2582" t="str">
        <f>IFERROR(VLOOKUP(C2582,'Clients List'!$A:$F,2,FALSE),"")</f>
        <v/>
      </c>
      <c r="F2582" s="1" t="str">
        <f>IF(OR(C2582="",NOT(ISNUMBER(SEARCH("Package",D2582)))),"",VLOOKUP(C2582,'Clients List'!$A:$F,4,FALSE)-SUMIFS($E$2:$E2582,$C$2:$C2582,C2582,$D$2:$D2582,"*Package*"))</f>
        <v/>
      </c>
      <c r="G2582" t="str">
        <f t="shared" si="73"/>
        <v/>
      </c>
      <c r="H2582" s="33">
        <f>IF(ISNUMBER(SEARCH("Group",D2582)),IF(G2582="",E2582,IFERROR(E2582/COUNTIF($G2:$G6000,G2582),E2582)),E2582)</f>
        <v>0</v>
      </c>
      <c r="I2582" s="1" t="str">
        <f>IFERROR(VLOOKUP(C2582,'Clients List'!A:F,6,FALSE),"")</f>
        <v/>
      </c>
    </row>
    <row r="2583" spans="4:9" x14ac:dyDescent="0.45">
      <c r="D2583" t="str">
        <f>IFERROR(VLOOKUP(C2583,'Clients List'!$A:$F,2,FALSE),"")</f>
        <v/>
      </c>
      <c r="F2583" s="1" t="str">
        <f>IF(OR(C2583="",NOT(ISNUMBER(SEARCH("Package",D2583)))),"",VLOOKUP(C2583,'Clients List'!$A:$F,4,FALSE)-SUMIFS($E$2:$E2583,$C$2:$C2583,C2583,$D$2:$D2583,"*Package*"))</f>
        <v/>
      </c>
      <c r="G2583" t="str">
        <f t="shared" si="73"/>
        <v/>
      </c>
      <c r="H2583" s="33">
        <f>IF(ISNUMBER(SEARCH("Group",D2583)),IF(G2583="",E2583,IFERROR(E2583/COUNTIF($G2:$G6000,G2583),E2583)),E2583)</f>
        <v>0</v>
      </c>
      <c r="I2583" s="1" t="str">
        <f>IFERROR(VLOOKUP(C2583,'Clients List'!A:F,6,FALSE),"")</f>
        <v/>
      </c>
    </row>
    <row r="2584" spans="4:9" x14ac:dyDescent="0.45">
      <c r="D2584" t="str">
        <f>IFERROR(VLOOKUP(C2584,'Clients List'!$A:$F,2,FALSE),"")</f>
        <v/>
      </c>
      <c r="F2584" s="1" t="str">
        <f>IF(OR(C2584="",NOT(ISNUMBER(SEARCH("Package",D2584)))),"",VLOOKUP(C2584,'Clients List'!$A:$F,4,FALSE)-SUMIFS($E$2:$E2584,$C$2:$C2584,C2584,$D$2:$D2584,"*Package*"))</f>
        <v/>
      </c>
      <c r="G2584" t="str">
        <f t="shared" si="73"/>
        <v/>
      </c>
      <c r="H2584" s="33">
        <f>IF(ISNUMBER(SEARCH("Group",D2584)),IF(G2584="",E2584,IFERROR(E2584/COUNTIF($G2:$G6000,G2584),E2584)),E2584)</f>
        <v>0</v>
      </c>
      <c r="I2584" s="1" t="str">
        <f>IFERROR(VLOOKUP(C2584,'Clients List'!A:F,6,FALSE),"")</f>
        <v/>
      </c>
    </row>
    <row r="2585" spans="4:9" x14ac:dyDescent="0.45">
      <c r="D2585" t="str">
        <f>IFERROR(VLOOKUP(C2585,'Clients List'!$A:$F,2,FALSE),"")</f>
        <v/>
      </c>
      <c r="F2585" s="1" t="str">
        <f>IF(OR(C2585="",NOT(ISNUMBER(SEARCH("Package",D2585)))),"",VLOOKUP(C2585,'Clients List'!$A:$F,4,FALSE)-SUMIFS($E$2:$E2585,$C$2:$C2585,C2585,$D$2:$D2585,"*Package*"))</f>
        <v/>
      </c>
      <c r="G2585" t="str">
        <f t="shared" si="73"/>
        <v/>
      </c>
      <c r="H2585" s="33">
        <f>IF(ISNUMBER(SEARCH("Group",D2585)),IF(G2585="",E2585,IFERROR(E2585/COUNTIF($G2:$G6000,G2585),E2585)),E2585)</f>
        <v>0</v>
      </c>
      <c r="I2585" s="1" t="str">
        <f>IFERROR(VLOOKUP(C2585,'Clients List'!A:F,6,FALSE),"")</f>
        <v/>
      </c>
    </row>
    <row r="2586" spans="4:9" x14ac:dyDescent="0.45">
      <c r="D2586" t="str">
        <f>IFERROR(VLOOKUP(C2586,'Clients List'!$A:$F,2,FALSE),"")</f>
        <v/>
      </c>
      <c r="F2586" s="1" t="str">
        <f>IF(OR(C2586="",NOT(ISNUMBER(SEARCH("Package",D2586)))),"",VLOOKUP(C2586,'Clients List'!$A:$F,4,FALSE)-SUMIFS($E$2:$E2586,$C$2:$C2586,C2586,$D$2:$D2586,"*Package*"))</f>
        <v/>
      </c>
      <c r="G2586" t="str">
        <f t="shared" si="73"/>
        <v/>
      </c>
      <c r="H2586" s="33">
        <f>IF(ISNUMBER(SEARCH("Group",D2586)),IF(G2586="",E2586,IFERROR(E2586/COUNTIF($G2:$G6000,G2586),E2586)),E2586)</f>
        <v>0</v>
      </c>
      <c r="I2586" s="1" t="str">
        <f>IFERROR(VLOOKUP(C2586,'Clients List'!A:F,6,FALSE),"")</f>
        <v/>
      </c>
    </row>
    <row r="2587" spans="4:9" x14ac:dyDescent="0.45">
      <c r="D2587" t="str">
        <f>IFERROR(VLOOKUP(C2587,'Clients List'!$A:$F,2,FALSE),"")</f>
        <v/>
      </c>
      <c r="F2587" s="1" t="str">
        <f>IF(OR(C2587="",NOT(ISNUMBER(SEARCH("Package",D2587)))),"",VLOOKUP(C2587,'Clients List'!$A:$F,4,FALSE)-SUMIFS($E$2:$E2587,$C$2:$C2587,C2587,$D$2:$D2587,"*Package*"))</f>
        <v/>
      </c>
      <c r="G2587" t="str">
        <f t="shared" si="73"/>
        <v/>
      </c>
      <c r="H2587" s="33">
        <f>IF(ISNUMBER(SEARCH("Group",D2587)),IF(G2587="",E2587,IFERROR(E2587/COUNTIF($G2:$G6000,G2587),E2587)),E2587)</f>
        <v>0</v>
      </c>
      <c r="I2587" s="1" t="str">
        <f>IFERROR(VLOOKUP(C2587,'Clients List'!A:F,6,FALSE),"")</f>
        <v/>
      </c>
    </row>
    <row r="2588" spans="4:9" x14ac:dyDescent="0.45">
      <c r="D2588" t="str">
        <f>IFERROR(VLOOKUP(C2588,'Clients List'!$A:$F,2,FALSE),"")</f>
        <v/>
      </c>
      <c r="F2588" s="1" t="str">
        <f>IF(OR(C2588="",NOT(ISNUMBER(SEARCH("Package",D2588)))),"",VLOOKUP(C2588,'Clients List'!$A:$F,4,FALSE)-SUMIFS($E$2:$E2588,$C$2:$C2588,C2588,$D$2:$D2588,"*Package*"))</f>
        <v/>
      </c>
      <c r="G2588" t="str">
        <f t="shared" si="73"/>
        <v/>
      </c>
      <c r="H2588" s="33">
        <f>IF(ISNUMBER(SEARCH("Group",D2588)),IF(G2588="",E2588,IFERROR(E2588/COUNTIF($G2:$G6000,G2588),E2588)),E2588)</f>
        <v>0</v>
      </c>
      <c r="I2588" s="1" t="str">
        <f>IFERROR(VLOOKUP(C2588,'Clients List'!A:F,6,FALSE),"")</f>
        <v/>
      </c>
    </row>
    <row r="2589" spans="4:9" x14ac:dyDescent="0.45">
      <c r="D2589" t="str">
        <f>IFERROR(VLOOKUP(C2589,'Clients List'!$A:$F,2,FALSE),"")</f>
        <v/>
      </c>
      <c r="F2589" s="1" t="str">
        <f>IF(OR(C2589="",NOT(ISNUMBER(SEARCH("Package",D2589)))),"",VLOOKUP(C2589,'Clients List'!$A:$F,4,FALSE)-SUMIFS($E$2:$E2589,$C$2:$C2589,C2589,$D$2:$D2589,"*Package*"))</f>
        <v/>
      </c>
      <c r="G2589" t="str">
        <f t="shared" si="73"/>
        <v/>
      </c>
      <c r="H2589" s="33">
        <f>IF(ISNUMBER(SEARCH("Group",D2589)),IF(G2589="",E2589,IFERROR(E2589/COUNTIF($G2:$G6000,G2589),E2589)),E2589)</f>
        <v>0</v>
      </c>
      <c r="I2589" s="1" t="str">
        <f>IFERROR(VLOOKUP(C2589,'Clients List'!A:F,6,FALSE),"")</f>
        <v/>
      </c>
    </row>
    <row r="2590" spans="4:9" x14ac:dyDescent="0.45">
      <c r="D2590" t="str">
        <f>IFERROR(VLOOKUP(C2590,'Clients List'!$A:$F,2,FALSE),"")</f>
        <v/>
      </c>
      <c r="F2590" s="1" t="str">
        <f>IF(OR(C2590="",NOT(ISNUMBER(SEARCH("Package",D2590)))),"",VLOOKUP(C2590,'Clients List'!$A:$F,4,FALSE)-SUMIFS($E$2:$E2590,$C$2:$C2590,C2590,$D$2:$D2590,"*Package*"))</f>
        <v/>
      </c>
      <c r="G2590" t="str">
        <f t="shared" si="73"/>
        <v/>
      </c>
      <c r="H2590" s="33">
        <f>IF(ISNUMBER(SEARCH("Group",D2590)),IF(G2590="",E2590,IFERROR(E2590/COUNTIF($G2:$G6000,G2590),E2590)),E2590)</f>
        <v>0</v>
      </c>
      <c r="I2590" s="1" t="str">
        <f>IFERROR(VLOOKUP(C2590,'Clients List'!A:F,6,FALSE),"")</f>
        <v/>
      </c>
    </row>
    <row r="2591" spans="4:9" x14ac:dyDescent="0.45">
      <c r="D2591" t="str">
        <f>IFERROR(VLOOKUP(C2591,'Clients List'!$A:$F,2,FALSE),"")</f>
        <v/>
      </c>
      <c r="F2591" s="1" t="str">
        <f>IF(OR(C2591="",NOT(ISNUMBER(SEARCH("Package",D2591)))),"",VLOOKUP(C2591,'Clients List'!$A:$F,4,FALSE)-SUMIFS($E$2:$E2591,$C$2:$C2591,C2591,$D$2:$D2591,"*Package*"))</f>
        <v/>
      </c>
      <c r="G2591" t="str">
        <f t="shared" si="73"/>
        <v/>
      </c>
      <c r="H2591" s="33">
        <f>IF(ISNUMBER(SEARCH("Group",D2591)),IF(G2591="",E2591,IFERROR(E2591/COUNTIF($G2:$G6000,G2591),E2591)),E2591)</f>
        <v>0</v>
      </c>
      <c r="I2591" s="1" t="str">
        <f>IFERROR(VLOOKUP(C2591,'Clients List'!A:F,6,FALSE),"")</f>
        <v/>
      </c>
    </row>
    <row r="2592" spans="4:9" x14ac:dyDescent="0.45">
      <c r="D2592" t="str">
        <f>IFERROR(VLOOKUP(C2592,'Clients List'!$A:$F,2,FALSE),"")</f>
        <v/>
      </c>
      <c r="F2592" s="1" t="str">
        <f>IF(OR(C2592="",NOT(ISNUMBER(SEARCH("Package",D2592)))),"",VLOOKUP(C2592,'Clients List'!$A:$F,4,FALSE)-SUMIFS($E$2:$E2592,$C$2:$C2592,C2592,$D$2:$D2592,"*Package*"))</f>
        <v/>
      </c>
      <c r="G2592" t="str">
        <f t="shared" si="73"/>
        <v/>
      </c>
      <c r="H2592" s="33">
        <f>IF(ISNUMBER(SEARCH("Group",D2592)),IF(G2592="",E2592,IFERROR(E2592/COUNTIF($G2:$G6000,G2592),E2592)),E2592)</f>
        <v>0</v>
      </c>
      <c r="I2592" s="1" t="str">
        <f>IFERROR(VLOOKUP(C2592,'Clients List'!A:F,6,FALSE),"")</f>
        <v/>
      </c>
    </row>
    <row r="2593" spans="4:9" x14ac:dyDescent="0.45">
      <c r="D2593" t="str">
        <f>IFERROR(VLOOKUP(C2593,'Clients List'!$A:$F,2,FALSE),"")</f>
        <v/>
      </c>
      <c r="F2593" s="1" t="str">
        <f>IF(OR(C2593="",NOT(ISNUMBER(SEARCH("Package",D2593)))),"",VLOOKUP(C2593,'Clients List'!$A:$F,4,FALSE)-SUMIFS($E$2:$E2593,$C$2:$C2593,C2593,$D$2:$D2593,"*Package*"))</f>
        <v/>
      </c>
      <c r="G2593" t="str">
        <f t="shared" si="73"/>
        <v/>
      </c>
      <c r="H2593" s="33">
        <f>IF(ISNUMBER(SEARCH("Group",D2593)),IF(G2593="",E2593,IFERROR(E2593/COUNTIF($G2:$G6000,G2593),E2593)),E2593)</f>
        <v>0</v>
      </c>
      <c r="I2593" s="1" t="str">
        <f>IFERROR(VLOOKUP(C2593,'Clients List'!A:F,6,FALSE),"")</f>
        <v/>
      </c>
    </row>
    <row r="2594" spans="4:9" x14ac:dyDescent="0.45">
      <c r="D2594" t="str">
        <f>IFERROR(VLOOKUP(C2594,'Clients List'!$A:$F,2,FALSE),"")</f>
        <v/>
      </c>
      <c r="F2594" s="1" t="str">
        <f>IF(OR(C2594="",NOT(ISNUMBER(SEARCH("Package",D2594)))),"",VLOOKUP(C2594,'Clients List'!$A:$F,4,FALSE)-SUMIFS($E$2:$E2594,$C$2:$C2594,C2594,$D$2:$D2594,"*Package*"))</f>
        <v/>
      </c>
      <c r="G2594" t="str">
        <f t="shared" si="73"/>
        <v/>
      </c>
      <c r="H2594" s="33">
        <f>IF(ISNUMBER(SEARCH("Group",D2594)),IF(G2594="",E2594,IFERROR(E2594/COUNTIF($G2:$G6000,G2594),E2594)),E2594)</f>
        <v>0</v>
      </c>
      <c r="I2594" s="1" t="str">
        <f>IFERROR(VLOOKUP(C2594,'Clients List'!A:F,6,FALSE),"")</f>
        <v/>
      </c>
    </row>
    <row r="2595" spans="4:9" x14ac:dyDescent="0.45">
      <c r="D2595" t="str">
        <f>IFERROR(VLOOKUP(C2595,'Clients List'!$A:$F,2,FALSE),"")</f>
        <v/>
      </c>
      <c r="F2595" s="1" t="str">
        <f>IF(OR(C2595="",NOT(ISNUMBER(SEARCH("Package",D2595)))),"",VLOOKUP(C2595,'Clients List'!$A:$F,4,FALSE)-SUMIFS($E$2:$E2595,$C$2:$C2595,C2595,$D$2:$D2595,"*Package*"))</f>
        <v/>
      </c>
      <c r="G2595" t="str">
        <f t="shared" si="73"/>
        <v/>
      </c>
      <c r="H2595" s="33">
        <f>IF(ISNUMBER(SEARCH("Group",D2595)),IF(G2595="",E2595,IFERROR(E2595/COUNTIF($G2:$G6000,G2595),E2595)),E2595)</f>
        <v>0</v>
      </c>
      <c r="I2595" s="1" t="str">
        <f>IFERROR(VLOOKUP(C2595,'Clients List'!A:F,6,FALSE),"")</f>
        <v/>
      </c>
    </row>
    <row r="2596" spans="4:9" x14ac:dyDescent="0.45">
      <c r="D2596" t="str">
        <f>IFERROR(VLOOKUP(C2596,'Clients List'!$A:$F,2,FALSE),"")</f>
        <v/>
      </c>
      <c r="F2596" s="1" t="str">
        <f>IF(OR(C2596="",NOT(ISNUMBER(SEARCH("Package",D2596)))),"",VLOOKUP(C2596,'Clients List'!$A:$F,4,FALSE)-SUMIFS($E$2:$E2596,$C$2:$C2596,C2596,$D$2:$D2596,"*Package*"))</f>
        <v/>
      </c>
      <c r="G2596" t="str">
        <f t="shared" si="73"/>
        <v/>
      </c>
      <c r="H2596" s="33">
        <f>IF(ISNUMBER(SEARCH("Group",D2596)),IF(G2596="",E2596,IFERROR(E2596/COUNTIF($G2:$G6000,G2596),E2596)),E2596)</f>
        <v>0</v>
      </c>
      <c r="I2596" s="1" t="str">
        <f>IFERROR(VLOOKUP(C2596,'Clients List'!A:F,6,FALSE),"")</f>
        <v/>
      </c>
    </row>
    <row r="2597" spans="4:9" x14ac:dyDescent="0.45">
      <c r="D2597" t="str">
        <f>IFERROR(VLOOKUP(C2597,'Clients List'!$A:$F,2,FALSE),"")</f>
        <v/>
      </c>
      <c r="F2597" s="1" t="str">
        <f>IF(OR(C2597="",NOT(ISNUMBER(SEARCH("Package",D2597)))),"",VLOOKUP(C2597,'Clients List'!$A:$F,4,FALSE)-SUMIFS($E$2:$E2597,$C$2:$C2597,C2597,$D$2:$D2597,"*Package*"))</f>
        <v/>
      </c>
      <c r="G2597" t="str">
        <f t="shared" si="73"/>
        <v/>
      </c>
      <c r="H2597" s="33">
        <f>IF(ISNUMBER(SEARCH("Group",D2597)),IF(G2597="",E2597,IFERROR(E2597/COUNTIF($G2:$G6000,G2597),E2597)),E2597)</f>
        <v>0</v>
      </c>
      <c r="I2597" s="1" t="str">
        <f>IFERROR(VLOOKUP(C2597,'Clients List'!A:F,6,FALSE),"")</f>
        <v/>
      </c>
    </row>
    <row r="2598" spans="4:9" x14ac:dyDescent="0.45">
      <c r="D2598" t="str">
        <f>IFERROR(VLOOKUP(C2598,'Clients List'!$A:$F,2,FALSE),"")</f>
        <v/>
      </c>
      <c r="F2598" s="1" t="str">
        <f>IF(OR(C2598="",NOT(ISNUMBER(SEARCH("Package",D2598)))),"",VLOOKUP(C2598,'Clients List'!$A:$F,4,FALSE)-SUMIFS($E$2:$E2598,$C$2:$C2598,C2598,$D$2:$D2598,"*Package*"))</f>
        <v/>
      </c>
      <c r="G2598" t="str">
        <f t="shared" si="73"/>
        <v/>
      </c>
      <c r="H2598" s="33">
        <f>IF(ISNUMBER(SEARCH("Group",D2598)),IF(G2598="",E2598,IFERROR(E2598/COUNTIF($G2:$G6000,G2598),E2598)),E2598)</f>
        <v>0</v>
      </c>
      <c r="I2598" s="1" t="str">
        <f>IFERROR(VLOOKUP(C2598,'Clients List'!A:F,6,FALSE),"")</f>
        <v/>
      </c>
    </row>
    <row r="2599" spans="4:9" x14ac:dyDescent="0.45">
      <c r="D2599" t="str">
        <f>IFERROR(VLOOKUP(C2599,'Clients List'!$A:$F,2,FALSE),"")</f>
        <v/>
      </c>
      <c r="F2599" s="1" t="str">
        <f>IF(OR(C2599="",NOT(ISNUMBER(SEARCH("Package",D2599)))),"",VLOOKUP(C2599,'Clients List'!$A:$F,4,FALSE)-SUMIFS($E$2:$E2599,$C$2:$C2599,C2599,$D$2:$D2599,"*Package*"))</f>
        <v/>
      </c>
      <c r="G2599" t="str">
        <f t="shared" si="73"/>
        <v/>
      </c>
      <c r="H2599" s="33">
        <f>IF(ISNUMBER(SEARCH("Group",D2599)),IF(G2599="",E2599,IFERROR(E2599/COUNTIF($G2:$G6000,G2599),E2599)),E2599)</f>
        <v>0</v>
      </c>
      <c r="I2599" s="1" t="str">
        <f>IFERROR(VLOOKUP(C2599,'Clients List'!A:F,6,FALSE),"")</f>
        <v/>
      </c>
    </row>
    <row r="2600" spans="4:9" x14ac:dyDescent="0.45">
      <c r="D2600" t="str">
        <f>IFERROR(VLOOKUP(C2600,'Clients List'!$A:$F,2,FALSE),"")</f>
        <v/>
      </c>
      <c r="F2600" s="1" t="str">
        <f>IF(OR(C2600="",NOT(ISNUMBER(SEARCH("Package",D2600)))),"",VLOOKUP(C2600,'Clients List'!$A:$F,4,FALSE)-SUMIFS($E$2:$E2600,$C$2:$C2600,C2600,$D$2:$D2600,"*Package*"))</f>
        <v/>
      </c>
      <c r="G2600" t="str">
        <f t="shared" si="73"/>
        <v/>
      </c>
      <c r="H2600" s="33">
        <f>IF(ISNUMBER(SEARCH("Group",D2600)),IF(G2600="",E2600,IFERROR(E2600/COUNTIF($G2:$G6000,G2600),E2600)),E2600)</f>
        <v>0</v>
      </c>
      <c r="I2600" s="1" t="str">
        <f>IFERROR(VLOOKUP(C2600,'Clients List'!A:F,6,FALSE),"")</f>
        <v/>
      </c>
    </row>
    <row r="2601" spans="4:9" x14ac:dyDescent="0.45">
      <c r="D2601" t="str">
        <f>IFERROR(VLOOKUP(C2601,'Clients List'!$A:$F,2,FALSE),"")</f>
        <v/>
      </c>
      <c r="F2601" s="1" t="str">
        <f>IF(OR(C2601="",NOT(ISNUMBER(SEARCH("Package",D2601)))),"",VLOOKUP(C2601,'Clients List'!$A:$F,4,FALSE)-SUMIFS($E$2:$E2601,$C$2:$C2601,C2601,$D$2:$D2601,"*Package*"))</f>
        <v/>
      </c>
      <c r="G2601" t="str">
        <f t="shared" si="73"/>
        <v/>
      </c>
      <c r="H2601" s="33">
        <f>IF(ISNUMBER(SEARCH("Group",D2601)),IF(G2601="",E2601,IFERROR(E2601/COUNTIF($G2:$G6000,G2601),E2601)),E2601)</f>
        <v>0</v>
      </c>
      <c r="I2601" s="1" t="str">
        <f>IFERROR(VLOOKUP(C2601,'Clients List'!A:F,6,FALSE),"")</f>
        <v/>
      </c>
    </row>
    <row r="2602" spans="4:9" x14ac:dyDescent="0.45">
      <c r="D2602" t="str">
        <f>IFERROR(VLOOKUP(C2602,'Clients List'!$A:$F,2,FALSE),"")</f>
        <v/>
      </c>
      <c r="F2602" s="1" t="str">
        <f>IF(OR(C2602="",NOT(ISNUMBER(SEARCH("Package",D2602)))),"",VLOOKUP(C2602,'Clients List'!$A:$F,4,FALSE)-SUMIFS($E$2:$E2602,$C$2:$C2602,C2602,$D$2:$D2602,"*Package*"))</f>
        <v/>
      </c>
      <c r="G2602" t="str">
        <f t="shared" si="73"/>
        <v/>
      </c>
      <c r="H2602" s="33">
        <f>IF(ISNUMBER(SEARCH("Group",D2602)),IF(G2602="",E2602,IFERROR(E2602/COUNTIF($G2:$G6000,G2602),E2602)),E2602)</f>
        <v>0</v>
      </c>
      <c r="I2602" s="1" t="str">
        <f>IFERROR(VLOOKUP(C2602,'Clients List'!A:F,6,FALSE),"")</f>
        <v/>
      </c>
    </row>
    <row r="2603" spans="4:9" x14ac:dyDescent="0.45">
      <c r="D2603" t="str">
        <f>IFERROR(VLOOKUP(C2603,'Clients List'!$A:$F,2,FALSE),"")</f>
        <v/>
      </c>
      <c r="F2603" s="1" t="str">
        <f>IF(OR(C2603="",NOT(ISNUMBER(SEARCH("Package",D2603)))),"",VLOOKUP(C2603,'Clients List'!$A:$F,4,FALSE)-SUMIFS($E$2:$E2603,$C$2:$C2603,C2603,$D$2:$D2603,"*Package*"))</f>
        <v/>
      </c>
      <c r="G2603" t="str">
        <f t="shared" si="73"/>
        <v/>
      </c>
      <c r="H2603" s="33">
        <f>IF(ISNUMBER(SEARCH("Group",D2603)),IF(G2603="",E2603,IFERROR(E2603/COUNTIF($G2:$G6000,G2603),E2603)),E2603)</f>
        <v>0</v>
      </c>
      <c r="I2603" s="1" t="str">
        <f>IFERROR(VLOOKUP(C2603,'Clients List'!A:F,6,FALSE),"")</f>
        <v/>
      </c>
    </row>
    <row r="2604" spans="4:9" x14ac:dyDescent="0.45">
      <c r="D2604" t="str">
        <f>IFERROR(VLOOKUP(C2604,'Clients List'!$A:$F,2,FALSE),"")</f>
        <v/>
      </c>
      <c r="F2604" s="1" t="str">
        <f>IF(OR(C2604="",NOT(ISNUMBER(SEARCH("Package",D2604)))),"",VLOOKUP(C2604,'Clients List'!$A:$F,4,FALSE)-SUMIFS($E$2:$E2604,$C$2:$C2604,C2604,$D$2:$D2604,"*Package*"))</f>
        <v/>
      </c>
      <c r="G2604" t="str">
        <f t="shared" si="73"/>
        <v/>
      </c>
      <c r="H2604" s="33">
        <f>IF(ISNUMBER(SEARCH("Group",D2604)),IF(G2604="",E2604,IFERROR(E2604/COUNTIF($G2:$G6000,G2604),E2604)),E2604)</f>
        <v>0</v>
      </c>
      <c r="I2604" s="1" t="str">
        <f>IFERROR(VLOOKUP(C2604,'Clients List'!A:F,6,FALSE),"")</f>
        <v/>
      </c>
    </row>
    <row r="2605" spans="4:9" x14ac:dyDescent="0.45">
      <c r="D2605" t="str">
        <f>IFERROR(VLOOKUP(C2605,'Clients List'!$A:$F,2,FALSE),"")</f>
        <v/>
      </c>
      <c r="F2605" s="1" t="str">
        <f>IF(OR(C2605="",NOT(ISNUMBER(SEARCH("Package",D2605)))),"",VLOOKUP(C2605,'Clients List'!$A:$F,4,FALSE)-SUMIFS($E$2:$E2605,$C$2:$C2605,C2605,$D$2:$D2605,"*Package*"))</f>
        <v/>
      </c>
      <c r="G2605" t="str">
        <f t="shared" si="73"/>
        <v/>
      </c>
      <c r="H2605" s="33">
        <f>IF(ISNUMBER(SEARCH("Group",D2605)),IF(G2605="",E2605,IFERROR(E2605/COUNTIF($G2:$G6000,G2605),E2605)),E2605)</f>
        <v>0</v>
      </c>
      <c r="I2605" s="1" t="str">
        <f>IFERROR(VLOOKUP(C2605,'Clients List'!A:F,6,FALSE),"")</f>
        <v/>
      </c>
    </row>
    <row r="2606" spans="4:9" x14ac:dyDescent="0.45">
      <c r="D2606" t="str">
        <f>IFERROR(VLOOKUP(C2606,'Clients List'!$A:$F,2,FALSE),"")</f>
        <v/>
      </c>
      <c r="F2606" s="1" t="str">
        <f>IF(OR(C2606="",NOT(ISNUMBER(SEARCH("Package",D2606)))),"",VLOOKUP(C2606,'Clients List'!$A:$F,4,FALSE)-SUMIFS($E$2:$E2606,$C$2:$C2606,C2606,$D$2:$D2606,"*Package*"))</f>
        <v/>
      </c>
      <c r="G2606" t="str">
        <f t="shared" si="73"/>
        <v/>
      </c>
      <c r="H2606" s="33">
        <f>IF(ISNUMBER(SEARCH("Group",D2606)),IF(G2606="",E2606,IFERROR(E2606/COUNTIF($G2:$G6000,G2606),E2606)),E2606)</f>
        <v>0</v>
      </c>
      <c r="I2606" s="1" t="str">
        <f>IFERROR(VLOOKUP(C2606,'Clients List'!A:F,6,FALSE),"")</f>
        <v/>
      </c>
    </row>
    <row r="2607" spans="4:9" x14ac:dyDescent="0.45">
      <c r="D2607" t="str">
        <f>IFERROR(VLOOKUP(C2607,'Clients List'!$A:$F,2,FALSE),"")</f>
        <v/>
      </c>
      <c r="F2607" s="1" t="str">
        <f>IF(OR(C2607="",NOT(ISNUMBER(SEARCH("Package",D2607)))),"",VLOOKUP(C2607,'Clients List'!$A:$F,4,FALSE)-SUMIFS($E$2:$E2607,$C$2:$C2607,C2607,$D$2:$D2607,"*Package*"))</f>
        <v/>
      </c>
      <c r="G2607" t="str">
        <f t="shared" si="73"/>
        <v/>
      </c>
      <c r="H2607" s="33">
        <f>IF(ISNUMBER(SEARCH("Group",D2607)),IF(G2607="",E2607,IFERROR(E2607/COUNTIF($G2:$G6000,G2607),E2607)),E2607)</f>
        <v>0</v>
      </c>
      <c r="I2607" s="1" t="str">
        <f>IFERROR(VLOOKUP(C2607,'Clients List'!A:F,6,FALSE),"")</f>
        <v/>
      </c>
    </row>
    <row r="2608" spans="4:9" x14ac:dyDescent="0.45">
      <c r="D2608" t="str">
        <f>IFERROR(VLOOKUP(C2608,'Clients List'!$A:$F,2,FALSE),"")</f>
        <v/>
      </c>
      <c r="F2608" s="1" t="str">
        <f>IF(OR(C2608="",NOT(ISNUMBER(SEARCH("Package",D2608)))),"",VLOOKUP(C2608,'Clients List'!$A:$F,4,FALSE)-SUMIFS($E$2:$E2608,$C$2:$C2608,C2608,$D$2:$D2608,"*Package*"))</f>
        <v/>
      </c>
      <c r="G2608" t="str">
        <f t="shared" si="73"/>
        <v/>
      </c>
      <c r="H2608" s="33">
        <f>IF(ISNUMBER(SEARCH("Group",D2608)),IF(G2608="",E2608,IFERROR(E2608/COUNTIF($G2:$G6000,G2608),E2608)),E2608)</f>
        <v>0</v>
      </c>
      <c r="I2608" s="1" t="str">
        <f>IFERROR(VLOOKUP(C2608,'Clients List'!A:F,6,FALSE),"")</f>
        <v/>
      </c>
    </row>
    <row r="2609" spans="4:9" x14ac:dyDescent="0.45">
      <c r="D2609" t="str">
        <f>IFERROR(VLOOKUP(C2609,'Clients List'!$A:$F,2,FALSE),"")</f>
        <v/>
      </c>
      <c r="F2609" s="1" t="str">
        <f>IF(OR(C2609="",NOT(ISNUMBER(SEARCH("Package",D2609)))),"",VLOOKUP(C2609,'Clients List'!$A:$F,4,FALSE)-SUMIFS($E$2:$E2609,$C$2:$C2609,C2609,$D$2:$D2609,"*Package*"))</f>
        <v/>
      </c>
      <c r="G2609" t="str">
        <f t="shared" si="73"/>
        <v/>
      </c>
      <c r="H2609" s="33">
        <f>IF(ISNUMBER(SEARCH("Group",D2609)),IF(G2609="",E2609,IFERROR(E2609/COUNTIF($G2:$G6000,G2609),E2609)),E2609)</f>
        <v>0</v>
      </c>
      <c r="I2609" s="1" t="str">
        <f>IFERROR(VLOOKUP(C2609,'Clients List'!A:F,6,FALSE),"")</f>
        <v/>
      </c>
    </row>
    <row r="2610" spans="4:9" x14ac:dyDescent="0.45">
      <c r="D2610" t="str">
        <f>IFERROR(VLOOKUP(C2610,'Clients List'!$A:$F,2,FALSE),"")</f>
        <v/>
      </c>
      <c r="F2610" s="1" t="str">
        <f>IF(OR(C2610="",NOT(ISNUMBER(SEARCH("Package",D2610)))),"",VLOOKUP(C2610,'Clients List'!$A:$F,4,FALSE)-SUMIFS($E$2:$E2610,$C$2:$C2610,C2610,$D$2:$D2610,"*Package*"))</f>
        <v/>
      </c>
      <c r="G2610" t="str">
        <f t="shared" si="73"/>
        <v/>
      </c>
      <c r="H2610" s="33">
        <f>IF(ISNUMBER(SEARCH("Group",D2610)),IF(G2610="",E2610,IFERROR(E2610/COUNTIF($G2:$G6000,G2610),E2610)),E2610)</f>
        <v>0</v>
      </c>
      <c r="I2610" s="1" t="str">
        <f>IFERROR(VLOOKUP(C2610,'Clients List'!A:F,6,FALSE),"")</f>
        <v/>
      </c>
    </row>
    <row r="2611" spans="4:9" x14ac:dyDescent="0.45">
      <c r="D2611" t="str">
        <f>IFERROR(VLOOKUP(C2611,'Clients List'!$A:$F,2,FALSE),"")</f>
        <v/>
      </c>
      <c r="F2611" s="1" t="str">
        <f>IF(OR(C2611="",NOT(ISNUMBER(SEARCH("Package",D2611)))),"",VLOOKUP(C2611,'Clients List'!$A:$F,4,FALSE)-SUMIFS($E$2:$E2611,$C$2:$C2611,C2611,$D$2:$D2611,"*Package*"))</f>
        <v/>
      </c>
      <c r="G2611" t="str">
        <f t="shared" si="73"/>
        <v/>
      </c>
      <c r="H2611" s="33">
        <f>IF(ISNUMBER(SEARCH("Group",D2611)),IF(G2611="",E2611,IFERROR(E2611/COUNTIF($G2:$G6000,G2611),E2611)),E2611)</f>
        <v>0</v>
      </c>
      <c r="I2611" s="1" t="str">
        <f>IFERROR(VLOOKUP(C2611,'Clients List'!A:F,6,FALSE),"")</f>
        <v/>
      </c>
    </row>
    <row r="2612" spans="4:9" x14ac:dyDescent="0.45">
      <c r="D2612" t="str">
        <f>IFERROR(VLOOKUP(C2612,'Clients List'!$A:$F,2,FALSE),"")</f>
        <v/>
      </c>
      <c r="F2612" s="1" t="str">
        <f>IF(OR(C2612="",NOT(ISNUMBER(SEARCH("Package",D2612)))),"",VLOOKUP(C2612,'Clients List'!$A:$F,4,FALSE)-SUMIFS($E$2:$E2612,$C$2:$C2612,C2612,$D$2:$D2612,"*Package*"))</f>
        <v/>
      </c>
      <c r="G2612" t="str">
        <f t="shared" si="73"/>
        <v/>
      </c>
      <c r="H2612" s="33">
        <f>IF(ISNUMBER(SEARCH("Group",D2612)),IF(G2612="",E2612,IFERROR(E2612/COUNTIF($G2:$G6000,G2612),E2612)),E2612)</f>
        <v>0</v>
      </c>
      <c r="I2612" s="1" t="str">
        <f>IFERROR(VLOOKUP(C2612,'Clients List'!A:F,6,FALSE),"")</f>
        <v/>
      </c>
    </row>
    <row r="2613" spans="4:9" x14ac:dyDescent="0.45">
      <c r="D2613" t="str">
        <f>IFERROR(VLOOKUP(C2613,'Clients List'!$A:$F,2,FALSE),"")</f>
        <v/>
      </c>
      <c r="F2613" s="1" t="str">
        <f>IF(OR(C2613="",NOT(ISNUMBER(SEARCH("Package",D2613)))),"",VLOOKUP(C2613,'Clients List'!$A:$F,4,FALSE)-SUMIFS($E$2:$E2613,$C$2:$C2613,C2613,$D$2:$D2613,"*Package*"))</f>
        <v/>
      </c>
      <c r="G2613" t="str">
        <f t="shared" ref="G2613:G2676" si="74">IF(ISNUMBER(SEARCH("Group",D2613)),IFERROR("GRP-"&amp;TEXT(IF(ISNUMBER(A2613),A2613,DATEVALUE(A2613)),"yyyymmdd"),""),"" )</f>
        <v/>
      </c>
      <c r="H2613" s="33">
        <f>IF(ISNUMBER(SEARCH("Group",D2613)),IF(G2613="",E2613,IFERROR(E2613/COUNTIF($G2:$G6000,G2613),E2613)),E2613)</f>
        <v>0</v>
      </c>
      <c r="I2613" s="1" t="str">
        <f>IFERROR(VLOOKUP(C2613,'Clients List'!A:F,6,FALSE),"")</f>
        <v/>
      </c>
    </row>
    <row r="2614" spans="4:9" x14ac:dyDescent="0.45">
      <c r="D2614" t="str">
        <f>IFERROR(VLOOKUP(C2614,'Clients List'!$A:$F,2,FALSE),"")</f>
        <v/>
      </c>
      <c r="F2614" s="1" t="str">
        <f>IF(OR(C2614="",NOT(ISNUMBER(SEARCH("Package",D2614)))),"",VLOOKUP(C2614,'Clients List'!$A:$F,4,FALSE)-SUMIFS($E$2:$E2614,$C$2:$C2614,C2614,$D$2:$D2614,"*Package*"))</f>
        <v/>
      </c>
      <c r="G2614" t="str">
        <f t="shared" si="74"/>
        <v/>
      </c>
      <c r="H2614" s="33">
        <f>IF(ISNUMBER(SEARCH("Group",D2614)),IF(G2614="",E2614,IFERROR(E2614/COUNTIF($G2:$G6000,G2614),E2614)),E2614)</f>
        <v>0</v>
      </c>
      <c r="I2614" s="1" t="str">
        <f>IFERROR(VLOOKUP(C2614,'Clients List'!A:F,6,FALSE),"")</f>
        <v/>
      </c>
    </row>
    <row r="2615" spans="4:9" x14ac:dyDescent="0.45">
      <c r="D2615" t="str">
        <f>IFERROR(VLOOKUP(C2615,'Clients List'!$A:$F,2,FALSE),"")</f>
        <v/>
      </c>
      <c r="F2615" s="1" t="str">
        <f>IF(OR(C2615="",NOT(ISNUMBER(SEARCH("Package",D2615)))),"",VLOOKUP(C2615,'Clients List'!$A:$F,4,FALSE)-SUMIFS($E$2:$E2615,$C$2:$C2615,C2615,$D$2:$D2615,"*Package*"))</f>
        <v/>
      </c>
      <c r="G2615" t="str">
        <f t="shared" si="74"/>
        <v/>
      </c>
      <c r="H2615" s="33">
        <f>IF(ISNUMBER(SEARCH("Group",D2615)),IF(G2615="",E2615,IFERROR(E2615/COUNTIF($G2:$G6000,G2615),E2615)),E2615)</f>
        <v>0</v>
      </c>
      <c r="I2615" s="1" t="str">
        <f>IFERROR(VLOOKUP(C2615,'Clients List'!A:F,6,FALSE),"")</f>
        <v/>
      </c>
    </row>
    <row r="2616" spans="4:9" x14ac:dyDescent="0.45">
      <c r="D2616" t="str">
        <f>IFERROR(VLOOKUP(C2616,'Clients List'!$A:$F,2,FALSE),"")</f>
        <v/>
      </c>
      <c r="F2616" s="1" t="str">
        <f>IF(OR(C2616="",NOT(ISNUMBER(SEARCH("Package",D2616)))),"",VLOOKUP(C2616,'Clients List'!$A:$F,4,FALSE)-SUMIFS($E$2:$E2616,$C$2:$C2616,C2616,$D$2:$D2616,"*Package*"))</f>
        <v/>
      </c>
      <c r="G2616" t="str">
        <f t="shared" si="74"/>
        <v/>
      </c>
      <c r="H2616" s="33">
        <f>IF(ISNUMBER(SEARCH("Group",D2616)),IF(G2616="",E2616,IFERROR(E2616/COUNTIF($G2:$G6000,G2616),E2616)),E2616)</f>
        <v>0</v>
      </c>
      <c r="I2616" s="1" t="str">
        <f>IFERROR(VLOOKUP(C2616,'Clients List'!A:F,6,FALSE),"")</f>
        <v/>
      </c>
    </row>
    <row r="2617" spans="4:9" x14ac:dyDescent="0.45">
      <c r="D2617" t="str">
        <f>IFERROR(VLOOKUP(C2617,'Clients List'!$A:$F,2,FALSE),"")</f>
        <v/>
      </c>
      <c r="F2617" s="1" t="str">
        <f>IF(OR(C2617="",NOT(ISNUMBER(SEARCH("Package",D2617)))),"",VLOOKUP(C2617,'Clients List'!$A:$F,4,FALSE)-SUMIFS($E$2:$E2617,$C$2:$C2617,C2617,$D$2:$D2617,"*Package*"))</f>
        <v/>
      </c>
      <c r="G2617" t="str">
        <f t="shared" si="74"/>
        <v/>
      </c>
      <c r="H2617" s="33">
        <f>IF(ISNUMBER(SEARCH("Group",D2617)),IF(G2617="",E2617,IFERROR(E2617/COUNTIF($G2:$G6000,G2617),E2617)),E2617)</f>
        <v>0</v>
      </c>
      <c r="I2617" s="1" t="str">
        <f>IFERROR(VLOOKUP(C2617,'Clients List'!A:F,6,FALSE),"")</f>
        <v/>
      </c>
    </row>
    <row r="2618" spans="4:9" x14ac:dyDescent="0.45">
      <c r="D2618" t="str">
        <f>IFERROR(VLOOKUP(C2618,'Clients List'!$A:$F,2,FALSE),"")</f>
        <v/>
      </c>
      <c r="F2618" s="1" t="str">
        <f>IF(OR(C2618="",NOT(ISNUMBER(SEARCH("Package",D2618)))),"",VLOOKUP(C2618,'Clients List'!$A:$F,4,FALSE)-SUMIFS($E$2:$E2618,$C$2:$C2618,C2618,$D$2:$D2618,"*Package*"))</f>
        <v/>
      </c>
      <c r="G2618" t="str">
        <f t="shared" si="74"/>
        <v/>
      </c>
      <c r="H2618" s="33">
        <f>IF(ISNUMBER(SEARCH("Group",D2618)),IF(G2618="",E2618,IFERROR(E2618/COUNTIF($G2:$G6000,G2618),E2618)),E2618)</f>
        <v>0</v>
      </c>
      <c r="I2618" s="1" t="str">
        <f>IFERROR(VLOOKUP(C2618,'Clients List'!A:F,6,FALSE),"")</f>
        <v/>
      </c>
    </row>
    <row r="2619" spans="4:9" x14ac:dyDescent="0.45">
      <c r="D2619" t="str">
        <f>IFERROR(VLOOKUP(C2619,'Clients List'!$A:$F,2,FALSE),"")</f>
        <v/>
      </c>
      <c r="F2619" s="1" t="str">
        <f>IF(OR(C2619="",NOT(ISNUMBER(SEARCH("Package",D2619)))),"",VLOOKUP(C2619,'Clients List'!$A:$F,4,FALSE)-SUMIFS($E$2:$E2619,$C$2:$C2619,C2619,$D$2:$D2619,"*Package*"))</f>
        <v/>
      </c>
      <c r="G2619" t="str">
        <f t="shared" si="74"/>
        <v/>
      </c>
      <c r="H2619" s="33">
        <f>IF(ISNUMBER(SEARCH("Group",D2619)),IF(G2619="",E2619,IFERROR(E2619/COUNTIF($G2:$G6000,G2619),E2619)),E2619)</f>
        <v>0</v>
      </c>
      <c r="I2619" s="1" t="str">
        <f>IFERROR(VLOOKUP(C2619,'Clients List'!A:F,6,FALSE),"")</f>
        <v/>
      </c>
    </row>
    <row r="2620" spans="4:9" x14ac:dyDescent="0.45">
      <c r="D2620" t="str">
        <f>IFERROR(VLOOKUP(C2620,'Clients List'!$A:$F,2,FALSE),"")</f>
        <v/>
      </c>
      <c r="F2620" s="1" t="str">
        <f>IF(OR(C2620="",NOT(ISNUMBER(SEARCH("Package",D2620)))),"",VLOOKUP(C2620,'Clients List'!$A:$F,4,FALSE)-SUMIFS($E$2:$E2620,$C$2:$C2620,C2620,$D$2:$D2620,"*Package*"))</f>
        <v/>
      </c>
      <c r="G2620" t="str">
        <f t="shared" si="74"/>
        <v/>
      </c>
      <c r="H2620" s="33">
        <f>IF(ISNUMBER(SEARCH("Group",D2620)),IF(G2620="",E2620,IFERROR(E2620/COUNTIF($G2:$G6000,G2620),E2620)),E2620)</f>
        <v>0</v>
      </c>
      <c r="I2620" s="1" t="str">
        <f>IFERROR(VLOOKUP(C2620,'Clients List'!A:F,6,FALSE),"")</f>
        <v/>
      </c>
    </row>
    <row r="2621" spans="4:9" x14ac:dyDescent="0.45">
      <c r="D2621" t="str">
        <f>IFERROR(VLOOKUP(C2621,'Clients List'!$A:$F,2,FALSE),"")</f>
        <v/>
      </c>
      <c r="F2621" s="1" t="str">
        <f>IF(OR(C2621="",NOT(ISNUMBER(SEARCH("Package",D2621)))),"",VLOOKUP(C2621,'Clients List'!$A:$F,4,FALSE)-SUMIFS($E$2:$E2621,$C$2:$C2621,C2621,$D$2:$D2621,"*Package*"))</f>
        <v/>
      </c>
      <c r="G2621" t="str">
        <f t="shared" si="74"/>
        <v/>
      </c>
      <c r="H2621" s="33">
        <f>IF(ISNUMBER(SEARCH("Group",D2621)),IF(G2621="",E2621,IFERROR(E2621/COUNTIF($G2:$G6000,G2621),E2621)),E2621)</f>
        <v>0</v>
      </c>
      <c r="I2621" s="1" t="str">
        <f>IFERROR(VLOOKUP(C2621,'Clients List'!A:F,6,FALSE),"")</f>
        <v/>
      </c>
    </row>
    <row r="2622" spans="4:9" x14ac:dyDescent="0.45">
      <c r="D2622" t="str">
        <f>IFERROR(VLOOKUP(C2622,'Clients List'!$A:$F,2,FALSE),"")</f>
        <v/>
      </c>
      <c r="F2622" s="1" t="str">
        <f>IF(OR(C2622="",NOT(ISNUMBER(SEARCH("Package",D2622)))),"",VLOOKUP(C2622,'Clients List'!$A:$F,4,FALSE)-SUMIFS($E$2:$E2622,$C$2:$C2622,C2622,$D$2:$D2622,"*Package*"))</f>
        <v/>
      </c>
      <c r="G2622" t="str">
        <f t="shared" si="74"/>
        <v/>
      </c>
      <c r="H2622" s="33">
        <f>IF(ISNUMBER(SEARCH("Group",D2622)),IF(G2622="",E2622,IFERROR(E2622/COUNTIF($G2:$G6000,G2622),E2622)),E2622)</f>
        <v>0</v>
      </c>
      <c r="I2622" s="1" t="str">
        <f>IFERROR(VLOOKUP(C2622,'Clients List'!A:F,6,FALSE),"")</f>
        <v/>
      </c>
    </row>
    <row r="2623" spans="4:9" x14ac:dyDescent="0.45">
      <c r="D2623" t="str">
        <f>IFERROR(VLOOKUP(C2623,'Clients List'!$A:$F,2,FALSE),"")</f>
        <v/>
      </c>
      <c r="F2623" s="1" t="str">
        <f>IF(OR(C2623="",NOT(ISNUMBER(SEARCH("Package",D2623)))),"",VLOOKUP(C2623,'Clients List'!$A:$F,4,FALSE)-SUMIFS($E$2:$E2623,$C$2:$C2623,C2623,$D$2:$D2623,"*Package*"))</f>
        <v/>
      </c>
      <c r="G2623" t="str">
        <f t="shared" si="74"/>
        <v/>
      </c>
      <c r="H2623" s="33">
        <f>IF(ISNUMBER(SEARCH("Group",D2623)),IF(G2623="",E2623,IFERROR(E2623/COUNTIF($G2:$G6000,G2623),E2623)),E2623)</f>
        <v>0</v>
      </c>
      <c r="I2623" s="1" t="str">
        <f>IFERROR(VLOOKUP(C2623,'Clients List'!A:F,6,FALSE),"")</f>
        <v/>
      </c>
    </row>
    <row r="2624" spans="4:9" x14ac:dyDescent="0.45">
      <c r="D2624" t="str">
        <f>IFERROR(VLOOKUP(C2624,'Clients List'!$A:$F,2,FALSE),"")</f>
        <v/>
      </c>
      <c r="F2624" s="1" t="str">
        <f>IF(OR(C2624="",NOT(ISNUMBER(SEARCH("Package",D2624)))),"",VLOOKUP(C2624,'Clients List'!$A:$F,4,FALSE)-SUMIFS($E$2:$E2624,$C$2:$C2624,C2624,$D$2:$D2624,"*Package*"))</f>
        <v/>
      </c>
      <c r="G2624" t="str">
        <f t="shared" si="74"/>
        <v/>
      </c>
      <c r="H2624" s="33">
        <f>IF(ISNUMBER(SEARCH("Group",D2624)),IF(G2624="",E2624,IFERROR(E2624/COUNTIF($G2:$G6000,G2624),E2624)),E2624)</f>
        <v>0</v>
      </c>
      <c r="I2624" s="1" t="str">
        <f>IFERROR(VLOOKUP(C2624,'Clients List'!A:F,6,FALSE),"")</f>
        <v/>
      </c>
    </row>
    <row r="2625" spans="4:9" x14ac:dyDescent="0.45">
      <c r="D2625" t="str">
        <f>IFERROR(VLOOKUP(C2625,'Clients List'!$A:$F,2,FALSE),"")</f>
        <v/>
      </c>
      <c r="F2625" s="1" t="str">
        <f>IF(OR(C2625="",NOT(ISNUMBER(SEARCH("Package",D2625)))),"",VLOOKUP(C2625,'Clients List'!$A:$F,4,FALSE)-SUMIFS($E$2:$E2625,$C$2:$C2625,C2625,$D$2:$D2625,"*Package*"))</f>
        <v/>
      </c>
      <c r="G2625" t="str">
        <f t="shared" si="74"/>
        <v/>
      </c>
      <c r="H2625" s="33">
        <f>IF(ISNUMBER(SEARCH("Group",D2625)),IF(G2625="",E2625,IFERROR(E2625/COUNTIF($G2:$G6000,G2625),E2625)),E2625)</f>
        <v>0</v>
      </c>
      <c r="I2625" s="1" t="str">
        <f>IFERROR(VLOOKUP(C2625,'Clients List'!A:F,6,FALSE),"")</f>
        <v/>
      </c>
    </row>
    <row r="2626" spans="4:9" x14ac:dyDescent="0.45">
      <c r="D2626" t="str">
        <f>IFERROR(VLOOKUP(C2626,'Clients List'!$A:$F,2,FALSE),"")</f>
        <v/>
      </c>
      <c r="F2626" s="1" t="str">
        <f>IF(OR(C2626="",NOT(ISNUMBER(SEARCH("Package",D2626)))),"",VLOOKUP(C2626,'Clients List'!$A:$F,4,FALSE)-SUMIFS($E$2:$E2626,$C$2:$C2626,C2626,$D$2:$D2626,"*Package*"))</f>
        <v/>
      </c>
      <c r="G2626" t="str">
        <f t="shared" si="74"/>
        <v/>
      </c>
      <c r="H2626" s="33">
        <f>IF(ISNUMBER(SEARCH("Group",D2626)),IF(G2626="",E2626,IFERROR(E2626/COUNTIF($G2:$G6000,G2626),E2626)),E2626)</f>
        <v>0</v>
      </c>
      <c r="I2626" s="1" t="str">
        <f>IFERROR(VLOOKUP(C2626,'Clients List'!A:F,6,FALSE),"")</f>
        <v/>
      </c>
    </row>
    <row r="2627" spans="4:9" x14ac:dyDescent="0.45">
      <c r="D2627" t="str">
        <f>IFERROR(VLOOKUP(C2627,'Clients List'!$A:$F,2,FALSE),"")</f>
        <v/>
      </c>
      <c r="F2627" s="1" t="str">
        <f>IF(OR(C2627="",NOT(ISNUMBER(SEARCH("Package",D2627)))),"",VLOOKUP(C2627,'Clients List'!$A:$F,4,FALSE)-SUMIFS($E$2:$E2627,$C$2:$C2627,C2627,$D$2:$D2627,"*Package*"))</f>
        <v/>
      </c>
      <c r="G2627" t="str">
        <f t="shared" si="74"/>
        <v/>
      </c>
      <c r="H2627" s="33">
        <f>IF(ISNUMBER(SEARCH("Group",D2627)),IF(G2627="",E2627,IFERROR(E2627/COUNTIF($G2:$G6000,G2627),E2627)),E2627)</f>
        <v>0</v>
      </c>
      <c r="I2627" s="1" t="str">
        <f>IFERROR(VLOOKUP(C2627,'Clients List'!A:F,6,FALSE),"")</f>
        <v/>
      </c>
    </row>
    <row r="2628" spans="4:9" x14ac:dyDescent="0.45">
      <c r="D2628" t="str">
        <f>IFERROR(VLOOKUP(C2628,'Clients List'!$A:$F,2,FALSE),"")</f>
        <v/>
      </c>
      <c r="F2628" s="1" t="str">
        <f>IF(OR(C2628="",NOT(ISNUMBER(SEARCH("Package",D2628)))),"",VLOOKUP(C2628,'Clients List'!$A:$F,4,FALSE)-SUMIFS($E$2:$E2628,$C$2:$C2628,C2628,$D$2:$D2628,"*Package*"))</f>
        <v/>
      </c>
      <c r="G2628" t="str">
        <f t="shared" si="74"/>
        <v/>
      </c>
      <c r="H2628" s="33">
        <f>IF(ISNUMBER(SEARCH("Group",D2628)),IF(G2628="",E2628,IFERROR(E2628/COUNTIF($G2:$G6000,G2628),E2628)),E2628)</f>
        <v>0</v>
      </c>
      <c r="I2628" s="1" t="str">
        <f>IFERROR(VLOOKUP(C2628,'Clients List'!A:F,6,FALSE),"")</f>
        <v/>
      </c>
    </row>
    <row r="2629" spans="4:9" x14ac:dyDescent="0.45">
      <c r="D2629" t="str">
        <f>IFERROR(VLOOKUP(C2629,'Clients List'!$A:$F,2,FALSE),"")</f>
        <v/>
      </c>
      <c r="F2629" s="1" t="str">
        <f>IF(OR(C2629="",NOT(ISNUMBER(SEARCH("Package",D2629)))),"",VLOOKUP(C2629,'Clients List'!$A:$F,4,FALSE)-SUMIFS($E$2:$E2629,$C$2:$C2629,C2629,$D$2:$D2629,"*Package*"))</f>
        <v/>
      </c>
      <c r="G2629" t="str">
        <f t="shared" si="74"/>
        <v/>
      </c>
      <c r="H2629" s="33">
        <f>IF(ISNUMBER(SEARCH("Group",D2629)),IF(G2629="",E2629,IFERROR(E2629/COUNTIF($G2:$G6000,G2629),E2629)),E2629)</f>
        <v>0</v>
      </c>
      <c r="I2629" s="1" t="str">
        <f>IFERROR(VLOOKUP(C2629,'Clients List'!A:F,6,FALSE),"")</f>
        <v/>
      </c>
    </row>
    <row r="2630" spans="4:9" x14ac:dyDescent="0.45">
      <c r="D2630" t="str">
        <f>IFERROR(VLOOKUP(C2630,'Clients List'!$A:$F,2,FALSE),"")</f>
        <v/>
      </c>
      <c r="F2630" s="1" t="str">
        <f>IF(OR(C2630="",NOT(ISNUMBER(SEARCH("Package",D2630)))),"",VLOOKUP(C2630,'Clients List'!$A:$F,4,FALSE)-SUMIFS($E$2:$E2630,$C$2:$C2630,C2630,$D$2:$D2630,"*Package*"))</f>
        <v/>
      </c>
      <c r="G2630" t="str">
        <f t="shared" si="74"/>
        <v/>
      </c>
      <c r="H2630" s="33">
        <f>IF(ISNUMBER(SEARCH("Group",D2630)),IF(G2630="",E2630,IFERROR(E2630/COUNTIF($G2:$G6000,G2630),E2630)),E2630)</f>
        <v>0</v>
      </c>
      <c r="I2630" s="1" t="str">
        <f>IFERROR(VLOOKUP(C2630,'Clients List'!A:F,6,FALSE),"")</f>
        <v/>
      </c>
    </row>
    <row r="2631" spans="4:9" x14ac:dyDescent="0.45">
      <c r="D2631" t="str">
        <f>IFERROR(VLOOKUP(C2631,'Clients List'!$A:$F,2,FALSE),"")</f>
        <v/>
      </c>
      <c r="F2631" s="1" t="str">
        <f>IF(OR(C2631="",NOT(ISNUMBER(SEARCH("Package",D2631)))),"",VLOOKUP(C2631,'Clients List'!$A:$F,4,FALSE)-SUMIFS($E$2:$E2631,$C$2:$C2631,C2631,$D$2:$D2631,"*Package*"))</f>
        <v/>
      </c>
      <c r="G2631" t="str">
        <f t="shared" si="74"/>
        <v/>
      </c>
      <c r="H2631" s="33">
        <f>IF(ISNUMBER(SEARCH("Group",D2631)),IF(G2631="",E2631,IFERROR(E2631/COUNTIF($G2:$G6000,G2631),E2631)),E2631)</f>
        <v>0</v>
      </c>
      <c r="I2631" s="1" t="str">
        <f>IFERROR(VLOOKUP(C2631,'Clients List'!A:F,6,FALSE),"")</f>
        <v/>
      </c>
    </row>
    <row r="2632" spans="4:9" x14ac:dyDescent="0.45">
      <c r="D2632" t="str">
        <f>IFERROR(VLOOKUP(C2632,'Clients List'!$A:$F,2,FALSE),"")</f>
        <v/>
      </c>
      <c r="F2632" s="1" t="str">
        <f>IF(OR(C2632="",NOT(ISNUMBER(SEARCH("Package",D2632)))),"",VLOOKUP(C2632,'Clients List'!$A:$F,4,FALSE)-SUMIFS($E$2:$E2632,$C$2:$C2632,C2632,$D$2:$D2632,"*Package*"))</f>
        <v/>
      </c>
      <c r="G2632" t="str">
        <f t="shared" si="74"/>
        <v/>
      </c>
      <c r="H2632" s="33">
        <f>IF(ISNUMBER(SEARCH("Group",D2632)),IF(G2632="",E2632,IFERROR(E2632/COUNTIF($G2:$G6000,G2632),E2632)),E2632)</f>
        <v>0</v>
      </c>
      <c r="I2632" s="1" t="str">
        <f>IFERROR(VLOOKUP(C2632,'Clients List'!A:F,6,FALSE),"")</f>
        <v/>
      </c>
    </row>
    <row r="2633" spans="4:9" x14ac:dyDescent="0.45">
      <c r="D2633" t="str">
        <f>IFERROR(VLOOKUP(C2633,'Clients List'!$A:$F,2,FALSE),"")</f>
        <v/>
      </c>
      <c r="F2633" s="1" t="str">
        <f>IF(OR(C2633="",NOT(ISNUMBER(SEARCH("Package",D2633)))),"",VLOOKUP(C2633,'Clients List'!$A:$F,4,FALSE)-SUMIFS($E$2:$E2633,$C$2:$C2633,C2633,$D$2:$D2633,"*Package*"))</f>
        <v/>
      </c>
      <c r="G2633" t="str">
        <f t="shared" si="74"/>
        <v/>
      </c>
      <c r="H2633" s="33">
        <f>IF(ISNUMBER(SEARCH("Group",D2633)),IF(G2633="",E2633,IFERROR(E2633/COUNTIF($G2:$G6000,G2633),E2633)),E2633)</f>
        <v>0</v>
      </c>
      <c r="I2633" s="1" t="str">
        <f>IFERROR(VLOOKUP(C2633,'Clients List'!A:F,6,FALSE),"")</f>
        <v/>
      </c>
    </row>
    <row r="2634" spans="4:9" x14ac:dyDescent="0.45">
      <c r="D2634" t="str">
        <f>IFERROR(VLOOKUP(C2634,'Clients List'!$A:$F,2,FALSE),"")</f>
        <v/>
      </c>
      <c r="F2634" s="1" t="str">
        <f>IF(OR(C2634="",NOT(ISNUMBER(SEARCH("Package",D2634)))),"",VLOOKUP(C2634,'Clients List'!$A:$F,4,FALSE)-SUMIFS($E$2:$E2634,$C$2:$C2634,C2634,$D$2:$D2634,"*Package*"))</f>
        <v/>
      </c>
      <c r="G2634" t="str">
        <f t="shared" si="74"/>
        <v/>
      </c>
      <c r="H2634" s="33">
        <f>IF(ISNUMBER(SEARCH("Group",D2634)),IF(G2634="",E2634,IFERROR(E2634/COUNTIF($G2:$G6000,G2634),E2634)),E2634)</f>
        <v>0</v>
      </c>
      <c r="I2634" s="1" t="str">
        <f>IFERROR(VLOOKUP(C2634,'Clients List'!A:F,6,FALSE),"")</f>
        <v/>
      </c>
    </row>
    <row r="2635" spans="4:9" x14ac:dyDescent="0.45">
      <c r="D2635" t="str">
        <f>IFERROR(VLOOKUP(C2635,'Clients List'!$A:$F,2,FALSE),"")</f>
        <v/>
      </c>
      <c r="F2635" s="1" t="str">
        <f>IF(OR(C2635="",NOT(ISNUMBER(SEARCH("Package",D2635)))),"",VLOOKUP(C2635,'Clients List'!$A:$F,4,FALSE)-SUMIFS($E$2:$E2635,$C$2:$C2635,C2635,$D$2:$D2635,"*Package*"))</f>
        <v/>
      </c>
      <c r="G2635" t="str">
        <f t="shared" si="74"/>
        <v/>
      </c>
      <c r="H2635" s="33">
        <f>IF(ISNUMBER(SEARCH("Group",D2635)),IF(G2635="",E2635,IFERROR(E2635/COUNTIF($G2:$G6000,G2635),E2635)),E2635)</f>
        <v>0</v>
      </c>
      <c r="I2635" s="1" t="str">
        <f>IFERROR(VLOOKUP(C2635,'Clients List'!A:F,6,FALSE),"")</f>
        <v/>
      </c>
    </row>
    <row r="2636" spans="4:9" x14ac:dyDescent="0.45">
      <c r="D2636" t="str">
        <f>IFERROR(VLOOKUP(C2636,'Clients List'!$A:$F,2,FALSE),"")</f>
        <v/>
      </c>
      <c r="F2636" s="1" t="str">
        <f>IF(OR(C2636="",NOT(ISNUMBER(SEARCH("Package",D2636)))),"",VLOOKUP(C2636,'Clients List'!$A:$F,4,FALSE)-SUMIFS($E$2:$E2636,$C$2:$C2636,C2636,$D$2:$D2636,"*Package*"))</f>
        <v/>
      </c>
      <c r="G2636" t="str">
        <f t="shared" si="74"/>
        <v/>
      </c>
      <c r="H2636" s="33">
        <f>IF(ISNUMBER(SEARCH("Group",D2636)),IF(G2636="",E2636,IFERROR(E2636/COUNTIF($G2:$G6000,G2636),E2636)),E2636)</f>
        <v>0</v>
      </c>
      <c r="I2636" s="1" t="str">
        <f>IFERROR(VLOOKUP(C2636,'Clients List'!A:F,6,FALSE),"")</f>
        <v/>
      </c>
    </row>
    <row r="2637" spans="4:9" x14ac:dyDescent="0.45">
      <c r="D2637" t="str">
        <f>IFERROR(VLOOKUP(C2637,'Clients List'!$A:$F,2,FALSE),"")</f>
        <v/>
      </c>
      <c r="F2637" s="1" t="str">
        <f>IF(OR(C2637="",NOT(ISNUMBER(SEARCH("Package",D2637)))),"",VLOOKUP(C2637,'Clients List'!$A:$F,4,FALSE)-SUMIFS($E$2:$E2637,$C$2:$C2637,C2637,$D$2:$D2637,"*Package*"))</f>
        <v/>
      </c>
      <c r="G2637" t="str">
        <f t="shared" si="74"/>
        <v/>
      </c>
      <c r="H2637" s="33">
        <f>IF(ISNUMBER(SEARCH("Group",D2637)),IF(G2637="",E2637,IFERROR(E2637/COUNTIF($G2:$G6000,G2637),E2637)),E2637)</f>
        <v>0</v>
      </c>
      <c r="I2637" s="1" t="str">
        <f>IFERROR(VLOOKUP(C2637,'Clients List'!A:F,6,FALSE),"")</f>
        <v/>
      </c>
    </row>
    <row r="2638" spans="4:9" x14ac:dyDescent="0.45">
      <c r="D2638" t="str">
        <f>IFERROR(VLOOKUP(C2638,'Clients List'!$A:$F,2,FALSE),"")</f>
        <v/>
      </c>
      <c r="F2638" s="1" t="str">
        <f>IF(OR(C2638="",NOT(ISNUMBER(SEARCH("Package",D2638)))),"",VLOOKUP(C2638,'Clients List'!$A:$F,4,FALSE)-SUMIFS($E$2:$E2638,$C$2:$C2638,C2638,$D$2:$D2638,"*Package*"))</f>
        <v/>
      </c>
      <c r="G2638" t="str">
        <f t="shared" si="74"/>
        <v/>
      </c>
      <c r="H2638" s="33">
        <f>IF(ISNUMBER(SEARCH("Group",D2638)),IF(G2638="",E2638,IFERROR(E2638/COUNTIF($G2:$G6000,G2638),E2638)),E2638)</f>
        <v>0</v>
      </c>
      <c r="I2638" s="1" t="str">
        <f>IFERROR(VLOOKUP(C2638,'Clients List'!A:F,6,FALSE),"")</f>
        <v/>
      </c>
    </row>
    <row r="2639" spans="4:9" x14ac:dyDescent="0.45">
      <c r="D2639" t="str">
        <f>IFERROR(VLOOKUP(C2639,'Clients List'!$A:$F,2,FALSE),"")</f>
        <v/>
      </c>
      <c r="F2639" s="1" t="str">
        <f>IF(OR(C2639="",NOT(ISNUMBER(SEARCH("Package",D2639)))),"",VLOOKUP(C2639,'Clients List'!$A:$F,4,FALSE)-SUMIFS($E$2:$E2639,$C$2:$C2639,C2639,$D$2:$D2639,"*Package*"))</f>
        <v/>
      </c>
      <c r="G2639" t="str">
        <f t="shared" si="74"/>
        <v/>
      </c>
      <c r="H2639" s="33">
        <f>IF(ISNUMBER(SEARCH("Group",D2639)),IF(G2639="",E2639,IFERROR(E2639/COUNTIF($G2:$G6000,G2639),E2639)),E2639)</f>
        <v>0</v>
      </c>
      <c r="I2639" s="1" t="str">
        <f>IFERROR(VLOOKUP(C2639,'Clients List'!A:F,6,FALSE),"")</f>
        <v/>
      </c>
    </row>
    <row r="2640" spans="4:9" x14ac:dyDescent="0.45">
      <c r="D2640" t="str">
        <f>IFERROR(VLOOKUP(C2640,'Clients List'!$A:$F,2,FALSE),"")</f>
        <v/>
      </c>
      <c r="F2640" s="1" t="str">
        <f>IF(OR(C2640="",NOT(ISNUMBER(SEARCH("Package",D2640)))),"",VLOOKUP(C2640,'Clients List'!$A:$F,4,FALSE)-SUMIFS($E$2:$E2640,$C$2:$C2640,C2640,$D$2:$D2640,"*Package*"))</f>
        <v/>
      </c>
      <c r="G2640" t="str">
        <f t="shared" si="74"/>
        <v/>
      </c>
      <c r="H2640" s="33">
        <f>IF(ISNUMBER(SEARCH("Group",D2640)),IF(G2640="",E2640,IFERROR(E2640/COUNTIF($G2:$G6000,G2640),E2640)),E2640)</f>
        <v>0</v>
      </c>
      <c r="I2640" s="1" t="str">
        <f>IFERROR(VLOOKUP(C2640,'Clients List'!A:F,6,FALSE),"")</f>
        <v/>
      </c>
    </row>
    <row r="2641" spans="4:9" x14ac:dyDescent="0.45">
      <c r="D2641" t="str">
        <f>IFERROR(VLOOKUP(C2641,'Clients List'!$A:$F,2,FALSE),"")</f>
        <v/>
      </c>
      <c r="F2641" s="1" t="str">
        <f>IF(OR(C2641="",NOT(ISNUMBER(SEARCH("Package",D2641)))),"",VLOOKUP(C2641,'Clients List'!$A:$F,4,FALSE)-SUMIFS($E$2:$E2641,$C$2:$C2641,C2641,$D$2:$D2641,"*Package*"))</f>
        <v/>
      </c>
      <c r="G2641" t="str">
        <f t="shared" si="74"/>
        <v/>
      </c>
      <c r="H2641" s="33">
        <f>IF(ISNUMBER(SEARCH("Group",D2641)),IF(G2641="",E2641,IFERROR(E2641/COUNTIF($G2:$G6000,G2641),E2641)),E2641)</f>
        <v>0</v>
      </c>
      <c r="I2641" s="1" t="str">
        <f>IFERROR(VLOOKUP(C2641,'Clients List'!A:F,6,FALSE),"")</f>
        <v/>
      </c>
    </row>
    <row r="2642" spans="4:9" x14ac:dyDescent="0.45">
      <c r="D2642" t="str">
        <f>IFERROR(VLOOKUP(C2642,'Clients List'!$A:$F,2,FALSE),"")</f>
        <v/>
      </c>
      <c r="F2642" s="1" t="str">
        <f>IF(OR(C2642="",NOT(ISNUMBER(SEARCH("Package",D2642)))),"",VLOOKUP(C2642,'Clients List'!$A:$F,4,FALSE)-SUMIFS($E$2:$E2642,$C$2:$C2642,C2642,$D$2:$D2642,"*Package*"))</f>
        <v/>
      </c>
      <c r="G2642" t="str">
        <f t="shared" si="74"/>
        <v/>
      </c>
      <c r="H2642" s="33">
        <f>IF(ISNUMBER(SEARCH("Group",D2642)),IF(G2642="",E2642,IFERROR(E2642/COUNTIF($G2:$G6000,G2642),E2642)),E2642)</f>
        <v>0</v>
      </c>
      <c r="I2642" s="1" t="str">
        <f>IFERROR(VLOOKUP(C2642,'Clients List'!A:F,6,FALSE),"")</f>
        <v/>
      </c>
    </row>
    <row r="2643" spans="4:9" x14ac:dyDescent="0.45">
      <c r="D2643" t="str">
        <f>IFERROR(VLOOKUP(C2643,'Clients List'!$A:$F,2,FALSE),"")</f>
        <v/>
      </c>
      <c r="F2643" s="1" t="str">
        <f>IF(OR(C2643="",NOT(ISNUMBER(SEARCH("Package",D2643)))),"",VLOOKUP(C2643,'Clients List'!$A:$F,4,FALSE)-SUMIFS($E$2:$E2643,$C$2:$C2643,C2643,$D$2:$D2643,"*Package*"))</f>
        <v/>
      </c>
      <c r="G2643" t="str">
        <f t="shared" si="74"/>
        <v/>
      </c>
      <c r="H2643" s="33">
        <f>IF(ISNUMBER(SEARCH("Group",D2643)),IF(G2643="",E2643,IFERROR(E2643/COUNTIF($G2:$G6000,G2643),E2643)),E2643)</f>
        <v>0</v>
      </c>
      <c r="I2643" s="1" t="str">
        <f>IFERROR(VLOOKUP(C2643,'Clients List'!A:F,6,FALSE),"")</f>
        <v/>
      </c>
    </row>
    <row r="2644" spans="4:9" x14ac:dyDescent="0.45">
      <c r="D2644" t="str">
        <f>IFERROR(VLOOKUP(C2644,'Clients List'!$A:$F,2,FALSE),"")</f>
        <v/>
      </c>
      <c r="F2644" s="1" t="str">
        <f>IF(OR(C2644="",NOT(ISNUMBER(SEARCH("Package",D2644)))),"",VLOOKUP(C2644,'Clients List'!$A:$F,4,FALSE)-SUMIFS($E$2:$E2644,$C$2:$C2644,C2644,$D$2:$D2644,"*Package*"))</f>
        <v/>
      </c>
      <c r="G2644" t="str">
        <f t="shared" si="74"/>
        <v/>
      </c>
      <c r="H2644" s="33">
        <f>IF(ISNUMBER(SEARCH("Group",D2644)),IF(G2644="",E2644,IFERROR(E2644/COUNTIF($G2:$G6000,G2644),E2644)),E2644)</f>
        <v>0</v>
      </c>
      <c r="I2644" s="1" t="str">
        <f>IFERROR(VLOOKUP(C2644,'Clients List'!A:F,6,FALSE),"")</f>
        <v/>
      </c>
    </row>
    <row r="2645" spans="4:9" x14ac:dyDescent="0.45">
      <c r="D2645" t="str">
        <f>IFERROR(VLOOKUP(C2645,'Clients List'!$A:$F,2,FALSE),"")</f>
        <v/>
      </c>
      <c r="F2645" s="1" t="str">
        <f>IF(OR(C2645="",NOT(ISNUMBER(SEARCH("Package",D2645)))),"",VLOOKUP(C2645,'Clients List'!$A:$F,4,FALSE)-SUMIFS($E$2:$E2645,$C$2:$C2645,C2645,$D$2:$D2645,"*Package*"))</f>
        <v/>
      </c>
      <c r="G2645" t="str">
        <f t="shared" si="74"/>
        <v/>
      </c>
      <c r="H2645" s="33">
        <f>IF(ISNUMBER(SEARCH("Group",D2645)),IF(G2645="",E2645,IFERROR(E2645/COUNTIF($G2:$G6000,G2645),E2645)),E2645)</f>
        <v>0</v>
      </c>
      <c r="I2645" s="1" t="str">
        <f>IFERROR(VLOOKUP(C2645,'Clients List'!A:F,6,FALSE),"")</f>
        <v/>
      </c>
    </row>
    <row r="2646" spans="4:9" x14ac:dyDescent="0.45">
      <c r="D2646" t="str">
        <f>IFERROR(VLOOKUP(C2646,'Clients List'!$A:$F,2,FALSE),"")</f>
        <v/>
      </c>
      <c r="F2646" s="1" t="str">
        <f>IF(OR(C2646="",NOT(ISNUMBER(SEARCH("Package",D2646)))),"",VLOOKUP(C2646,'Clients List'!$A:$F,4,FALSE)-SUMIFS($E$2:$E2646,$C$2:$C2646,C2646,$D$2:$D2646,"*Package*"))</f>
        <v/>
      </c>
      <c r="G2646" t="str">
        <f t="shared" si="74"/>
        <v/>
      </c>
      <c r="H2646" s="33">
        <f>IF(ISNUMBER(SEARCH("Group",D2646)),IF(G2646="",E2646,IFERROR(E2646/COUNTIF($G2:$G6000,G2646),E2646)),E2646)</f>
        <v>0</v>
      </c>
      <c r="I2646" s="1" t="str">
        <f>IFERROR(VLOOKUP(C2646,'Clients List'!A:F,6,FALSE),"")</f>
        <v/>
      </c>
    </row>
    <row r="2647" spans="4:9" x14ac:dyDescent="0.45">
      <c r="D2647" t="str">
        <f>IFERROR(VLOOKUP(C2647,'Clients List'!$A:$F,2,FALSE),"")</f>
        <v/>
      </c>
      <c r="F2647" s="1" t="str">
        <f>IF(OR(C2647="",NOT(ISNUMBER(SEARCH("Package",D2647)))),"",VLOOKUP(C2647,'Clients List'!$A:$F,4,FALSE)-SUMIFS($E$2:$E2647,$C$2:$C2647,C2647,$D$2:$D2647,"*Package*"))</f>
        <v/>
      </c>
      <c r="G2647" t="str">
        <f t="shared" si="74"/>
        <v/>
      </c>
      <c r="H2647" s="33">
        <f>IF(ISNUMBER(SEARCH("Group",D2647)),IF(G2647="",E2647,IFERROR(E2647/COUNTIF($G2:$G6000,G2647),E2647)),E2647)</f>
        <v>0</v>
      </c>
      <c r="I2647" s="1" t="str">
        <f>IFERROR(VLOOKUP(C2647,'Clients List'!A:F,6,FALSE),"")</f>
        <v/>
      </c>
    </row>
    <row r="2648" spans="4:9" x14ac:dyDescent="0.45">
      <c r="D2648" t="str">
        <f>IFERROR(VLOOKUP(C2648,'Clients List'!$A:$F,2,FALSE),"")</f>
        <v/>
      </c>
      <c r="F2648" s="1" t="str">
        <f>IF(OR(C2648="",NOT(ISNUMBER(SEARCH("Package",D2648)))),"",VLOOKUP(C2648,'Clients List'!$A:$F,4,FALSE)-SUMIFS($E$2:$E2648,$C$2:$C2648,C2648,$D$2:$D2648,"*Package*"))</f>
        <v/>
      </c>
      <c r="G2648" t="str">
        <f t="shared" si="74"/>
        <v/>
      </c>
      <c r="H2648" s="33">
        <f>IF(ISNUMBER(SEARCH("Group",D2648)),IF(G2648="",E2648,IFERROR(E2648/COUNTIF($G2:$G6000,G2648),E2648)),E2648)</f>
        <v>0</v>
      </c>
      <c r="I2648" s="1" t="str">
        <f>IFERROR(VLOOKUP(C2648,'Clients List'!A:F,6,FALSE),"")</f>
        <v/>
      </c>
    </row>
    <row r="2649" spans="4:9" x14ac:dyDescent="0.45">
      <c r="D2649" t="str">
        <f>IFERROR(VLOOKUP(C2649,'Clients List'!$A:$F,2,FALSE),"")</f>
        <v/>
      </c>
      <c r="F2649" s="1" t="str">
        <f>IF(OR(C2649="",NOT(ISNUMBER(SEARCH("Package",D2649)))),"",VLOOKUP(C2649,'Clients List'!$A:$F,4,FALSE)-SUMIFS($E$2:$E2649,$C$2:$C2649,C2649,$D$2:$D2649,"*Package*"))</f>
        <v/>
      </c>
      <c r="G2649" t="str">
        <f t="shared" si="74"/>
        <v/>
      </c>
      <c r="H2649" s="33">
        <f>IF(ISNUMBER(SEARCH("Group",D2649)),IF(G2649="",E2649,IFERROR(E2649/COUNTIF($G2:$G6000,G2649),E2649)),E2649)</f>
        <v>0</v>
      </c>
      <c r="I2649" s="1" t="str">
        <f>IFERROR(VLOOKUP(C2649,'Clients List'!A:F,6,FALSE),"")</f>
        <v/>
      </c>
    </row>
    <row r="2650" spans="4:9" x14ac:dyDescent="0.45">
      <c r="D2650" t="str">
        <f>IFERROR(VLOOKUP(C2650,'Clients List'!$A:$F,2,FALSE),"")</f>
        <v/>
      </c>
      <c r="F2650" s="1" t="str">
        <f>IF(OR(C2650="",NOT(ISNUMBER(SEARCH("Package",D2650)))),"",VLOOKUP(C2650,'Clients List'!$A:$F,4,FALSE)-SUMIFS($E$2:$E2650,$C$2:$C2650,C2650,$D$2:$D2650,"*Package*"))</f>
        <v/>
      </c>
      <c r="G2650" t="str">
        <f t="shared" si="74"/>
        <v/>
      </c>
      <c r="H2650" s="33">
        <f>IF(ISNUMBER(SEARCH("Group",D2650)),IF(G2650="",E2650,IFERROR(E2650/COUNTIF($G2:$G6000,G2650),E2650)),E2650)</f>
        <v>0</v>
      </c>
      <c r="I2650" s="1" t="str">
        <f>IFERROR(VLOOKUP(C2650,'Clients List'!A:F,6,FALSE),"")</f>
        <v/>
      </c>
    </row>
    <row r="2651" spans="4:9" x14ac:dyDescent="0.45">
      <c r="D2651" t="str">
        <f>IFERROR(VLOOKUP(C2651,'Clients List'!$A:$F,2,FALSE),"")</f>
        <v/>
      </c>
      <c r="F2651" s="1" t="str">
        <f>IF(OR(C2651="",NOT(ISNUMBER(SEARCH("Package",D2651)))),"",VLOOKUP(C2651,'Clients List'!$A:$F,4,FALSE)-SUMIFS($E$2:$E2651,$C$2:$C2651,C2651,$D$2:$D2651,"*Package*"))</f>
        <v/>
      </c>
      <c r="G2651" t="str">
        <f t="shared" si="74"/>
        <v/>
      </c>
      <c r="H2651" s="33">
        <f>IF(ISNUMBER(SEARCH("Group",D2651)),IF(G2651="",E2651,IFERROR(E2651/COUNTIF($G2:$G6000,G2651),E2651)),E2651)</f>
        <v>0</v>
      </c>
      <c r="I2651" s="1" t="str">
        <f>IFERROR(VLOOKUP(C2651,'Clients List'!A:F,6,FALSE),"")</f>
        <v/>
      </c>
    </row>
    <row r="2652" spans="4:9" x14ac:dyDescent="0.45">
      <c r="D2652" t="str">
        <f>IFERROR(VLOOKUP(C2652,'Clients List'!$A:$F,2,FALSE),"")</f>
        <v/>
      </c>
      <c r="F2652" s="1" t="str">
        <f>IF(OR(C2652="",NOT(ISNUMBER(SEARCH("Package",D2652)))),"",VLOOKUP(C2652,'Clients List'!$A:$F,4,FALSE)-SUMIFS($E$2:$E2652,$C$2:$C2652,C2652,$D$2:$D2652,"*Package*"))</f>
        <v/>
      </c>
      <c r="G2652" t="str">
        <f t="shared" si="74"/>
        <v/>
      </c>
      <c r="H2652" s="33">
        <f>IF(ISNUMBER(SEARCH("Group",D2652)),IF(G2652="",E2652,IFERROR(E2652/COUNTIF($G2:$G6000,G2652),E2652)),E2652)</f>
        <v>0</v>
      </c>
      <c r="I2652" s="1" t="str">
        <f>IFERROR(VLOOKUP(C2652,'Clients List'!A:F,6,FALSE),"")</f>
        <v/>
      </c>
    </row>
    <row r="2653" spans="4:9" x14ac:dyDescent="0.45">
      <c r="D2653" t="str">
        <f>IFERROR(VLOOKUP(C2653,'Clients List'!$A:$F,2,FALSE),"")</f>
        <v/>
      </c>
      <c r="F2653" s="1" t="str">
        <f>IF(OR(C2653="",NOT(ISNUMBER(SEARCH("Package",D2653)))),"",VLOOKUP(C2653,'Clients List'!$A:$F,4,FALSE)-SUMIFS($E$2:$E2653,$C$2:$C2653,C2653,$D$2:$D2653,"*Package*"))</f>
        <v/>
      </c>
      <c r="G2653" t="str">
        <f t="shared" si="74"/>
        <v/>
      </c>
      <c r="H2653" s="33">
        <f>IF(ISNUMBER(SEARCH("Group",D2653)),IF(G2653="",E2653,IFERROR(E2653/COUNTIF($G2:$G6000,G2653),E2653)),E2653)</f>
        <v>0</v>
      </c>
      <c r="I2653" s="1" t="str">
        <f>IFERROR(VLOOKUP(C2653,'Clients List'!A:F,6,FALSE),"")</f>
        <v/>
      </c>
    </row>
    <row r="2654" spans="4:9" x14ac:dyDescent="0.45">
      <c r="D2654" t="str">
        <f>IFERROR(VLOOKUP(C2654,'Clients List'!$A:$F,2,FALSE),"")</f>
        <v/>
      </c>
      <c r="F2654" s="1" t="str">
        <f>IF(OR(C2654="",NOT(ISNUMBER(SEARCH("Package",D2654)))),"",VLOOKUP(C2654,'Clients List'!$A:$F,4,FALSE)-SUMIFS($E$2:$E2654,$C$2:$C2654,C2654,$D$2:$D2654,"*Package*"))</f>
        <v/>
      </c>
      <c r="G2654" t="str">
        <f t="shared" si="74"/>
        <v/>
      </c>
      <c r="H2654" s="33">
        <f>IF(ISNUMBER(SEARCH("Group",D2654)),IF(G2654="",E2654,IFERROR(E2654/COUNTIF($G2:$G6000,G2654),E2654)),E2654)</f>
        <v>0</v>
      </c>
      <c r="I2654" s="1" t="str">
        <f>IFERROR(VLOOKUP(C2654,'Clients List'!A:F,6,FALSE),"")</f>
        <v/>
      </c>
    </row>
    <row r="2655" spans="4:9" x14ac:dyDescent="0.45">
      <c r="D2655" t="str">
        <f>IFERROR(VLOOKUP(C2655,'Clients List'!$A:$F,2,FALSE),"")</f>
        <v/>
      </c>
      <c r="F2655" s="1" t="str">
        <f>IF(OR(C2655="",NOT(ISNUMBER(SEARCH("Package",D2655)))),"",VLOOKUP(C2655,'Clients List'!$A:$F,4,FALSE)-SUMIFS($E$2:$E2655,$C$2:$C2655,C2655,$D$2:$D2655,"*Package*"))</f>
        <v/>
      </c>
      <c r="G2655" t="str">
        <f t="shared" si="74"/>
        <v/>
      </c>
      <c r="H2655" s="33">
        <f>IF(ISNUMBER(SEARCH("Group",D2655)),IF(G2655="",E2655,IFERROR(E2655/COUNTIF($G2:$G6000,G2655),E2655)),E2655)</f>
        <v>0</v>
      </c>
      <c r="I2655" s="1" t="str">
        <f>IFERROR(VLOOKUP(C2655,'Clients List'!A:F,6,FALSE),"")</f>
        <v/>
      </c>
    </row>
    <row r="2656" spans="4:9" x14ac:dyDescent="0.45">
      <c r="D2656" t="str">
        <f>IFERROR(VLOOKUP(C2656,'Clients List'!$A:$F,2,FALSE),"")</f>
        <v/>
      </c>
      <c r="F2656" s="1" t="str">
        <f>IF(OR(C2656="",NOT(ISNUMBER(SEARCH("Package",D2656)))),"",VLOOKUP(C2656,'Clients List'!$A:$F,4,FALSE)-SUMIFS($E$2:$E2656,$C$2:$C2656,C2656,$D$2:$D2656,"*Package*"))</f>
        <v/>
      </c>
      <c r="G2656" t="str">
        <f t="shared" si="74"/>
        <v/>
      </c>
      <c r="H2656" s="33">
        <f>IF(ISNUMBER(SEARCH("Group",D2656)),IF(G2656="",E2656,IFERROR(E2656/COUNTIF($G2:$G6000,G2656),E2656)),E2656)</f>
        <v>0</v>
      </c>
      <c r="I2656" s="1" t="str">
        <f>IFERROR(VLOOKUP(C2656,'Clients List'!A:F,6,FALSE),"")</f>
        <v/>
      </c>
    </row>
    <row r="2657" spans="4:9" x14ac:dyDescent="0.45">
      <c r="D2657" t="str">
        <f>IFERROR(VLOOKUP(C2657,'Clients List'!$A:$F,2,FALSE),"")</f>
        <v/>
      </c>
      <c r="F2657" s="1" t="str">
        <f>IF(OR(C2657="",NOT(ISNUMBER(SEARCH("Package",D2657)))),"",VLOOKUP(C2657,'Clients List'!$A:$F,4,FALSE)-SUMIFS($E$2:$E2657,$C$2:$C2657,C2657,$D$2:$D2657,"*Package*"))</f>
        <v/>
      </c>
      <c r="G2657" t="str">
        <f t="shared" si="74"/>
        <v/>
      </c>
      <c r="H2657" s="33">
        <f>IF(ISNUMBER(SEARCH("Group",D2657)),IF(G2657="",E2657,IFERROR(E2657/COUNTIF($G2:$G6000,G2657),E2657)),E2657)</f>
        <v>0</v>
      </c>
      <c r="I2657" s="1" t="str">
        <f>IFERROR(VLOOKUP(C2657,'Clients List'!A:F,6,FALSE),"")</f>
        <v/>
      </c>
    </row>
    <row r="2658" spans="4:9" x14ac:dyDescent="0.45">
      <c r="D2658" t="str">
        <f>IFERROR(VLOOKUP(C2658,'Clients List'!$A:$F,2,FALSE),"")</f>
        <v/>
      </c>
      <c r="F2658" s="1" t="str">
        <f>IF(OR(C2658="",NOT(ISNUMBER(SEARCH("Package",D2658)))),"",VLOOKUP(C2658,'Clients List'!$A:$F,4,FALSE)-SUMIFS($E$2:$E2658,$C$2:$C2658,C2658,$D$2:$D2658,"*Package*"))</f>
        <v/>
      </c>
      <c r="G2658" t="str">
        <f t="shared" si="74"/>
        <v/>
      </c>
      <c r="H2658" s="33">
        <f>IF(ISNUMBER(SEARCH("Group",D2658)),IF(G2658="",E2658,IFERROR(E2658/COUNTIF($G2:$G6000,G2658),E2658)),E2658)</f>
        <v>0</v>
      </c>
      <c r="I2658" s="1" t="str">
        <f>IFERROR(VLOOKUP(C2658,'Clients List'!A:F,6,FALSE),"")</f>
        <v/>
      </c>
    </row>
    <row r="2659" spans="4:9" x14ac:dyDescent="0.45">
      <c r="D2659" t="str">
        <f>IFERROR(VLOOKUP(C2659,'Clients List'!$A:$F,2,FALSE),"")</f>
        <v/>
      </c>
      <c r="F2659" s="1" t="str">
        <f>IF(OR(C2659="",NOT(ISNUMBER(SEARCH("Package",D2659)))),"",VLOOKUP(C2659,'Clients List'!$A:$F,4,FALSE)-SUMIFS($E$2:$E2659,$C$2:$C2659,C2659,$D$2:$D2659,"*Package*"))</f>
        <v/>
      </c>
      <c r="G2659" t="str">
        <f t="shared" si="74"/>
        <v/>
      </c>
      <c r="H2659" s="33">
        <f>IF(ISNUMBER(SEARCH("Group",D2659)),IF(G2659="",E2659,IFERROR(E2659/COUNTIF($G2:$G6000,G2659),E2659)),E2659)</f>
        <v>0</v>
      </c>
      <c r="I2659" s="1" t="str">
        <f>IFERROR(VLOOKUP(C2659,'Clients List'!A:F,6,FALSE),"")</f>
        <v/>
      </c>
    </row>
    <row r="2660" spans="4:9" x14ac:dyDescent="0.45">
      <c r="D2660" t="str">
        <f>IFERROR(VLOOKUP(C2660,'Clients List'!$A:$F,2,FALSE),"")</f>
        <v/>
      </c>
      <c r="F2660" s="1" t="str">
        <f>IF(OR(C2660="",NOT(ISNUMBER(SEARCH("Package",D2660)))),"",VLOOKUP(C2660,'Clients List'!$A:$F,4,FALSE)-SUMIFS($E$2:$E2660,$C$2:$C2660,C2660,$D$2:$D2660,"*Package*"))</f>
        <v/>
      </c>
      <c r="G2660" t="str">
        <f t="shared" si="74"/>
        <v/>
      </c>
      <c r="H2660" s="33">
        <f>IF(ISNUMBER(SEARCH("Group",D2660)),IF(G2660="",E2660,IFERROR(E2660/COUNTIF($G2:$G6000,G2660),E2660)),E2660)</f>
        <v>0</v>
      </c>
      <c r="I2660" s="1" t="str">
        <f>IFERROR(VLOOKUP(C2660,'Clients List'!A:F,6,FALSE),"")</f>
        <v/>
      </c>
    </row>
    <row r="2661" spans="4:9" x14ac:dyDescent="0.45">
      <c r="D2661" t="str">
        <f>IFERROR(VLOOKUP(C2661,'Clients List'!$A:$F,2,FALSE),"")</f>
        <v/>
      </c>
      <c r="F2661" s="1" t="str">
        <f>IF(OR(C2661="",NOT(ISNUMBER(SEARCH("Package",D2661)))),"",VLOOKUP(C2661,'Clients List'!$A:$F,4,FALSE)-SUMIFS($E$2:$E2661,$C$2:$C2661,C2661,$D$2:$D2661,"*Package*"))</f>
        <v/>
      </c>
      <c r="G2661" t="str">
        <f t="shared" si="74"/>
        <v/>
      </c>
      <c r="H2661" s="33">
        <f>IF(ISNUMBER(SEARCH("Group",D2661)),IF(G2661="",E2661,IFERROR(E2661/COUNTIF($G2:$G6000,G2661),E2661)),E2661)</f>
        <v>0</v>
      </c>
      <c r="I2661" s="1" t="str">
        <f>IFERROR(VLOOKUP(C2661,'Clients List'!A:F,6,FALSE),"")</f>
        <v/>
      </c>
    </row>
    <row r="2662" spans="4:9" x14ac:dyDescent="0.45">
      <c r="D2662" t="str">
        <f>IFERROR(VLOOKUP(C2662,'Clients List'!$A:$F,2,FALSE),"")</f>
        <v/>
      </c>
      <c r="F2662" s="1" t="str">
        <f>IF(OR(C2662="",NOT(ISNUMBER(SEARCH("Package",D2662)))),"",VLOOKUP(C2662,'Clients List'!$A:$F,4,FALSE)-SUMIFS($E$2:$E2662,$C$2:$C2662,C2662,$D$2:$D2662,"*Package*"))</f>
        <v/>
      </c>
      <c r="G2662" t="str">
        <f t="shared" si="74"/>
        <v/>
      </c>
      <c r="H2662" s="33">
        <f>IF(ISNUMBER(SEARCH("Group",D2662)),IF(G2662="",E2662,IFERROR(E2662/COUNTIF($G2:$G6000,G2662),E2662)),E2662)</f>
        <v>0</v>
      </c>
      <c r="I2662" s="1" t="str">
        <f>IFERROR(VLOOKUP(C2662,'Clients List'!A:F,6,FALSE),"")</f>
        <v/>
      </c>
    </row>
    <row r="2663" spans="4:9" x14ac:dyDescent="0.45">
      <c r="D2663" t="str">
        <f>IFERROR(VLOOKUP(C2663,'Clients List'!$A:$F,2,FALSE),"")</f>
        <v/>
      </c>
      <c r="F2663" s="1" t="str">
        <f>IF(OR(C2663="",NOT(ISNUMBER(SEARCH("Package",D2663)))),"",VLOOKUP(C2663,'Clients List'!$A:$F,4,FALSE)-SUMIFS($E$2:$E2663,$C$2:$C2663,C2663,$D$2:$D2663,"*Package*"))</f>
        <v/>
      </c>
      <c r="G2663" t="str">
        <f t="shared" si="74"/>
        <v/>
      </c>
      <c r="H2663" s="33">
        <f>IF(ISNUMBER(SEARCH("Group",D2663)),IF(G2663="",E2663,IFERROR(E2663/COUNTIF($G2:$G6000,G2663),E2663)),E2663)</f>
        <v>0</v>
      </c>
      <c r="I2663" s="1" t="str">
        <f>IFERROR(VLOOKUP(C2663,'Clients List'!A:F,6,FALSE),"")</f>
        <v/>
      </c>
    </row>
    <row r="2664" spans="4:9" x14ac:dyDescent="0.45">
      <c r="D2664" t="str">
        <f>IFERROR(VLOOKUP(C2664,'Clients List'!$A:$F,2,FALSE),"")</f>
        <v/>
      </c>
      <c r="F2664" s="1" t="str">
        <f>IF(OR(C2664="",NOT(ISNUMBER(SEARCH("Package",D2664)))),"",VLOOKUP(C2664,'Clients List'!$A:$F,4,FALSE)-SUMIFS($E$2:$E2664,$C$2:$C2664,C2664,$D$2:$D2664,"*Package*"))</f>
        <v/>
      </c>
      <c r="G2664" t="str">
        <f t="shared" si="74"/>
        <v/>
      </c>
      <c r="H2664" s="33">
        <f>IF(ISNUMBER(SEARCH("Group",D2664)),IF(G2664="",E2664,IFERROR(E2664/COUNTIF($G2:$G6000,G2664),E2664)),E2664)</f>
        <v>0</v>
      </c>
      <c r="I2664" s="1" t="str">
        <f>IFERROR(VLOOKUP(C2664,'Clients List'!A:F,6,FALSE),"")</f>
        <v/>
      </c>
    </row>
    <row r="2665" spans="4:9" x14ac:dyDescent="0.45">
      <c r="D2665" t="str">
        <f>IFERROR(VLOOKUP(C2665,'Clients List'!$A:$F,2,FALSE),"")</f>
        <v/>
      </c>
      <c r="F2665" s="1" t="str">
        <f>IF(OR(C2665="",NOT(ISNUMBER(SEARCH("Package",D2665)))),"",VLOOKUP(C2665,'Clients List'!$A:$F,4,FALSE)-SUMIFS($E$2:$E2665,$C$2:$C2665,C2665,$D$2:$D2665,"*Package*"))</f>
        <v/>
      </c>
      <c r="G2665" t="str">
        <f t="shared" si="74"/>
        <v/>
      </c>
      <c r="H2665" s="33">
        <f>IF(ISNUMBER(SEARCH("Group",D2665)),IF(G2665="",E2665,IFERROR(E2665/COUNTIF($G2:$G6000,G2665),E2665)),E2665)</f>
        <v>0</v>
      </c>
      <c r="I2665" s="1" t="str">
        <f>IFERROR(VLOOKUP(C2665,'Clients List'!A:F,6,FALSE),"")</f>
        <v/>
      </c>
    </row>
    <row r="2666" spans="4:9" x14ac:dyDescent="0.45">
      <c r="D2666" t="str">
        <f>IFERROR(VLOOKUP(C2666,'Clients List'!$A:$F,2,FALSE),"")</f>
        <v/>
      </c>
      <c r="F2666" s="1" t="str">
        <f>IF(OR(C2666="",NOT(ISNUMBER(SEARCH("Package",D2666)))),"",VLOOKUP(C2666,'Clients List'!$A:$F,4,FALSE)-SUMIFS($E$2:$E2666,$C$2:$C2666,C2666,$D$2:$D2666,"*Package*"))</f>
        <v/>
      </c>
      <c r="G2666" t="str">
        <f t="shared" si="74"/>
        <v/>
      </c>
      <c r="H2666" s="33">
        <f>IF(ISNUMBER(SEARCH("Group",D2666)),IF(G2666="",E2666,IFERROR(E2666/COUNTIF($G2:$G6000,G2666),E2666)),E2666)</f>
        <v>0</v>
      </c>
      <c r="I2666" s="1" t="str">
        <f>IFERROR(VLOOKUP(C2666,'Clients List'!A:F,6,FALSE),"")</f>
        <v/>
      </c>
    </row>
    <row r="2667" spans="4:9" x14ac:dyDescent="0.45">
      <c r="D2667" t="str">
        <f>IFERROR(VLOOKUP(C2667,'Clients List'!$A:$F,2,FALSE),"")</f>
        <v/>
      </c>
      <c r="F2667" s="1" t="str">
        <f>IF(OR(C2667="",NOT(ISNUMBER(SEARCH("Package",D2667)))),"",VLOOKUP(C2667,'Clients List'!$A:$F,4,FALSE)-SUMIFS($E$2:$E2667,$C$2:$C2667,C2667,$D$2:$D2667,"*Package*"))</f>
        <v/>
      </c>
      <c r="G2667" t="str">
        <f t="shared" si="74"/>
        <v/>
      </c>
      <c r="H2667" s="33">
        <f>IF(ISNUMBER(SEARCH("Group",D2667)),IF(G2667="",E2667,IFERROR(E2667/COUNTIF($G2:$G6000,G2667),E2667)),E2667)</f>
        <v>0</v>
      </c>
      <c r="I2667" s="1" t="str">
        <f>IFERROR(VLOOKUP(C2667,'Clients List'!A:F,6,FALSE),"")</f>
        <v/>
      </c>
    </row>
    <row r="2668" spans="4:9" x14ac:dyDescent="0.45">
      <c r="D2668" t="str">
        <f>IFERROR(VLOOKUP(C2668,'Clients List'!$A:$F,2,FALSE),"")</f>
        <v/>
      </c>
      <c r="F2668" s="1" t="str">
        <f>IF(OR(C2668="",NOT(ISNUMBER(SEARCH("Package",D2668)))),"",VLOOKUP(C2668,'Clients List'!$A:$F,4,FALSE)-SUMIFS($E$2:$E2668,$C$2:$C2668,C2668,$D$2:$D2668,"*Package*"))</f>
        <v/>
      </c>
      <c r="G2668" t="str">
        <f t="shared" si="74"/>
        <v/>
      </c>
      <c r="H2668" s="33">
        <f>IF(ISNUMBER(SEARCH("Group",D2668)),IF(G2668="",E2668,IFERROR(E2668/COUNTIF($G2:$G6000,G2668),E2668)),E2668)</f>
        <v>0</v>
      </c>
      <c r="I2668" s="1" t="str">
        <f>IFERROR(VLOOKUP(C2668,'Clients List'!A:F,6,FALSE),"")</f>
        <v/>
      </c>
    </row>
    <row r="2669" spans="4:9" x14ac:dyDescent="0.45">
      <c r="D2669" t="str">
        <f>IFERROR(VLOOKUP(C2669,'Clients List'!$A:$F,2,FALSE),"")</f>
        <v/>
      </c>
      <c r="F2669" s="1" t="str">
        <f>IF(OR(C2669="",NOT(ISNUMBER(SEARCH("Package",D2669)))),"",VLOOKUP(C2669,'Clients List'!$A:$F,4,FALSE)-SUMIFS($E$2:$E2669,$C$2:$C2669,C2669,$D$2:$D2669,"*Package*"))</f>
        <v/>
      </c>
      <c r="G2669" t="str">
        <f t="shared" si="74"/>
        <v/>
      </c>
      <c r="H2669" s="33">
        <f>IF(ISNUMBER(SEARCH("Group",D2669)),IF(G2669="",E2669,IFERROR(E2669/COUNTIF($G2:$G6000,G2669),E2669)),E2669)</f>
        <v>0</v>
      </c>
      <c r="I2669" s="1" t="str">
        <f>IFERROR(VLOOKUP(C2669,'Clients List'!A:F,6,FALSE),"")</f>
        <v/>
      </c>
    </row>
    <row r="2670" spans="4:9" x14ac:dyDescent="0.45">
      <c r="D2670" t="str">
        <f>IFERROR(VLOOKUP(C2670,'Clients List'!$A:$F,2,FALSE),"")</f>
        <v/>
      </c>
      <c r="F2670" s="1" t="str">
        <f>IF(OR(C2670="",NOT(ISNUMBER(SEARCH("Package",D2670)))),"",VLOOKUP(C2670,'Clients List'!$A:$F,4,FALSE)-SUMIFS($E$2:$E2670,$C$2:$C2670,C2670,$D$2:$D2670,"*Package*"))</f>
        <v/>
      </c>
      <c r="G2670" t="str">
        <f t="shared" si="74"/>
        <v/>
      </c>
      <c r="H2670" s="33">
        <f>IF(ISNUMBER(SEARCH("Group",D2670)),IF(G2670="",E2670,IFERROR(E2670/COUNTIF($G2:$G6000,G2670),E2670)),E2670)</f>
        <v>0</v>
      </c>
      <c r="I2670" s="1" t="str">
        <f>IFERROR(VLOOKUP(C2670,'Clients List'!A:F,6,FALSE),"")</f>
        <v/>
      </c>
    </row>
    <row r="2671" spans="4:9" x14ac:dyDescent="0.45">
      <c r="D2671" t="str">
        <f>IFERROR(VLOOKUP(C2671,'Clients List'!$A:$F,2,FALSE),"")</f>
        <v/>
      </c>
      <c r="F2671" s="1" t="str">
        <f>IF(OR(C2671="",NOT(ISNUMBER(SEARCH("Package",D2671)))),"",VLOOKUP(C2671,'Clients List'!$A:$F,4,FALSE)-SUMIFS($E$2:$E2671,$C$2:$C2671,C2671,$D$2:$D2671,"*Package*"))</f>
        <v/>
      </c>
      <c r="G2671" t="str">
        <f t="shared" si="74"/>
        <v/>
      </c>
      <c r="H2671" s="33">
        <f>IF(ISNUMBER(SEARCH("Group",D2671)),IF(G2671="",E2671,IFERROR(E2671/COUNTIF($G2:$G6000,G2671),E2671)),E2671)</f>
        <v>0</v>
      </c>
      <c r="I2671" s="1" t="str">
        <f>IFERROR(VLOOKUP(C2671,'Clients List'!A:F,6,FALSE),"")</f>
        <v/>
      </c>
    </row>
    <row r="2672" spans="4:9" x14ac:dyDescent="0.45">
      <c r="D2672" t="str">
        <f>IFERROR(VLOOKUP(C2672,'Clients List'!$A:$F,2,FALSE),"")</f>
        <v/>
      </c>
      <c r="F2672" s="1" t="str">
        <f>IF(OR(C2672="",NOT(ISNUMBER(SEARCH("Package",D2672)))),"",VLOOKUP(C2672,'Clients List'!$A:$F,4,FALSE)-SUMIFS($E$2:$E2672,$C$2:$C2672,C2672,$D$2:$D2672,"*Package*"))</f>
        <v/>
      </c>
      <c r="G2672" t="str">
        <f t="shared" si="74"/>
        <v/>
      </c>
      <c r="H2672" s="33">
        <f>IF(ISNUMBER(SEARCH("Group",D2672)),IF(G2672="",E2672,IFERROR(E2672/COUNTIF($G2:$G6000,G2672),E2672)),E2672)</f>
        <v>0</v>
      </c>
      <c r="I2672" s="1" t="str">
        <f>IFERROR(VLOOKUP(C2672,'Clients List'!A:F,6,FALSE),"")</f>
        <v/>
      </c>
    </row>
    <row r="2673" spans="4:9" x14ac:dyDescent="0.45">
      <c r="D2673" t="str">
        <f>IFERROR(VLOOKUP(C2673,'Clients List'!$A:$F,2,FALSE),"")</f>
        <v/>
      </c>
      <c r="F2673" s="1" t="str">
        <f>IF(OR(C2673="",NOT(ISNUMBER(SEARCH("Package",D2673)))),"",VLOOKUP(C2673,'Clients List'!$A:$F,4,FALSE)-SUMIFS($E$2:$E2673,$C$2:$C2673,C2673,$D$2:$D2673,"*Package*"))</f>
        <v/>
      </c>
      <c r="G2673" t="str">
        <f t="shared" si="74"/>
        <v/>
      </c>
      <c r="H2673" s="33">
        <f>IF(ISNUMBER(SEARCH("Group",D2673)),IF(G2673="",E2673,IFERROR(E2673/COUNTIF($G2:$G6000,G2673),E2673)),E2673)</f>
        <v>0</v>
      </c>
      <c r="I2673" s="1" t="str">
        <f>IFERROR(VLOOKUP(C2673,'Clients List'!A:F,6,FALSE),"")</f>
        <v/>
      </c>
    </row>
    <row r="2674" spans="4:9" x14ac:dyDescent="0.45">
      <c r="D2674" t="str">
        <f>IFERROR(VLOOKUP(C2674,'Clients List'!$A:$F,2,FALSE),"")</f>
        <v/>
      </c>
      <c r="F2674" s="1" t="str">
        <f>IF(OR(C2674="",NOT(ISNUMBER(SEARCH("Package",D2674)))),"",VLOOKUP(C2674,'Clients List'!$A:$F,4,FALSE)-SUMIFS($E$2:$E2674,$C$2:$C2674,C2674,$D$2:$D2674,"*Package*"))</f>
        <v/>
      </c>
      <c r="G2674" t="str">
        <f t="shared" si="74"/>
        <v/>
      </c>
      <c r="H2674" s="33">
        <f>IF(ISNUMBER(SEARCH("Group",D2674)),IF(G2674="",E2674,IFERROR(E2674/COUNTIF($G2:$G6000,G2674),E2674)),E2674)</f>
        <v>0</v>
      </c>
      <c r="I2674" s="1" t="str">
        <f>IFERROR(VLOOKUP(C2674,'Clients List'!A:F,6,FALSE),"")</f>
        <v/>
      </c>
    </row>
    <row r="2675" spans="4:9" x14ac:dyDescent="0.45">
      <c r="D2675" t="str">
        <f>IFERROR(VLOOKUP(C2675,'Clients List'!$A:$F,2,FALSE),"")</f>
        <v/>
      </c>
      <c r="F2675" s="1" t="str">
        <f>IF(OR(C2675="",NOT(ISNUMBER(SEARCH("Package",D2675)))),"",VLOOKUP(C2675,'Clients List'!$A:$F,4,FALSE)-SUMIFS($E$2:$E2675,$C$2:$C2675,C2675,$D$2:$D2675,"*Package*"))</f>
        <v/>
      </c>
      <c r="G2675" t="str">
        <f t="shared" si="74"/>
        <v/>
      </c>
      <c r="H2675" s="33">
        <f>IF(ISNUMBER(SEARCH("Group",D2675)),IF(G2675="",E2675,IFERROR(E2675/COUNTIF($G2:$G6000,G2675),E2675)),E2675)</f>
        <v>0</v>
      </c>
      <c r="I2675" s="1" t="str">
        <f>IFERROR(VLOOKUP(C2675,'Clients List'!A:F,6,FALSE),"")</f>
        <v/>
      </c>
    </row>
    <row r="2676" spans="4:9" x14ac:dyDescent="0.45">
      <c r="D2676" t="str">
        <f>IFERROR(VLOOKUP(C2676,'Clients List'!$A:$F,2,FALSE),"")</f>
        <v/>
      </c>
      <c r="F2676" s="1" t="str">
        <f>IF(OR(C2676="",NOT(ISNUMBER(SEARCH("Package",D2676)))),"",VLOOKUP(C2676,'Clients List'!$A:$F,4,FALSE)-SUMIFS($E$2:$E2676,$C$2:$C2676,C2676,$D$2:$D2676,"*Package*"))</f>
        <v/>
      </c>
      <c r="G2676" t="str">
        <f t="shared" si="74"/>
        <v/>
      </c>
      <c r="H2676" s="33">
        <f>IF(ISNUMBER(SEARCH("Group",D2676)),IF(G2676="",E2676,IFERROR(E2676/COUNTIF($G2:$G6000,G2676),E2676)),E2676)</f>
        <v>0</v>
      </c>
      <c r="I2676" s="1" t="str">
        <f>IFERROR(VLOOKUP(C2676,'Clients List'!A:F,6,FALSE),"")</f>
        <v/>
      </c>
    </row>
    <row r="2677" spans="4:9" x14ac:dyDescent="0.45">
      <c r="D2677" t="str">
        <f>IFERROR(VLOOKUP(C2677,'Clients List'!$A:$F,2,FALSE),"")</f>
        <v/>
      </c>
      <c r="F2677" s="1" t="str">
        <f>IF(OR(C2677="",NOT(ISNUMBER(SEARCH("Package",D2677)))),"",VLOOKUP(C2677,'Clients List'!$A:$F,4,FALSE)-SUMIFS($E$2:$E2677,$C$2:$C2677,C2677,$D$2:$D2677,"*Package*"))</f>
        <v/>
      </c>
      <c r="G2677" t="str">
        <f t="shared" ref="G2677:G2740" si="75">IF(ISNUMBER(SEARCH("Group",D2677)),IFERROR("GRP-"&amp;TEXT(IF(ISNUMBER(A2677),A2677,DATEVALUE(A2677)),"yyyymmdd"),""),"" )</f>
        <v/>
      </c>
      <c r="H2677" s="33">
        <f>IF(ISNUMBER(SEARCH("Group",D2677)),IF(G2677="",E2677,IFERROR(E2677/COUNTIF($G2:$G6000,G2677),E2677)),E2677)</f>
        <v>0</v>
      </c>
      <c r="I2677" s="1" t="str">
        <f>IFERROR(VLOOKUP(C2677,'Clients List'!A:F,6,FALSE),"")</f>
        <v/>
      </c>
    </row>
    <row r="2678" spans="4:9" x14ac:dyDescent="0.45">
      <c r="D2678" t="str">
        <f>IFERROR(VLOOKUP(C2678,'Clients List'!$A:$F,2,FALSE),"")</f>
        <v/>
      </c>
      <c r="F2678" s="1" t="str">
        <f>IF(OR(C2678="",NOT(ISNUMBER(SEARCH("Package",D2678)))),"",VLOOKUP(C2678,'Clients List'!$A:$F,4,FALSE)-SUMIFS($E$2:$E2678,$C$2:$C2678,C2678,$D$2:$D2678,"*Package*"))</f>
        <v/>
      </c>
      <c r="G2678" t="str">
        <f t="shared" si="75"/>
        <v/>
      </c>
      <c r="H2678" s="33">
        <f>IF(ISNUMBER(SEARCH("Group",D2678)),IF(G2678="",E2678,IFERROR(E2678/COUNTIF($G2:$G6000,G2678),E2678)),E2678)</f>
        <v>0</v>
      </c>
      <c r="I2678" s="1" t="str">
        <f>IFERROR(VLOOKUP(C2678,'Clients List'!A:F,6,FALSE),"")</f>
        <v/>
      </c>
    </row>
    <row r="2679" spans="4:9" x14ac:dyDescent="0.45">
      <c r="D2679" t="str">
        <f>IFERROR(VLOOKUP(C2679,'Clients List'!$A:$F,2,FALSE),"")</f>
        <v/>
      </c>
      <c r="F2679" s="1" t="str">
        <f>IF(OR(C2679="",NOT(ISNUMBER(SEARCH("Package",D2679)))),"",VLOOKUP(C2679,'Clients List'!$A:$F,4,FALSE)-SUMIFS($E$2:$E2679,$C$2:$C2679,C2679,$D$2:$D2679,"*Package*"))</f>
        <v/>
      </c>
      <c r="G2679" t="str">
        <f t="shared" si="75"/>
        <v/>
      </c>
      <c r="H2679" s="33">
        <f>IF(ISNUMBER(SEARCH("Group",D2679)),IF(G2679="",E2679,IFERROR(E2679/COUNTIF($G2:$G6000,G2679),E2679)),E2679)</f>
        <v>0</v>
      </c>
      <c r="I2679" s="1" t="str">
        <f>IFERROR(VLOOKUP(C2679,'Clients List'!A:F,6,FALSE),"")</f>
        <v/>
      </c>
    </row>
    <row r="2680" spans="4:9" x14ac:dyDescent="0.45">
      <c r="D2680" t="str">
        <f>IFERROR(VLOOKUP(C2680,'Clients List'!$A:$F,2,FALSE),"")</f>
        <v/>
      </c>
      <c r="F2680" s="1" t="str">
        <f>IF(OR(C2680="",NOT(ISNUMBER(SEARCH("Package",D2680)))),"",VLOOKUP(C2680,'Clients List'!$A:$F,4,FALSE)-SUMIFS($E$2:$E2680,$C$2:$C2680,C2680,$D$2:$D2680,"*Package*"))</f>
        <v/>
      </c>
      <c r="G2680" t="str">
        <f t="shared" si="75"/>
        <v/>
      </c>
      <c r="H2680" s="33">
        <f>IF(ISNUMBER(SEARCH("Group",D2680)),IF(G2680="",E2680,IFERROR(E2680/COUNTIF($G2:$G6000,G2680),E2680)),E2680)</f>
        <v>0</v>
      </c>
      <c r="I2680" s="1" t="str">
        <f>IFERROR(VLOOKUP(C2680,'Clients List'!A:F,6,FALSE),"")</f>
        <v/>
      </c>
    </row>
    <row r="2681" spans="4:9" x14ac:dyDescent="0.45">
      <c r="D2681" t="str">
        <f>IFERROR(VLOOKUP(C2681,'Clients List'!$A:$F,2,FALSE),"")</f>
        <v/>
      </c>
      <c r="F2681" s="1" t="str">
        <f>IF(OR(C2681="",NOT(ISNUMBER(SEARCH("Package",D2681)))),"",VLOOKUP(C2681,'Clients List'!$A:$F,4,FALSE)-SUMIFS($E$2:$E2681,$C$2:$C2681,C2681,$D$2:$D2681,"*Package*"))</f>
        <v/>
      </c>
      <c r="G2681" t="str">
        <f t="shared" si="75"/>
        <v/>
      </c>
      <c r="H2681" s="33">
        <f>IF(ISNUMBER(SEARCH("Group",D2681)),IF(G2681="",E2681,IFERROR(E2681/COUNTIF($G2:$G6000,G2681),E2681)),E2681)</f>
        <v>0</v>
      </c>
      <c r="I2681" s="1" t="str">
        <f>IFERROR(VLOOKUP(C2681,'Clients List'!A:F,6,FALSE),"")</f>
        <v/>
      </c>
    </row>
    <row r="2682" spans="4:9" x14ac:dyDescent="0.45">
      <c r="D2682" t="str">
        <f>IFERROR(VLOOKUP(C2682,'Clients List'!$A:$F,2,FALSE),"")</f>
        <v/>
      </c>
      <c r="F2682" s="1" t="str">
        <f>IF(OR(C2682="",NOT(ISNUMBER(SEARCH("Package",D2682)))),"",VLOOKUP(C2682,'Clients List'!$A:$F,4,FALSE)-SUMIFS($E$2:$E2682,$C$2:$C2682,C2682,$D$2:$D2682,"*Package*"))</f>
        <v/>
      </c>
      <c r="G2682" t="str">
        <f t="shared" si="75"/>
        <v/>
      </c>
      <c r="H2682" s="33">
        <f>IF(ISNUMBER(SEARCH("Group",D2682)),IF(G2682="",E2682,IFERROR(E2682/COUNTIF($G2:$G6000,G2682),E2682)),E2682)</f>
        <v>0</v>
      </c>
      <c r="I2682" s="1" t="str">
        <f>IFERROR(VLOOKUP(C2682,'Clients List'!A:F,6,FALSE),"")</f>
        <v/>
      </c>
    </row>
    <row r="2683" spans="4:9" x14ac:dyDescent="0.45">
      <c r="D2683" t="str">
        <f>IFERROR(VLOOKUP(C2683,'Clients List'!$A:$F,2,FALSE),"")</f>
        <v/>
      </c>
      <c r="F2683" s="1" t="str">
        <f>IF(OR(C2683="",NOT(ISNUMBER(SEARCH("Package",D2683)))),"",VLOOKUP(C2683,'Clients List'!$A:$F,4,FALSE)-SUMIFS($E$2:$E2683,$C$2:$C2683,C2683,$D$2:$D2683,"*Package*"))</f>
        <v/>
      </c>
      <c r="G2683" t="str">
        <f t="shared" si="75"/>
        <v/>
      </c>
      <c r="H2683" s="33">
        <f>IF(ISNUMBER(SEARCH("Group",D2683)),IF(G2683="",E2683,IFERROR(E2683/COUNTIF($G2:$G6000,G2683),E2683)),E2683)</f>
        <v>0</v>
      </c>
      <c r="I2683" s="1" t="str">
        <f>IFERROR(VLOOKUP(C2683,'Clients List'!A:F,6,FALSE),"")</f>
        <v/>
      </c>
    </row>
    <row r="2684" spans="4:9" x14ac:dyDescent="0.45">
      <c r="D2684" t="str">
        <f>IFERROR(VLOOKUP(C2684,'Clients List'!$A:$F,2,FALSE),"")</f>
        <v/>
      </c>
      <c r="F2684" s="1" t="str">
        <f>IF(OR(C2684="",NOT(ISNUMBER(SEARCH("Package",D2684)))),"",VLOOKUP(C2684,'Clients List'!$A:$F,4,FALSE)-SUMIFS($E$2:$E2684,$C$2:$C2684,C2684,$D$2:$D2684,"*Package*"))</f>
        <v/>
      </c>
      <c r="G2684" t="str">
        <f t="shared" si="75"/>
        <v/>
      </c>
      <c r="H2684" s="33">
        <f>IF(ISNUMBER(SEARCH("Group",D2684)),IF(G2684="",E2684,IFERROR(E2684/COUNTIF($G2:$G6000,G2684),E2684)),E2684)</f>
        <v>0</v>
      </c>
      <c r="I2684" s="1" t="str">
        <f>IFERROR(VLOOKUP(C2684,'Clients List'!A:F,6,FALSE),"")</f>
        <v/>
      </c>
    </row>
    <row r="2685" spans="4:9" x14ac:dyDescent="0.45">
      <c r="D2685" t="str">
        <f>IFERROR(VLOOKUP(C2685,'Clients List'!$A:$F,2,FALSE),"")</f>
        <v/>
      </c>
      <c r="F2685" s="1" t="str">
        <f>IF(OR(C2685="",NOT(ISNUMBER(SEARCH("Package",D2685)))),"",VLOOKUP(C2685,'Clients List'!$A:$F,4,FALSE)-SUMIFS($E$2:$E2685,$C$2:$C2685,C2685,$D$2:$D2685,"*Package*"))</f>
        <v/>
      </c>
      <c r="G2685" t="str">
        <f t="shared" si="75"/>
        <v/>
      </c>
      <c r="H2685" s="33">
        <f>IF(ISNUMBER(SEARCH("Group",D2685)),IF(G2685="",E2685,IFERROR(E2685/COUNTIF($G2:$G6000,G2685),E2685)),E2685)</f>
        <v>0</v>
      </c>
      <c r="I2685" s="1" t="str">
        <f>IFERROR(VLOOKUP(C2685,'Clients List'!A:F,6,FALSE),"")</f>
        <v/>
      </c>
    </row>
    <row r="2686" spans="4:9" x14ac:dyDescent="0.45">
      <c r="D2686" t="str">
        <f>IFERROR(VLOOKUP(C2686,'Clients List'!$A:$F,2,FALSE),"")</f>
        <v/>
      </c>
      <c r="F2686" s="1" t="str">
        <f>IF(OR(C2686="",NOT(ISNUMBER(SEARCH("Package",D2686)))),"",VLOOKUP(C2686,'Clients List'!$A:$F,4,FALSE)-SUMIFS($E$2:$E2686,$C$2:$C2686,C2686,$D$2:$D2686,"*Package*"))</f>
        <v/>
      </c>
      <c r="G2686" t="str">
        <f t="shared" si="75"/>
        <v/>
      </c>
      <c r="H2686" s="33">
        <f>IF(ISNUMBER(SEARCH("Group",D2686)),IF(G2686="",E2686,IFERROR(E2686/COUNTIF($G2:$G6000,G2686),E2686)),E2686)</f>
        <v>0</v>
      </c>
      <c r="I2686" s="1" t="str">
        <f>IFERROR(VLOOKUP(C2686,'Clients List'!A:F,6,FALSE),"")</f>
        <v/>
      </c>
    </row>
    <row r="2687" spans="4:9" x14ac:dyDescent="0.45">
      <c r="D2687" t="str">
        <f>IFERROR(VLOOKUP(C2687,'Clients List'!$A:$F,2,FALSE),"")</f>
        <v/>
      </c>
      <c r="F2687" s="1" t="str">
        <f>IF(OR(C2687="",NOT(ISNUMBER(SEARCH("Package",D2687)))),"",VLOOKUP(C2687,'Clients List'!$A:$F,4,FALSE)-SUMIFS($E$2:$E2687,$C$2:$C2687,C2687,$D$2:$D2687,"*Package*"))</f>
        <v/>
      </c>
      <c r="G2687" t="str">
        <f t="shared" si="75"/>
        <v/>
      </c>
      <c r="H2687" s="33">
        <f>IF(ISNUMBER(SEARCH("Group",D2687)),IF(G2687="",E2687,IFERROR(E2687/COUNTIF($G2:$G6000,G2687),E2687)),E2687)</f>
        <v>0</v>
      </c>
      <c r="I2687" s="1" t="str">
        <f>IFERROR(VLOOKUP(C2687,'Clients List'!A:F,6,FALSE),"")</f>
        <v/>
      </c>
    </row>
    <row r="2688" spans="4:9" x14ac:dyDescent="0.45">
      <c r="D2688" t="str">
        <f>IFERROR(VLOOKUP(C2688,'Clients List'!$A:$F,2,FALSE),"")</f>
        <v/>
      </c>
      <c r="F2688" s="1" t="str">
        <f>IF(OR(C2688="",NOT(ISNUMBER(SEARCH("Package",D2688)))),"",VLOOKUP(C2688,'Clients List'!$A:$F,4,FALSE)-SUMIFS($E$2:$E2688,$C$2:$C2688,C2688,$D$2:$D2688,"*Package*"))</f>
        <v/>
      </c>
      <c r="G2688" t="str">
        <f t="shared" si="75"/>
        <v/>
      </c>
      <c r="H2688" s="33">
        <f>IF(ISNUMBER(SEARCH("Group",D2688)),IF(G2688="",E2688,IFERROR(E2688/COUNTIF($G2:$G6000,G2688),E2688)),E2688)</f>
        <v>0</v>
      </c>
      <c r="I2688" s="1" t="str">
        <f>IFERROR(VLOOKUP(C2688,'Clients List'!A:F,6,FALSE),"")</f>
        <v/>
      </c>
    </row>
    <row r="2689" spans="4:9" x14ac:dyDescent="0.45">
      <c r="D2689" t="str">
        <f>IFERROR(VLOOKUP(C2689,'Clients List'!$A:$F,2,FALSE),"")</f>
        <v/>
      </c>
      <c r="F2689" s="1" t="str">
        <f>IF(OR(C2689="",NOT(ISNUMBER(SEARCH("Package",D2689)))),"",VLOOKUP(C2689,'Clients List'!$A:$F,4,FALSE)-SUMIFS($E$2:$E2689,$C$2:$C2689,C2689,$D$2:$D2689,"*Package*"))</f>
        <v/>
      </c>
      <c r="G2689" t="str">
        <f t="shared" si="75"/>
        <v/>
      </c>
      <c r="H2689" s="33">
        <f>IF(ISNUMBER(SEARCH("Group",D2689)),IF(G2689="",E2689,IFERROR(E2689/COUNTIF($G2:$G6000,G2689),E2689)),E2689)</f>
        <v>0</v>
      </c>
      <c r="I2689" s="1" t="str">
        <f>IFERROR(VLOOKUP(C2689,'Clients List'!A:F,6,FALSE),"")</f>
        <v/>
      </c>
    </row>
    <row r="2690" spans="4:9" x14ac:dyDescent="0.45">
      <c r="D2690" t="str">
        <f>IFERROR(VLOOKUP(C2690,'Clients List'!$A:$F,2,FALSE),"")</f>
        <v/>
      </c>
      <c r="F2690" s="1" t="str">
        <f>IF(OR(C2690="",NOT(ISNUMBER(SEARCH("Package",D2690)))),"",VLOOKUP(C2690,'Clients List'!$A:$F,4,FALSE)-SUMIFS($E$2:$E2690,$C$2:$C2690,C2690,$D$2:$D2690,"*Package*"))</f>
        <v/>
      </c>
      <c r="G2690" t="str">
        <f t="shared" si="75"/>
        <v/>
      </c>
      <c r="H2690" s="33">
        <f>IF(ISNUMBER(SEARCH("Group",D2690)),IF(G2690="",E2690,IFERROR(E2690/COUNTIF($G2:$G6000,G2690),E2690)),E2690)</f>
        <v>0</v>
      </c>
      <c r="I2690" s="1" t="str">
        <f>IFERROR(VLOOKUP(C2690,'Clients List'!A:F,6,FALSE),"")</f>
        <v/>
      </c>
    </row>
    <row r="2691" spans="4:9" x14ac:dyDescent="0.45">
      <c r="D2691" t="str">
        <f>IFERROR(VLOOKUP(C2691,'Clients List'!$A:$F,2,FALSE),"")</f>
        <v/>
      </c>
      <c r="F2691" s="1" t="str">
        <f>IF(OR(C2691="",NOT(ISNUMBER(SEARCH("Package",D2691)))),"",VLOOKUP(C2691,'Clients List'!$A:$F,4,FALSE)-SUMIFS($E$2:$E2691,$C$2:$C2691,C2691,$D$2:$D2691,"*Package*"))</f>
        <v/>
      </c>
      <c r="G2691" t="str">
        <f t="shared" si="75"/>
        <v/>
      </c>
      <c r="H2691" s="33">
        <f>IF(ISNUMBER(SEARCH("Group",D2691)),IF(G2691="",E2691,IFERROR(E2691/COUNTIF($G2:$G6000,G2691),E2691)),E2691)</f>
        <v>0</v>
      </c>
      <c r="I2691" s="1" t="str">
        <f>IFERROR(VLOOKUP(C2691,'Clients List'!A:F,6,FALSE),"")</f>
        <v/>
      </c>
    </row>
    <row r="2692" spans="4:9" x14ac:dyDescent="0.45">
      <c r="D2692" t="str">
        <f>IFERROR(VLOOKUP(C2692,'Clients List'!$A:$F,2,FALSE),"")</f>
        <v/>
      </c>
      <c r="F2692" s="1" t="str">
        <f>IF(OR(C2692="",NOT(ISNUMBER(SEARCH("Package",D2692)))),"",VLOOKUP(C2692,'Clients List'!$A:$F,4,FALSE)-SUMIFS($E$2:$E2692,$C$2:$C2692,C2692,$D$2:$D2692,"*Package*"))</f>
        <v/>
      </c>
      <c r="G2692" t="str">
        <f t="shared" si="75"/>
        <v/>
      </c>
      <c r="H2692" s="33">
        <f>IF(ISNUMBER(SEARCH("Group",D2692)),IF(G2692="",E2692,IFERROR(E2692/COUNTIF($G2:$G6000,G2692),E2692)),E2692)</f>
        <v>0</v>
      </c>
      <c r="I2692" s="1" t="str">
        <f>IFERROR(VLOOKUP(C2692,'Clients List'!A:F,6,FALSE),"")</f>
        <v/>
      </c>
    </row>
    <row r="2693" spans="4:9" x14ac:dyDescent="0.45">
      <c r="D2693" t="str">
        <f>IFERROR(VLOOKUP(C2693,'Clients List'!$A:$F,2,FALSE),"")</f>
        <v/>
      </c>
      <c r="F2693" s="1" t="str">
        <f>IF(OR(C2693="",NOT(ISNUMBER(SEARCH("Package",D2693)))),"",VLOOKUP(C2693,'Clients List'!$A:$F,4,FALSE)-SUMIFS($E$2:$E2693,$C$2:$C2693,C2693,$D$2:$D2693,"*Package*"))</f>
        <v/>
      </c>
      <c r="G2693" t="str">
        <f t="shared" si="75"/>
        <v/>
      </c>
      <c r="H2693" s="33">
        <f>IF(ISNUMBER(SEARCH("Group",D2693)),IF(G2693="",E2693,IFERROR(E2693/COUNTIF($G2:$G6000,G2693),E2693)),E2693)</f>
        <v>0</v>
      </c>
      <c r="I2693" s="1" t="str">
        <f>IFERROR(VLOOKUP(C2693,'Clients List'!A:F,6,FALSE),"")</f>
        <v/>
      </c>
    </row>
    <row r="2694" spans="4:9" x14ac:dyDescent="0.45">
      <c r="D2694" t="str">
        <f>IFERROR(VLOOKUP(C2694,'Clients List'!$A:$F,2,FALSE),"")</f>
        <v/>
      </c>
      <c r="F2694" s="1" t="str">
        <f>IF(OR(C2694="",NOT(ISNUMBER(SEARCH("Package",D2694)))),"",VLOOKUP(C2694,'Clients List'!$A:$F,4,FALSE)-SUMIFS($E$2:$E2694,$C$2:$C2694,C2694,$D$2:$D2694,"*Package*"))</f>
        <v/>
      </c>
      <c r="G2694" t="str">
        <f t="shared" si="75"/>
        <v/>
      </c>
      <c r="H2694" s="33">
        <f>IF(ISNUMBER(SEARCH("Group",D2694)),IF(G2694="",E2694,IFERROR(E2694/COUNTIF($G2:$G6000,G2694),E2694)),E2694)</f>
        <v>0</v>
      </c>
      <c r="I2694" s="1" t="str">
        <f>IFERROR(VLOOKUP(C2694,'Clients List'!A:F,6,FALSE),"")</f>
        <v/>
      </c>
    </row>
    <row r="2695" spans="4:9" x14ac:dyDescent="0.45">
      <c r="D2695" t="str">
        <f>IFERROR(VLOOKUP(C2695,'Clients List'!$A:$F,2,FALSE),"")</f>
        <v/>
      </c>
      <c r="F2695" s="1" t="str">
        <f>IF(OR(C2695="",NOT(ISNUMBER(SEARCH("Package",D2695)))),"",VLOOKUP(C2695,'Clients List'!$A:$F,4,FALSE)-SUMIFS($E$2:$E2695,$C$2:$C2695,C2695,$D$2:$D2695,"*Package*"))</f>
        <v/>
      </c>
      <c r="G2695" t="str">
        <f t="shared" si="75"/>
        <v/>
      </c>
      <c r="H2695" s="33">
        <f>IF(ISNUMBER(SEARCH("Group",D2695)),IF(G2695="",E2695,IFERROR(E2695/COUNTIF($G2:$G6000,G2695),E2695)),E2695)</f>
        <v>0</v>
      </c>
      <c r="I2695" s="1" t="str">
        <f>IFERROR(VLOOKUP(C2695,'Clients List'!A:F,6,FALSE),"")</f>
        <v/>
      </c>
    </row>
    <row r="2696" spans="4:9" x14ac:dyDescent="0.45">
      <c r="D2696" t="str">
        <f>IFERROR(VLOOKUP(C2696,'Clients List'!$A:$F,2,FALSE),"")</f>
        <v/>
      </c>
      <c r="F2696" s="1" t="str">
        <f>IF(OR(C2696="",NOT(ISNUMBER(SEARCH("Package",D2696)))),"",VLOOKUP(C2696,'Clients List'!$A:$F,4,FALSE)-SUMIFS($E$2:$E2696,$C$2:$C2696,C2696,$D$2:$D2696,"*Package*"))</f>
        <v/>
      </c>
      <c r="G2696" t="str">
        <f t="shared" si="75"/>
        <v/>
      </c>
      <c r="H2696" s="33">
        <f>IF(ISNUMBER(SEARCH("Group",D2696)),IF(G2696="",E2696,IFERROR(E2696/COUNTIF($G2:$G6000,G2696),E2696)),E2696)</f>
        <v>0</v>
      </c>
      <c r="I2696" s="1" t="str">
        <f>IFERROR(VLOOKUP(C2696,'Clients List'!A:F,6,FALSE),"")</f>
        <v/>
      </c>
    </row>
    <row r="2697" spans="4:9" x14ac:dyDescent="0.45">
      <c r="D2697" t="str">
        <f>IFERROR(VLOOKUP(C2697,'Clients List'!$A:$F,2,FALSE),"")</f>
        <v/>
      </c>
      <c r="F2697" s="1" t="str">
        <f>IF(OR(C2697="",NOT(ISNUMBER(SEARCH("Package",D2697)))),"",VLOOKUP(C2697,'Clients List'!$A:$F,4,FALSE)-SUMIFS($E$2:$E2697,$C$2:$C2697,C2697,$D$2:$D2697,"*Package*"))</f>
        <v/>
      </c>
      <c r="G2697" t="str">
        <f t="shared" si="75"/>
        <v/>
      </c>
      <c r="H2697" s="33">
        <f>IF(ISNUMBER(SEARCH("Group",D2697)),IF(G2697="",E2697,IFERROR(E2697/COUNTIF($G2:$G6000,G2697),E2697)),E2697)</f>
        <v>0</v>
      </c>
      <c r="I2697" s="1" t="str">
        <f>IFERROR(VLOOKUP(C2697,'Clients List'!A:F,6,FALSE),"")</f>
        <v/>
      </c>
    </row>
    <row r="2698" spans="4:9" x14ac:dyDescent="0.45">
      <c r="D2698" t="str">
        <f>IFERROR(VLOOKUP(C2698,'Clients List'!$A:$F,2,FALSE),"")</f>
        <v/>
      </c>
      <c r="F2698" s="1" t="str">
        <f>IF(OR(C2698="",NOT(ISNUMBER(SEARCH("Package",D2698)))),"",VLOOKUP(C2698,'Clients List'!$A:$F,4,FALSE)-SUMIFS($E$2:$E2698,$C$2:$C2698,C2698,$D$2:$D2698,"*Package*"))</f>
        <v/>
      </c>
      <c r="G2698" t="str">
        <f t="shared" si="75"/>
        <v/>
      </c>
      <c r="H2698" s="33">
        <f>IF(ISNUMBER(SEARCH("Group",D2698)),IF(G2698="",E2698,IFERROR(E2698/COUNTIF($G2:$G6000,G2698),E2698)),E2698)</f>
        <v>0</v>
      </c>
      <c r="I2698" s="1" t="str">
        <f>IFERROR(VLOOKUP(C2698,'Clients List'!A:F,6,FALSE),"")</f>
        <v/>
      </c>
    </row>
    <row r="2699" spans="4:9" x14ac:dyDescent="0.45">
      <c r="D2699" t="str">
        <f>IFERROR(VLOOKUP(C2699,'Clients List'!$A:$F,2,FALSE),"")</f>
        <v/>
      </c>
      <c r="F2699" s="1" t="str">
        <f>IF(OR(C2699="",NOT(ISNUMBER(SEARCH("Package",D2699)))),"",VLOOKUP(C2699,'Clients List'!$A:$F,4,FALSE)-SUMIFS($E$2:$E2699,$C$2:$C2699,C2699,$D$2:$D2699,"*Package*"))</f>
        <v/>
      </c>
      <c r="G2699" t="str">
        <f t="shared" si="75"/>
        <v/>
      </c>
      <c r="H2699" s="33">
        <f>IF(ISNUMBER(SEARCH("Group",D2699)),IF(G2699="",E2699,IFERROR(E2699/COUNTIF($G2:$G6000,G2699),E2699)),E2699)</f>
        <v>0</v>
      </c>
      <c r="I2699" s="1" t="str">
        <f>IFERROR(VLOOKUP(C2699,'Clients List'!A:F,6,FALSE),"")</f>
        <v/>
      </c>
    </row>
    <row r="2700" spans="4:9" x14ac:dyDescent="0.45">
      <c r="D2700" t="str">
        <f>IFERROR(VLOOKUP(C2700,'Clients List'!$A:$F,2,FALSE),"")</f>
        <v/>
      </c>
      <c r="F2700" s="1" t="str">
        <f>IF(OR(C2700="",NOT(ISNUMBER(SEARCH("Package",D2700)))),"",VLOOKUP(C2700,'Clients List'!$A:$F,4,FALSE)-SUMIFS($E$2:$E2700,$C$2:$C2700,C2700,$D$2:$D2700,"*Package*"))</f>
        <v/>
      </c>
      <c r="G2700" t="str">
        <f t="shared" si="75"/>
        <v/>
      </c>
      <c r="H2700" s="33">
        <f>IF(ISNUMBER(SEARCH("Group",D2700)),IF(G2700="",E2700,IFERROR(E2700/COUNTIF($G2:$G6000,G2700),E2700)),E2700)</f>
        <v>0</v>
      </c>
      <c r="I2700" s="1" t="str">
        <f>IFERROR(VLOOKUP(C2700,'Clients List'!A:F,6,FALSE),"")</f>
        <v/>
      </c>
    </row>
    <row r="2701" spans="4:9" x14ac:dyDescent="0.45">
      <c r="D2701" t="str">
        <f>IFERROR(VLOOKUP(C2701,'Clients List'!$A:$F,2,FALSE),"")</f>
        <v/>
      </c>
      <c r="F2701" s="1" t="str">
        <f>IF(OR(C2701="",NOT(ISNUMBER(SEARCH("Package",D2701)))),"",VLOOKUP(C2701,'Clients List'!$A:$F,4,FALSE)-SUMIFS($E$2:$E2701,$C$2:$C2701,C2701,$D$2:$D2701,"*Package*"))</f>
        <v/>
      </c>
      <c r="G2701" t="str">
        <f t="shared" si="75"/>
        <v/>
      </c>
      <c r="H2701" s="33">
        <f>IF(ISNUMBER(SEARCH("Group",D2701)),IF(G2701="",E2701,IFERROR(E2701/COUNTIF($G2:$G6000,G2701),E2701)),E2701)</f>
        <v>0</v>
      </c>
      <c r="I2701" s="1" t="str">
        <f>IFERROR(VLOOKUP(C2701,'Clients List'!A:F,6,FALSE),"")</f>
        <v/>
      </c>
    </row>
    <row r="2702" spans="4:9" x14ac:dyDescent="0.45">
      <c r="D2702" t="str">
        <f>IFERROR(VLOOKUP(C2702,'Clients List'!$A:$F,2,FALSE),"")</f>
        <v/>
      </c>
      <c r="F2702" s="1" t="str">
        <f>IF(OR(C2702="",NOT(ISNUMBER(SEARCH("Package",D2702)))),"",VLOOKUP(C2702,'Clients List'!$A:$F,4,FALSE)-SUMIFS($E$2:$E2702,$C$2:$C2702,C2702,$D$2:$D2702,"*Package*"))</f>
        <v/>
      </c>
      <c r="G2702" t="str">
        <f t="shared" si="75"/>
        <v/>
      </c>
      <c r="H2702" s="33">
        <f>IF(ISNUMBER(SEARCH("Group",D2702)),IF(G2702="",E2702,IFERROR(E2702/COUNTIF($G2:$G6000,G2702),E2702)),E2702)</f>
        <v>0</v>
      </c>
      <c r="I2702" s="1" t="str">
        <f>IFERROR(VLOOKUP(C2702,'Clients List'!A:F,6,FALSE),"")</f>
        <v/>
      </c>
    </row>
    <row r="2703" spans="4:9" x14ac:dyDescent="0.45">
      <c r="D2703" t="str">
        <f>IFERROR(VLOOKUP(C2703,'Clients List'!$A:$F,2,FALSE),"")</f>
        <v/>
      </c>
      <c r="F2703" s="1" t="str">
        <f>IF(OR(C2703="",NOT(ISNUMBER(SEARCH("Package",D2703)))),"",VLOOKUP(C2703,'Clients List'!$A:$F,4,FALSE)-SUMIFS($E$2:$E2703,$C$2:$C2703,C2703,$D$2:$D2703,"*Package*"))</f>
        <v/>
      </c>
      <c r="G2703" t="str">
        <f t="shared" si="75"/>
        <v/>
      </c>
      <c r="H2703" s="33">
        <f>IF(ISNUMBER(SEARCH("Group",D2703)),IF(G2703="",E2703,IFERROR(E2703/COUNTIF($G2:$G6000,G2703),E2703)),E2703)</f>
        <v>0</v>
      </c>
      <c r="I2703" s="1" t="str">
        <f>IFERROR(VLOOKUP(C2703,'Clients List'!A:F,6,FALSE),"")</f>
        <v/>
      </c>
    </row>
    <row r="2704" spans="4:9" x14ac:dyDescent="0.45">
      <c r="D2704" t="str">
        <f>IFERROR(VLOOKUP(C2704,'Clients List'!$A:$F,2,FALSE),"")</f>
        <v/>
      </c>
      <c r="F2704" s="1" t="str">
        <f>IF(OR(C2704="",NOT(ISNUMBER(SEARCH("Package",D2704)))),"",VLOOKUP(C2704,'Clients List'!$A:$F,4,FALSE)-SUMIFS($E$2:$E2704,$C$2:$C2704,C2704,$D$2:$D2704,"*Package*"))</f>
        <v/>
      </c>
      <c r="G2704" t="str">
        <f t="shared" si="75"/>
        <v/>
      </c>
      <c r="H2704" s="33">
        <f>IF(ISNUMBER(SEARCH("Group",D2704)),IF(G2704="",E2704,IFERROR(E2704/COUNTIF($G2:$G6000,G2704),E2704)),E2704)</f>
        <v>0</v>
      </c>
      <c r="I2704" s="1" t="str">
        <f>IFERROR(VLOOKUP(C2704,'Clients List'!A:F,6,FALSE),"")</f>
        <v/>
      </c>
    </row>
    <row r="2705" spans="4:9" x14ac:dyDescent="0.45">
      <c r="D2705" t="str">
        <f>IFERROR(VLOOKUP(C2705,'Clients List'!$A:$F,2,FALSE),"")</f>
        <v/>
      </c>
      <c r="F2705" s="1" t="str">
        <f>IF(OR(C2705="",NOT(ISNUMBER(SEARCH("Package",D2705)))),"",VLOOKUP(C2705,'Clients List'!$A:$F,4,FALSE)-SUMIFS($E$2:$E2705,$C$2:$C2705,C2705,$D$2:$D2705,"*Package*"))</f>
        <v/>
      </c>
      <c r="G2705" t="str">
        <f t="shared" si="75"/>
        <v/>
      </c>
      <c r="H2705" s="33">
        <f>IF(ISNUMBER(SEARCH("Group",D2705)),IF(G2705="",E2705,IFERROR(E2705/COUNTIF($G2:$G6000,G2705),E2705)),E2705)</f>
        <v>0</v>
      </c>
      <c r="I2705" s="1" t="str">
        <f>IFERROR(VLOOKUP(C2705,'Clients List'!A:F,6,FALSE),"")</f>
        <v/>
      </c>
    </row>
    <row r="2706" spans="4:9" x14ac:dyDescent="0.45">
      <c r="D2706" t="str">
        <f>IFERROR(VLOOKUP(C2706,'Clients List'!$A:$F,2,FALSE),"")</f>
        <v/>
      </c>
      <c r="F2706" s="1" t="str">
        <f>IF(OR(C2706="",NOT(ISNUMBER(SEARCH("Package",D2706)))),"",VLOOKUP(C2706,'Clients List'!$A:$F,4,FALSE)-SUMIFS($E$2:$E2706,$C$2:$C2706,C2706,$D$2:$D2706,"*Package*"))</f>
        <v/>
      </c>
      <c r="G2706" t="str">
        <f t="shared" si="75"/>
        <v/>
      </c>
      <c r="H2706" s="33">
        <f>IF(ISNUMBER(SEARCH("Group",D2706)),IF(G2706="",E2706,IFERROR(E2706/COUNTIF($G2:$G6000,G2706),E2706)),E2706)</f>
        <v>0</v>
      </c>
      <c r="I2706" s="1" t="str">
        <f>IFERROR(VLOOKUP(C2706,'Clients List'!A:F,6,FALSE),"")</f>
        <v/>
      </c>
    </row>
    <row r="2707" spans="4:9" x14ac:dyDescent="0.45">
      <c r="D2707" t="str">
        <f>IFERROR(VLOOKUP(C2707,'Clients List'!$A:$F,2,FALSE),"")</f>
        <v/>
      </c>
      <c r="F2707" s="1" t="str">
        <f>IF(OR(C2707="",NOT(ISNUMBER(SEARCH("Package",D2707)))),"",VLOOKUP(C2707,'Clients List'!$A:$F,4,FALSE)-SUMIFS($E$2:$E2707,$C$2:$C2707,C2707,$D$2:$D2707,"*Package*"))</f>
        <v/>
      </c>
      <c r="G2707" t="str">
        <f t="shared" si="75"/>
        <v/>
      </c>
      <c r="H2707" s="33">
        <f>IF(ISNUMBER(SEARCH("Group",D2707)),IF(G2707="",E2707,IFERROR(E2707/COUNTIF($G2:$G6000,G2707),E2707)),E2707)</f>
        <v>0</v>
      </c>
      <c r="I2707" s="1" t="str">
        <f>IFERROR(VLOOKUP(C2707,'Clients List'!A:F,6,FALSE),"")</f>
        <v/>
      </c>
    </row>
    <row r="2708" spans="4:9" x14ac:dyDescent="0.45">
      <c r="D2708" t="str">
        <f>IFERROR(VLOOKUP(C2708,'Clients List'!$A:$F,2,FALSE),"")</f>
        <v/>
      </c>
      <c r="F2708" s="1" t="str">
        <f>IF(OR(C2708="",NOT(ISNUMBER(SEARCH("Package",D2708)))),"",VLOOKUP(C2708,'Clients List'!$A:$F,4,FALSE)-SUMIFS($E$2:$E2708,$C$2:$C2708,C2708,$D$2:$D2708,"*Package*"))</f>
        <v/>
      </c>
      <c r="G2708" t="str">
        <f t="shared" si="75"/>
        <v/>
      </c>
      <c r="H2708" s="33">
        <f>IF(ISNUMBER(SEARCH("Group",D2708)),IF(G2708="",E2708,IFERROR(E2708/COUNTIF($G2:$G6000,G2708),E2708)),E2708)</f>
        <v>0</v>
      </c>
      <c r="I2708" s="1" t="str">
        <f>IFERROR(VLOOKUP(C2708,'Clients List'!A:F,6,FALSE),"")</f>
        <v/>
      </c>
    </row>
    <row r="2709" spans="4:9" x14ac:dyDescent="0.45">
      <c r="D2709" t="str">
        <f>IFERROR(VLOOKUP(C2709,'Clients List'!$A:$F,2,FALSE),"")</f>
        <v/>
      </c>
      <c r="F2709" s="1" t="str">
        <f>IF(OR(C2709="",NOT(ISNUMBER(SEARCH("Package",D2709)))),"",VLOOKUP(C2709,'Clients List'!$A:$F,4,FALSE)-SUMIFS($E$2:$E2709,$C$2:$C2709,C2709,$D$2:$D2709,"*Package*"))</f>
        <v/>
      </c>
      <c r="G2709" t="str">
        <f t="shared" si="75"/>
        <v/>
      </c>
      <c r="H2709" s="33">
        <f>IF(ISNUMBER(SEARCH("Group",D2709)),IF(G2709="",E2709,IFERROR(E2709/COUNTIF($G2:$G6000,G2709),E2709)),E2709)</f>
        <v>0</v>
      </c>
      <c r="I2709" s="1" t="str">
        <f>IFERROR(VLOOKUP(C2709,'Clients List'!A:F,6,FALSE),"")</f>
        <v/>
      </c>
    </row>
    <row r="2710" spans="4:9" x14ac:dyDescent="0.45">
      <c r="D2710" t="str">
        <f>IFERROR(VLOOKUP(C2710,'Clients List'!$A:$F,2,FALSE),"")</f>
        <v/>
      </c>
      <c r="F2710" s="1" t="str">
        <f>IF(OR(C2710="",NOT(ISNUMBER(SEARCH("Package",D2710)))),"",VLOOKUP(C2710,'Clients List'!$A:$F,4,FALSE)-SUMIFS($E$2:$E2710,$C$2:$C2710,C2710,$D$2:$D2710,"*Package*"))</f>
        <v/>
      </c>
      <c r="G2710" t="str">
        <f t="shared" si="75"/>
        <v/>
      </c>
      <c r="H2710" s="33">
        <f>IF(ISNUMBER(SEARCH("Group",D2710)),IF(G2710="",E2710,IFERROR(E2710/COUNTIF($G2:$G6000,G2710),E2710)),E2710)</f>
        <v>0</v>
      </c>
      <c r="I2710" s="1" t="str">
        <f>IFERROR(VLOOKUP(C2710,'Clients List'!A:F,6,FALSE),"")</f>
        <v/>
      </c>
    </row>
    <row r="2711" spans="4:9" x14ac:dyDescent="0.45">
      <c r="D2711" t="str">
        <f>IFERROR(VLOOKUP(C2711,'Clients List'!$A:$F,2,FALSE),"")</f>
        <v/>
      </c>
      <c r="F2711" s="1" t="str">
        <f>IF(OR(C2711="",NOT(ISNUMBER(SEARCH("Package",D2711)))),"",VLOOKUP(C2711,'Clients List'!$A:$F,4,FALSE)-SUMIFS($E$2:$E2711,$C$2:$C2711,C2711,$D$2:$D2711,"*Package*"))</f>
        <v/>
      </c>
      <c r="G2711" t="str">
        <f t="shared" si="75"/>
        <v/>
      </c>
      <c r="H2711" s="33">
        <f>IF(ISNUMBER(SEARCH("Group",D2711)),IF(G2711="",E2711,IFERROR(E2711/COUNTIF($G2:$G6000,G2711),E2711)),E2711)</f>
        <v>0</v>
      </c>
      <c r="I2711" s="1" t="str">
        <f>IFERROR(VLOOKUP(C2711,'Clients List'!A:F,6,FALSE),"")</f>
        <v/>
      </c>
    </row>
    <row r="2712" spans="4:9" x14ac:dyDescent="0.45">
      <c r="D2712" t="str">
        <f>IFERROR(VLOOKUP(C2712,'Clients List'!$A:$F,2,FALSE),"")</f>
        <v/>
      </c>
      <c r="F2712" s="1" t="str">
        <f>IF(OR(C2712="",NOT(ISNUMBER(SEARCH("Package",D2712)))),"",VLOOKUP(C2712,'Clients List'!$A:$F,4,FALSE)-SUMIFS($E$2:$E2712,$C$2:$C2712,C2712,$D$2:$D2712,"*Package*"))</f>
        <v/>
      </c>
      <c r="G2712" t="str">
        <f t="shared" si="75"/>
        <v/>
      </c>
      <c r="H2712" s="33">
        <f>IF(ISNUMBER(SEARCH("Group",D2712)),IF(G2712="",E2712,IFERROR(E2712/COUNTIF($G2:$G6000,G2712),E2712)),E2712)</f>
        <v>0</v>
      </c>
      <c r="I2712" s="1" t="str">
        <f>IFERROR(VLOOKUP(C2712,'Clients List'!A:F,6,FALSE),"")</f>
        <v/>
      </c>
    </row>
    <row r="2713" spans="4:9" x14ac:dyDescent="0.45">
      <c r="D2713" t="str">
        <f>IFERROR(VLOOKUP(C2713,'Clients List'!$A:$F,2,FALSE),"")</f>
        <v/>
      </c>
      <c r="F2713" s="1" t="str">
        <f>IF(OR(C2713="",NOT(ISNUMBER(SEARCH("Package",D2713)))),"",VLOOKUP(C2713,'Clients List'!$A:$F,4,FALSE)-SUMIFS($E$2:$E2713,$C$2:$C2713,C2713,$D$2:$D2713,"*Package*"))</f>
        <v/>
      </c>
      <c r="G2713" t="str">
        <f t="shared" si="75"/>
        <v/>
      </c>
      <c r="H2713" s="33">
        <f>IF(ISNUMBER(SEARCH("Group",D2713)),IF(G2713="",E2713,IFERROR(E2713/COUNTIF($G2:$G6000,G2713),E2713)),E2713)</f>
        <v>0</v>
      </c>
      <c r="I2713" s="1" t="str">
        <f>IFERROR(VLOOKUP(C2713,'Clients List'!A:F,6,FALSE),"")</f>
        <v/>
      </c>
    </row>
    <row r="2714" spans="4:9" x14ac:dyDescent="0.45">
      <c r="D2714" t="str">
        <f>IFERROR(VLOOKUP(C2714,'Clients List'!$A:$F,2,FALSE),"")</f>
        <v/>
      </c>
      <c r="F2714" s="1" t="str">
        <f>IF(OR(C2714="",NOT(ISNUMBER(SEARCH("Package",D2714)))),"",VLOOKUP(C2714,'Clients List'!$A:$F,4,FALSE)-SUMIFS($E$2:$E2714,$C$2:$C2714,C2714,$D$2:$D2714,"*Package*"))</f>
        <v/>
      </c>
      <c r="G2714" t="str">
        <f t="shared" si="75"/>
        <v/>
      </c>
      <c r="H2714" s="33">
        <f>IF(ISNUMBER(SEARCH("Group",D2714)),IF(G2714="",E2714,IFERROR(E2714/COUNTIF($G2:$G6000,G2714),E2714)),E2714)</f>
        <v>0</v>
      </c>
      <c r="I2714" s="1" t="str">
        <f>IFERROR(VLOOKUP(C2714,'Clients List'!A:F,6,FALSE),"")</f>
        <v/>
      </c>
    </row>
    <row r="2715" spans="4:9" x14ac:dyDescent="0.45">
      <c r="D2715" t="str">
        <f>IFERROR(VLOOKUP(C2715,'Clients List'!$A:$F,2,FALSE),"")</f>
        <v/>
      </c>
      <c r="F2715" s="1" t="str">
        <f>IF(OR(C2715="",NOT(ISNUMBER(SEARCH("Package",D2715)))),"",VLOOKUP(C2715,'Clients List'!$A:$F,4,FALSE)-SUMIFS($E$2:$E2715,$C$2:$C2715,C2715,$D$2:$D2715,"*Package*"))</f>
        <v/>
      </c>
      <c r="G2715" t="str">
        <f t="shared" si="75"/>
        <v/>
      </c>
      <c r="H2715" s="33">
        <f>IF(ISNUMBER(SEARCH("Group",D2715)),IF(G2715="",E2715,IFERROR(E2715/COUNTIF($G2:$G6000,G2715),E2715)),E2715)</f>
        <v>0</v>
      </c>
      <c r="I2715" s="1" t="str">
        <f>IFERROR(VLOOKUP(C2715,'Clients List'!A:F,6,FALSE),"")</f>
        <v/>
      </c>
    </row>
    <row r="2716" spans="4:9" x14ac:dyDescent="0.45">
      <c r="D2716" t="str">
        <f>IFERROR(VLOOKUP(C2716,'Clients List'!$A:$F,2,FALSE),"")</f>
        <v/>
      </c>
      <c r="F2716" s="1" t="str">
        <f>IF(OR(C2716="",NOT(ISNUMBER(SEARCH("Package",D2716)))),"",VLOOKUP(C2716,'Clients List'!$A:$F,4,FALSE)-SUMIFS($E$2:$E2716,$C$2:$C2716,C2716,$D$2:$D2716,"*Package*"))</f>
        <v/>
      </c>
      <c r="G2716" t="str">
        <f t="shared" si="75"/>
        <v/>
      </c>
      <c r="H2716" s="33">
        <f>IF(ISNUMBER(SEARCH("Group",D2716)),IF(G2716="",E2716,IFERROR(E2716/COUNTIF($G2:$G6000,G2716),E2716)),E2716)</f>
        <v>0</v>
      </c>
      <c r="I2716" s="1" t="str">
        <f>IFERROR(VLOOKUP(C2716,'Clients List'!A:F,6,FALSE),"")</f>
        <v/>
      </c>
    </row>
    <row r="2717" spans="4:9" x14ac:dyDescent="0.45">
      <c r="D2717" t="str">
        <f>IFERROR(VLOOKUP(C2717,'Clients List'!$A:$F,2,FALSE),"")</f>
        <v/>
      </c>
      <c r="F2717" s="1" t="str">
        <f>IF(OR(C2717="",NOT(ISNUMBER(SEARCH("Package",D2717)))),"",VLOOKUP(C2717,'Clients List'!$A:$F,4,FALSE)-SUMIFS($E$2:$E2717,$C$2:$C2717,C2717,$D$2:$D2717,"*Package*"))</f>
        <v/>
      </c>
      <c r="G2717" t="str">
        <f t="shared" si="75"/>
        <v/>
      </c>
      <c r="H2717" s="33">
        <f>IF(ISNUMBER(SEARCH("Group",D2717)),IF(G2717="",E2717,IFERROR(E2717/COUNTIF($G2:$G6000,G2717),E2717)),E2717)</f>
        <v>0</v>
      </c>
      <c r="I2717" s="1" t="str">
        <f>IFERROR(VLOOKUP(C2717,'Clients List'!A:F,6,FALSE),"")</f>
        <v/>
      </c>
    </row>
    <row r="2718" spans="4:9" x14ac:dyDescent="0.45">
      <c r="D2718" t="str">
        <f>IFERROR(VLOOKUP(C2718,'Clients List'!$A:$F,2,FALSE),"")</f>
        <v/>
      </c>
      <c r="F2718" s="1" t="str">
        <f>IF(OR(C2718="",NOT(ISNUMBER(SEARCH("Package",D2718)))),"",VLOOKUP(C2718,'Clients List'!$A:$F,4,FALSE)-SUMIFS($E$2:$E2718,$C$2:$C2718,C2718,$D$2:$D2718,"*Package*"))</f>
        <v/>
      </c>
      <c r="G2718" t="str">
        <f t="shared" si="75"/>
        <v/>
      </c>
      <c r="H2718" s="33">
        <f>IF(ISNUMBER(SEARCH("Group",D2718)),IF(G2718="",E2718,IFERROR(E2718/COUNTIF($G2:$G6000,G2718),E2718)),E2718)</f>
        <v>0</v>
      </c>
      <c r="I2718" s="1" t="str">
        <f>IFERROR(VLOOKUP(C2718,'Clients List'!A:F,6,FALSE),"")</f>
        <v/>
      </c>
    </row>
    <row r="2719" spans="4:9" x14ac:dyDescent="0.45">
      <c r="D2719" t="str">
        <f>IFERROR(VLOOKUP(C2719,'Clients List'!$A:$F,2,FALSE),"")</f>
        <v/>
      </c>
      <c r="F2719" s="1" t="str">
        <f>IF(OR(C2719="",NOT(ISNUMBER(SEARCH("Package",D2719)))),"",VLOOKUP(C2719,'Clients List'!$A:$F,4,FALSE)-SUMIFS($E$2:$E2719,$C$2:$C2719,C2719,$D$2:$D2719,"*Package*"))</f>
        <v/>
      </c>
      <c r="G2719" t="str">
        <f t="shared" si="75"/>
        <v/>
      </c>
      <c r="H2719" s="33">
        <f>IF(ISNUMBER(SEARCH("Group",D2719)),IF(G2719="",E2719,IFERROR(E2719/COUNTIF($G2:$G6000,G2719),E2719)),E2719)</f>
        <v>0</v>
      </c>
      <c r="I2719" s="1" t="str">
        <f>IFERROR(VLOOKUP(C2719,'Clients List'!A:F,6,FALSE),"")</f>
        <v/>
      </c>
    </row>
    <row r="2720" spans="4:9" x14ac:dyDescent="0.45">
      <c r="D2720" t="str">
        <f>IFERROR(VLOOKUP(C2720,'Clients List'!$A:$F,2,FALSE),"")</f>
        <v/>
      </c>
      <c r="F2720" s="1" t="str">
        <f>IF(OR(C2720="",NOT(ISNUMBER(SEARCH("Package",D2720)))),"",VLOOKUP(C2720,'Clients List'!$A:$F,4,FALSE)-SUMIFS($E$2:$E2720,$C$2:$C2720,C2720,$D$2:$D2720,"*Package*"))</f>
        <v/>
      </c>
      <c r="G2720" t="str">
        <f t="shared" si="75"/>
        <v/>
      </c>
      <c r="H2720" s="33">
        <f>IF(ISNUMBER(SEARCH("Group",D2720)),IF(G2720="",E2720,IFERROR(E2720/COUNTIF($G2:$G6000,G2720),E2720)),E2720)</f>
        <v>0</v>
      </c>
      <c r="I2720" s="1" t="str">
        <f>IFERROR(VLOOKUP(C2720,'Clients List'!A:F,6,FALSE),"")</f>
        <v/>
      </c>
    </row>
    <row r="2721" spans="4:9" x14ac:dyDescent="0.45">
      <c r="D2721" t="str">
        <f>IFERROR(VLOOKUP(C2721,'Clients List'!$A:$F,2,FALSE),"")</f>
        <v/>
      </c>
      <c r="F2721" s="1" t="str">
        <f>IF(OR(C2721="",NOT(ISNUMBER(SEARCH("Package",D2721)))),"",VLOOKUP(C2721,'Clients List'!$A:$F,4,FALSE)-SUMIFS($E$2:$E2721,$C$2:$C2721,C2721,$D$2:$D2721,"*Package*"))</f>
        <v/>
      </c>
      <c r="G2721" t="str">
        <f t="shared" si="75"/>
        <v/>
      </c>
      <c r="H2721" s="33">
        <f>IF(ISNUMBER(SEARCH("Group",D2721)),IF(G2721="",E2721,IFERROR(E2721/COUNTIF($G2:$G6000,G2721),E2721)),E2721)</f>
        <v>0</v>
      </c>
      <c r="I2721" s="1" t="str">
        <f>IFERROR(VLOOKUP(C2721,'Clients List'!A:F,6,FALSE),"")</f>
        <v/>
      </c>
    </row>
    <row r="2722" spans="4:9" x14ac:dyDescent="0.45">
      <c r="D2722" t="str">
        <f>IFERROR(VLOOKUP(C2722,'Clients List'!$A:$F,2,FALSE),"")</f>
        <v/>
      </c>
      <c r="F2722" s="1" t="str">
        <f>IF(OR(C2722="",NOT(ISNUMBER(SEARCH("Package",D2722)))),"",VLOOKUP(C2722,'Clients List'!$A:$F,4,FALSE)-SUMIFS($E$2:$E2722,$C$2:$C2722,C2722,$D$2:$D2722,"*Package*"))</f>
        <v/>
      </c>
      <c r="G2722" t="str">
        <f t="shared" si="75"/>
        <v/>
      </c>
      <c r="H2722" s="33">
        <f>IF(ISNUMBER(SEARCH("Group",D2722)),IF(G2722="",E2722,IFERROR(E2722/COUNTIF($G2:$G6000,G2722),E2722)),E2722)</f>
        <v>0</v>
      </c>
      <c r="I2722" s="1" t="str">
        <f>IFERROR(VLOOKUP(C2722,'Clients List'!A:F,6,FALSE),"")</f>
        <v/>
      </c>
    </row>
    <row r="2723" spans="4:9" x14ac:dyDescent="0.45">
      <c r="D2723" t="str">
        <f>IFERROR(VLOOKUP(C2723,'Clients List'!$A:$F,2,FALSE),"")</f>
        <v/>
      </c>
      <c r="F2723" s="1" t="str">
        <f>IF(OR(C2723="",NOT(ISNUMBER(SEARCH("Package",D2723)))),"",VLOOKUP(C2723,'Clients List'!$A:$F,4,FALSE)-SUMIFS($E$2:$E2723,$C$2:$C2723,C2723,$D$2:$D2723,"*Package*"))</f>
        <v/>
      </c>
      <c r="G2723" t="str">
        <f t="shared" si="75"/>
        <v/>
      </c>
      <c r="H2723" s="33">
        <f>IF(ISNUMBER(SEARCH("Group",D2723)),IF(G2723="",E2723,IFERROR(E2723/COUNTIF($G2:$G6000,G2723),E2723)),E2723)</f>
        <v>0</v>
      </c>
      <c r="I2723" s="1" t="str">
        <f>IFERROR(VLOOKUP(C2723,'Clients List'!A:F,6,FALSE),"")</f>
        <v/>
      </c>
    </row>
    <row r="2724" spans="4:9" x14ac:dyDescent="0.45">
      <c r="D2724" t="str">
        <f>IFERROR(VLOOKUP(C2724,'Clients List'!$A:$F,2,FALSE),"")</f>
        <v/>
      </c>
      <c r="F2724" s="1" t="str">
        <f>IF(OR(C2724="",NOT(ISNUMBER(SEARCH("Package",D2724)))),"",VLOOKUP(C2724,'Clients List'!$A:$F,4,FALSE)-SUMIFS($E$2:$E2724,$C$2:$C2724,C2724,$D$2:$D2724,"*Package*"))</f>
        <v/>
      </c>
      <c r="G2724" t="str">
        <f t="shared" si="75"/>
        <v/>
      </c>
      <c r="H2724" s="33">
        <f>IF(ISNUMBER(SEARCH("Group",D2724)),IF(G2724="",E2724,IFERROR(E2724/COUNTIF($G2:$G6000,G2724),E2724)),E2724)</f>
        <v>0</v>
      </c>
      <c r="I2724" s="1" t="str">
        <f>IFERROR(VLOOKUP(C2724,'Clients List'!A:F,6,FALSE),"")</f>
        <v/>
      </c>
    </row>
    <row r="2725" spans="4:9" x14ac:dyDescent="0.45">
      <c r="D2725" t="str">
        <f>IFERROR(VLOOKUP(C2725,'Clients List'!$A:$F,2,FALSE),"")</f>
        <v/>
      </c>
      <c r="F2725" s="1" t="str">
        <f>IF(OR(C2725="",NOT(ISNUMBER(SEARCH("Package",D2725)))),"",VLOOKUP(C2725,'Clients List'!$A:$F,4,FALSE)-SUMIFS($E$2:$E2725,$C$2:$C2725,C2725,$D$2:$D2725,"*Package*"))</f>
        <v/>
      </c>
      <c r="G2725" t="str">
        <f t="shared" si="75"/>
        <v/>
      </c>
      <c r="H2725" s="33">
        <f>IF(ISNUMBER(SEARCH("Group",D2725)),IF(G2725="",E2725,IFERROR(E2725/COUNTIF($G2:$G6000,G2725),E2725)),E2725)</f>
        <v>0</v>
      </c>
      <c r="I2725" s="1" t="str">
        <f>IFERROR(VLOOKUP(C2725,'Clients List'!A:F,6,FALSE),"")</f>
        <v/>
      </c>
    </row>
    <row r="2726" spans="4:9" x14ac:dyDescent="0.45">
      <c r="D2726" t="str">
        <f>IFERROR(VLOOKUP(C2726,'Clients List'!$A:$F,2,FALSE),"")</f>
        <v/>
      </c>
      <c r="F2726" s="1" t="str">
        <f>IF(OR(C2726="",NOT(ISNUMBER(SEARCH("Package",D2726)))),"",VLOOKUP(C2726,'Clients List'!$A:$F,4,FALSE)-SUMIFS($E$2:$E2726,$C$2:$C2726,C2726,$D$2:$D2726,"*Package*"))</f>
        <v/>
      </c>
      <c r="G2726" t="str">
        <f t="shared" si="75"/>
        <v/>
      </c>
      <c r="H2726" s="33">
        <f>IF(ISNUMBER(SEARCH("Group",D2726)),IF(G2726="",E2726,IFERROR(E2726/COUNTIF($G2:$G6000,G2726),E2726)),E2726)</f>
        <v>0</v>
      </c>
      <c r="I2726" s="1" t="str">
        <f>IFERROR(VLOOKUP(C2726,'Clients List'!A:F,6,FALSE),"")</f>
        <v/>
      </c>
    </row>
    <row r="2727" spans="4:9" x14ac:dyDescent="0.45">
      <c r="D2727" t="str">
        <f>IFERROR(VLOOKUP(C2727,'Clients List'!$A:$F,2,FALSE),"")</f>
        <v/>
      </c>
      <c r="F2727" s="1" t="str">
        <f>IF(OR(C2727="",NOT(ISNUMBER(SEARCH("Package",D2727)))),"",VLOOKUP(C2727,'Clients List'!$A:$F,4,FALSE)-SUMIFS($E$2:$E2727,$C$2:$C2727,C2727,$D$2:$D2727,"*Package*"))</f>
        <v/>
      </c>
      <c r="G2727" t="str">
        <f t="shared" si="75"/>
        <v/>
      </c>
      <c r="H2727" s="33">
        <f>IF(ISNUMBER(SEARCH("Group",D2727)),IF(G2727="",E2727,IFERROR(E2727/COUNTIF($G2:$G6000,G2727),E2727)),E2727)</f>
        <v>0</v>
      </c>
      <c r="I2727" s="1" t="str">
        <f>IFERROR(VLOOKUP(C2727,'Clients List'!A:F,6,FALSE),"")</f>
        <v/>
      </c>
    </row>
    <row r="2728" spans="4:9" x14ac:dyDescent="0.45">
      <c r="D2728" t="str">
        <f>IFERROR(VLOOKUP(C2728,'Clients List'!$A:$F,2,FALSE),"")</f>
        <v/>
      </c>
      <c r="F2728" s="1" t="str">
        <f>IF(OR(C2728="",NOT(ISNUMBER(SEARCH("Package",D2728)))),"",VLOOKUP(C2728,'Clients List'!$A:$F,4,FALSE)-SUMIFS($E$2:$E2728,$C$2:$C2728,C2728,$D$2:$D2728,"*Package*"))</f>
        <v/>
      </c>
      <c r="G2728" t="str">
        <f t="shared" si="75"/>
        <v/>
      </c>
      <c r="H2728" s="33">
        <f>IF(ISNUMBER(SEARCH("Group",D2728)),IF(G2728="",E2728,IFERROR(E2728/COUNTIF($G2:$G6000,G2728),E2728)),E2728)</f>
        <v>0</v>
      </c>
      <c r="I2728" s="1" t="str">
        <f>IFERROR(VLOOKUP(C2728,'Clients List'!A:F,6,FALSE),"")</f>
        <v/>
      </c>
    </row>
    <row r="2729" spans="4:9" x14ac:dyDescent="0.45">
      <c r="D2729" t="str">
        <f>IFERROR(VLOOKUP(C2729,'Clients List'!$A:$F,2,FALSE),"")</f>
        <v/>
      </c>
      <c r="F2729" s="1" t="str">
        <f>IF(OR(C2729="",NOT(ISNUMBER(SEARCH("Package",D2729)))),"",VLOOKUP(C2729,'Clients List'!$A:$F,4,FALSE)-SUMIFS($E$2:$E2729,$C$2:$C2729,C2729,$D$2:$D2729,"*Package*"))</f>
        <v/>
      </c>
      <c r="G2729" t="str">
        <f t="shared" si="75"/>
        <v/>
      </c>
      <c r="H2729" s="33">
        <f>IF(ISNUMBER(SEARCH("Group",D2729)),IF(G2729="",E2729,IFERROR(E2729/COUNTIF($G2:$G6000,G2729),E2729)),E2729)</f>
        <v>0</v>
      </c>
      <c r="I2729" s="1" t="str">
        <f>IFERROR(VLOOKUP(C2729,'Clients List'!A:F,6,FALSE),"")</f>
        <v/>
      </c>
    </row>
    <row r="2730" spans="4:9" x14ac:dyDescent="0.45">
      <c r="D2730" t="str">
        <f>IFERROR(VLOOKUP(C2730,'Clients List'!$A:$F,2,FALSE),"")</f>
        <v/>
      </c>
      <c r="F2730" s="1" t="str">
        <f>IF(OR(C2730="",NOT(ISNUMBER(SEARCH("Package",D2730)))),"",VLOOKUP(C2730,'Clients List'!$A:$F,4,FALSE)-SUMIFS($E$2:$E2730,$C$2:$C2730,C2730,$D$2:$D2730,"*Package*"))</f>
        <v/>
      </c>
      <c r="G2730" t="str">
        <f t="shared" si="75"/>
        <v/>
      </c>
      <c r="H2730" s="33">
        <f>IF(ISNUMBER(SEARCH("Group",D2730)),IF(G2730="",E2730,IFERROR(E2730/COUNTIF($G2:$G6000,G2730),E2730)),E2730)</f>
        <v>0</v>
      </c>
      <c r="I2730" s="1" t="str">
        <f>IFERROR(VLOOKUP(C2730,'Clients List'!A:F,6,FALSE),"")</f>
        <v/>
      </c>
    </row>
    <row r="2731" spans="4:9" x14ac:dyDescent="0.45">
      <c r="D2731" t="str">
        <f>IFERROR(VLOOKUP(C2731,'Clients List'!$A:$F,2,FALSE),"")</f>
        <v/>
      </c>
      <c r="F2731" s="1" t="str">
        <f>IF(OR(C2731="",NOT(ISNUMBER(SEARCH("Package",D2731)))),"",VLOOKUP(C2731,'Clients List'!$A:$F,4,FALSE)-SUMIFS($E$2:$E2731,$C$2:$C2731,C2731,$D$2:$D2731,"*Package*"))</f>
        <v/>
      </c>
      <c r="G2731" t="str">
        <f t="shared" si="75"/>
        <v/>
      </c>
      <c r="H2731" s="33">
        <f>IF(ISNUMBER(SEARCH("Group",D2731)),IF(G2731="",E2731,IFERROR(E2731/COUNTIF($G2:$G6000,G2731),E2731)),E2731)</f>
        <v>0</v>
      </c>
      <c r="I2731" s="1" t="str">
        <f>IFERROR(VLOOKUP(C2731,'Clients List'!A:F,6,FALSE),"")</f>
        <v/>
      </c>
    </row>
    <row r="2732" spans="4:9" x14ac:dyDescent="0.45">
      <c r="D2732" t="str">
        <f>IFERROR(VLOOKUP(C2732,'Clients List'!$A:$F,2,FALSE),"")</f>
        <v/>
      </c>
      <c r="F2732" s="1" t="str">
        <f>IF(OR(C2732="",NOT(ISNUMBER(SEARCH("Package",D2732)))),"",VLOOKUP(C2732,'Clients List'!$A:$F,4,FALSE)-SUMIFS($E$2:$E2732,$C$2:$C2732,C2732,$D$2:$D2732,"*Package*"))</f>
        <v/>
      </c>
      <c r="G2732" t="str">
        <f t="shared" si="75"/>
        <v/>
      </c>
      <c r="H2732" s="33">
        <f>IF(ISNUMBER(SEARCH("Group",D2732)),IF(G2732="",E2732,IFERROR(E2732/COUNTIF($G2:$G6000,G2732),E2732)),E2732)</f>
        <v>0</v>
      </c>
      <c r="I2732" s="1" t="str">
        <f>IFERROR(VLOOKUP(C2732,'Clients List'!A:F,6,FALSE),"")</f>
        <v/>
      </c>
    </row>
    <row r="2733" spans="4:9" x14ac:dyDescent="0.45">
      <c r="D2733" t="str">
        <f>IFERROR(VLOOKUP(C2733,'Clients List'!$A:$F,2,FALSE),"")</f>
        <v/>
      </c>
      <c r="F2733" s="1" t="str">
        <f>IF(OR(C2733="",NOT(ISNUMBER(SEARCH("Package",D2733)))),"",VLOOKUP(C2733,'Clients List'!$A:$F,4,FALSE)-SUMIFS($E$2:$E2733,$C$2:$C2733,C2733,$D$2:$D2733,"*Package*"))</f>
        <v/>
      </c>
      <c r="G2733" t="str">
        <f t="shared" si="75"/>
        <v/>
      </c>
      <c r="H2733" s="33">
        <f>IF(ISNUMBER(SEARCH("Group",D2733)),IF(G2733="",E2733,IFERROR(E2733/COUNTIF($G2:$G6000,G2733),E2733)),E2733)</f>
        <v>0</v>
      </c>
      <c r="I2733" s="1" t="str">
        <f>IFERROR(VLOOKUP(C2733,'Clients List'!A:F,6,FALSE),"")</f>
        <v/>
      </c>
    </row>
    <row r="2734" spans="4:9" x14ac:dyDescent="0.45">
      <c r="D2734" t="str">
        <f>IFERROR(VLOOKUP(C2734,'Clients List'!$A:$F,2,FALSE),"")</f>
        <v/>
      </c>
      <c r="F2734" s="1" t="str">
        <f>IF(OR(C2734="",NOT(ISNUMBER(SEARCH("Package",D2734)))),"",VLOOKUP(C2734,'Clients List'!$A:$F,4,FALSE)-SUMIFS($E$2:$E2734,$C$2:$C2734,C2734,$D$2:$D2734,"*Package*"))</f>
        <v/>
      </c>
      <c r="G2734" t="str">
        <f t="shared" si="75"/>
        <v/>
      </c>
      <c r="H2734" s="33">
        <f>IF(ISNUMBER(SEARCH("Group",D2734)),IF(G2734="",E2734,IFERROR(E2734/COUNTIF($G2:$G6000,G2734),E2734)),E2734)</f>
        <v>0</v>
      </c>
      <c r="I2734" s="1" t="str">
        <f>IFERROR(VLOOKUP(C2734,'Clients List'!A:F,6,FALSE),"")</f>
        <v/>
      </c>
    </row>
    <row r="2735" spans="4:9" x14ac:dyDescent="0.45">
      <c r="D2735" t="str">
        <f>IFERROR(VLOOKUP(C2735,'Clients List'!$A:$F,2,FALSE),"")</f>
        <v/>
      </c>
      <c r="F2735" s="1" t="str">
        <f>IF(OR(C2735="",NOT(ISNUMBER(SEARCH("Package",D2735)))),"",VLOOKUP(C2735,'Clients List'!$A:$F,4,FALSE)-SUMIFS($E$2:$E2735,$C$2:$C2735,C2735,$D$2:$D2735,"*Package*"))</f>
        <v/>
      </c>
      <c r="G2735" t="str">
        <f t="shared" si="75"/>
        <v/>
      </c>
      <c r="H2735" s="33">
        <f>IF(ISNUMBER(SEARCH("Group",D2735)),IF(G2735="",E2735,IFERROR(E2735/COUNTIF($G2:$G6000,G2735),E2735)),E2735)</f>
        <v>0</v>
      </c>
      <c r="I2735" s="1" t="str">
        <f>IFERROR(VLOOKUP(C2735,'Clients List'!A:F,6,FALSE),"")</f>
        <v/>
      </c>
    </row>
    <row r="2736" spans="4:9" x14ac:dyDescent="0.45">
      <c r="D2736" t="str">
        <f>IFERROR(VLOOKUP(C2736,'Clients List'!$A:$F,2,FALSE),"")</f>
        <v/>
      </c>
      <c r="F2736" s="1" t="str">
        <f>IF(OR(C2736="",NOT(ISNUMBER(SEARCH("Package",D2736)))),"",VLOOKUP(C2736,'Clients List'!$A:$F,4,FALSE)-SUMIFS($E$2:$E2736,$C$2:$C2736,C2736,$D$2:$D2736,"*Package*"))</f>
        <v/>
      </c>
      <c r="G2736" t="str">
        <f t="shared" si="75"/>
        <v/>
      </c>
      <c r="H2736" s="33">
        <f>IF(ISNUMBER(SEARCH("Group",D2736)),IF(G2736="",E2736,IFERROR(E2736/COUNTIF($G2:$G6000,G2736),E2736)),E2736)</f>
        <v>0</v>
      </c>
      <c r="I2736" s="1" t="str">
        <f>IFERROR(VLOOKUP(C2736,'Clients List'!A:F,6,FALSE),"")</f>
        <v/>
      </c>
    </row>
    <row r="2737" spans="4:9" x14ac:dyDescent="0.45">
      <c r="D2737" t="str">
        <f>IFERROR(VLOOKUP(C2737,'Clients List'!$A:$F,2,FALSE),"")</f>
        <v/>
      </c>
      <c r="F2737" s="1" t="str">
        <f>IF(OR(C2737="",NOT(ISNUMBER(SEARCH("Package",D2737)))),"",VLOOKUP(C2737,'Clients List'!$A:$F,4,FALSE)-SUMIFS($E$2:$E2737,$C$2:$C2737,C2737,$D$2:$D2737,"*Package*"))</f>
        <v/>
      </c>
      <c r="G2737" t="str">
        <f t="shared" si="75"/>
        <v/>
      </c>
      <c r="H2737" s="33">
        <f>IF(ISNUMBER(SEARCH("Group",D2737)),IF(G2737="",E2737,IFERROR(E2737/COUNTIF($G2:$G6000,G2737),E2737)),E2737)</f>
        <v>0</v>
      </c>
      <c r="I2737" s="1" t="str">
        <f>IFERROR(VLOOKUP(C2737,'Clients List'!A:F,6,FALSE),"")</f>
        <v/>
      </c>
    </row>
    <row r="2738" spans="4:9" x14ac:dyDescent="0.45">
      <c r="D2738" t="str">
        <f>IFERROR(VLOOKUP(C2738,'Clients List'!$A:$F,2,FALSE),"")</f>
        <v/>
      </c>
      <c r="F2738" s="1" t="str">
        <f>IF(OR(C2738="",NOT(ISNUMBER(SEARCH("Package",D2738)))),"",VLOOKUP(C2738,'Clients List'!$A:$F,4,FALSE)-SUMIFS($E$2:$E2738,$C$2:$C2738,C2738,$D$2:$D2738,"*Package*"))</f>
        <v/>
      </c>
      <c r="G2738" t="str">
        <f t="shared" si="75"/>
        <v/>
      </c>
      <c r="H2738" s="33">
        <f>IF(ISNUMBER(SEARCH("Group",D2738)),IF(G2738="",E2738,IFERROR(E2738/COUNTIF($G2:$G6000,G2738),E2738)),E2738)</f>
        <v>0</v>
      </c>
      <c r="I2738" s="1" t="str">
        <f>IFERROR(VLOOKUP(C2738,'Clients List'!A:F,6,FALSE),"")</f>
        <v/>
      </c>
    </row>
    <row r="2739" spans="4:9" x14ac:dyDescent="0.45">
      <c r="D2739" t="str">
        <f>IFERROR(VLOOKUP(C2739,'Clients List'!$A:$F,2,FALSE),"")</f>
        <v/>
      </c>
      <c r="F2739" s="1" t="str">
        <f>IF(OR(C2739="",NOT(ISNUMBER(SEARCH("Package",D2739)))),"",VLOOKUP(C2739,'Clients List'!$A:$F,4,FALSE)-SUMIFS($E$2:$E2739,$C$2:$C2739,C2739,$D$2:$D2739,"*Package*"))</f>
        <v/>
      </c>
      <c r="G2739" t="str">
        <f t="shared" si="75"/>
        <v/>
      </c>
      <c r="H2739" s="33">
        <f>IF(ISNUMBER(SEARCH("Group",D2739)),IF(G2739="",E2739,IFERROR(E2739/COUNTIF($G2:$G6000,G2739),E2739)),E2739)</f>
        <v>0</v>
      </c>
      <c r="I2739" s="1" t="str">
        <f>IFERROR(VLOOKUP(C2739,'Clients List'!A:F,6,FALSE),"")</f>
        <v/>
      </c>
    </row>
    <row r="2740" spans="4:9" x14ac:dyDescent="0.45">
      <c r="D2740" t="str">
        <f>IFERROR(VLOOKUP(C2740,'Clients List'!$A:$F,2,FALSE),"")</f>
        <v/>
      </c>
      <c r="F2740" s="1" t="str">
        <f>IF(OR(C2740="",NOT(ISNUMBER(SEARCH("Package",D2740)))),"",VLOOKUP(C2740,'Clients List'!$A:$F,4,FALSE)-SUMIFS($E$2:$E2740,$C$2:$C2740,C2740,$D$2:$D2740,"*Package*"))</f>
        <v/>
      </c>
      <c r="G2740" t="str">
        <f t="shared" si="75"/>
        <v/>
      </c>
      <c r="H2740" s="33">
        <f>IF(ISNUMBER(SEARCH("Group",D2740)),IF(G2740="",E2740,IFERROR(E2740/COUNTIF($G2:$G6000,G2740),E2740)),E2740)</f>
        <v>0</v>
      </c>
      <c r="I2740" s="1" t="str">
        <f>IFERROR(VLOOKUP(C2740,'Clients List'!A:F,6,FALSE),"")</f>
        <v/>
      </c>
    </row>
    <row r="2741" spans="4:9" x14ac:dyDescent="0.45">
      <c r="D2741" t="str">
        <f>IFERROR(VLOOKUP(C2741,'Clients List'!$A:$F,2,FALSE),"")</f>
        <v/>
      </c>
      <c r="F2741" s="1" t="str">
        <f>IF(OR(C2741="",NOT(ISNUMBER(SEARCH("Package",D2741)))),"",VLOOKUP(C2741,'Clients List'!$A:$F,4,FALSE)-SUMIFS($E$2:$E2741,$C$2:$C2741,C2741,$D$2:$D2741,"*Package*"))</f>
        <v/>
      </c>
      <c r="G2741" t="str">
        <f t="shared" ref="G2741:G2804" si="76">IF(ISNUMBER(SEARCH("Group",D2741)),IFERROR("GRP-"&amp;TEXT(IF(ISNUMBER(A2741),A2741,DATEVALUE(A2741)),"yyyymmdd"),""),"" )</f>
        <v/>
      </c>
      <c r="H2741" s="33">
        <f>IF(ISNUMBER(SEARCH("Group",D2741)),IF(G2741="",E2741,IFERROR(E2741/COUNTIF($G2:$G6000,G2741),E2741)),E2741)</f>
        <v>0</v>
      </c>
      <c r="I2741" s="1" t="str">
        <f>IFERROR(VLOOKUP(C2741,'Clients List'!A:F,6,FALSE),"")</f>
        <v/>
      </c>
    </row>
    <row r="2742" spans="4:9" x14ac:dyDescent="0.45">
      <c r="D2742" t="str">
        <f>IFERROR(VLOOKUP(C2742,'Clients List'!$A:$F,2,FALSE),"")</f>
        <v/>
      </c>
      <c r="F2742" s="1" t="str">
        <f>IF(OR(C2742="",NOT(ISNUMBER(SEARCH("Package",D2742)))),"",VLOOKUP(C2742,'Clients List'!$A:$F,4,FALSE)-SUMIFS($E$2:$E2742,$C$2:$C2742,C2742,$D$2:$D2742,"*Package*"))</f>
        <v/>
      </c>
      <c r="G2742" t="str">
        <f t="shared" si="76"/>
        <v/>
      </c>
      <c r="H2742" s="33">
        <f>IF(ISNUMBER(SEARCH("Group",D2742)),IF(G2742="",E2742,IFERROR(E2742/COUNTIF($G2:$G6000,G2742),E2742)),E2742)</f>
        <v>0</v>
      </c>
      <c r="I2742" s="1" t="str">
        <f>IFERROR(VLOOKUP(C2742,'Clients List'!A:F,6,FALSE),"")</f>
        <v/>
      </c>
    </row>
    <row r="2743" spans="4:9" x14ac:dyDescent="0.45">
      <c r="D2743" t="str">
        <f>IFERROR(VLOOKUP(C2743,'Clients List'!$A:$F,2,FALSE),"")</f>
        <v/>
      </c>
      <c r="F2743" s="1" t="str">
        <f>IF(OR(C2743="",NOT(ISNUMBER(SEARCH("Package",D2743)))),"",VLOOKUP(C2743,'Clients List'!$A:$F,4,FALSE)-SUMIFS($E$2:$E2743,$C$2:$C2743,C2743,$D$2:$D2743,"*Package*"))</f>
        <v/>
      </c>
      <c r="G2743" t="str">
        <f t="shared" si="76"/>
        <v/>
      </c>
      <c r="H2743" s="33">
        <f>IF(ISNUMBER(SEARCH("Group",D2743)),IF(G2743="",E2743,IFERROR(E2743/COUNTIF($G2:$G6000,G2743),E2743)),E2743)</f>
        <v>0</v>
      </c>
      <c r="I2743" s="1" t="str">
        <f>IFERROR(VLOOKUP(C2743,'Clients List'!A:F,6,FALSE),"")</f>
        <v/>
      </c>
    </row>
    <row r="2744" spans="4:9" x14ac:dyDescent="0.45">
      <c r="D2744" t="str">
        <f>IFERROR(VLOOKUP(C2744,'Clients List'!$A:$F,2,FALSE),"")</f>
        <v/>
      </c>
      <c r="F2744" s="1" t="str">
        <f>IF(OR(C2744="",NOT(ISNUMBER(SEARCH("Package",D2744)))),"",VLOOKUP(C2744,'Clients List'!$A:$F,4,FALSE)-SUMIFS($E$2:$E2744,$C$2:$C2744,C2744,$D$2:$D2744,"*Package*"))</f>
        <v/>
      </c>
      <c r="G2744" t="str">
        <f t="shared" si="76"/>
        <v/>
      </c>
      <c r="H2744" s="33">
        <f>IF(ISNUMBER(SEARCH("Group",D2744)),IF(G2744="",E2744,IFERROR(E2744/COUNTIF($G2:$G6000,G2744),E2744)),E2744)</f>
        <v>0</v>
      </c>
      <c r="I2744" s="1" t="str">
        <f>IFERROR(VLOOKUP(C2744,'Clients List'!A:F,6,FALSE),"")</f>
        <v/>
      </c>
    </row>
    <row r="2745" spans="4:9" x14ac:dyDescent="0.45">
      <c r="D2745" t="str">
        <f>IFERROR(VLOOKUP(C2745,'Clients List'!$A:$F,2,FALSE),"")</f>
        <v/>
      </c>
      <c r="F2745" s="1" t="str">
        <f>IF(OR(C2745="",NOT(ISNUMBER(SEARCH("Package",D2745)))),"",VLOOKUP(C2745,'Clients List'!$A:$F,4,FALSE)-SUMIFS($E$2:$E2745,$C$2:$C2745,C2745,$D$2:$D2745,"*Package*"))</f>
        <v/>
      </c>
      <c r="G2745" t="str">
        <f t="shared" si="76"/>
        <v/>
      </c>
      <c r="H2745" s="33">
        <f>IF(ISNUMBER(SEARCH("Group",D2745)),IF(G2745="",E2745,IFERROR(E2745/COUNTIF($G2:$G6000,G2745),E2745)),E2745)</f>
        <v>0</v>
      </c>
      <c r="I2745" s="1" t="str">
        <f>IFERROR(VLOOKUP(C2745,'Clients List'!A:F,6,FALSE),"")</f>
        <v/>
      </c>
    </row>
    <row r="2746" spans="4:9" x14ac:dyDescent="0.45">
      <c r="D2746" t="str">
        <f>IFERROR(VLOOKUP(C2746,'Clients List'!$A:$F,2,FALSE),"")</f>
        <v/>
      </c>
      <c r="F2746" s="1" t="str">
        <f>IF(OR(C2746="",NOT(ISNUMBER(SEARCH("Package",D2746)))),"",VLOOKUP(C2746,'Clients List'!$A:$F,4,FALSE)-SUMIFS($E$2:$E2746,$C$2:$C2746,C2746,$D$2:$D2746,"*Package*"))</f>
        <v/>
      </c>
      <c r="G2746" t="str">
        <f t="shared" si="76"/>
        <v/>
      </c>
      <c r="H2746" s="33">
        <f>IF(ISNUMBER(SEARCH("Group",D2746)),IF(G2746="",E2746,IFERROR(E2746/COUNTIF($G2:$G6000,G2746),E2746)),E2746)</f>
        <v>0</v>
      </c>
      <c r="I2746" s="1" t="str">
        <f>IFERROR(VLOOKUP(C2746,'Clients List'!A:F,6,FALSE),"")</f>
        <v/>
      </c>
    </row>
    <row r="2747" spans="4:9" x14ac:dyDescent="0.45">
      <c r="D2747" t="str">
        <f>IFERROR(VLOOKUP(C2747,'Clients List'!$A:$F,2,FALSE),"")</f>
        <v/>
      </c>
      <c r="F2747" s="1" t="str">
        <f>IF(OR(C2747="",NOT(ISNUMBER(SEARCH("Package",D2747)))),"",VLOOKUP(C2747,'Clients List'!$A:$F,4,FALSE)-SUMIFS($E$2:$E2747,$C$2:$C2747,C2747,$D$2:$D2747,"*Package*"))</f>
        <v/>
      </c>
      <c r="G2747" t="str">
        <f t="shared" si="76"/>
        <v/>
      </c>
      <c r="H2747" s="33">
        <f>IF(ISNUMBER(SEARCH("Group",D2747)),IF(G2747="",E2747,IFERROR(E2747/COUNTIF($G2:$G6000,G2747),E2747)),E2747)</f>
        <v>0</v>
      </c>
      <c r="I2747" s="1" t="str">
        <f>IFERROR(VLOOKUP(C2747,'Clients List'!A:F,6,FALSE),"")</f>
        <v/>
      </c>
    </row>
    <row r="2748" spans="4:9" x14ac:dyDescent="0.45">
      <c r="D2748" t="str">
        <f>IFERROR(VLOOKUP(C2748,'Clients List'!$A:$F,2,FALSE),"")</f>
        <v/>
      </c>
      <c r="F2748" s="1" t="str">
        <f>IF(OR(C2748="",NOT(ISNUMBER(SEARCH("Package",D2748)))),"",VLOOKUP(C2748,'Clients List'!$A:$F,4,FALSE)-SUMIFS($E$2:$E2748,$C$2:$C2748,C2748,$D$2:$D2748,"*Package*"))</f>
        <v/>
      </c>
      <c r="G2748" t="str">
        <f t="shared" si="76"/>
        <v/>
      </c>
      <c r="H2748" s="33">
        <f>IF(ISNUMBER(SEARCH("Group",D2748)),IF(G2748="",E2748,IFERROR(E2748/COUNTIF($G2:$G6000,G2748),E2748)),E2748)</f>
        <v>0</v>
      </c>
      <c r="I2748" s="1" t="str">
        <f>IFERROR(VLOOKUP(C2748,'Clients List'!A:F,6,FALSE),"")</f>
        <v/>
      </c>
    </row>
    <row r="2749" spans="4:9" x14ac:dyDescent="0.45">
      <c r="D2749" t="str">
        <f>IFERROR(VLOOKUP(C2749,'Clients List'!$A:$F,2,FALSE),"")</f>
        <v/>
      </c>
      <c r="F2749" s="1" t="str">
        <f>IF(OR(C2749="",NOT(ISNUMBER(SEARCH("Package",D2749)))),"",VLOOKUP(C2749,'Clients List'!$A:$F,4,FALSE)-SUMIFS($E$2:$E2749,$C$2:$C2749,C2749,$D$2:$D2749,"*Package*"))</f>
        <v/>
      </c>
      <c r="G2749" t="str">
        <f t="shared" si="76"/>
        <v/>
      </c>
      <c r="H2749" s="33">
        <f>IF(ISNUMBER(SEARCH("Group",D2749)),IF(G2749="",E2749,IFERROR(E2749/COUNTIF($G2:$G6000,G2749),E2749)),E2749)</f>
        <v>0</v>
      </c>
      <c r="I2749" s="1" t="str">
        <f>IFERROR(VLOOKUP(C2749,'Clients List'!A:F,6,FALSE),"")</f>
        <v/>
      </c>
    </row>
    <row r="2750" spans="4:9" x14ac:dyDescent="0.45">
      <c r="D2750" t="str">
        <f>IFERROR(VLOOKUP(C2750,'Clients List'!$A:$F,2,FALSE),"")</f>
        <v/>
      </c>
      <c r="F2750" s="1" t="str">
        <f>IF(OR(C2750="",NOT(ISNUMBER(SEARCH("Package",D2750)))),"",VLOOKUP(C2750,'Clients List'!$A:$F,4,FALSE)-SUMIFS($E$2:$E2750,$C$2:$C2750,C2750,$D$2:$D2750,"*Package*"))</f>
        <v/>
      </c>
      <c r="G2750" t="str">
        <f t="shared" si="76"/>
        <v/>
      </c>
      <c r="H2750" s="33">
        <f>IF(ISNUMBER(SEARCH("Group",D2750)),IF(G2750="",E2750,IFERROR(E2750/COUNTIF($G2:$G6000,G2750),E2750)),E2750)</f>
        <v>0</v>
      </c>
      <c r="I2750" s="1" t="str">
        <f>IFERROR(VLOOKUP(C2750,'Clients List'!A:F,6,FALSE),"")</f>
        <v/>
      </c>
    </row>
    <row r="2751" spans="4:9" x14ac:dyDescent="0.45">
      <c r="D2751" t="str">
        <f>IFERROR(VLOOKUP(C2751,'Clients List'!$A:$F,2,FALSE),"")</f>
        <v/>
      </c>
      <c r="F2751" s="1" t="str">
        <f>IF(OR(C2751="",NOT(ISNUMBER(SEARCH("Package",D2751)))),"",VLOOKUP(C2751,'Clients List'!$A:$F,4,FALSE)-SUMIFS($E$2:$E2751,$C$2:$C2751,C2751,$D$2:$D2751,"*Package*"))</f>
        <v/>
      </c>
      <c r="G2751" t="str">
        <f t="shared" si="76"/>
        <v/>
      </c>
      <c r="H2751" s="33">
        <f>IF(ISNUMBER(SEARCH("Group",D2751)),IF(G2751="",E2751,IFERROR(E2751/COUNTIF($G2:$G6000,G2751),E2751)),E2751)</f>
        <v>0</v>
      </c>
      <c r="I2751" s="1" t="str">
        <f>IFERROR(VLOOKUP(C2751,'Clients List'!A:F,6,FALSE),"")</f>
        <v/>
      </c>
    </row>
    <row r="2752" spans="4:9" x14ac:dyDescent="0.45">
      <c r="D2752" t="str">
        <f>IFERROR(VLOOKUP(C2752,'Clients List'!$A:$F,2,FALSE),"")</f>
        <v/>
      </c>
      <c r="F2752" s="1" t="str">
        <f>IF(OR(C2752="",NOT(ISNUMBER(SEARCH("Package",D2752)))),"",VLOOKUP(C2752,'Clients List'!$A:$F,4,FALSE)-SUMIFS($E$2:$E2752,$C$2:$C2752,C2752,$D$2:$D2752,"*Package*"))</f>
        <v/>
      </c>
      <c r="G2752" t="str">
        <f t="shared" si="76"/>
        <v/>
      </c>
      <c r="H2752" s="33">
        <f>IF(ISNUMBER(SEARCH("Group",D2752)),IF(G2752="",E2752,IFERROR(E2752/COUNTIF($G2:$G6000,G2752),E2752)),E2752)</f>
        <v>0</v>
      </c>
      <c r="I2752" s="1" t="str">
        <f>IFERROR(VLOOKUP(C2752,'Clients List'!A:F,6,FALSE),"")</f>
        <v/>
      </c>
    </row>
    <row r="2753" spans="4:9" x14ac:dyDescent="0.45">
      <c r="D2753" t="str">
        <f>IFERROR(VLOOKUP(C2753,'Clients List'!$A:$F,2,FALSE),"")</f>
        <v/>
      </c>
      <c r="F2753" s="1" t="str">
        <f>IF(OR(C2753="",NOT(ISNUMBER(SEARCH("Package",D2753)))),"",VLOOKUP(C2753,'Clients List'!$A:$F,4,FALSE)-SUMIFS($E$2:$E2753,$C$2:$C2753,C2753,$D$2:$D2753,"*Package*"))</f>
        <v/>
      </c>
      <c r="G2753" t="str">
        <f t="shared" si="76"/>
        <v/>
      </c>
      <c r="H2753" s="33">
        <f>IF(ISNUMBER(SEARCH("Group",D2753)),IF(G2753="",E2753,IFERROR(E2753/COUNTIF($G2:$G6000,G2753),E2753)),E2753)</f>
        <v>0</v>
      </c>
      <c r="I2753" s="1" t="str">
        <f>IFERROR(VLOOKUP(C2753,'Clients List'!A:F,6,FALSE),"")</f>
        <v/>
      </c>
    </row>
    <row r="2754" spans="4:9" x14ac:dyDescent="0.45">
      <c r="D2754" t="str">
        <f>IFERROR(VLOOKUP(C2754,'Clients List'!$A:$F,2,FALSE),"")</f>
        <v/>
      </c>
      <c r="F2754" s="1" t="str">
        <f>IF(OR(C2754="",NOT(ISNUMBER(SEARCH("Package",D2754)))),"",VLOOKUP(C2754,'Clients List'!$A:$F,4,FALSE)-SUMIFS($E$2:$E2754,$C$2:$C2754,C2754,$D$2:$D2754,"*Package*"))</f>
        <v/>
      </c>
      <c r="G2754" t="str">
        <f t="shared" si="76"/>
        <v/>
      </c>
      <c r="H2754" s="33">
        <f>IF(ISNUMBER(SEARCH("Group",D2754)),IF(G2754="",E2754,IFERROR(E2754/COUNTIF($G2:$G6000,G2754),E2754)),E2754)</f>
        <v>0</v>
      </c>
      <c r="I2754" s="1" t="str">
        <f>IFERROR(VLOOKUP(C2754,'Clients List'!A:F,6,FALSE),"")</f>
        <v/>
      </c>
    </row>
    <row r="2755" spans="4:9" x14ac:dyDescent="0.45">
      <c r="D2755" t="str">
        <f>IFERROR(VLOOKUP(C2755,'Clients List'!$A:$F,2,FALSE),"")</f>
        <v/>
      </c>
      <c r="F2755" s="1" t="str">
        <f>IF(OR(C2755="",NOT(ISNUMBER(SEARCH("Package",D2755)))),"",VLOOKUP(C2755,'Clients List'!$A:$F,4,FALSE)-SUMIFS($E$2:$E2755,$C$2:$C2755,C2755,$D$2:$D2755,"*Package*"))</f>
        <v/>
      </c>
      <c r="G2755" t="str">
        <f t="shared" si="76"/>
        <v/>
      </c>
      <c r="H2755" s="33">
        <f>IF(ISNUMBER(SEARCH("Group",D2755)),IF(G2755="",E2755,IFERROR(E2755/COUNTIF($G2:$G6000,G2755),E2755)),E2755)</f>
        <v>0</v>
      </c>
      <c r="I2755" s="1" t="str">
        <f>IFERROR(VLOOKUP(C2755,'Clients List'!A:F,6,FALSE),"")</f>
        <v/>
      </c>
    </row>
    <row r="2756" spans="4:9" x14ac:dyDescent="0.45">
      <c r="D2756" t="str">
        <f>IFERROR(VLOOKUP(C2756,'Clients List'!$A:$F,2,FALSE),"")</f>
        <v/>
      </c>
      <c r="F2756" s="1" t="str">
        <f>IF(OR(C2756="",NOT(ISNUMBER(SEARCH("Package",D2756)))),"",VLOOKUP(C2756,'Clients List'!$A:$F,4,FALSE)-SUMIFS($E$2:$E2756,$C$2:$C2756,C2756,$D$2:$D2756,"*Package*"))</f>
        <v/>
      </c>
      <c r="G2756" t="str">
        <f t="shared" si="76"/>
        <v/>
      </c>
      <c r="H2756" s="33">
        <f>IF(ISNUMBER(SEARCH("Group",D2756)),IF(G2756="",E2756,IFERROR(E2756/COUNTIF($G2:$G6000,G2756),E2756)),E2756)</f>
        <v>0</v>
      </c>
      <c r="I2756" s="1" t="str">
        <f>IFERROR(VLOOKUP(C2756,'Clients List'!A:F,6,FALSE),"")</f>
        <v/>
      </c>
    </row>
    <row r="2757" spans="4:9" x14ac:dyDescent="0.45">
      <c r="D2757" t="str">
        <f>IFERROR(VLOOKUP(C2757,'Clients List'!$A:$F,2,FALSE),"")</f>
        <v/>
      </c>
      <c r="F2757" s="1" t="str">
        <f>IF(OR(C2757="",NOT(ISNUMBER(SEARCH("Package",D2757)))),"",VLOOKUP(C2757,'Clients List'!$A:$F,4,FALSE)-SUMIFS($E$2:$E2757,$C$2:$C2757,C2757,$D$2:$D2757,"*Package*"))</f>
        <v/>
      </c>
      <c r="G2757" t="str">
        <f t="shared" si="76"/>
        <v/>
      </c>
      <c r="H2757" s="33">
        <f>IF(ISNUMBER(SEARCH("Group",D2757)),IF(G2757="",E2757,IFERROR(E2757/COUNTIF($G2:$G6000,G2757),E2757)),E2757)</f>
        <v>0</v>
      </c>
      <c r="I2757" s="1" t="str">
        <f>IFERROR(VLOOKUP(C2757,'Clients List'!A:F,6,FALSE),"")</f>
        <v/>
      </c>
    </row>
    <row r="2758" spans="4:9" x14ac:dyDescent="0.45">
      <c r="D2758" t="str">
        <f>IFERROR(VLOOKUP(C2758,'Clients List'!$A:$F,2,FALSE),"")</f>
        <v/>
      </c>
      <c r="F2758" s="1" t="str">
        <f>IF(OR(C2758="",NOT(ISNUMBER(SEARCH("Package",D2758)))),"",VLOOKUP(C2758,'Clients List'!$A:$F,4,FALSE)-SUMIFS($E$2:$E2758,$C$2:$C2758,C2758,$D$2:$D2758,"*Package*"))</f>
        <v/>
      </c>
      <c r="G2758" t="str">
        <f t="shared" si="76"/>
        <v/>
      </c>
      <c r="H2758" s="33">
        <f>IF(ISNUMBER(SEARCH("Group",D2758)),IF(G2758="",E2758,IFERROR(E2758/COUNTIF($G2:$G6000,G2758),E2758)),E2758)</f>
        <v>0</v>
      </c>
      <c r="I2758" s="1" t="str">
        <f>IFERROR(VLOOKUP(C2758,'Clients List'!A:F,6,FALSE),"")</f>
        <v/>
      </c>
    </row>
    <row r="2759" spans="4:9" x14ac:dyDescent="0.45">
      <c r="D2759" t="str">
        <f>IFERROR(VLOOKUP(C2759,'Clients List'!$A:$F,2,FALSE),"")</f>
        <v/>
      </c>
      <c r="F2759" s="1" t="str">
        <f>IF(OR(C2759="",NOT(ISNUMBER(SEARCH("Package",D2759)))),"",VLOOKUP(C2759,'Clients List'!$A:$F,4,FALSE)-SUMIFS($E$2:$E2759,$C$2:$C2759,C2759,$D$2:$D2759,"*Package*"))</f>
        <v/>
      </c>
      <c r="G2759" t="str">
        <f t="shared" si="76"/>
        <v/>
      </c>
      <c r="H2759" s="33">
        <f>IF(ISNUMBER(SEARCH("Group",D2759)),IF(G2759="",E2759,IFERROR(E2759/COUNTIF($G2:$G6000,G2759),E2759)),E2759)</f>
        <v>0</v>
      </c>
      <c r="I2759" s="1" t="str">
        <f>IFERROR(VLOOKUP(C2759,'Clients List'!A:F,6,FALSE),"")</f>
        <v/>
      </c>
    </row>
    <row r="2760" spans="4:9" x14ac:dyDescent="0.45">
      <c r="D2760" t="str">
        <f>IFERROR(VLOOKUP(C2760,'Clients List'!$A:$F,2,FALSE),"")</f>
        <v/>
      </c>
      <c r="F2760" s="1" t="str">
        <f>IF(OR(C2760="",NOT(ISNUMBER(SEARCH("Package",D2760)))),"",VLOOKUP(C2760,'Clients List'!$A:$F,4,FALSE)-SUMIFS($E$2:$E2760,$C$2:$C2760,C2760,$D$2:$D2760,"*Package*"))</f>
        <v/>
      </c>
      <c r="G2760" t="str">
        <f t="shared" si="76"/>
        <v/>
      </c>
      <c r="H2760" s="33">
        <f>IF(ISNUMBER(SEARCH("Group",D2760)),IF(G2760="",E2760,IFERROR(E2760/COUNTIF($G2:$G6000,G2760),E2760)),E2760)</f>
        <v>0</v>
      </c>
      <c r="I2760" s="1" t="str">
        <f>IFERROR(VLOOKUP(C2760,'Clients List'!A:F,6,FALSE),"")</f>
        <v/>
      </c>
    </row>
    <row r="2761" spans="4:9" x14ac:dyDescent="0.45">
      <c r="D2761" t="str">
        <f>IFERROR(VLOOKUP(C2761,'Clients List'!$A:$F,2,FALSE),"")</f>
        <v/>
      </c>
      <c r="F2761" s="1" t="str">
        <f>IF(OR(C2761="",NOT(ISNUMBER(SEARCH("Package",D2761)))),"",VLOOKUP(C2761,'Clients List'!$A:$F,4,FALSE)-SUMIFS($E$2:$E2761,$C$2:$C2761,C2761,$D$2:$D2761,"*Package*"))</f>
        <v/>
      </c>
      <c r="G2761" t="str">
        <f t="shared" si="76"/>
        <v/>
      </c>
      <c r="H2761" s="33">
        <f>IF(ISNUMBER(SEARCH("Group",D2761)),IF(G2761="",E2761,IFERROR(E2761/COUNTIF($G2:$G6000,G2761),E2761)),E2761)</f>
        <v>0</v>
      </c>
      <c r="I2761" s="1" t="str">
        <f>IFERROR(VLOOKUP(C2761,'Clients List'!A:F,6,FALSE),"")</f>
        <v/>
      </c>
    </row>
    <row r="2762" spans="4:9" x14ac:dyDescent="0.45">
      <c r="D2762" t="str">
        <f>IFERROR(VLOOKUP(C2762,'Clients List'!$A:$F,2,FALSE),"")</f>
        <v/>
      </c>
      <c r="F2762" s="1" t="str">
        <f>IF(OR(C2762="",NOT(ISNUMBER(SEARCH("Package",D2762)))),"",VLOOKUP(C2762,'Clients List'!$A:$F,4,FALSE)-SUMIFS($E$2:$E2762,$C$2:$C2762,C2762,$D$2:$D2762,"*Package*"))</f>
        <v/>
      </c>
      <c r="G2762" t="str">
        <f t="shared" si="76"/>
        <v/>
      </c>
      <c r="H2762" s="33">
        <f>IF(ISNUMBER(SEARCH("Group",D2762)),IF(G2762="",E2762,IFERROR(E2762/COUNTIF($G2:$G6000,G2762),E2762)),E2762)</f>
        <v>0</v>
      </c>
      <c r="I2762" s="1" t="str">
        <f>IFERROR(VLOOKUP(C2762,'Clients List'!A:F,6,FALSE),"")</f>
        <v/>
      </c>
    </row>
    <row r="2763" spans="4:9" x14ac:dyDescent="0.45">
      <c r="D2763" t="str">
        <f>IFERROR(VLOOKUP(C2763,'Clients List'!$A:$F,2,FALSE),"")</f>
        <v/>
      </c>
      <c r="F2763" s="1" t="str">
        <f>IF(OR(C2763="",NOT(ISNUMBER(SEARCH("Package",D2763)))),"",VLOOKUP(C2763,'Clients List'!$A:$F,4,FALSE)-SUMIFS($E$2:$E2763,$C$2:$C2763,C2763,$D$2:$D2763,"*Package*"))</f>
        <v/>
      </c>
      <c r="G2763" t="str">
        <f t="shared" si="76"/>
        <v/>
      </c>
      <c r="H2763" s="33">
        <f>IF(ISNUMBER(SEARCH("Group",D2763)),IF(G2763="",E2763,IFERROR(E2763/COUNTIF($G2:$G6000,G2763),E2763)),E2763)</f>
        <v>0</v>
      </c>
      <c r="I2763" s="1" t="str">
        <f>IFERROR(VLOOKUP(C2763,'Clients List'!A:F,6,FALSE),"")</f>
        <v/>
      </c>
    </row>
    <row r="2764" spans="4:9" x14ac:dyDescent="0.45">
      <c r="D2764" t="str">
        <f>IFERROR(VLOOKUP(C2764,'Clients List'!$A:$F,2,FALSE),"")</f>
        <v/>
      </c>
      <c r="F2764" s="1" t="str">
        <f>IF(OR(C2764="",NOT(ISNUMBER(SEARCH("Package",D2764)))),"",VLOOKUP(C2764,'Clients List'!$A:$F,4,FALSE)-SUMIFS($E$2:$E2764,$C$2:$C2764,C2764,$D$2:$D2764,"*Package*"))</f>
        <v/>
      </c>
      <c r="G2764" t="str">
        <f t="shared" si="76"/>
        <v/>
      </c>
      <c r="H2764" s="33">
        <f>IF(ISNUMBER(SEARCH("Group",D2764)),IF(G2764="",E2764,IFERROR(E2764/COUNTIF($G2:$G6000,G2764),E2764)),E2764)</f>
        <v>0</v>
      </c>
      <c r="I2764" s="1" t="str">
        <f>IFERROR(VLOOKUP(C2764,'Clients List'!A:F,6,FALSE),"")</f>
        <v/>
      </c>
    </row>
    <row r="2765" spans="4:9" x14ac:dyDescent="0.45">
      <c r="D2765" t="str">
        <f>IFERROR(VLOOKUP(C2765,'Clients List'!$A:$F,2,FALSE),"")</f>
        <v/>
      </c>
      <c r="F2765" s="1" t="str">
        <f>IF(OR(C2765="",NOT(ISNUMBER(SEARCH("Package",D2765)))),"",VLOOKUP(C2765,'Clients List'!$A:$F,4,FALSE)-SUMIFS($E$2:$E2765,$C$2:$C2765,C2765,$D$2:$D2765,"*Package*"))</f>
        <v/>
      </c>
      <c r="G2765" t="str">
        <f t="shared" si="76"/>
        <v/>
      </c>
      <c r="H2765" s="33">
        <f>IF(ISNUMBER(SEARCH("Group",D2765)),IF(G2765="",E2765,IFERROR(E2765/COUNTIF($G2:$G6000,G2765),E2765)),E2765)</f>
        <v>0</v>
      </c>
      <c r="I2765" s="1" t="str">
        <f>IFERROR(VLOOKUP(C2765,'Clients List'!A:F,6,FALSE),"")</f>
        <v/>
      </c>
    </row>
    <row r="2766" spans="4:9" x14ac:dyDescent="0.45">
      <c r="D2766" t="str">
        <f>IFERROR(VLOOKUP(C2766,'Clients List'!$A:$F,2,FALSE),"")</f>
        <v/>
      </c>
      <c r="F2766" s="1" t="str">
        <f>IF(OR(C2766="",NOT(ISNUMBER(SEARCH("Package",D2766)))),"",VLOOKUP(C2766,'Clients List'!$A:$F,4,FALSE)-SUMIFS($E$2:$E2766,$C$2:$C2766,C2766,$D$2:$D2766,"*Package*"))</f>
        <v/>
      </c>
      <c r="G2766" t="str">
        <f t="shared" si="76"/>
        <v/>
      </c>
      <c r="H2766" s="33">
        <f>IF(ISNUMBER(SEARCH("Group",D2766)),IF(G2766="",E2766,IFERROR(E2766/COUNTIF($G2:$G6000,G2766),E2766)),E2766)</f>
        <v>0</v>
      </c>
      <c r="I2766" s="1" t="str">
        <f>IFERROR(VLOOKUP(C2766,'Clients List'!A:F,6,FALSE),"")</f>
        <v/>
      </c>
    </row>
    <row r="2767" spans="4:9" x14ac:dyDescent="0.45">
      <c r="D2767" t="str">
        <f>IFERROR(VLOOKUP(C2767,'Clients List'!$A:$F,2,FALSE),"")</f>
        <v/>
      </c>
      <c r="F2767" s="1" t="str">
        <f>IF(OR(C2767="",NOT(ISNUMBER(SEARCH("Package",D2767)))),"",VLOOKUP(C2767,'Clients List'!$A:$F,4,FALSE)-SUMIFS($E$2:$E2767,$C$2:$C2767,C2767,$D$2:$D2767,"*Package*"))</f>
        <v/>
      </c>
      <c r="G2767" t="str">
        <f t="shared" si="76"/>
        <v/>
      </c>
      <c r="H2767" s="33">
        <f>IF(ISNUMBER(SEARCH("Group",D2767)),IF(G2767="",E2767,IFERROR(E2767/COUNTIF($G2:$G6000,G2767),E2767)),E2767)</f>
        <v>0</v>
      </c>
      <c r="I2767" s="1" t="str">
        <f>IFERROR(VLOOKUP(C2767,'Clients List'!A:F,6,FALSE),"")</f>
        <v/>
      </c>
    </row>
    <row r="2768" spans="4:9" x14ac:dyDescent="0.45">
      <c r="D2768" t="str">
        <f>IFERROR(VLOOKUP(C2768,'Clients List'!$A:$F,2,FALSE),"")</f>
        <v/>
      </c>
      <c r="F2768" s="1" t="str">
        <f>IF(OR(C2768="",NOT(ISNUMBER(SEARCH("Package",D2768)))),"",VLOOKUP(C2768,'Clients List'!$A:$F,4,FALSE)-SUMIFS($E$2:$E2768,$C$2:$C2768,C2768,$D$2:$D2768,"*Package*"))</f>
        <v/>
      </c>
      <c r="G2768" t="str">
        <f t="shared" si="76"/>
        <v/>
      </c>
      <c r="H2768" s="33">
        <f>IF(ISNUMBER(SEARCH("Group",D2768)),IF(G2768="",E2768,IFERROR(E2768/COUNTIF($G2:$G6000,G2768),E2768)),E2768)</f>
        <v>0</v>
      </c>
      <c r="I2768" s="1" t="str">
        <f>IFERROR(VLOOKUP(C2768,'Clients List'!A:F,6,FALSE),"")</f>
        <v/>
      </c>
    </row>
    <row r="2769" spans="4:9" x14ac:dyDescent="0.45">
      <c r="D2769" t="str">
        <f>IFERROR(VLOOKUP(C2769,'Clients List'!$A:$F,2,FALSE),"")</f>
        <v/>
      </c>
      <c r="F2769" s="1" t="str">
        <f>IF(OR(C2769="",NOT(ISNUMBER(SEARCH("Package",D2769)))),"",VLOOKUP(C2769,'Clients List'!$A:$F,4,FALSE)-SUMIFS($E$2:$E2769,$C$2:$C2769,C2769,$D$2:$D2769,"*Package*"))</f>
        <v/>
      </c>
      <c r="G2769" t="str">
        <f t="shared" si="76"/>
        <v/>
      </c>
      <c r="H2769" s="33">
        <f>IF(ISNUMBER(SEARCH("Group",D2769)),IF(G2769="",E2769,IFERROR(E2769/COUNTIF($G2:$G6000,G2769),E2769)),E2769)</f>
        <v>0</v>
      </c>
      <c r="I2769" s="1" t="str">
        <f>IFERROR(VLOOKUP(C2769,'Clients List'!A:F,6,FALSE),"")</f>
        <v/>
      </c>
    </row>
    <row r="2770" spans="4:9" x14ac:dyDescent="0.45">
      <c r="D2770" t="str">
        <f>IFERROR(VLOOKUP(C2770,'Clients List'!$A:$F,2,FALSE),"")</f>
        <v/>
      </c>
      <c r="F2770" s="1" t="str">
        <f>IF(OR(C2770="",NOT(ISNUMBER(SEARCH("Package",D2770)))),"",VLOOKUP(C2770,'Clients List'!$A:$F,4,FALSE)-SUMIFS($E$2:$E2770,$C$2:$C2770,C2770,$D$2:$D2770,"*Package*"))</f>
        <v/>
      </c>
      <c r="G2770" t="str">
        <f t="shared" si="76"/>
        <v/>
      </c>
      <c r="H2770" s="33">
        <f>IF(ISNUMBER(SEARCH("Group",D2770)),IF(G2770="",E2770,IFERROR(E2770/COUNTIF($G2:$G6000,G2770),E2770)),E2770)</f>
        <v>0</v>
      </c>
      <c r="I2770" s="1" t="str">
        <f>IFERROR(VLOOKUP(C2770,'Clients List'!A:F,6,FALSE),"")</f>
        <v/>
      </c>
    </row>
    <row r="2771" spans="4:9" x14ac:dyDescent="0.45">
      <c r="D2771" t="str">
        <f>IFERROR(VLOOKUP(C2771,'Clients List'!$A:$F,2,FALSE),"")</f>
        <v/>
      </c>
      <c r="F2771" s="1" t="str">
        <f>IF(OR(C2771="",NOT(ISNUMBER(SEARCH("Package",D2771)))),"",VLOOKUP(C2771,'Clients List'!$A:$F,4,FALSE)-SUMIFS($E$2:$E2771,$C$2:$C2771,C2771,$D$2:$D2771,"*Package*"))</f>
        <v/>
      </c>
      <c r="G2771" t="str">
        <f t="shared" si="76"/>
        <v/>
      </c>
      <c r="H2771" s="33">
        <f>IF(ISNUMBER(SEARCH("Group",D2771)),IF(G2771="",E2771,IFERROR(E2771/COUNTIF($G2:$G6000,G2771),E2771)),E2771)</f>
        <v>0</v>
      </c>
      <c r="I2771" s="1" t="str">
        <f>IFERROR(VLOOKUP(C2771,'Clients List'!A:F,6,FALSE),"")</f>
        <v/>
      </c>
    </row>
    <row r="2772" spans="4:9" x14ac:dyDescent="0.45">
      <c r="D2772" t="str">
        <f>IFERROR(VLOOKUP(C2772,'Clients List'!$A:$F,2,FALSE),"")</f>
        <v/>
      </c>
      <c r="F2772" s="1" t="str">
        <f>IF(OR(C2772="",NOT(ISNUMBER(SEARCH("Package",D2772)))),"",VLOOKUP(C2772,'Clients List'!$A:$F,4,FALSE)-SUMIFS($E$2:$E2772,$C$2:$C2772,C2772,$D$2:$D2772,"*Package*"))</f>
        <v/>
      </c>
      <c r="G2772" t="str">
        <f t="shared" si="76"/>
        <v/>
      </c>
      <c r="H2772" s="33">
        <f>IF(ISNUMBER(SEARCH("Group",D2772)),IF(G2772="",E2772,IFERROR(E2772/COUNTIF($G2:$G6000,G2772),E2772)),E2772)</f>
        <v>0</v>
      </c>
      <c r="I2772" s="1" t="str">
        <f>IFERROR(VLOOKUP(C2772,'Clients List'!A:F,6,FALSE),"")</f>
        <v/>
      </c>
    </row>
    <row r="2773" spans="4:9" x14ac:dyDescent="0.45">
      <c r="D2773" t="str">
        <f>IFERROR(VLOOKUP(C2773,'Clients List'!$A:$F,2,FALSE),"")</f>
        <v/>
      </c>
      <c r="F2773" s="1" t="str">
        <f>IF(OR(C2773="",NOT(ISNUMBER(SEARCH("Package",D2773)))),"",VLOOKUP(C2773,'Clients List'!$A:$F,4,FALSE)-SUMIFS($E$2:$E2773,$C$2:$C2773,C2773,$D$2:$D2773,"*Package*"))</f>
        <v/>
      </c>
      <c r="G2773" t="str">
        <f t="shared" si="76"/>
        <v/>
      </c>
      <c r="H2773" s="33">
        <f>IF(ISNUMBER(SEARCH("Group",D2773)),IF(G2773="",E2773,IFERROR(E2773/COUNTIF($G2:$G6000,G2773),E2773)),E2773)</f>
        <v>0</v>
      </c>
      <c r="I2773" s="1" t="str">
        <f>IFERROR(VLOOKUP(C2773,'Clients List'!A:F,6,FALSE),"")</f>
        <v/>
      </c>
    </row>
    <row r="2774" spans="4:9" x14ac:dyDescent="0.45">
      <c r="D2774" t="str">
        <f>IFERROR(VLOOKUP(C2774,'Clients List'!$A:$F,2,FALSE),"")</f>
        <v/>
      </c>
      <c r="F2774" s="1" t="str">
        <f>IF(OR(C2774="",NOT(ISNUMBER(SEARCH("Package",D2774)))),"",VLOOKUP(C2774,'Clients List'!$A:$F,4,FALSE)-SUMIFS($E$2:$E2774,$C$2:$C2774,C2774,$D$2:$D2774,"*Package*"))</f>
        <v/>
      </c>
      <c r="G2774" t="str">
        <f t="shared" si="76"/>
        <v/>
      </c>
      <c r="H2774" s="33">
        <f>IF(ISNUMBER(SEARCH("Group",D2774)),IF(G2774="",E2774,IFERROR(E2774/COUNTIF($G2:$G6000,G2774),E2774)),E2774)</f>
        <v>0</v>
      </c>
      <c r="I2774" s="1" t="str">
        <f>IFERROR(VLOOKUP(C2774,'Clients List'!A:F,6,FALSE),"")</f>
        <v/>
      </c>
    </row>
    <row r="2775" spans="4:9" x14ac:dyDescent="0.45">
      <c r="D2775" t="str">
        <f>IFERROR(VLOOKUP(C2775,'Clients List'!$A:$F,2,FALSE),"")</f>
        <v/>
      </c>
      <c r="F2775" s="1" t="str">
        <f>IF(OR(C2775="",NOT(ISNUMBER(SEARCH("Package",D2775)))),"",VLOOKUP(C2775,'Clients List'!$A:$F,4,FALSE)-SUMIFS($E$2:$E2775,$C$2:$C2775,C2775,$D$2:$D2775,"*Package*"))</f>
        <v/>
      </c>
      <c r="G2775" t="str">
        <f t="shared" si="76"/>
        <v/>
      </c>
      <c r="H2775" s="33">
        <f>IF(ISNUMBER(SEARCH("Group",D2775)),IF(G2775="",E2775,IFERROR(E2775/COUNTIF($G2:$G6000,G2775),E2775)),E2775)</f>
        <v>0</v>
      </c>
      <c r="I2775" s="1" t="str">
        <f>IFERROR(VLOOKUP(C2775,'Clients List'!A:F,6,FALSE),"")</f>
        <v/>
      </c>
    </row>
    <row r="2776" spans="4:9" x14ac:dyDescent="0.45">
      <c r="D2776" t="str">
        <f>IFERROR(VLOOKUP(C2776,'Clients List'!$A:$F,2,FALSE),"")</f>
        <v/>
      </c>
      <c r="F2776" s="1" t="str">
        <f>IF(OR(C2776="",NOT(ISNUMBER(SEARCH("Package",D2776)))),"",VLOOKUP(C2776,'Clients List'!$A:$F,4,FALSE)-SUMIFS($E$2:$E2776,$C$2:$C2776,C2776,$D$2:$D2776,"*Package*"))</f>
        <v/>
      </c>
      <c r="G2776" t="str">
        <f t="shared" si="76"/>
        <v/>
      </c>
      <c r="H2776" s="33">
        <f>IF(ISNUMBER(SEARCH("Group",D2776)),IF(G2776="",E2776,IFERROR(E2776/COUNTIF($G2:$G6000,G2776),E2776)),E2776)</f>
        <v>0</v>
      </c>
      <c r="I2776" s="1" t="str">
        <f>IFERROR(VLOOKUP(C2776,'Clients List'!A:F,6,FALSE),"")</f>
        <v/>
      </c>
    </row>
    <row r="2777" spans="4:9" x14ac:dyDescent="0.45">
      <c r="D2777" t="str">
        <f>IFERROR(VLOOKUP(C2777,'Clients List'!$A:$F,2,FALSE),"")</f>
        <v/>
      </c>
      <c r="F2777" s="1" t="str">
        <f>IF(OR(C2777="",NOT(ISNUMBER(SEARCH("Package",D2777)))),"",VLOOKUP(C2777,'Clients List'!$A:$F,4,FALSE)-SUMIFS($E$2:$E2777,$C$2:$C2777,C2777,$D$2:$D2777,"*Package*"))</f>
        <v/>
      </c>
      <c r="G2777" t="str">
        <f t="shared" si="76"/>
        <v/>
      </c>
      <c r="H2777" s="33">
        <f>IF(ISNUMBER(SEARCH("Group",D2777)),IF(G2777="",E2777,IFERROR(E2777/COUNTIF($G2:$G6000,G2777),E2777)),E2777)</f>
        <v>0</v>
      </c>
      <c r="I2777" s="1" t="str">
        <f>IFERROR(VLOOKUP(C2777,'Clients List'!A:F,6,FALSE),"")</f>
        <v/>
      </c>
    </row>
    <row r="2778" spans="4:9" x14ac:dyDescent="0.45">
      <c r="D2778" t="str">
        <f>IFERROR(VLOOKUP(C2778,'Clients List'!$A:$F,2,FALSE),"")</f>
        <v/>
      </c>
      <c r="F2778" s="1" t="str">
        <f>IF(OR(C2778="",NOT(ISNUMBER(SEARCH("Package",D2778)))),"",VLOOKUP(C2778,'Clients List'!$A:$F,4,FALSE)-SUMIFS($E$2:$E2778,$C$2:$C2778,C2778,$D$2:$D2778,"*Package*"))</f>
        <v/>
      </c>
      <c r="G2778" t="str">
        <f t="shared" si="76"/>
        <v/>
      </c>
      <c r="H2778" s="33">
        <f>IF(ISNUMBER(SEARCH("Group",D2778)),IF(G2778="",E2778,IFERROR(E2778/COUNTIF($G2:$G6000,G2778),E2778)),E2778)</f>
        <v>0</v>
      </c>
      <c r="I2778" s="1" t="str">
        <f>IFERROR(VLOOKUP(C2778,'Clients List'!A:F,6,FALSE),"")</f>
        <v/>
      </c>
    </row>
    <row r="2779" spans="4:9" x14ac:dyDescent="0.45">
      <c r="D2779" t="str">
        <f>IFERROR(VLOOKUP(C2779,'Clients List'!$A:$F,2,FALSE),"")</f>
        <v/>
      </c>
      <c r="F2779" s="1" t="str">
        <f>IF(OR(C2779="",NOT(ISNUMBER(SEARCH("Package",D2779)))),"",VLOOKUP(C2779,'Clients List'!$A:$F,4,FALSE)-SUMIFS($E$2:$E2779,$C$2:$C2779,C2779,$D$2:$D2779,"*Package*"))</f>
        <v/>
      </c>
      <c r="G2779" t="str">
        <f t="shared" si="76"/>
        <v/>
      </c>
      <c r="H2779" s="33">
        <f>IF(ISNUMBER(SEARCH("Group",D2779)),IF(G2779="",E2779,IFERROR(E2779/COUNTIF($G2:$G6000,G2779),E2779)),E2779)</f>
        <v>0</v>
      </c>
      <c r="I2779" s="1" t="str">
        <f>IFERROR(VLOOKUP(C2779,'Clients List'!A:F,6,FALSE),"")</f>
        <v/>
      </c>
    </row>
    <row r="2780" spans="4:9" x14ac:dyDescent="0.45">
      <c r="D2780" t="str">
        <f>IFERROR(VLOOKUP(C2780,'Clients List'!$A:$F,2,FALSE),"")</f>
        <v/>
      </c>
      <c r="F2780" s="1" t="str">
        <f>IF(OR(C2780="",NOT(ISNUMBER(SEARCH("Package",D2780)))),"",VLOOKUP(C2780,'Clients List'!$A:$F,4,FALSE)-SUMIFS($E$2:$E2780,$C$2:$C2780,C2780,$D$2:$D2780,"*Package*"))</f>
        <v/>
      </c>
      <c r="G2780" t="str">
        <f t="shared" si="76"/>
        <v/>
      </c>
      <c r="H2780" s="33">
        <f>IF(ISNUMBER(SEARCH("Group",D2780)),IF(G2780="",E2780,IFERROR(E2780/COUNTIF($G2:$G6000,G2780),E2780)),E2780)</f>
        <v>0</v>
      </c>
      <c r="I2780" s="1" t="str">
        <f>IFERROR(VLOOKUP(C2780,'Clients List'!A:F,6,FALSE),"")</f>
        <v/>
      </c>
    </row>
    <row r="2781" spans="4:9" x14ac:dyDescent="0.45">
      <c r="D2781" t="str">
        <f>IFERROR(VLOOKUP(C2781,'Clients List'!$A:$F,2,FALSE),"")</f>
        <v/>
      </c>
      <c r="F2781" s="1" t="str">
        <f>IF(OR(C2781="",NOT(ISNUMBER(SEARCH("Package",D2781)))),"",VLOOKUP(C2781,'Clients List'!$A:$F,4,FALSE)-SUMIFS($E$2:$E2781,$C$2:$C2781,C2781,$D$2:$D2781,"*Package*"))</f>
        <v/>
      </c>
      <c r="G2781" t="str">
        <f t="shared" si="76"/>
        <v/>
      </c>
      <c r="H2781" s="33">
        <f>IF(ISNUMBER(SEARCH("Group",D2781)),IF(G2781="",E2781,IFERROR(E2781/COUNTIF($G2:$G6000,G2781),E2781)),E2781)</f>
        <v>0</v>
      </c>
      <c r="I2781" s="1" t="str">
        <f>IFERROR(VLOOKUP(C2781,'Clients List'!A:F,6,FALSE),"")</f>
        <v/>
      </c>
    </row>
    <row r="2782" spans="4:9" x14ac:dyDescent="0.45">
      <c r="D2782" t="str">
        <f>IFERROR(VLOOKUP(C2782,'Clients List'!$A:$F,2,FALSE),"")</f>
        <v/>
      </c>
      <c r="F2782" s="1" t="str">
        <f>IF(OR(C2782="",NOT(ISNUMBER(SEARCH("Package",D2782)))),"",VLOOKUP(C2782,'Clients List'!$A:$F,4,FALSE)-SUMIFS($E$2:$E2782,$C$2:$C2782,C2782,$D$2:$D2782,"*Package*"))</f>
        <v/>
      </c>
      <c r="G2782" t="str">
        <f t="shared" si="76"/>
        <v/>
      </c>
      <c r="H2782" s="33">
        <f>IF(ISNUMBER(SEARCH("Group",D2782)),IF(G2782="",E2782,IFERROR(E2782/COUNTIF($G2:$G6000,G2782),E2782)),E2782)</f>
        <v>0</v>
      </c>
      <c r="I2782" s="1" t="str">
        <f>IFERROR(VLOOKUP(C2782,'Clients List'!A:F,6,FALSE),"")</f>
        <v/>
      </c>
    </row>
    <row r="2783" spans="4:9" x14ac:dyDescent="0.45">
      <c r="D2783" t="str">
        <f>IFERROR(VLOOKUP(C2783,'Clients List'!$A:$F,2,FALSE),"")</f>
        <v/>
      </c>
      <c r="F2783" s="1" t="str">
        <f>IF(OR(C2783="",NOT(ISNUMBER(SEARCH("Package",D2783)))),"",VLOOKUP(C2783,'Clients List'!$A:$F,4,FALSE)-SUMIFS($E$2:$E2783,$C$2:$C2783,C2783,$D$2:$D2783,"*Package*"))</f>
        <v/>
      </c>
      <c r="G2783" t="str">
        <f t="shared" si="76"/>
        <v/>
      </c>
      <c r="H2783" s="33">
        <f>IF(ISNUMBER(SEARCH("Group",D2783)),IF(G2783="",E2783,IFERROR(E2783/COUNTIF($G2:$G6000,G2783),E2783)),E2783)</f>
        <v>0</v>
      </c>
      <c r="I2783" s="1" t="str">
        <f>IFERROR(VLOOKUP(C2783,'Clients List'!A:F,6,FALSE),"")</f>
        <v/>
      </c>
    </row>
    <row r="2784" spans="4:9" x14ac:dyDescent="0.45">
      <c r="D2784" t="str">
        <f>IFERROR(VLOOKUP(C2784,'Clients List'!$A:$F,2,FALSE),"")</f>
        <v/>
      </c>
      <c r="F2784" s="1" t="str">
        <f>IF(OR(C2784="",NOT(ISNUMBER(SEARCH("Package",D2784)))),"",VLOOKUP(C2784,'Clients List'!$A:$F,4,FALSE)-SUMIFS($E$2:$E2784,$C$2:$C2784,C2784,$D$2:$D2784,"*Package*"))</f>
        <v/>
      </c>
      <c r="G2784" t="str">
        <f t="shared" si="76"/>
        <v/>
      </c>
      <c r="H2784" s="33">
        <f>IF(ISNUMBER(SEARCH("Group",D2784)),IF(G2784="",E2784,IFERROR(E2784/COUNTIF($G2:$G6000,G2784),E2784)),E2784)</f>
        <v>0</v>
      </c>
      <c r="I2784" s="1" t="str">
        <f>IFERROR(VLOOKUP(C2784,'Clients List'!A:F,6,FALSE),"")</f>
        <v/>
      </c>
    </row>
    <row r="2785" spans="4:9" x14ac:dyDescent="0.45">
      <c r="D2785" t="str">
        <f>IFERROR(VLOOKUP(C2785,'Clients List'!$A:$F,2,FALSE),"")</f>
        <v/>
      </c>
      <c r="F2785" s="1" t="str">
        <f>IF(OR(C2785="",NOT(ISNUMBER(SEARCH("Package",D2785)))),"",VLOOKUP(C2785,'Clients List'!$A:$F,4,FALSE)-SUMIFS($E$2:$E2785,$C$2:$C2785,C2785,$D$2:$D2785,"*Package*"))</f>
        <v/>
      </c>
      <c r="G2785" t="str">
        <f t="shared" si="76"/>
        <v/>
      </c>
      <c r="H2785" s="33">
        <f>IF(ISNUMBER(SEARCH("Group",D2785)),IF(G2785="",E2785,IFERROR(E2785/COUNTIF($G2:$G6000,G2785),E2785)),E2785)</f>
        <v>0</v>
      </c>
      <c r="I2785" s="1" t="str">
        <f>IFERROR(VLOOKUP(C2785,'Clients List'!A:F,6,FALSE),"")</f>
        <v/>
      </c>
    </row>
    <row r="2786" spans="4:9" x14ac:dyDescent="0.45">
      <c r="D2786" t="str">
        <f>IFERROR(VLOOKUP(C2786,'Clients List'!$A:$F,2,FALSE),"")</f>
        <v/>
      </c>
      <c r="F2786" s="1" t="str">
        <f>IF(OR(C2786="",NOT(ISNUMBER(SEARCH("Package",D2786)))),"",VLOOKUP(C2786,'Clients List'!$A:$F,4,FALSE)-SUMIFS($E$2:$E2786,$C$2:$C2786,C2786,$D$2:$D2786,"*Package*"))</f>
        <v/>
      </c>
      <c r="G2786" t="str">
        <f t="shared" si="76"/>
        <v/>
      </c>
      <c r="H2786" s="33">
        <f>IF(ISNUMBER(SEARCH("Group",D2786)),IF(G2786="",E2786,IFERROR(E2786/COUNTIF($G2:$G6000,G2786),E2786)),E2786)</f>
        <v>0</v>
      </c>
      <c r="I2786" s="1" t="str">
        <f>IFERROR(VLOOKUP(C2786,'Clients List'!A:F,6,FALSE),"")</f>
        <v/>
      </c>
    </row>
    <row r="2787" spans="4:9" x14ac:dyDescent="0.45">
      <c r="D2787" t="str">
        <f>IFERROR(VLOOKUP(C2787,'Clients List'!$A:$F,2,FALSE),"")</f>
        <v/>
      </c>
      <c r="F2787" s="1" t="str">
        <f>IF(OR(C2787="",NOT(ISNUMBER(SEARCH("Package",D2787)))),"",VLOOKUP(C2787,'Clients List'!$A:$F,4,FALSE)-SUMIFS($E$2:$E2787,$C$2:$C2787,C2787,$D$2:$D2787,"*Package*"))</f>
        <v/>
      </c>
      <c r="G2787" t="str">
        <f t="shared" si="76"/>
        <v/>
      </c>
      <c r="H2787" s="33">
        <f>IF(ISNUMBER(SEARCH("Group",D2787)),IF(G2787="",E2787,IFERROR(E2787/COUNTIF($G2:$G6000,G2787),E2787)),E2787)</f>
        <v>0</v>
      </c>
      <c r="I2787" s="1" t="str">
        <f>IFERROR(VLOOKUP(C2787,'Clients List'!A:F,6,FALSE),"")</f>
        <v/>
      </c>
    </row>
    <row r="2788" spans="4:9" x14ac:dyDescent="0.45">
      <c r="D2788" t="str">
        <f>IFERROR(VLOOKUP(C2788,'Clients List'!$A:$F,2,FALSE),"")</f>
        <v/>
      </c>
      <c r="F2788" s="1" t="str">
        <f>IF(OR(C2788="",NOT(ISNUMBER(SEARCH("Package",D2788)))),"",VLOOKUP(C2788,'Clients List'!$A:$F,4,FALSE)-SUMIFS($E$2:$E2788,$C$2:$C2788,C2788,$D$2:$D2788,"*Package*"))</f>
        <v/>
      </c>
      <c r="G2788" t="str">
        <f t="shared" si="76"/>
        <v/>
      </c>
      <c r="H2788" s="33">
        <f>IF(ISNUMBER(SEARCH("Group",D2788)),IF(G2788="",E2788,IFERROR(E2788/COUNTIF($G2:$G6000,G2788),E2788)),E2788)</f>
        <v>0</v>
      </c>
      <c r="I2788" s="1" t="str">
        <f>IFERROR(VLOOKUP(C2788,'Clients List'!A:F,6,FALSE),"")</f>
        <v/>
      </c>
    </row>
    <row r="2789" spans="4:9" x14ac:dyDescent="0.45">
      <c r="D2789" t="str">
        <f>IFERROR(VLOOKUP(C2789,'Clients List'!$A:$F,2,FALSE),"")</f>
        <v/>
      </c>
      <c r="F2789" s="1" t="str">
        <f>IF(OR(C2789="",NOT(ISNUMBER(SEARCH("Package",D2789)))),"",VLOOKUP(C2789,'Clients List'!$A:$F,4,FALSE)-SUMIFS($E$2:$E2789,$C$2:$C2789,C2789,$D$2:$D2789,"*Package*"))</f>
        <v/>
      </c>
      <c r="G2789" t="str">
        <f t="shared" si="76"/>
        <v/>
      </c>
      <c r="H2789" s="33">
        <f>IF(ISNUMBER(SEARCH("Group",D2789)),IF(G2789="",E2789,IFERROR(E2789/COUNTIF($G2:$G6000,G2789),E2789)),E2789)</f>
        <v>0</v>
      </c>
      <c r="I2789" s="1" t="str">
        <f>IFERROR(VLOOKUP(C2789,'Clients List'!A:F,6,FALSE),"")</f>
        <v/>
      </c>
    </row>
    <row r="2790" spans="4:9" x14ac:dyDescent="0.45">
      <c r="D2790" t="str">
        <f>IFERROR(VLOOKUP(C2790,'Clients List'!$A:$F,2,FALSE),"")</f>
        <v/>
      </c>
      <c r="F2790" s="1" t="str">
        <f>IF(OR(C2790="",NOT(ISNUMBER(SEARCH("Package",D2790)))),"",VLOOKUP(C2790,'Clients List'!$A:$F,4,FALSE)-SUMIFS($E$2:$E2790,$C$2:$C2790,C2790,$D$2:$D2790,"*Package*"))</f>
        <v/>
      </c>
      <c r="G2790" t="str">
        <f t="shared" si="76"/>
        <v/>
      </c>
      <c r="H2790" s="33">
        <f>IF(ISNUMBER(SEARCH("Group",D2790)),IF(G2790="",E2790,IFERROR(E2790/COUNTIF($G2:$G6000,G2790),E2790)),E2790)</f>
        <v>0</v>
      </c>
      <c r="I2790" s="1" t="str">
        <f>IFERROR(VLOOKUP(C2790,'Clients List'!A:F,6,FALSE),"")</f>
        <v/>
      </c>
    </row>
    <row r="2791" spans="4:9" x14ac:dyDescent="0.45">
      <c r="D2791" t="str">
        <f>IFERROR(VLOOKUP(C2791,'Clients List'!$A:$F,2,FALSE),"")</f>
        <v/>
      </c>
      <c r="F2791" s="1" t="str">
        <f>IF(OR(C2791="",NOT(ISNUMBER(SEARCH("Package",D2791)))),"",VLOOKUP(C2791,'Clients List'!$A:$F,4,FALSE)-SUMIFS($E$2:$E2791,$C$2:$C2791,C2791,$D$2:$D2791,"*Package*"))</f>
        <v/>
      </c>
      <c r="G2791" t="str">
        <f t="shared" si="76"/>
        <v/>
      </c>
      <c r="H2791" s="33">
        <f>IF(ISNUMBER(SEARCH("Group",D2791)),IF(G2791="",E2791,IFERROR(E2791/COUNTIF($G2:$G6000,G2791),E2791)),E2791)</f>
        <v>0</v>
      </c>
      <c r="I2791" s="1" t="str">
        <f>IFERROR(VLOOKUP(C2791,'Clients List'!A:F,6,FALSE),"")</f>
        <v/>
      </c>
    </row>
    <row r="2792" spans="4:9" x14ac:dyDescent="0.45">
      <c r="D2792" t="str">
        <f>IFERROR(VLOOKUP(C2792,'Clients List'!$A:$F,2,FALSE),"")</f>
        <v/>
      </c>
      <c r="F2792" s="1" t="str">
        <f>IF(OR(C2792="",NOT(ISNUMBER(SEARCH("Package",D2792)))),"",VLOOKUP(C2792,'Clients List'!$A:$F,4,FALSE)-SUMIFS($E$2:$E2792,$C$2:$C2792,C2792,$D$2:$D2792,"*Package*"))</f>
        <v/>
      </c>
      <c r="G2792" t="str">
        <f t="shared" si="76"/>
        <v/>
      </c>
      <c r="H2792" s="33">
        <f>IF(ISNUMBER(SEARCH("Group",D2792)),IF(G2792="",E2792,IFERROR(E2792/COUNTIF($G2:$G6000,G2792),E2792)),E2792)</f>
        <v>0</v>
      </c>
      <c r="I2792" s="1" t="str">
        <f>IFERROR(VLOOKUP(C2792,'Clients List'!A:F,6,FALSE),"")</f>
        <v/>
      </c>
    </row>
    <row r="2793" spans="4:9" x14ac:dyDescent="0.45">
      <c r="D2793" t="str">
        <f>IFERROR(VLOOKUP(C2793,'Clients List'!$A:$F,2,FALSE),"")</f>
        <v/>
      </c>
      <c r="F2793" s="1" t="str">
        <f>IF(OR(C2793="",NOT(ISNUMBER(SEARCH("Package",D2793)))),"",VLOOKUP(C2793,'Clients List'!$A:$F,4,FALSE)-SUMIFS($E$2:$E2793,$C$2:$C2793,C2793,$D$2:$D2793,"*Package*"))</f>
        <v/>
      </c>
      <c r="G2793" t="str">
        <f t="shared" si="76"/>
        <v/>
      </c>
      <c r="H2793" s="33">
        <f>IF(ISNUMBER(SEARCH("Group",D2793)),IF(G2793="",E2793,IFERROR(E2793/COUNTIF($G2:$G6000,G2793),E2793)),E2793)</f>
        <v>0</v>
      </c>
      <c r="I2793" s="1" t="str">
        <f>IFERROR(VLOOKUP(C2793,'Clients List'!A:F,6,FALSE),"")</f>
        <v/>
      </c>
    </row>
    <row r="2794" spans="4:9" x14ac:dyDescent="0.45">
      <c r="D2794" t="str">
        <f>IFERROR(VLOOKUP(C2794,'Clients List'!$A:$F,2,FALSE),"")</f>
        <v/>
      </c>
      <c r="F2794" s="1" t="str">
        <f>IF(OR(C2794="",NOT(ISNUMBER(SEARCH("Package",D2794)))),"",VLOOKUP(C2794,'Clients List'!$A:$F,4,FALSE)-SUMIFS($E$2:$E2794,$C$2:$C2794,C2794,$D$2:$D2794,"*Package*"))</f>
        <v/>
      </c>
      <c r="G2794" t="str">
        <f t="shared" si="76"/>
        <v/>
      </c>
      <c r="H2794" s="33">
        <f>IF(ISNUMBER(SEARCH("Group",D2794)),IF(G2794="",E2794,IFERROR(E2794/COUNTIF($G2:$G6000,G2794),E2794)),E2794)</f>
        <v>0</v>
      </c>
      <c r="I2794" s="1" t="str">
        <f>IFERROR(VLOOKUP(C2794,'Clients List'!A:F,6,FALSE),"")</f>
        <v/>
      </c>
    </row>
    <row r="2795" spans="4:9" x14ac:dyDescent="0.45">
      <c r="D2795" t="str">
        <f>IFERROR(VLOOKUP(C2795,'Clients List'!$A:$F,2,FALSE),"")</f>
        <v/>
      </c>
      <c r="F2795" s="1" t="str">
        <f>IF(OR(C2795="",NOT(ISNUMBER(SEARCH("Package",D2795)))),"",VLOOKUP(C2795,'Clients List'!$A:$F,4,FALSE)-SUMIFS($E$2:$E2795,$C$2:$C2795,C2795,$D$2:$D2795,"*Package*"))</f>
        <v/>
      </c>
      <c r="G2795" t="str">
        <f t="shared" si="76"/>
        <v/>
      </c>
      <c r="H2795" s="33">
        <f>IF(ISNUMBER(SEARCH("Group",D2795)),IF(G2795="",E2795,IFERROR(E2795/COUNTIF($G2:$G6000,G2795),E2795)),E2795)</f>
        <v>0</v>
      </c>
      <c r="I2795" s="1" t="str">
        <f>IFERROR(VLOOKUP(C2795,'Clients List'!A:F,6,FALSE),"")</f>
        <v/>
      </c>
    </row>
    <row r="2796" spans="4:9" x14ac:dyDescent="0.45">
      <c r="D2796" t="str">
        <f>IFERROR(VLOOKUP(C2796,'Clients List'!$A:$F,2,FALSE),"")</f>
        <v/>
      </c>
      <c r="F2796" s="1" t="str">
        <f>IF(OR(C2796="",NOT(ISNUMBER(SEARCH("Package",D2796)))),"",VLOOKUP(C2796,'Clients List'!$A:$F,4,FALSE)-SUMIFS($E$2:$E2796,$C$2:$C2796,C2796,$D$2:$D2796,"*Package*"))</f>
        <v/>
      </c>
      <c r="G2796" t="str">
        <f t="shared" si="76"/>
        <v/>
      </c>
      <c r="H2796" s="33">
        <f>IF(ISNUMBER(SEARCH("Group",D2796)),IF(G2796="",E2796,IFERROR(E2796/COUNTIF($G2:$G6000,G2796),E2796)),E2796)</f>
        <v>0</v>
      </c>
      <c r="I2796" s="1" t="str">
        <f>IFERROR(VLOOKUP(C2796,'Clients List'!A:F,6,FALSE),"")</f>
        <v/>
      </c>
    </row>
    <row r="2797" spans="4:9" x14ac:dyDescent="0.45">
      <c r="D2797" t="str">
        <f>IFERROR(VLOOKUP(C2797,'Clients List'!$A:$F,2,FALSE),"")</f>
        <v/>
      </c>
      <c r="F2797" s="1" t="str">
        <f>IF(OR(C2797="",NOT(ISNUMBER(SEARCH("Package",D2797)))),"",VLOOKUP(C2797,'Clients List'!$A:$F,4,FALSE)-SUMIFS($E$2:$E2797,$C$2:$C2797,C2797,$D$2:$D2797,"*Package*"))</f>
        <v/>
      </c>
      <c r="G2797" t="str">
        <f t="shared" si="76"/>
        <v/>
      </c>
      <c r="H2797" s="33">
        <f>IF(ISNUMBER(SEARCH("Group",D2797)),IF(G2797="",E2797,IFERROR(E2797/COUNTIF($G2:$G6000,G2797),E2797)),E2797)</f>
        <v>0</v>
      </c>
      <c r="I2797" s="1" t="str">
        <f>IFERROR(VLOOKUP(C2797,'Clients List'!A:F,6,FALSE),"")</f>
        <v/>
      </c>
    </row>
    <row r="2798" spans="4:9" x14ac:dyDescent="0.45">
      <c r="D2798" t="str">
        <f>IFERROR(VLOOKUP(C2798,'Clients List'!$A:$F,2,FALSE),"")</f>
        <v/>
      </c>
      <c r="F2798" s="1" t="str">
        <f>IF(OR(C2798="",NOT(ISNUMBER(SEARCH("Package",D2798)))),"",VLOOKUP(C2798,'Clients List'!$A:$F,4,FALSE)-SUMIFS($E$2:$E2798,$C$2:$C2798,C2798,$D$2:$D2798,"*Package*"))</f>
        <v/>
      </c>
      <c r="G2798" t="str">
        <f t="shared" si="76"/>
        <v/>
      </c>
      <c r="H2798" s="33">
        <f>IF(ISNUMBER(SEARCH("Group",D2798)),IF(G2798="",E2798,IFERROR(E2798/COUNTIF($G2:$G6000,G2798),E2798)),E2798)</f>
        <v>0</v>
      </c>
      <c r="I2798" s="1" t="str">
        <f>IFERROR(VLOOKUP(C2798,'Clients List'!A:F,6,FALSE),"")</f>
        <v/>
      </c>
    </row>
    <row r="2799" spans="4:9" x14ac:dyDescent="0.45">
      <c r="D2799" t="str">
        <f>IFERROR(VLOOKUP(C2799,'Clients List'!$A:$F,2,FALSE),"")</f>
        <v/>
      </c>
      <c r="F2799" s="1" t="str">
        <f>IF(OR(C2799="",NOT(ISNUMBER(SEARCH("Package",D2799)))),"",VLOOKUP(C2799,'Clients List'!$A:$F,4,FALSE)-SUMIFS($E$2:$E2799,$C$2:$C2799,C2799,$D$2:$D2799,"*Package*"))</f>
        <v/>
      </c>
      <c r="G2799" t="str">
        <f t="shared" si="76"/>
        <v/>
      </c>
      <c r="H2799" s="33">
        <f>IF(ISNUMBER(SEARCH("Group",D2799)),IF(G2799="",E2799,IFERROR(E2799/COUNTIF($G2:$G6000,G2799),E2799)),E2799)</f>
        <v>0</v>
      </c>
      <c r="I2799" s="1" t="str">
        <f>IFERROR(VLOOKUP(C2799,'Clients List'!A:F,6,FALSE),"")</f>
        <v/>
      </c>
    </row>
    <row r="2800" spans="4:9" x14ac:dyDescent="0.45">
      <c r="D2800" t="str">
        <f>IFERROR(VLOOKUP(C2800,'Clients List'!$A:$F,2,FALSE),"")</f>
        <v/>
      </c>
      <c r="F2800" s="1" t="str">
        <f>IF(OR(C2800="",NOT(ISNUMBER(SEARCH("Package",D2800)))),"",VLOOKUP(C2800,'Clients List'!$A:$F,4,FALSE)-SUMIFS($E$2:$E2800,$C$2:$C2800,C2800,$D$2:$D2800,"*Package*"))</f>
        <v/>
      </c>
      <c r="G2800" t="str">
        <f t="shared" si="76"/>
        <v/>
      </c>
      <c r="H2800" s="33">
        <f>IF(ISNUMBER(SEARCH("Group",D2800)),IF(G2800="",E2800,IFERROR(E2800/COUNTIF($G2:$G6000,G2800),E2800)),E2800)</f>
        <v>0</v>
      </c>
      <c r="I2800" s="1" t="str">
        <f>IFERROR(VLOOKUP(C2800,'Clients List'!A:F,6,FALSE),"")</f>
        <v/>
      </c>
    </row>
    <row r="2801" spans="4:9" x14ac:dyDescent="0.45">
      <c r="D2801" t="str">
        <f>IFERROR(VLOOKUP(C2801,'Clients List'!$A:$F,2,FALSE),"")</f>
        <v/>
      </c>
      <c r="F2801" s="1" t="str">
        <f>IF(OR(C2801="",NOT(ISNUMBER(SEARCH("Package",D2801)))),"",VLOOKUP(C2801,'Clients List'!$A:$F,4,FALSE)-SUMIFS($E$2:$E2801,$C$2:$C2801,C2801,$D$2:$D2801,"*Package*"))</f>
        <v/>
      </c>
      <c r="G2801" t="str">
        <f t="shared" si="76"/>
        <v/>
      </c>
      <c r="H2801" s="33">
        <f>IF(ISNUMBER(SEARCH("Group",D2801)),IF(G2801="",E2801,IFERROR(E2801/COUNTIF($G2:$G6000,G2801),E2801)),E2801)</f>
        <v>0</v>
      </c>
      <c r="I2801" s="1" t="str">
        <f>IFERROR(VLOOKUP(C2801,'Clients List'!A:F,6,FALSE),"")</f>
        <v/>
      </c>
    </row>
    <row r="2802" spans="4:9" x14ac:dyDescent="0.45">
      <c r="D2802" t="str">
        <f>IFERROR(VLOOKUP(C2802,'Clients List'!$A:$F,2,FALSE),"")</f>
        <v/>
      </c>
      <c r="F2802" s="1" t="str">
        <f>IF(OR(C2802="",NOT(ISNUMBER(SEARCH("Package",D2802)))),"",VLOOKUP(C2802,'Clients List'!$A:$F,4,FALSE)-SUMIFS($E$2:$E2802,$C$2:$C2802,C2802,$D$2:$D2802,"*Package*"))</f>
        <v/>
      </c>
      <c r="G2802" t="str">
        <f t="shared" si="76"/>
        <v/>
      </c>
      <c r="H2802" s="33">
        <f>IF(ISNUMBER(SEARCH("Group",D2802)),IF(G2802="",E2802,IFERROR(E2802/COUNTIF($G2:$G6000,G2802),E2802)),E2802)</f>
        <v>0</v>
      </c>
      <c r="I2802" s="1" t="str">
        <f>IFERROR(VLOOKUP(C2802,'Clients List'!A:F,6,FALSE),"")</f>
        <v/>
      </c>
    </row>
    <row r="2803" spans="4:9" x14ac:dyDescent="0.45">
      <c r="D2803" t="str">
        <f>IFERROR(VLOOKUP(C2803,'Clients List'!$A:$F,2,FALSE),"")</f>
        <v/>
      </c>
      <c r="F2803" s="1" t="str">
        <f>IF(OR(C2803="",NOT(ISNUMBER(SEARCH("Package",D2803)))),"",VLOOKUP(C2803,'Clients List'!$A:$F,4,FALSE)-SUMIFS($E$2:$E2803,$C$2:$C2803,C2803,$D$2:$D2803,"*Package*"))</f>
        <v/>
      </c>
      <c r="G2803" t="str">
        <f t="shared" si="76"/>
        <v/>
      </c>
      <c r="H2803" s="33">
        <f>IF(ISNUMBER(SEARCH("Group",D2803)),IF(G2803="",E2803,IFERROR(E2803/COUNTIF($G2:$G6000,G2803),E2803)),E2803)</f>
        <v>0</v>
      </c>
      <c r="I2803" s="1" t="str">
        <f>IFERROR(VLOOKUP(C2803,'Clients List'!A:F,6,FALSE),"")</f>
        <v/>
      </c>
    </row>
    <row r="2804" spans="4:9" x14ac:dyDescent="0.45">
      <c r="D2804" t="str">
        <f>IFERROR(VLOOKUP(C2804,'Clients List'!$A:$F,2,FALSE),"")</f>
        <v/>
      </c>
      <c r="F2804" s="1" t="str">
        <f>IF(OR(C2804="",NOT(ISNUMBER(SEARCH("Package",D2804)))),"",VLOOKUP(C2804,'Clients List'!$A:$F,4,FALSE)-SUMIFS($E$2:$E2804,$C$2:$C2804,C2804,$D$2:$D2804,"*Package*"))</f>
        <v/>
      </c>
      <c r="G2804" t="str">
        <f t="shared" si="76"/>
        <v/>
      </c>
      <c r="H2804" s="33">
        <f>IF(ISNUMBER(SEARCH("Group",D2804)),IF(G2804="",E2804,IFERROR(E2804/COUNTIF($G2:$G6000,G2804),E2804)),E2804)</f>
        <v>0</v>
      </c>
      <c r="I2804" s="1" t="str">
        <f>IFERROR(VLOOKUP(C2804,'Clients List'!A:F,6,FALSE),"")</f>
        <v/>
      </c>
    </row>
    <row r="2805" spans="4:9" x14ac:dyDescent="0.45">
      <c r="D2805" t="str">
        <f>IFERROR(VLOOKUP(C2805,'Clients List'!$A:$F,2,FALSE),"")</f>
        <v/>
      </c>
      <c r="F2805" s="1" t="str">
        <f>IF(OR(C2805="",NOT(ISNUMBER(SEARCH("Package",D2805)))),"",VLOOKUP(C2805,'Clients List'!$A:$F,4,FALSE)-SUMIFS($E$2:$E2805,$C$2:$C2805,C2805,$D$2:$D2805,"*Package*"))</f>
        <v/>
      </c>
      <c r="G2805" t="str">
        <f t="shared" ref="G2805:G2868" si="77">IF(ISNUMBER(SEARCH("Group",D2805)),IFERROR("GRP-"&amp;TEXT(IF(ISNUMBER(A2805),A2805,DATEVALUE(A2805)),"yyyymmdd"),""),"" )</f>
        <v/>
      </c>
      <c r="H2805" s="33">
        <f>IF(ISNUMBER(SEARCH("Group",D2805)),IF(G2805="",E2805,IFERROR(E2805/COUNTIF($G2:$G6000,G2805),E2805)),E2805)</f>
        <v>0</v>
      </c>
      <c r="I2805" s="1" t="str">
        <f>IFERROR(VLOOKUP(C2805,'Clients List'!A:F,6,FALSE),"")</f>
        <v/>
      </c>
    </row>
    <row r="2806" spans="4:9" x14ac:dyDescent="0.45">
      <c r="D2806" t="str">
        <f>IFERROR(VLOOKUP(C2806,'Clients List'!$A:$F,2,FALSE),"")</f>
        <v/>
      </c>
      <c r="F2806" s="1" t="str">
        <f>IF(OR(C2806="",NOT(ISNUMBER(SEARCH("Package",D2806)))),"",VLOOKUP(C2806,'Clients List'!$A:$F,4,FALSE)-SUMIFS($E$2:$E2806,$C$2:$C2806,C2806,$D$2:$D2806,"*Package*"))</f>
        <v/>
      </c>
      <c r="G2806" t="str">
        <f t="shared" si="77"/>
        <v/>
      </c>
      <c r="H2806" s="33">
        <f>IF(ISNUMBER(SEARCH("Group",D2806)),IF(G2806="",E2806,IFERROR(E2806/COUNTIF($G2:$G6000,G2806),E2806)),E2806)</f>
        <v>0</v>
      </c>
      <c r="I2806" s="1" t="str">
        <f>IFERROR(VLOOKUP(C2806,'Clients List'!A:F,6,FALSE),"")</f>
        <v/>
      </c>
    </row>
    <row r="2807" spans="4:9" x14ac:dyDescent="0.45">
      <c r="D2807" t="str">
        <f>IFERROR(VLOOKUP(C2807,'Clients List'!$A:$F,2,FALSE),"")</f>
        <v/>
      </c>
      <c r="F2807" s="1" t="str">
        <f>IF(OR(C2807="",NOT(ISNUMBER(SEARCH("Package",D2807)))),"",VLOOKUP(C2807,'Clients List'!$A:$F,4,FALSE)-SUMIFS($E$2:$E2807,$C$2:$C2807,C2807,$D$2:$D2807,"*Package*"))</f>
        <v/>
      </c>
      <c r="G2807" t="str">
        <f t="shared" si="77"/>
        <v/>
      </c>
      <c r="H2807" s="33">
        <f>IF(ISNUMBER(SEARCH("Group",D2807)),IF(G2807="",E2807,IFERROR(E2807/COUNTIF($G2:$G6000,G2807),E2807)),E2807)</f>
        <v>0</v>
      </c>
      <c r="I2807" s="1" t="str">
        <f>IFERROR(VLOOKUP(C2807,'Clients List'!A:F,6,FALSE),"")</f>
        <v/>
      </c>
    </row>
    <row r="2808" spans="4:9" x14ac:dyDescent="0.45">
      <c r="D2808" t="str">
        <f>IFERROR(VLOOKUP(C2808,'Clients List'!$A:$F,2,FALSE),"")</f>
        <v/>
      </c>
      <c r="F2808" s="1" t="str">
        <f>IF(OR(C2808="",NOT(ISNUMBER(SEARCH("Package",D2808)))),"",VLOOKUP(C2808,'Clients List'!$A:$F,4,FALSE)-SUMIFS($E$2:$E2808,$C$2:$C2808,C2808,$D$2:$D2808,"*Package*"))</f>
        <v/>
      </c>
      <c r="G2808" t="str">
        <f t="shared" si="77"/>
        <v/>
      </c>
      <c r="H2808" s="33">
        <f>IF(ISNUMBER(SEARCH("Group",D2808)),IF(G2808="",E2808,IFERROR(E2808/COUNTIF($G2:$G6000,G2808),E2808)),E2808)</f>
        <v>0</v>
      </c>
      <c r="I2808" s="1" t="str">
        <f>IFERROR(VLOOKUP(C2808,'Clients List'!A:F,6,FALSE),"")</f>
        <v/>
      </c>
    </row>
    <row r="2809" spans="4:9" x14ac:dyDescent="0.45">
      <c r="D2809" t="str">
        <f>IFERROR(VLOOKUP(C2809,'Clients List'!$A:$F,2,FALSE),"")</f>
        <v/>
      </c>
      <c r="F2809" s="1" t="str">
        <f>IF(OR(C2809="",NOT(ISNUMBER(SEARCH("Package",D2809)))),"",VLOOKUP(C2809,'Clients List'!$A:$F,4,FALSE)-SUMIFS($E$2:$E2809,$C$2:$C2809,C2809,$D$2:$D2809,"*Package*"))</f>
        <v/>
      </c>
      <c r="G2809" t="str">
        <f t="shared" si="77"/>
        <v/>
      </c>
      <c r="H2809" s="33">
        <f>IF(ISNUMBER(SEARCH("Group",D2809)),IF(G2809="",E2809,IFERROR(E2809/COUNTIF($G2:$G6000,G2809),E2809)),E2809)</f>
        <v>0</v>
      </c>
      <c r="I2809" s="1" t="str">
        <f>IFERROR(VLOOKUP(C2809,'Clients List'!A:F,6,FALSE),"")</f>
        <v/>
      </c>
    </row>
    <row r="2810" spans="4:9" x14ac:dyDescent="0.45">
      <c r="D2810" t="str">
        <f>IFERROR(VLOOKUP(C2810,'Clients List'!$A:$F,2,FALSE),"")</f>
        <v/>
      </c>
      <c r="F2810" s="1" t="str">
        <f>IF(OR(C2810="",NOT(ISNUMBER(SEARCH("Package",D2810)))),"",VLOOKUP(C2810,'Clients List'!$A:$F,4,FALSE)-SUMIFS($E$2:$E2810,$C$2:$C2810,C2810,$D$2:$D2810,"*Package*"))</f>
        <v/>
      </c>
      <c r="G2810" t="str">
        <f t="shared" si="77"/>
        <v/>
      </c>
      <c r="H2810" s="33">
        <f>IF(ISNUMBER(SEARCH("Group",D2810)),IF(G2810="",E2810,IFERROR(E2810/COUNTIF($G2:$G6000,G2810),E2810)),E2810)</f>
        <v>0</v>
      </c>
      <c r="I2810" s="1" t="str">
        <f>IFERROR(VLOOKUP(C2810,'Clients List'!A:F,6,FALSE),"")</f>
        <v/>
      </c>
    </row>
    <row r="2811" spans="4:9" x14ac:dyDescent="0.45">
      <c r="D2811" t="str">
        <f>IFERROR(VLOOKUP(C2811,'Clients List'!$A:$F,2,FALSE),"")</f>
        <v/>
      </c>
      <c r="F2811" s="1" t="str">
        <f>IF(OR(C2811="",NOT(ISNUMBER(SEARCH("Package",D2811)))),"",VLOOKUP(C2811,'Clients List'!$A:$F,4,FALSE)-SUMIFS($E$2:$E2811,$C$2:$C2811,C2811,$D$2:$D2811,"*Package*"))</f>
        <v/>
      </c>
      <c r="G2811" t="str">
        <f t="shared" si="77"/>
        <v/>
      </c>
      <c r="H2811" s="33">
        <f>IF(ISNUMBER(SEARCH("Group",D2811)),IF(G2811="",E2811,IFERROR(E2811/COUNTIF($G2:$G6000,G2811),E2811)),E2811)</f>
        <v>0</v>
      </c>
      <c r="I2811" s="1" t="str">
        <f>IFERROR(VLOOKUP(C2811,'Clients List'!A:F,6,FALSE),"")</f>
        <v/>
      </c>
    </row>
    <row r="2812" spans="4:9" x14ac:dyDescent="0.45">
      <c r="D2812" t="str">
        <f>IFERROR(VLOOKUP(C2812,'Clients List'!$A:$F,2,FALSE),"")</f>
        <v/>
      </c>
      <c r="F2812" s="1" t="str">
        <f>IF(OR(C2812="",NOT(ISNUMBER(SEARCH("Package",D2812)))),"",VLOOKUP(C2812,'Clients List'!$A:$F,4,FALSE)-SUMIFS($E$2:$E2812,$C$2:$C2812,C2812,$D$2:$D2812,"*Package*"))</f>
        <v/>
      </c>
      <c r="G2812" t="str">
        <f t="shared" si="77"/>
        <v/>
      </c>
      <c r="H2812" s="33">
        <f>IF(ISNUMBER(SEARCH("Group",D2812)),IF(G2812="",E2812,IFERROR(E2812/COUNTIF($G2:$G6000,G2812),E2812)),E2812)</f>
        <v>0</v>
      </c>
      <c r="I2812" s="1" t="str">
        <f>IFERROR(VLOOKUP(C2812,'Clients List'!A:F,6,FALSE),"")</f>
        <v/>
      </c>
    </row>
    <row r="2813" spans="4:9" x14ac:dyDescent="0.45">
      <c r="D2813" t="str">
        <f>IFERROR(VLOOKUP(C2813,'Clients List'!$A:$F,2,FALSE),"")</f>
        <v/>
      </c>
      <c r="F2813" s="1" t="str">
        <f>IF(OR(C2813="",NOT(ISNUMBER(SEARCH("Package",D2813)))),"",VLOOKUP(C2813,'Clients List'!$A:$F,4,FALSE)-SUMIFS($E$2:$E2813,$C$2:$C2813,C2813,$D$2:$D2813,"*Package*"))</f>
        <v/>
      </c>
      <c r="G2813" t="str">
        <f t="shared" si="77"/>
        <v/>
      </c>
      <c r="H2813" s="33">
        <f>IF(ISNUMBER(SEARCH("Group",D2813)),IF(G2813="",E2813,IFERROR(E2813/COUNTIF($G2:$G6000,G2813),E2813)),E2813)</f>
        <v>0</v>
      </c>
      <c r="I2813" s="1" t="str">
        <f>IFERROR(VLOOKUP(C2813,'Clients List'!A:F,6,FALSE),"")</f>
        <v/>
      </c>
    </row>
    <row r="2814" spans="4:9" x14ac:dyDescent="0.45">
      <c r="D2814" t="str">
        <f>IFERROR(VLOOKUP(C2814,'Clients List'!$A:$F,2,FALSE),"")</f>
        <v/>
      </c>
      <c r="F2814" s="1" t="str">
        <f>IF(OR(C2814="",NOT(ISNUMBER(SEARCH("Package",D2814)))),"",VLOOKUP(C2814,'Clients List'!$A:$F,4,FALSE)-SUMIFS($E$2:$E2814,$C$2:$C2814,C2814,$D$2:$D2814,"*Package*"))</f>
        <v/>
      </c>
      <c r="G2814" t="str">
        <f t="shared" si="77"/>
        <v/>
      </c>
      <c r="H2814" s="33">
        <f>IF(ISNUMBER(SEARCH("Group",D2814)),IF(G2814="",E2814,IFERROR(E2814/COUNTIF($G2:$G6000,G2814),E2814)),E2814)</f>
        <v>0</v>
      </c>
      <c r="I2814" s="1" t="str">
        <f>IFERROR(VLOOKUP(C2814,'Clients List'!A:F,6,FALSE),"")</f>
        <v/>
      </c>
    </row>
    <row r="2815" spans="4:9" x14ac:dyDescent="0.45">
      <c r="D2815" t="str">
        <f>IFERROR(VLOOKUP(C2815,'Clients List'!$A:$F,2,FALSE),"")</f>
        <v/>
      </c>
      <c r="F2815" s="1" t="str">
        <f>IF(OR(C2815="",NOT(ISNUMBER(SEARCH("Package",D2815)))),"",VLOOKUP(C2815,'Clients List'!$A:$F,4,FALSE)-SUMIFS($E$2:$E2815,$C$2:$C2815,C2815,$D$2:$D2815,"*Package*"))</f>
        <v/>
      </c>
      <c r="G2815" t="str">
        <f t="shared" si="77"/>
        <v/>
      </c>
      <c r="H2815" s="33">
        <f>IF(ISNUMBER(SEARCH("Group",D2815)),IF(G2815="",E2815,IFERROR(E2815/COUNTIF($G2:$G6000,G2815),E2815)),E2815)</f>
        <v>0</v>
      </c>
      <c r="I2815" s="1" t="str">
        <f>IFERROR(VLOOKUP(C2815,'Clients List'!A:F,6,FALSE),"")</f>
        <v/>
      </c>
    </row>
    <row r="2816" spans="4:9" x14ac:dyDescent="0.45">
      <c r="D2816" t="str">
        <f>IFERROR(VLOOKUP(C2816,'Clients List'!$A:$F,2,FALSE),"")</f>
        <v/>
      </c>
      <c r="F2816" s="1" t="str">
        <f>IF(OR(C2816="",NOT(ISNUMBER(SEARCH("Package",D2816)))),"",VLOOKUP(C2816,'Clients List'!$A:$F,4,FALSE)-SUMIFS($E$2:$E2816,$C$2:$C2816,C2816,$D$2:$D2816,"*Package*"))</f>
        <v/>
      </c>
      <c r="G2816" t="str">
        <f t="shared" si="77"/>
        <v/>
      </c>
      <c r="H2816" s="33">
        <f>IF(ISNUMBER(SEARCH("Group",D2816)),IF(G2816="",E2816,IFERROR(E2816/COUNTIF($G2:$G6000,G2816),E2816)),E2816)</f>
        <v>0</v>
      </c>
      <c r="I2816" s="1" t="str">
        <f>IFERROR(VLOOKUP(C2816,'Clients List'!A:F,6,FALSE),"")</f>
        <v/>
      </c>
    </row>
    <row r="2817" spans="4:9" x14ac:dyDescent="0.45">
      <c r="D2817" t="str">
        <f>IFERROR(VLOOKUP(C2817,'Clients List'!$A:$F,2,FALSE),"")</f>
        <v/>
      </c>
      <c r="F2817" s="1" t="str">
        <f>IF(OR(C2817="",NOT(ISNUMBER(SEARCH("Package",D2817)))),"",VLOOKUP(C2817,'Clients List'!$A:$F,4,FALSE)-SUMIFS($E$2:$E2817,$C$2:$C2817,C2817,$D$2:$D2817,"*Package*"))</f>
        <v/>
      </c>
      <c r="G2817" t="str">
        <f t="shared" si="77"/>
        <v/>
      </c>
      <c r="H2817" s="33">
        <f>IF(ISNUMBER(SEARCH("Group",D2817)),IF(G2817="",E2817,IFERROR(E2817/COUNTIF($G2:$G6000,G2817),E2817)),E2817)</f>
        <v>0</v>
      </c>
      <c r="I2817" s="1" t="str">
        <f>IFERROR(VLOOKUP(C2817,'Clients List'!A:F,6,FALSE),"")</f>
        <v/>
      </c>
    </row>
    <row r="2818" spans="4:9" x14ac:dyDescent="0.45">
      <c r="D2818" t="str">
        <f>IFERROR(VLOOKUP(C2818,'Clients List'!$A:$F,2,FALSE),"")</f>
        <v/>
      </c>
      <c r="F2818" s="1" t="str">
        <f>IF(OR(C2818="",NOT(ISNUMBER(SEARCH("Package",D2818)))),"",VLOOKUP(C2818,'Clients List'!$A:$F,4,FALSE)-SUMIFS($E$2:$E2818,$C$2:$C2818,C2818,$D$2:$D2818,"*Package*"))</f>
        <v/>
      </c>
      <c r="G2818" t="str">
        <f t="shared" si="77"/>
        <v/>
      </c>
      <c r="H2818" s="33">
        <f>IF(ISNUMBER(SEARCH("Group",D2818)),IF(G2818="",E2818,IFERROR(E2818/COUNTIF($G2:$G6000,G2818),E2818)),E2818)</f>
        <v>0</v>
      </c>
      <c r="I2818" s="1" t="str">
        <f>IFERROR(VLOOKUP(C2818,'Clients List'!A:F,6,FALSE),"")</f>
        <v/>
      </c>
    </row>
    <row r="2819" spans="4:9" x14ac:dyDescent="0.45">
      <c r="D2819" t="str">
        <f>IFERROR(VLOOKUP(C2819,'Clients List'!$A:$F,2,FALSE),"")</f>
        <v/>
      </c>
      <c r="F2819" s="1" t="str">
        <f>IF(OR(C2819="",NOT(ISNUMBER(SEARCH("Package",D2819)))),"",VLOOKUP(C2819,'Clients List'!$A:$F,4,FALSE)-SUMIFS($E$2:$E2819,$C$2:$C2819,C2819,$D$2:$D2819,"*Package*"))</f>
        <v/>
      </c>
      <c r="G2819" t="str">
        <f t="shared" si="77"/>
        <v/>
      </c>
      <c r="H2819" s="33">
        <f>IF(ISNUMBER(SEARCH("Group",D2819)),IF(G2819="",E2819,IFERROR(E2819/COUNTIF($G2:$G6000,G2819),E2819)),E2819)</f>
        <v>0</v>
      </c>
      <c r="I2819" s="1" t="str">
        <f>IFERROR(VLOOKUP(C2819,'Clients List'!A:F,6,FALSE),"")</f>
        <v/>
      </c>
    </row>
    <row r="2820" spans="4:9" x14ac:dyDescent="0.45">
      <c r="D2820" t="str">
        <f>IFERROR(VLOOKUP(C2820,'Clients List'!$A:$F,2,FALSE),"")</f>
        <v/>
      </c>
      <c r="F2820" s="1" t="str">
        <f>IF(OR(C2820="",NOT(ISNUMBER(SEARCH("Package",D2820)))),"",VLOOKUP(C2820,'Clients List'!$A:$F,4,FALSE)-SUMIFS($E$2:$E2820,$C$2:$C2820,C2820,$D$2:$D2820,"*Package*"))</f>
        <v/>
      </c>
      <c r="G2820" t="str">
        <f t="shared" si="77"/>
        <v/>
      </c>
      <c r="H2820" s="33">
        <f>IF(ISNUMBER(SEARCH("Group",D2820)),IF(G2820="",E2820,IFERROR(E2820/COUNTIF($G2:$G6000,G2820),E2820)),E2820)</f>
        <v>0</v>
      </c>
      <c r="I2820" s="1" t="str">
        <f>IFERROR(VLOOKUP(C2820,'Clients List'!A:F,6,FALSE),"")</f>
        <v/>
      </c>
    </row>
    <row r="2821" spans="4:9" x14ac:dyDescent="0.45">
      <c r="D2821" t="str">
        <f>IFERROR(VLOOKUP(C2821,'Clients List'!$A:$F,2,FALSE),"")</f>
        <v/>
      </c>
      <c r="F2821" s="1" t="str">
        <f>IF(OR(C2821="",NOT(ISNUMBER(SEARCH("Package",D2821)))),"",VLOOKUP(C2821,'Clients List'!$A:$F,4,FALSE)-SUMIFS($E$2:$E2821,$C$2:$C2821,C2821,$D$2:$D2821,"*Package*"))</f>
        <v/>
      </c>
      <c r="G2821" t="str">
        <f t="shared" si="77"/>
        <v/>
      </c>
      <c r="H2821" s="33">
        <f>IF(ISNUMBER(SEARCH("Group",D2821)),IF(G2821="",E2821,IFERROR(E2821/COUNTIF($G2:$G6000,G2821),E2821)),E2821)</f>
        <v>0</v>
      </c>
      <c r="I2821" s="1" t="str">
        <f>IFERROR(VLOOKUP(C2821,'Clients List'!A:F,6,FALSE),"")</f>
        <v/>
      </c>
    </row>
    <row r="2822" spans="4:9" x14ac:dyDescent="0.45">
      <c r="D2822" t="str">
        <f>IFERROR(VLOOKUP(C2822,'Clients List'!$A:$F,2,FALSE),"")</f>
        <v/>
      </c>
      <c r="F2822" s="1" t="str">
        <f>IF(OR(C2822="",NOT(ISNUMBER(SEARCH("Package",D2822)))),"",VLOOKUP(C2822,'Clients List'!$A:$F,4,FALSE)-SUMIFS($E$2:$E2822,$C$2:$C2822,C2822,$D$2:$D2822,"*Package*"))</f>
        <v/>
      </c>
      <c r="G2822" t="str">
        <f t="shared" si="77"/>
        <v/>
      </c>
      <c r="H2822" s="33">
        <f>IF(ISNUMBER(SEARCH("Group",D2822)),IF(G2822="",E2822,IFERROR(E2822/COUNTIF($G2:$G6000,G2822),E2822)),E2822)</f>
        <v>0</v>
      </c>
      <c r="I2822" s="1" t="str">
        <f>IFERROR(VLOOKUP(C2822,'Clients List'!A:F,6,FALSE),"")</f>
        <v/>
      </c>
    </row>
    <row r="2823" spans="4:9" x14ac:dyDescent="0.45">
      <c r="D2823" t="str">
        <f>IFERROR(VLOOKUP(C2823,'Clients List'!$A:$F,2,FALSE),"")</f>
        <v/>
      </c>
      <c r="F2823" s="1" t="str">
        <f>IF(OR(C2823="",NOT(ISNUMBER(SEARCH("Package",D2823)))),"",VLOOKUP(C2823,'Clients List'!$A:$F,4,FALSE)-SUMIFS($E$2:$E2823,$C$2:$C2823,C2823,$D$2:$D2823,"*Package*"))</f>
        <v/>
      </c>
      <c r="G2823" t="str">
        <f t="shared" si="77"/>
        <v/>
      </c>
      <c r="H2823" s="33">
        <f>IF(ISNUMBER(SEARCH("Group",D2823)),IF(G2823="",E2823,IFERROR(E2823/COUNTIF($G2:$G6000,G2823),E2823)),E2823)</f>
        <v>0</v>
      </c>
      <c r="I2823" s="1" t="str">
        <f>IFERROR(VLOOKUP(C2823,'Clients List'!A:F,6,FALSE),"")</f>
        <v/>
      </c>
    </row>
    <row r="2824" spans="4:9" x14ac:dyDescent="0.45">
      <c r="D2824" t="str">
        <f>IFERROR(VLOOKUP(C2824,'Clients List'!$A:$F,2,FALSE),"")</f>
        <v/>
      </c>
      <c r="F2824" s="1" t="str">
        <f>IF(OR(C2824="",NOT(ISNUMBER(SEARCH("Package",D2824)))),"",VLOOKUP(C2824,'Clients List'!$A:$F,4,FALSE)-SUMIFS($E$2:$E2824,$C$2:$C2824,C2824,$D$2:$D2824,"*Package*"))</f>
        <v/>
      </c>
      <c r="G2824" t="str">
        <f t="shared" si="77"/>
        <v/>
      </c>
      <c r="H2824" s="33">
        <f>IF(ISNUMBER(SEARCH("Group",D2824)),IF(G2824="",E2824,IFERROR(E2824/COUNTIF($G2:$G6000,G2824),E2824)),E2824)</f>
        <v>0</v>
      </c>
      <c r="I2824" s="1" t="str">
        <f>IFERROR(VLOOKUP(C2824,'Clients List'!A:F,6,FALSE),"")</f>
        <v/>
      </c>
    </row>
    <row r="2825" spans="4:9" x14ac:dyDescent="0.45">
      <c r="D2825" t="str">
        <f>IFERROR(VLOOKUP(C2825,'Clients List'!$A:$F,2,FALSE),"")</f>
        <v/>
      </c>
      <c r="F2825" s="1" t="str">
        <f>IF(OR(C2825="",NOT(ISNUMBER(SEARCH("Package",D2825)))),"",VLOOKUP(C2825,'Clients List'!$A:$F,4,FALSE)-SUMIFS($E$2:$E2825,$C$2:$C2825,C2825,$D$2:$D2825,"*Package*"))</f>
        <v/>
      </c>
      <c r="G2825" t="str">
        <f t="shared" si="77"/>
        <v/>
      </c>
      <c r="H2825" s="33">
        <f>IF(ISNUMBER(SEARCH("Group",D2825)),IF(G2825="",E2825,IFERROR(E2825/COUNTIF($G2:$G6000,G2825),E2825)),E2825)</f>
        <v>0</v>
      </c>
      <c r="I2825" s="1" t="str">
        <f>IFERROR(VLOOKUP(C2825,'Clients List'!A:F,6,FALSE),"")</f>
        <v/>
      </c>
    </row>
    <row r="2826" spans="4:9" x14ac:dyDescent="0.45">
      <c r="D2826" t="str">
        <f>IFERROR(VLOOKUP(C2826,'Clients List'!$A:$F,2,FALSE),"")</f>
        <v/>
      </c>
      <c r="F2826" s="1" t="str">
        <f>IF(OR(C2826="",NOT(ISNUMBER(SEARCH("Package",D2826)))),"",VLOOKUP(C2826,'Clients List'!$A:$F,4,FALSE)-SUMIFS($E$2:$E2826,$C$2:$C2826,C2826,$D$2:$D2826,"*Package*"))</f>
        <v/>
      </c>
      <c r="G2826" t="str">
        <f t="shared" si="77"/>
        <v/>
      </c>
      <c r="H2826" s="33">
        <f>IF(ISNUMBER(SEARCH("Group",D2826)),IF(G2826="",E2826,IFERROR(E2826/COUNTIF($G2:$G6000,G2826),E2826)),E2826)</f>
        <v>0</v>
      </c>
      <c r="I2826" s="1" t="str">
        <f>IFERROR(VLOOKUP(C2826,'Clients List'!A:F,6,FALSE),"")</f>
        <v/>
      </c>
    </row>
    <row r="2827" spans="4:9" x14ac:dyDescent="0.45">
      <c r="D2827" t="str">
        <f>IFERROR(VLOOKUP(C2827,'Clients List'!$A:$F,2,FALSE),"")</f>
        <v/>
      </c>
      <c r="F2827" s="1" t="str">
        <f>IF(OR(C2827="",NOT(ISNUMBER(SEARCH("Package",D2827)))),"",VLOOKUP(C2827,'Clients List'!$A:$F,4,FALSE)-SUMIFS($E$2:$E2827,$C$2:$C2827,C2827,$D$2:$D2827,"*Package*"))</f>
        <v/>
      </c>
      <c r="G2827" t="str">
        <f t="shared" si="77"/>
        <v/>
      </c>
      <c r="H2827" s="33">
        <f>IF(ISNUMBER(SEARCH("Group",D2827)),IF(G2827="",E2827,IFERROR(E2827/COUNTIF($G2:$G6000,G2827),E2827)),E2827)</f>
        <v>0</v>
      </c>
      <c r="I2827" s="1" t="str">
        <f>IFERROR(VLOOKUP(C2827,'Clients List'!A:F,6,FALSE),"")</f>
        <v/>
      </c>
    </row>
    <row r="2828" spans="4:9" x14ac:dyDescent="0.45">
      <c r="D2828" t="str">
        <f>IFERROR(VLOOKUP(C2828,'Clients List'!$A:$F,2,FALSE),"")</f>
        <v/>
      </c>
      <c r="F2828" s="1" t="str">
        <f>IF(OR(C2828="",NOT(ISNUMBER(SEARCH("Package",D2828)))),"",VLOOKUP(C2828,'Clients List'!$A:$F,4,FALSE)-SUMIFS($E$2:$E2828,$C$2:$C2828,C2828,$D$2:$D2828,"*Package*"))</f>
        <v/>
      </c>
      <c r="G2828" t="str">
        <f t="shared" si="77"/>
        <v/>
      </c>
      <c r="H2828" s="33">
        <f>IF(ISNUMBER(SEARCH("Group",D2828)),IF(G2828="",E2828,IFERROR(E2828/COUNTIF($G2:$G6000,G2828),E2828)),E2828)</f>
        <v>0</v>
      </c>
      <c r="I2828" s="1" t="str">
        <f>IFERROR(VLOOKUP(C2828,'Clients List'!A:F,6,FALSE),"")</f>
        <v/>
      </c>
    </row>
    <row r="2829" spans="4:9" x14ac:dyDescent="0.45">
      <c r="D2829" t="str">
        <f>IFERROR(VLOOKUP(C2829,'Clients List'!$A:$F,2,FALSE),"")</f>
        <v/>
      </c>
      <c r="F2829" s="1" t="str">
        <f>IF(OR(C2829="",NOT(ISNUMBER(SEARCH("Package",D2829)))),"",VLOOKUP(C2829,'Clients List'!$A:$F,4,FALSE)-SUMIFS($E$2:$E2829,$C$2:$C2829,C2829,$D$2:$D2829,"*Package*"))</f>
        <v/>
      </c>
      <c r="G2829" t="str">
        <f t="shared" si="77"/>
        <v/>
      </c>
      <c r="H2829" s="33">
        <f>IF(ISNUMBER(SEARCH("Group",D2829)),IF(G2829="",E2829,IFERROR(E2829/COUNTIF($G2:$G6000,G2829),E2829)),E2829)</f>
        <v>0</v>
      </c>
      <c r="I2829" s="1" t="str">
        <f>IFERROR(VLOOKUP(C2829,'Clients List'!A:F,6,FALSE),"")</f>
        <v/>
      </c>
    </row>
    <row r="2830" spans="4:9" x14ac:dyDescent="0.45">
      <c r="D2830" t="str">
        <f>IFERROR(VLOOKUP(C2830,'Clients List'!$A:$F,2,FALSE),"")</f>
        <v/>
      </c>
      <c r="F2830" s="1" t="str">
        <f>IF(OR(C2830="",NOT(ISNUMBER(SEARCH("Package",D2830)))),"",VLOOKUP(C2830,'Clients List'!$A:$F,4,FALSE)-SUMIFS($E$2:$E2830,$C$2:$C2830,C2830,$D$2:$D2830,"*Package*"))</f>
        <v/>
      </c>
      <c r="G2830" t="str">
        <f t="shared" si="77"/>
        <v/>
      </c>
      <c r="H2830" s="33">
        <f>IF(ISNUMBER(SEARCH("Group",D2830)),IF(G2830="",E2830,IFERROR(E2830/COUNTIF($G2:$G6000,G2830),E2830)),E2830)</f>
        <v>0</v>
      </c>
      <c r="I2830" s="1" t="str">
        <f>IFERROR(VLOOKUP(C2830,'Clients List'!A:F,6,FALSE),"")</f>
        <v/>
      </c>
    </row>
    <row r="2831" spans="4:9" x14ac:dyDescent="0.45">
      <c r="D2831" t="str">
        <f>IFERROR(VLOOKUP(C2831,'Clients List'!$A:$F,2,FALSE),"")</f>
        <v/>
      </c>
      <c r="F2831" s="1" t="str">
        <f>IF(OR(C2831="",NOT(ISNUMBER(SEARCH("Package",D2831)))),"",VLOOKUP(C2831,'Clients List'!$A:$F,4,FALSE)-SUMIFS($E$2:$E2831,$C$2:$C2831,C2831,$D$2:$D2831,"*Package*"))</f>
        <v/>
      </c>
      <c r="G2831" t="str">
        <f t="shared" si="77"/>
        <v/>
      </c>
      <c r="H2831" s="33">
        <f>IF(ISNUMBER(SEARCH("Group",D2831)),IF(G2831="",E2831,IFERROR(E2831/COUNTIF($G2:$G6000,G2831),E2831)),E2831)</f>
        <v>0</v>
      </c>
      <c r="I2831" s="1" t="str">
        <f>IFERROR(VLOOKUP(C2831,'Clients List'!A:F,6,FALSE),"")</f>
        <v/>
      </c>
    </row>
    <row r="2832" spans="4:9" x14ac:dyDescent="0.45">
      <c r="D2832" t="str">
        <f>IFERROR(VLOOKUP(C2832,'Clients List'!$A:$F,2,FALSE),"")</f>
        <v/>
      </c>
      <c r="F2832" s="1" t="str">
        <f>IF(OR(C2832="",NOT(ISNUMBER(SEARCH("Package",D2832)))),"",VLOOKUP(C2832,'Clients List'!$A:$F,4,FALSE)-SUMIFS($E$2:$E2832,$C$2:$C2832,C2832,$D$2:$D2832,"*Package*"))</f>
        <v/>
      </c>
      <c r="G2832" t="str">
        <f t="shared" si="77"/>
        <v/>
      </c>
      <c r="H2832" s="33">
        <f>IF(ISNUMBER(SEARCH("Group",D2832)),IF(G2832="",E2832,IFERROR(E2832/COUNTIF($G2:$G6000,G2832),E2832)),E2832)</f>
        <v>0</v>
      </c>
      <c r="I2832" s="1" t="str">
        <f>IFERROR(VLOOKUP(C2832,'Clients List'!A:F,6,FALSE),"")</f>
        <v/>
      </c>
    </row>
    <row r="2833" spans="4:9" x14ac:dyDescent="0.45">
      <c r="D2833" t="str">
        <f>IFERROR(VLOOKUP(C2833,'Clients List'!$A:$F,2,FALSE),"")</f>
        <v/>
      </c>
      <c r="F2833" s="1" t="str">
        <f>IF(OR(C2833="",NOT(ISNUMBER(SEARCH("Package",D2833)))),"",VLOOKUP(C2833,'Clients List'!$A:$F,4,FALSE)-SUMIFS($E$2:$E2833,$C$2:$C2833,C2833,$D$2:$D2833,"*Package*"))</f>
        <v/>
      </c>
      <c r="G2833" t="str">
        <f t="shared" si="77"/>
        <v/>
      </c>
      <c r="H2833" s="33">
        <f>IF(ISNUMBER(SEARCH("Group",D2833)),IF(G2833="",E2833,IFERROR(E2833/COUNTIF($G2:$G6000,G2833),E2833)),E2833)</f>
        <v>0</v>
      </c>
      <c r="I2833" s="1" t="str">
        <f>IFERROR(VLOOKUP(C2833,'Clients List'!A:F,6,FALSE),"")</f>
        <v/>
      </c>
    </row>
    <row r="2834" spans="4:9" x14ac:dyDescent="0.45">
      <c r="D2834" t="str">
        <f>IFERROR(VLOOKUP(C2834,'Clients List'!$A:$F,2,FALSE),"")</f>
        <v/>
      </c>
      <c r="F2834" s="1" t="str">
        <f>IF(OR(C2834="",NOT(ISNUMBER(SEARCH("Package",D2834)))),"",VLOOKUP(C2834,'Clients List'!$A:$F,4,FALSE)-SUMIFS($E$2:$E2834,$C$2:$C2834,C2834,$D$2:$D2834,"*Package*"))</f>
        <v/>
      </c>
      <c r="G2834" t="str">
        <f t="shared" si="77"/>
        <v/>
      </c>
      <c r="H2834" s="33">
        <f>IF(ISNUMBER(SEARCH("Group",D2834)),IF(G2834="",E2834,IFERROR(E2834/COUNTIF($G2:$G6000,G2834),E2834)),E2834)</f>
        <v>0</v>
      </c>
      <c r="I2834" s="1" t="str">
        <f>IFERROR(VLOOKUP(C2834,'Clients List'!A:F,6,FALSE),"")</f>
        <v/>
      </c>
    </row>
    <row r="2835" spans="4:9" x14ac:dyDescent="0.45">
      <c r="D2835" t="str">
        <f>IFERROR(VLOOKUP(C2835,'Clients List'!$A:$F,2,FALSE),"")</f>
        <v/>
      </c>
      <c r="F2835" s="1" t="str">
        <f>IF(OR(C2835="",NOT(ISNUMBER(SEARCH("Package",D2835)))),"",VLOOKUP(C2835,'Clients List'!$A:$F,4,FALSE)-SUMIFS($E$2:$E2835,$C$2:$C2835,C2835,$D$2:$D2835,"*Package*"))</f>
        <v/>
      </c>
      <c r="G2835" t="str">
        <f t="shared" si="77"/>
        <v/>
      </c>
      <c r="H2835" s="33">
        <f>IF(ISNUMBER(SEARCH("Group",D2835)),IF(G2835="",E2835,IFERROR(E2835/COUNTIF($G2:$G6000,G2835),E2835)),E2835)</f>
        <v>0</v>
      </c>
      <c r="I2835" s="1" t="str">
        <f>IFERROR(VLOOKUP(C2835,'Clients List'!A:F,6,FALSE),"")</f>
        <v/>
      </c>
    </row>
    <row r="2836" spans="4:9" x14ac:dyDescent="0.45">
      <c r="D2836" t="str">
        <f>IFERROR(VLOOKUP(C2836,'Clients List'!$A:$F,2,FALSE),"")</f>
        <v/>
      </c>
      <c r="F2836" s="1" t="str">
        <f>IF(OR(C2836="",NOT(ISNUMBER(SEARCH("Package",D2836)))),"",VLOOKUP(C2836,'Clients List'!$A:$F,4,FALSE)-SUMIFS($E$2:$E2836,$C$2:$C2836,C2836,$D$2:$D2836,"*Package*"))</f>
        <v/>
      </c>
      <c r="G2836" t="str">
        <f t="shared" si="77"/>
        <v/>
      </c>
      <c r="H2836" s="33">
        <f>IF(ISNUMBER(SEARCH("Group",D2836)),IF(G2836="",E2836,IFERROR(E2836/COUNTIF($G2:$G6000,G2836),E2836)),E2836)</f>
        <v>0</v>
      </c>
      <c r="I2836" s="1" t="str">
        <f>IFERROR(VLOOKUP(C2836,'Clients List'!A:F,6,FALSE),"")</f>
        <v/>
      </c>
    </row>
    <row r="2837" spans="4:9" x14ac:dyDescent="0.45">
      <c r="D2837" t="str">
        <f>IFERROR(VLOOKUP(C2837,'Clients List'!$A:$F,2,FALSE),"")</f>
        <v/>
      </c>
      <c r="F2837" s="1" t="str">
        <f>IF(OR(C2837="",NOT(ISNUMBER(SEARCH("Package",D2837)))),"",VLOOKUP(C2837,'Clients List'!$A:$F,4,FALSE)-SUMIFS($E$2:$E2837,$C$2:$C2837,C2837,$D$2:$D2837,"*Package*"))</f>
        <v/>
      </c>
      <c r="G2837" t="str">
        <f t="shared" si="77"/>
        <v/>
      </c>
      <c r="H2837" s="33">
        <f>IF(ISNUMBER(SEARCH("Group",D2837)),IF(G2837="",E2837,IFERROR(E2837/COUNTIF($G2:$G6000,G2837),E2837)),E2837)</f>
        <v>0</v>
      </c>
      <c r="I2837" s="1" t="str">
        <f>IFERROR(VLOOKUP(C2837,'Clients List'!A:F,6,FALSE),"")</f>
        <v/>
      </c>
    </row>
    <row r="2838" spans="4:9" x14ac:dyDescent="0.45">
      <c r="D2838" t="str">
        <f>IFERROR(VLOOKUP(C2838,'Clients List'!$A:$F,2,FALSE),"")</f>
        <v/>
      </c>
      <c r="F2838" s="1" t="str">
        <f>IF(OR(C2838="",NOT(ISNUMBER(SEARCH("Package",D2838)))),"",VLOOKUP(C2838,'Clients List'!$A:$F,4,FALSE)-SUMIFS($E$2:$E2838,$C$2:$C2838,C2838,$D$2:$D2838,"*Package*"))</f>
        <v/>
      </c>
      <c r="G2838" t="str">
        <f t="shared" si="77"/>
        <v/>
      </c>
      <c r="H2838" s="33">
        <f>IF(ISNUMBER(SEARCH("Group",D2838)),IF(G2838="",E2838,IFERROR(E2838/COUNTIF($G2:$G6000,G2838),E2838)),E2838)</f>
        <v>0</v>
      </c>
      <c r="I2838" s="1" t="str">
        <f>IFERROR(VLOOKUP(C2838,'Clients List'!A:F,6,FALSE),"")</f>
        <v/>
      </c>
    </row>
    <row r="2839" spans="4:9" x14ac:dyDescent="0.45">
      <c r="D2839" t="str">
        <f>IFERROR(VLOOKUP(C2839,'Clients List'!$A:$F,2,FALSE),"")</f>
        <v/>
      </c>
      <c r="F2839" s="1" t="str">
        <f>IF(OR(C2839="",NOT(ISNUMBER(SEARCH("Package",D2839)))),"",VLOOKUP(C2839,'Clients List'!$A:$F,4,FALSE)-SUMIFS($E$2:$E2839,$C$2:$C2839,C2839,$D$2:$D2839,"*Package*"))</f>
        <v/>
      </c>
      <c r="G2839" t="str">
        <f t="shared" si="77"/>
        <v/>
      </c>
      <c r="H2839" s="33">
        <f>IF(ISNUMBER(SEARCH("Group",D2839)),IF(G2839="",E2839,IFERROR(E2839/COUNTIF($G2:$G6000,G2839),E2839)),E2839)</f>
        <v>0</v>
      </c>
      <c r="I2839" s="1" t="str">
        <f>IFERROR(VLOOKUP(C2839,'Clients List'!A:F,6,FALSE),"")</f>
        <v/>
      </c>
    </row>
    <row r="2840" spans="4:9" x14ac:dyDescent="0.45">
      <c r="D2840" t="str">
        <f>IFERROR(VLOOKUP(C2840,'Clients List'!$A:$F,2,FALSE),"")</f>
        <v/>
      </c>
      <c r="F2840" s="1" t="str">
        <f>IF(OR(C2840="",NOT(ISNUMBER(SEARCH("Package",D2840)))),"",VLOOKUP(C2840,'Clients List'!$A:$F,4,FALSE)-SUMIFS($E$2:$E2840,$C$2:$C2840,C2840,$D$2:$D2840,"*Package*"))</f>
        <v/>
      </c>
      <c r="G2840" t="str">
        <f t="shared" si="77"/>
        <v/>
      </c>
      <c r="H2840" s="33">
        <f>IF(ISNUMBER(SEARCH("Group",D2840)),IF(G2840="",E2840,IFERROR(E2840/COUNTIF($G2:$G6000,G2840),E2840)),E2840)</f>
        <v>0</v>
      </c>
      <c r="I2840" s="1" t="str">
        <f>IFERROR(VLOOKUP(C2840,'Clients List'!A:F,6,FALSE),"")</f>
        <v/>
      </c>
    </row>
    <row r="2841" spans="4:9" x14ac:dyDescent="0.45">
      <c r="D2841" t="str">
        <f>IFERROR(VLOOKUP(C2841,'Clients List'!$A:$F,2,FALSE),"")</f>
        <v/>
      </c>
      <c r="F2841" s="1" t="str">
        <f>IF(OR(C2841="",NOT(ISNUMBER(SEARCH("Package",D2841)))),"",VLOOKUP(C2841,'Clients List'!$A:$F,4,FALSE)-SUMIFS($E$2:$E2841,$C$2:$C2841,C2841,$D$2:$D2841,"*Package*"))</f>
        <v/>
      </c>
      <c r="G2841" t="str">
        <f t="shared" si="77"/>
        <v/>
      </c>
      <c r="H2841" s="33">
        <f>IF(ISNUMBER(SEARCH("Group",D2841)),IF(G2841="",E2841,IFERROR(E2841/COUNTIF($G2:$G6000,G2841),E2841)),E2841)</f>
        <v>0</v>
      </c>
      <c r="I2841" s="1" t="str">
        <f>IFERROR(VLOOKUP(C2841,'Clients List'!A:F,6,FALSE),"")</f>
        <v/>
      </c>
    </row>
    <row r="2842" spans="4:9" x14ac:dyDescent="0.45">
      <c r="D2842" t="str">
        <f>IFERROR(VLOOKUP(C2842,'Clients List'!$A:$F,2,FALSE),"")</f>
        <v/>
      </c>
      <c r="F2842" s="1" t="str">
        <f>IF(OR(C2842="",NOT(ISNUMBER(SEARCH("Package",D2842)))),"",VLOOKUP(C2842,'Clients List'!$A:$F,4,FALSE)-SUMIFS($E$2:$E2842,$C$2:$C2842,C2842,$D$2:$D2842,"*Package*"))</f>
        <v/>
      </c>
      <c r="G2842" t="str">
        <f t="shared" si="77"/>
        <v/>
      </c>
      <c r="H2842" s="33">
        <f>IF(ISNUMBER(SEARCH("Group",D2842)),IF(G2842="",E2842,IFERROR(E2842/COUNTIF($G2:$G6000,G2842),E2842)),E2842)</f>
        <v>0</v>
      </c>
      <c r="I2842" s="1" t="str">
        <f>IFERROR(VLOOKUP(C2842,'Clients List'!A:F,6,FALSE),"")</f>
        <v/>
      </c>
    </row>
    <row r="2843" spans="4:9" x14ac:dyDescent="0.45">
      <c r="D2843" t="str">
        <f>IFERROR(VLOOKUP(C2843,'Clients List'!$A:$F,2,FALSE),"")</f>
        <v/>
      </c>
      <c r="F2843" s="1" t="str">
        <f>IF(OR(C2843="",NOT(ISNUMBER(SEARCH("Package",D2843)))),"",VLOOKUP(C2843,'Clients List'!$A:$F,4,FALSE)-SUMIFS($E$2:$E2843,$C$2:$C2843,C2843,$D$2:$D2843,"*Package*"))</f>
        <v/>
      </c>
      <c r="G2843" t="str">
        <f t="shared" si="77"/>
        <v/>
      </c>
      <c r="H2843" s="33">
        <f>IF(ISNUMBER(SEARCH("Group",D2843)),IF(G2843="",E2843,IFERROR(E2843/COUNTIF($G2:$G6000,G2843),E2843)),E2843)</f>
        <v>0</v>
      </c>
      <c r="I2843" s="1" t="str">
        <f>IFERROR(VLOOKUP(C2843,'Clients List'!A:F,6,FALSE),"")</f>
        <v/>
      </c>
    </row>
    <row r="2844" spans="4:9" x14ac:dyDescent="0.45">
      <c r="D2844" t="str">
        <f>IFERROR(VLOOKUP(C2844,'Clients List'!$A:$F,2,FALSE),"")</f>
        <v/>
      </c>
      <c r="F2844" s="1" t="str">
        <f>IF(OR(C2844="",NOT(ISNUMBER(SEARCH("Package",D2844)))),"",VLOOKUP(C2844,'Clients List'!$A:$F,4,FALSE)-SUMIFS($E$2:$E2844,$C$2:$C2844,C2844,$D$2:$D2844,"*Package*"))</f>
        <v/>
      </c>
      <c r="G2844" t="str">
        <f t="shared" si="77"/>
        <v/>
      </c>
      <c r="H2844" s="33">
        <f>IF(ISNUMBER(SEARCH("Group",D2844)),IF(G2844="",E2844,IFERROR(E2844/COUNTIF($G2:$G6000,G2844),E2844)),E2844)</f>
        <v>0</v>
      </c>
      <c r="I2844" s="1" t="str">
        <f>IFERROR(VLOOKUP(C2844,'Clients List'!A:F,6,FALSE),"")</f>
        <v/>
      </c>
    </row>
    <row r="2845" spans="4:9" x14ac:dyDescent="0.45">
      <c r="D2845" t="str">
        <f>IFERROR(VLOOKUP(C2845,'Clients List'!$A:$F,2,FALSE),"")</f>
        <v/>
      </c>
      <c r="F2845" s="1" t="str">
        <f>IF(OR(C2845="",NOT(ISNUMBER(SEARCH("Package",D2845)))),"",VLOOKUP(C2845,'Clients List'!$A:$F,4,FALSE)-SUMIFS($E$2:$E2845,$C$2:$C2845,C2845,$D$2:$D2845,"*Package*"))</f>
        <v/>
      </c>
      <c r="G2845" t="str">
        <f t="shared" si="77"/>
        <v/>
      </c>
      <c r="H2845" s="33">
        <f>IF(ISNUMBER(SEARCH("Group",D2845)),IF(G2845="",E2845,IFERROR(E2845/COUNTIF($G2:$G6000,G2845),E2845)),E2845)</f>
        <v>0</v>
      </c>
      <c r="I2845" s="1" t="str">
        <f>IFERROR(VLOOKUP(C2845,'Clients List'!A:F,6,FALSE),"")</f>
        <v/>
      </c>
    </row>
    <row r="2846" spans="4:9" x14ac:dyDescent="0.45">
      <c r="D2846" t="str">
        <f>IFERROR(VLOOKUP(C2846,'Clients List'!$A:$F,2,FALSE),"")</f>
        <v/>
      </c>
      <c r="F2846" s="1" t="str">
        <f>IF(OR(C2846="",NOT(ISNUMBER(SEARCH("Package",D2846)))),"",VLOOKUP(C2846,'Clients List'!$A:$F,4,FALSE)-SUMIFS($E$2:$E2846,$C$2:$C2846,C2846,$D$2:$D2846,"*Package*"))</f>
        <v/>
      </c>
      <c r="G2846" t="str">
        <f t="shared" si="77"/>
        <v/>
      </c>
      <c r="H2846" s="33">
        <f>IF(ISNUMBER(SEARCH("Group",D2846)),IF(G2846="",E2846,IFERROR(E2846/COUNTIF($G2:$G6000,G2846),E2846)),E2846)</f>
        <v>0</v>
      </c>
      <c r="I2846" s="1" t="str">
        <f>IFERROR(VLOOKUP(C2846,'Clients List'!A:F,6,FALSE),"")</f>
        <v/>
      </c>
    </row>
    <row r="2847" spans="4:9" x14ac:dyDescent="0.45">
      <c r="D2847" t="str">
        <f>IFERROR(VLOOKUP(C2847,'Clients List'!$A:$F,2,FALSE),"")</f>
        <v/>
      </c>
      <c r="F2847" s="1" t="str">
        <f>IF(OR(C2847="",NOT(ISNUMBER(SEARCH("Package",D2847)))),"",VLOOKUP(C2847,'Clients List'!$A:$F,4,FALSE)-SUMIFS($E$2:$E2847,$C$2:$C2847,C2847,$D$2:$D2847,"*Package*"))</f>
        <v/>
      </c>
      <c r="G2847" t="str">
        <f t="shared" si="77"/>
        <v/>
      </c>
      <c r="H2847" s="33">
        <f>IF(ISNUMBER(SEARCH("Group",D2847)),IF(G2847="",E2847,IFERROR(E2847/COUNTIF($G2:$G6000,G2847),E2847)),E2847)</f>
        <v>0</v>
      </c>
      <c r="I2847" s="1" t="str">
        <f>IFERROR(VLOOKUP(C2847,'Clients List'!A:F,6,FALSE),"")</f>
        <v/>
      </c>
    </row>
    <row r="2848" spans="4:9" x14ac:dyDescent="0.45">
      <c r="D2848" t="str">
        <f>IFERROR(VLOOKUP(C2848,'Clients List'!$A:$F,2,FALSE),"")</f>
        <v/>
      </c>
      <c r="F2848" s="1" t="str">
        <f>IF(OR(C2848="",NOT(ISNUMBER(SEARCH("Package",D2848)))),"",VLOOKUP(C2848,'Clients List'!$A:$F,4,FALSE)-SUMIFS($E$2:$E2848,$C$2:$C2848,C2848,$D$2:$D2848,"*Package*"))</f>
        <v/>
      </c>
      <c r="G2848" t="str">
        <f t="shared" si="77"/>
        <v/>
      </c>
      <c r="H2848" s="33">
        <f>IF(ISNUMBER(SEARCH("Group",D2848)),IF(G2848="",E2848,IFERROR(E2848/COUNTIF($G2:$G6000,G2848),E2848)),E2848)</f>
        <v>0</v>
      </c>
      <c r="I2848" s="1" t="str">
        <f>IFERROR(VLOOKUP(C2848,'Clients List'!A:F,6,FALSE),"")</f>
        <v/>
      </c>
    </row>
    <row r="2849" spans="4:9" x14ac:dyDescent="0.45">
      <c r="D2849" t="str">
        <f>IFERROR(VLOOKUP(C2849,'Clients List'!$A:$F,2,FALSE),"")</f>
        <v/>
      </c>
      <c r="F2849" s="1" t="str">
        <f>IF(OR(C2849="",NOT(ISNUMBER(SEARCH("Package",D2849)))),"",VLOOKUP(C2849,'Clients List'!$A:$F,4,FALSE)-SUMIFS($E$2:$E2849,$C$2:$C2849,C2849,$D$2:$D2849,"*Package*"))</f>
        <v/>
      </c>
      <c r="G2849" t="str">
        <f t="shared" si="77"/>
        <v/>
      </c>
      <c r="H2849" s="33">
        <f>IF(ISNUMBER(SEARCH("Group",D2849)),IF(G2849="",E2849,IFERROR(E2849/COUNTIF($G2:$G6000,G2849),E2849)),E2849)</f>
        <v>0</v>
      </c>
      <c r="I2849" s="1" t="str">
        <f>IFERROR(VLOOKUP(C2849,'Clients List'!A:F,6,FALSE),"")</f>
        <v/>
      </c>
    </row>
    <row r="2850" spans="4:9" x14ac:dyDescent="0.45">
      <c r="D2850" t="str">
        <f>IFERROR(VLOOKUP(C2850,'Clients List'!$A:$F,2,FALSE),"")</f>
        <v/>
      </c>
      <c r="F2850" s="1" t="str">
        <f>IF(OR(C2850="",NOT(ISNUMBER(SEARCH("Package",D2850)))),"",VLOOKUP(C2850,'Clients List'!$A:$F,4,FALSE)-SUMIFS($E$2:$E2850,$C$2:$C2850,C2850,$D$2:$D2850,"*Package*"))</f>
        <v/>
      </c>
      <c r="G2850" t="str">
        <f t="shared" si="77"/>
        <v/>
      </c>
      <c r="H2850" s="33">
        <f>IF(ISNUMBER(SEARCH("Group",D2850)),IF(G2850="",E2850,IFERROR(E2850/COUNTIF($G2:$G6000,G2850),E2850)),E2850)</f>
        <v>0</v>
      </c>
      <c r="I2850" s="1" t="str">
        <f>IFERROR(VLOOKUP(C2850,'Clients List'!A:F,6,FALSE),"")</f>
        <v/>
      </c>
    </row>
    <row r="2851" spans="4:9" x14ac:dyDescent="0.45">
      <c r="D2851" t="str">
        <f>IFERROR(VLOOKUP(C2851,'Clients List'!$A:$F,2,FALSE),"")</f>
        <v/>
      </c>
      <c r="F2851" s="1" t="str">
        <f>IF(OR(C2851="",NOT(ISNUMBER(SEARCH("Package",D2851)))),"",VLOOKUP(C2851,'Clients List'!$A:$F,4,FALSE)-SUMIFS($E$2:$E2851,$C$2:$C2851,C2851,$D$2:$D2851,"*Package*"))</f>
        <v/>
      </c>
      <c r="G2851" t="str">
        <f t="shared" si="77"/>
        <v/>
      </c>
      <c r="H2851" s="33">
        <f>IF(ISNUMBER(SEARCH("Group",D2851)),IF(G2851="",E2851,IFERROR(E2851/COUNTIF($G2:$G6000,G2851),E2851)),E2851)</f>
        <v>0</v>
      </c>
      <c r="I2851" s="1" t="str">
        <f>IFERROR(VLOOKUP(C2851,'Clients List'!A:F,6,FALSE),"")</f>
        <v/>
      </c>
    </row>
    <row r="2852" spans="4:9" x14ac:dyDescent="0.45">
      <c r="D2852" t="str">
        <f>IFERROR(VLOOKUP(C2852,'Clients List'!$A:$F,2,FALSE),"")</f>
        <v/>
      </c>
      <c r="F2852" s="1" t="str">
        <f>IF(OR(C2852="",NOT(ISNUMBER(SEARCH("Package",D2852)))),"",VLOOKUP(C2852,'Clients List'!$A:$F,4,FALSE)-SUMIFS($E$2:$E2852,$C$2:$C2852,C2852,$D$2:$D2852,"*Package*"))</f>
        <v/>
      </c>
      <c r="G2852" t="str">
        <f t="shared" si="77"/>
        <v/>
      </c>
      <c r="H2852" s="33">
        <f>IF(ISNUMBER(SEARCH("Group",D2852)),IF(G2852="",E2852,IFERROR(E2852/COUNTIF($G2:$G6000,G2852),E2852)),E2852)</f>
        <v>0</v>
      </c>
      <c r="I2852" s="1" t="str">
        <f>IFERROR(VLOOKUP(C2852,'Clients List'!A:F,6,FALSE),"")</f>
        <v/>
      </c>
    </row>
    <row r="2853" spans="4:9" x14ac:dyDescent="0.45">
      <c r="D2853" t="str">
        <f>IFERROR(VLOOKUP(C2853,'Clients List'!$A:$F,2,FALSE),"")</f>
        <v/>
      </c>
      <c r="F2853" s="1" t="str">
        <f>IF(OR(C2853="",NOT(ISNUMBER(SEARCH("Package",D2853)))),"",VLOOKUP(C2853,'Clients List'!$A:$F,4,FALSE)-SUMIFS($E$2:$E2853,$C$2:$C2853,C2853,$D$2:$D2853,"*Package*"))</f>
        <v/>
      </c>
      <c r="G2853" t="str">
        <f t="shared" si="77"/>
        <v/>
      </c>
      <c r="H2853" s="33">
        <f>IF(ISNUMBER(SEARCH("Group",D2853)),IF(G2853="",E2853,IFERROR(E2853/COUNTIF($G2:$G6000,G2853),E2853)),E2853)</f>
        <v>0</v>
      </c>
      <c r="I2853" s="1" t="str">
        <f>IFERROR(VLOOKUP(C2853,'Clients List'!A:F,6,FALSE),"")</f>
        <v/>
      </c>
    </row>
    <row r="2854" spans="4:9" x14ac:dyDescent="0.45">
      <c r="D2854" t="str">
        <f>IFERROR(VLOOKUP(C2854,'Clients List'!$A:$F,2,FALSE),"")</f>
        <v/>
      </c>
      <c r="F2854" s="1" t="str">
        <f>IF(OR(C2854="",NOT(ISNUMBER(SEARCH("Package",D2854)))),"",VLOOKUP(C2854,'Clients List'!$A:$F,4,FALSE)-SUMIFS($E$2:$E2854,$C$2:$C2854,C2854,$D$2:$D2854,"*Package*"))</f>
        <v/>
      </c>
      <c r="G2854" t="str">
        <f t="shared" si="77"/>
        <v/>
      </c>
      <c r="H2854" s="33">
        <f>IF(ISNUMBER(SEARCH("Group",D2854)),IF(G2854="",E2854,IFERROR(E2854/COUNTIF($G2:$G6000,G2854),E2854)),E2854)</f>
        <v>0</v>
      </c>
      <c r="I2854" s="1" t="str">
        <f>IFERROR(VLOOKUP(C2854,'Clients List'!A:F,6,FALSE),"")</f>
        <v/>
      </c>
    </row>
    <row r="2855" spans="4:9" x14ac:dyDescent="0.45">
      <c r="D2855" t="str">
        <f>IFERROR(VLOOKUP(C2855,'Clients List'!$A:$F,2,FALSE),"")</f>
        <v/>
      </c>
      <c r="F2855" s="1" t="str">
        <f>IF(OR(C2855="",NOT(ISNUMBER(SEARCH("Package",D2855)))),"",VLOOKUP(C2855,'Clients List'!$A:$F,4,FALSE)-SUMIFS($E$2:$E2855,$C$2:$C2855,C2855,$D$2:$D2855,"*Package*"))</f>
        <v/>
      </c>
      <c r="G2855" t="str">
        <f t="shared" si="77"/>
        <v/>
      </c>
      <c r="H2855" s="33">
        <f>IF(ISNUMBER(SEARCH("Group",D2855)),IF(G2855="",E2855,IFERROR(E2855/COUNTIF($G2:$G6000,G2855),E2855)),E2855)</f>
        <v>0</v>
      </c>
      <c r="I2855" s="1" t="str">
        <f>IFERROR(VLOOKUP(C2855,'Clients List'!A:F,6,FALSE),"")</f>
        <v/>
      </c>
    </row>
    <row r="2856" spans="4:9" x14ac:dyDescent="0.45">
      <c r="D2856" t="str">
        <f>IFERROR(VLOOKUP(C2856,'Clients List'!$A:$F,2,FALSE),"")</f>
        <v/>
      </c>
      <c r="F2856" s="1" t="str">
        <f>IF(OR(C2856="",NOT(ISNUMBER(SEARCH("Package",D2856)))),"",VLOOKUP(C2856,'Clients List'!$A:$F,4,FALSE)-SUMIFS($E$2:$E2856,$C$2:$C2856,C2856,$D$2:$D2856,"*Package*"))</f>
        <v/>
      </c>
      <c r="G2856" t="str">
        <f t="shared" si="77"/>
        <v/>
      </c>
      <c r="H2856" s="33">
        <f>IF(ISNUMBER(SEARCH("Group",D2856)),IF(G2856="",E2856,IFERROR(E2856/COUNTIF($G2:$G6000,G2856),E2856)),E2856)</f>
        <v>0</v>
      </c>
      <c r="I2856" s="1" t="str">
        <f>IFERROR(VLOOKUP(C2856,'Clients List'!A:F,6,FALSE),"")</f>
        <v/>
      </c>
    </row>
    <row r="2857" spans="4:9" x14ac:dyDescent="0.45">
      <c r="D2857" t="str">
        <f>IFERROR(VLOOKUP(C2857,'Clients List'!$A:$F,2,FALSE),"")</f>
        <v/>
      </c>
      <c r="F2857" s="1" t="str">
        <f>IF(OR(C2857="",NOT(ISNUMBER(SEARCH("Package",D2857)))),"",VLOOKUP(C2857,'Clients List'!$A:$F,4,FALSE)-SUMIFS($E$2:$E2857,$C$2:$C2857,C2857,$D$2:$D2857,"*Package*"))</f>
        <v/>
      </c>
      <c r="G2857" t="str">
        <f t="shared" si="77"/>
        <v/>
      </c>
      <c r="H2857" s="33">
        <f>IF(ISNUMBER(SEARCH("Group",D2857)),IF(G2857="",E2857,IFERROR(E2857/COUNTIF($G2:$G6000,G2857),E2857)),E2857)</f>
        <v>0</v>
      </c>
      <c r="I2857" s="1" t="str">
        <f>IFERROR(VLOOKUP(C2857,'Clients List'!A:F,6,FALSE),"")</f>
        <v/>
      </c>
    </row>
    <row r="2858" spans="4:9" x14ac:dyDescent="0.45">
      <c r="D2858" t="str">
        <f>IFERROR(VLOOKUP(C2858,'Clients List'!$A:$F,2,FALSE),"")</f>
        <v/>
      </c>
      <c r="F2858" s="1" t="str">
        <f>IF(OR(C2858="",NOT(ISNUMBER(SEARCH("Package",D2858)))),"",VLOOKUP(C2858,'Clients List'!$A:$F,4,FALSE)-SUMIFS($E$2:$E2858,$C$2:$C2858,C2858,$D$2:$D2858,"*Package*"))</f>
        <v/>
      </c>
      <c r="G2858" t="str">
        <f t="shared" si="77"/>
        <v/>
      </c>
      <c r="H2858" s="33">
        <f>IF(ISNUMBER(SEARCH("Group",D2858)),IF(G2858="",E2858,IFERROR(E2858/COUNTIF($G2:$G6000,G2858),E2858)),E2858)</f>
        <v>0</v>
      </c>
      <c r="I2858" s="1" t="str">
        <f>IFERROR(VLOOKUP(C2858,'Clients List'!A:F,6,FALSE),"")</f>
        <v/>
      </c>
    </row>
    <row r="2859" spans="4:9" x14ac:dyDescent="0.45">
      <c r="D2859" t="str">
        <f>IFERROR(VLOOKUP(C2859,'Clients List'!$A:$F,2,FALSE),"")</f>
        <v/>
      </c>
      <c r="F2859" s="1" t="str">
        <f>IF(OR(C2859="",NOT(ISNUMBER(SEARCH("Package",D2859)))),"",VLOOKUP(C2859,'Clients List'!$A:$F,4,FALSE)-SUMIFS($E$2:$E2859,$C$2:$C2859,C2859,$D$2:$D2859,"*Package*"))</f>
        <v/>
      </c>
      <c r="G2859" t="str">
        <f t="shared" si="77"/>
        <v/>
      </c>
      <c r="H2859" s="33">
        <f>IF(ISNUMBER(SEARCH("Group",D2859)),IF(G2859="",E2859,IFERROR(E2859/COUNTIF($G2:$G6000,G2859),E2859)),E2859)</f>
        <v>0</v>
      </c>
      <c r="I2859" s="1" t="str">
        <f>IFERROR(VLOOKUP(C2859,'Clients List'!A:F,6,FALSE),"")</f>
        <v/>
      </c>
    </row>
    <row r="2860" spans="4:9" x14ac:dyDescent="0.45">
      <c r="D2860" t="str">
        <f>IFERROR(VLOOKUP(C2860,'Clients List'!$A:$F,2,FALSE),"")</f>
        <v/>
      </c>
      <c r="F2860" s="1" t="str">
        <f>IF(OR(C2860="",NOT(ISNUMBER(SEARCH("Package",D2860)))),"",VLOOKUP(C2860,'Clients List'!$A:$F,4,FALSE)-SUMIFS($E$2:$E2860,$C$2:$C2860,C2860,$D$2:$D2860,"*Package*"))</f>
        <v/>
      </c>
      <c r="G2860" t="str">
        <f t="shared" si="77"/>
        <v/>
      </c>
      <c r="H2860" s="33">
        <f>IF(ISNUMBER(SEARCH("Group",D2860)),IF(G2860="",E2860,IFERROR(E2860/COUNTIF($G2:$G6000,G2860),E2860)),E2860)</f>
        <v>0</v>
      </c>
      <c r="I2860" s="1" t="str">
        <f>IFERROR(VLOOKUP(C2860,'Clients List'!A:F,6,FALSE),"")</f>
        <v/>
      </c>
    </row>
    <row r="2861" spans="4:9" x14ac:dyDescent="0.45">
      <c r="D2861" t="str">
        <f>IFERROR(VLOOKUP(C2861,'Clients List'!$A:$F,2,FALSE),"")</f>
        <v/>
      </c>
      <c r="F2861" s="1" t="str">
        <f>IF(OR(C2861="",NOT(ISNUMBER(SEARCH("Package",D2861)))),"",VLOOKUP(C2861,'Clients List'!$A:$F,4,FALSE)-SUMIFS($E$2:$E2861,$C$2:$C2861,C2861,$D$2:$D2861,"*Package*"))</f>
        <v/>
      </c>
      <c r="G2861" t="str">
        <f t="shared" si="77"/>
        <v/>
      </c>
      <c r="H2861" s="33">
        <f>IF(ISNUMBER(SEARCH("Group",D2861)),IF(G2861="",E2861,IFERROR(E2861/COUNTIF($G2:$G6000,G2861),E2861)),E2861)</f>
        <v>0</v>
      </c>
      <c r="I2861" s="1" t="str">
        <f>IFERROR(VLOOKUP(C2861,'Clients List'!A:F,6,FALSE),"")</f>
        <v/>
      </c>
    </row>
    <row r="2862" spans="4:9" x14ac:dyDescent="0.45">
      <c r="D2862" t="str">
        <f>IFERROR(VLOOKUP(C2862,'Clients List'!$A:$F,2,FALSE),"")</f>
        <v/>
      </c>
      <c r="F2862" s="1" t="str">
        <f>IF(OR(C2862="",NOT(ISNUMBER(SEARCH("Package",D2862)))),"",VLOOKUP(C2862,'Clients List'!$A:$F,4,FALSE)-SUMIFS($E$2:$E2862,$C$2:$C2862,C2862,$D$2:$D2862,"*Package*"))</f>
        <v/>
      </c>
      <c r="G2862" t="str">
        <f t="shared" si="77"/>
        <v/>
      </c>
      <c r="H2862" s="33">
        <f>IF(ISNUMBER(SEARCH("Group",D2862)),IF(G2862="",E2862,IFERROR(E2862/COUNTIF($G2:$G6000,G2862),E2862)),E2862)</f>
        <v>0</v>
      </c>
      <c r="I2862" s="1" t="str">
        <f>IFERROR(VLOOKUP(C2862,'Clients List'!A:F,6,FALSE),"")</f>
        <v/>
      </c>
    </row>
    <row r="2863" spans="4:9" x14ac:dyDescent="0.45">
      <c r="D2863" t="str">
        <f>IFERROR(VLOOKUP(C2863,'Clients List'!$A:$F,2,FALSE),"")</f>
        <v/>
      </c>
      <c r="F2863" s="1" t="str">
        <f>IF(OR(C2863="",NOT(ISNUMBER(SEARCH("Package",D2863)))),"",VLOOKUP(C2863,'Clients List'!$A:$F,4,FALSE)-SUMIFS($E$2:$E2863,$C$2:$C2863,C2863,$D$2:$D2863,"*Package*"))</f>
        <v/>
      </c>
      <c r="G2863" t="str">
        <f t="shared" si="77"/>
        <v/>
      </c>
      <c r="H2863" s="33">
        <f>IF(ISNUMBER(SEARCH("Group",D2863)),IF(G2863="",E2863,IFERROR(E2863/COUNTIF($G2:$G6000,G2863),E2863)),E2863)</f>
        <v>0</v>
      </c>
      <c r="I2863" s="1" t="str">
        <f>IFERROR(VLOOKUP(C2863,'Clients List'!A:F,6,FALSE),"")</f>
        <v/>
      </c>
    </row>
    <row r="2864" spans="4:9" x14ac:dyDescent="0.45">
      <c r="D2864" t="str">
        <f>IFERROR(VLOOKUP(C2864,'Clients List'!$A:$F,2,FALSE),"")</f>
        <v/>
      </c>
      <c r="F2864" s="1" t="str">
        <f>IF(OR(C2864="",NOT(ISNUMBER(SEARCH("Package",D2864)))),"",VLOOKUP(C2864,'Clients List'!$A:$F,4,FALSE)-SUMIFS($E$2:$E2864,$C$2:$C2864,C2864,$D$2:$D2864,"*Package*"))</f>
        <v/>
      </c>
      <c r="G2864" t="str">
        <f t="shared" si="77"/>
        <v/>
      </c>
      <c r="H2864" s="33">
        <f>IF(ISNUMBER(SEARCH("Group",D2864)),IF(G2864="",E2864,IFERROR(E2864/COUNTIF($G2:$G6000,G2864),E2864)),E2864)</f>
        <v>0</v>
      </c>
      <c r="I2864" s="1" t="str">
        <f>IFERROR(VLOOKUP(C2864,'Clients List'!A:F,6,FALSE),"")</f>
        <v/>
      </c>
    </row>
    <row r="2865" spans="4:9" x14ac:dyDescent="0.45">
      <c r="D2865" t="str">
        <f>IFERROR(VLOOKUP(C2865,'Clients List'!$A:$F,2,FALSE),"")</f>
        <v/>
      </c>
      <c r="F2865" s="1" t="str">
        <f>IF(OR(C2865="",NOT(ISNUMBER(SEARCH("Package",D2865)))),"",VLOOKUP(C2865,'Clients List'!$A:$F,4,FALSE)-SUMIFS($E$2:$E2865,$C$2:$C2865,C2865,$D$2:$D2865,"*Package*"))</f>
        <v/>
      </c>
      <c r="G2865" t="str">
        <f t="shared" si="77"/>
        <v/>
      </c>
      <c r="H2865" s="33">
        <f>IF(ISNUMBER(SEARCH("Group",D2865)),IF(G2865="",E2865,IFERROR(E2865/COUNTIF($G2:$G6000,G2865),E2865)),E2865)</f>
        <v>0</v>
      </c>
      <c r="I2865" s="1" t="str">
        <f>IFERROR(VLOOKUP(C2865,'Clients List'!A:F,6,FALSE),"")</f>
        <v/>
      </c>
    </row>
    <row r="2866" spans="4:9" x14ac:dyDescent="0.45">
      <c r="D2866" t="str">
        <f>IFERROR(VLOOKUP(C2866,'Clients List'!$A:$F,2,FALSE),"")</f>
        <v/>
      </c>
      <c r="F2866" s="1" t="str">
        <f>IF(OR(C2866="",NOT(ISNUMBER(SEARCH("Package",D2866)))),"",VLOOKUP(C2866,'Clients List'!$A:$F,4,FALSE)-SUMIFS($E$2:$E2866,$C$2:$C2866,C2866,$D$2:$D2866,"*Package*"))</f>
        <v/>
      </c>
      <c r="G2866" t="str">
        <f t="shared" si="77"/>
        <v/>
      </c>
      <c r="H2866" s="33">
        <f>IF(ISNUMBER(SEARCH("Group",D2866)),IF(G2866="",E2866,IFERROR(E2866/COUNTIF($G2:$G6000,G2866),E2866)),E2866)</f>
        <v>0</v>
      </c>
      <c r="I2866" s="1" t="str">
        <f>IFERROR(VLOOKUP(C2866,'Clients List'!A:F,6,FALSE),"")</f>
        <v/>
      </c>
    </row>
    <row r="2867" spans="4:9" x14ac:dyDescent="0.45">
      <c r="D2867" t="str">
        <f>IFERROR(VLOOKUP(C2867,'Clients List'!$A:$F,2,FALSE),"")</f>
        <v/>
      </c>
      <c r="F2867" s="1" t="str">
        <f>IF(OR(C2867="",NOT(ISNUMBER(SEARCH("Package",D2867)))),"",VLOOKUP(C2867,'Clients List'!$A:$F,4,FALSE)-SUMIFS($E$2:$E2867,$C$2:$C2867,C2867,$D$2:$D2867,"*Package*"))</f>
        <v/>
      </c>
      <c r="G2867" t="str">
        <f t="shared" si="77"/>
        <v/>
      </c>
      <c r="H2867" s="33">
        <f>IF(ISNUMBER(SEARCH("Group",D2867)),IF(G2867="",E2867,IFERROR(E2867/COUNTIF($G2:$G6000,G2867),E2867)),E2867)</f>
        <v>0</v>
      </c>
      <c r="I2867" s="1" t="str">
        <f>IFERROR(VLOOKUP(C2867,'Clients List'!A:F,6,FALSE),"")</f>
        <v/>
      </c>
    </row>
    <row r="2868" spans="4:9" x14ac:dyDescent="0.45">
      <c r="D2868" t="str">
        <f>IFERROR(VLOOKUP(C2868,'Clients List'!$A:$F,2,FALSE),"")</f>
        <v/>
      </c>
      <c r="F2868" s="1" t="str">
        <f>IF(OR(C2868="",NOT(ISNUMBER(SEARCH("Package",D2868)))),"",VLOOKUP(C2868,'Clients List'!$A:$F,4,FALSE)-SUMIFS($E$2:$E2868,$C$2:$C2868,C2868,$D$2:$D2868,"*Package*"))</f>
        <v/>
      </c>
      <c r="G2868" t="str">
        <f t="shared" si="77"/>
        <v/>
      </c>
      <c r="H2868" s="33">
        <f>IF(ISNUMBER(SEARCH("Group",D2868)),IF(G2868="",E2868,IFERROR(E2868/COUNTIF($G2:$G6000,G2868),E2868)),E2868)</f>
        <v>0</v>
      </c>
      <c r="I2868" s="1" t="str">
        <f>IFERROR(VLOOKUP(C2868,'Clients List'!A:F,6,FALSE),"")</f>
        <v/>
      </c>
    </row>
    <row r="2869" spans="4:9" x14ac:dyDescent="0.45">
      <c r="D2869" t="str">
        <f>IFERROR(VLOOKUP(C2869,'Clients List'!$A:$F,2,FALSE),"")</f>
        <v/>
      </c>
      <c r="F2869" s="1" t="str">
        <f>IF(OR(C2869="",NOT(ISNUMBER(SEARCH("Package",D2869)))),"",VLOOKUP(C2869,'Clients List'!$A:$F,4,FALSE)-SUMIFS($E$2:$E2869,$C$2:$C2869,C2869,$D$2:$D2869,"*Package*"))</f>
        <v/>
      </c>
      <c r="G2869" t="str">
        <f t="shared" ref="G2869:G2932" si="78">IF(ISNUMBER(SEARCH("Group",D2869)),IFERROR("GRP-"&amp;TEXT(IF(ISNUMBER(A2869),A2869,DATEVALUE(A2869)),"yyyymmdd"),""),"" )</f>
        <v/>
      </c>
      <c r="H2869" s="33">
        <f>IF(ISNUMBER(SEARCH("Group",D2869)),IF(G2869="",E2869,IFERROR(E2869/COUNTIF($G2:$G6000,G2869),E2869)),E2869)</f>
        <v>0</v>
      </c>
      <c r="I2869" s="1" t="str">
        <f>IFERROR(VLOOKUP(C2869,'Clients List'!A:F,6,FALSE),"")</f>
        <v/>
      </c>
    </row>
    <row r="2870" spans="4:9" x14ac:dyDescent="0.45">
      <c r="D2870" t="str">
        <f>IFERROR(VLOOKUP(C2870,'Clients List'!$A:$F,2,FALSE),"")</f>
        <v/>
      </c>
      <c r="F2870" s="1" t="str">
        <f>IF(OR(C2870="",NOT(ISNUMBER(SEARCH("Package",D2870)))),"",VLOOKUP(C2870,'Clients List'!$A:$F,4,FALSE)-SUMIFS($E$2:$E2870,$C$2:$C2870,C2870,$D$2:$D2870,"*Package*"))</f>
        <v/>
      </c>
      <c r="G2870" t="str">
        <f t="shared" si="78"/>
        <v/>
      </c>
      <c r="H2870" s="33">
        <f>IF(ISNUMBER(SEARCH("Group",D2870)),IF(G2870="",E2870,IFERROR(E2870/COUNTIF($G2:$G6000,G2870),E2870)),E2870)</f>
        <v>0</v>
      </c>
      <c r="I2870" s="1" t="str">
        <f>IFERROR(VLOOKUP(C2870,'Clients List'!A:F,6,FALSE),"")</f>
        <v/>
      </c>
    </row>
    <row r="2871" spans="4:9" x14ac:dyDescent="0.45">
      <c r="D2871" t="str">
        <f>IFERROR(VLOOKUP(C2871,'Clients List'!$A:$F,2,FALSE),"")</f>
        <v/>
      </c>
      <c r="F2871" s="1" t="str">
        <f>IF(OR(C2871="",NOT(ISNUMBER(SEARCH("Package",D2871)))),"",VLOOKUP(C2871,'Clients List'!$A:$F,4,FALSE)-SUMIFS($E$2:$E2871,$C$2:$C2871,C2871,$D$2:$D2871,"*Package*"))</f>
        <v/>
      </c>
      <c r="G2871" t="str">
        <f t="shared" si="78"/>
        <v/>
      </c>
      <c r="H2871" s="33">
        <f>IF(ISNUMBER(SEARCH("Group",D2871)),IF(G2871="",E2871,IFERROR(E2871/COUNTIF($G2:$G6000,G2871),E2871)),E2871)</f>
        <v>0</v>
      </c>
      <c r="I2871" s="1" t="str">
        <f>IFERROR(VLOOKUP(C2871,'Clients List'!A:F,6,FALSE),"")</f>
        <v/>
      </c>
    </row>
    <row r="2872" spans="4:9" x14ac:dyDescent="0.45">
      <c r="D2872" t="str">
        <f>IFERROR(VLOOKUP(C2872,'Clients List'!$A:$F,2,FALSE),"")</f>
        <v/>
      </c>
      <c r="F2872" s="1" t="str">
        <f>IF(OR(C2872="",NOT(ISNUMBER(SEARCH("Package",D2872)))),"",VLOOKUP(C2872,'Clients List'!$A:$F,4,FALSE)-SUMIFS($E$2:$E2872,$C$2:$C2872,C2872,$D$2:$D2872,"*Package*"))</f>
        <v/>
      </c>
      <c r="G2872" t="str">
        <f t="shared" si="78"/>
        <v/>
      </c>
      <c r="H2872" s="33">
        <f>IF(ISNUMBER(SEARCH("Group",D2872)),IF(G2872="",E2872,IFERROR(E2872/COUNTIF($G2:$G6000,G2872),E2872)),E2872)</f>
        <v>0</v>
      </c>
      <c r="I2872" s="1" t="str">
        <f>IFERROR(VLOOKUP(C2872,'Clients List'!A:F,6,FALSE),"")</f>
        <v/>
      </c>
    </row>
    <row r="2873" spans="4:9" x14ac:dyDescent="0.45">
      <c r="D2873" t="str">
        <f>IFERROR(VLOOKUP(C2873,'Clients List'!$A:$F,2,FALSE),"")</f>
        <v/>
      </c>
      <c r="F2873" s="1" t="str">
        <f>IF(OR(C2873="",NOT(ISNUMBER(SEARCH("Package",D2873)))),"",VLOOKUP(C2873,'Clients List'!$A:$F,4,FALSE)-SUMIFS($E$2:$E2873,$C$2:$C2873,C2873,$D$2:$D2873,"*Package*"))</f>
        <v/>
      </c>
      <c r="G2873" t="str">
        <f t="shared" si="78"/>
        <v/>
      </c>
      <c r="H2873" s="33">
        <f>IF(ISNUMBER(SEARCH("Group",D2873)),IF(G2873="",E2873,IFERROR(E2873/COUNTIF($G2:$G6000,G2873),E2873)),E2873)</f>
        <v>0</v>
      </c>
      <c r="I2873" s="1" t="str">
        <f>IFERROR(VLOOKUP(C2873,'Clients List'!A:F,6,FALSE),"")</f>
        <v/>
      </c>
    </row>
    <row r="2874" spans="4:9" x14ac:dyDescent="0.45">
      <c r="D2874" t="str">
        <f>IFERROR(VLOOKUP(C2874,'Clients List'!$A:$F,2,FALSE),"")</f>
        <v/>
      </c>
      <c r="F2874" s="1" t="str">
        <f>IF(OR(C2874="",NOT(ISNUMBER(SEARCH("Package",D2874)))),"",VLOOKUP(C2874,'Clients List'!$A:$F,4,FALSE)-SUMIFS($E$2:$E2874,$C$2:$C2874,C2874,$D$2:$D2874,"*Package*"))</f>
        <v/>
      </c>
      <c r="G2874" t="str">
        <f t="shared" si="78"/>
        <v/>
      </c>
      <c r="H2874" s="33">
        <f>IF(ISNUMBER(SEARCH("Group",D2874)),IF(G2874="",E2874,IFERROR(E2874/COUNTIF($G2:$G6000,G2874),E2874)),E2874)</f>
        <v>0</v>
      </c>
      <c r="I2874" s="1" t="str">
        <f>IFERROR(VLOOKUP(C2874,'Clients List'!A:F,6,FALSE),"")</f>
        <v/>
      </c>
    </row>
    <row r="2875" spans="4:9" x14ac:dyDescent="0.45">
      <c r="D2875" t="str">
        <f>IFERROR(VLOOKUP(C2875,'Clients List'!$A:$F,2,FALSE),"")</f>
        <v/>
      </c>
      <c r="F2875" s="1" t="str">
        <f>IF(OR(C2875="",NOT(ISNUMBER(SEARCH("Package",D2875)))),"",VLOOKUP(C2875,'Clients List'!$A:$F,4,FALSE)-SUMIFS($E$2:$E2875,$C$2:$C2875,C2875,$D$2:$D2875,"*Package*"))</f>
        <v/>
      </c>
      <c r="G2875" t="str">
        <f t="shared" si="78"/>
        <v/>
      </c>
      <c r="H2875" s="33">
        <f>IF(ISNUMBER(SEARCH("Group",D2875)),IF(G2875="",E2875,IFERROR(E2875/COUNTIF($G2:$G6000,G2875),E2875)),E2875)</f>
        <v>0</v>
      </c>
      <c r="I2875" s="1" t="str">
        <f>IFERROR(VLOOKUP(C2875,'Clients List'!A:F,6,FALSE),"")</f>
        <v/>
      </c>
    </row>
    <row r="2876" spans="4:9" x14ac:dyDescent="0.45">
      <c r="D2876" t="str">
        <f>IFERROR(VLOOKUP(C2876,'Clients List'!$A:$F,2,FALSE),"")</f>
        <v/>
      </c>
      <c r="F2876" s="1" t="str">
        <f>IF(OR(C2876="",NOT(ISNUMBER(SEARCH("Package",D2876)))),"",VLOOKUP(C2876,'Clients List'!$A:$F,4,FALSE)-SUMIFS($E$2:$E2876,$C$2:$C2876,C2876,$D$2:$D2876,"*Package*"))</f>
        <v/>
      </c>
      <c r="G2876" t="str">
        <f t="shared" si="78"/>
        <v/>
      </c>
      <c r="H2876" s="33">
        <f>IF(ISNUMBER(SEARCH("Group",D2876)),IF(G2876="",E2876,IFERROR(E2876/COUNTIF($G2:$G6000,G2876),E2876)),E2876)</f>
        <v>0</v>
      </c>
      <c r="I2876" s="1" t="str">
        <f>IFERROR(VLOOKUP(C2876,'Clients List'!A:F,6,FALSE),"")</f>
        <v/>
      </c>
    </row>
    <row r="2877" spans="4:9" x14ac:dyDescent="0.45">
      <c r="D2877" t="str">
        <f>IFERROR(VLOOKUP(C2877,'Clients List'!$A:$F,2,FALSE),"")</f>
        <v/>
      </c>
      <c r="F2877" s="1" t="str">
        <f>IF(OR(C2877="",NOT(ISNUMBER(SEARCH("Package",D2877)))),"",VLOOKUP(C2877,'Clients List'!$A:$F,4,FALSE)-SUMIFS($E$2:$E2877,$C$2:$C2877,C2877,$D$2:$D2877,"*Package*"))</f>
        <v/>
      </c>
      <c r="G2877" t="str">
        <f t="shared" si="78"/>
        <v/>
      </c>
      <c r="H2877" s="33">
        <f>IF(ISNUMBER(SEARCH("Group",D2877)),IF(G2877="",E2877,IFERROR(E2877/COUNTIF($G2:$G6000,G2877),E2877)),E2877)</f>
        <v>0</v>
      </c>
      <c r="I2877" s="1" t="str">
        <f>IFERROR(VLOOKUP(C2877,'Clients List'!A:F,6,FALSE),"")</f>
        <v/>
      </c>
    </row>
    <row r="2878" spans="4:9" x14ac:dyDescent="0.45">
      <c r="D2878" t="str">
        <f>IFERROR(VLOOKUP(C2878,'Clients List'!$A:$F,2,FALSE),"")</f>
        <v/>
      </c>
      <c r="F2878" s="1" t="str">
        <f>IF(OR(C2878="",NOT(ISNUMBER(SEARCH("Package",D2878)))),"",VLOOKUP(C2878,'Clients List'!$A:$F,4,FALSE)-SUMIFS($E$2:$E2878,$C$2:$C2878,C2878,$D$2:$D2878,"*Package*"))</f>
        <v/>
      </c>
      <c r="G2878" t="str">
        <f t="shared" si="78"/>
        <v/>
      </c>
      <c r="H2878" s="33">
        <f>IF(ISNUMBER(SEARCH("Group",D2878)),IF(G2878="",E2878,IFERROR(E2878/COUNTIF($G2:$G6000,G2878),E2878)),E2878)</f>
        <v>0</v>
      </c>
      <c r="I2878" s="1" t="str">
        <f>IFERROR(VLOOKUP(C2878,'Clients List'!A:F,6,FALSE),"")</f>
        <v/>
      </c>
    </row>
    <row r="2879" spans="4:9" x14ac:dyDescent="0.45">
      <c r="D2879" t="str">
        <f>IFERROR(VLOOKUP(C2879,'Clients List'!$A:$F,2,FALSE),"")</f>
        <v/>
      </c>
      <c r="F2879" s="1" t="str">
        <f>IF(OR(C2879="",NOT(ISNUMBER(SEARCH("Package",D2879)))),"",VLOOKUP(C2879,'Clients List'!$A:$F,4,FALSE)-SUMIFS($E$2:$E2879,$C$2:$C2879,C2879,$D$2:$D2879,"*Package*"))</f>
        <v/>
      </c>
      <c r="G2879" t="str">
        <f t="shared" si="78"/>
        <v/>
      </c>
      <c r="H2879" s="33">
        <f>IF(ISNUMBER(SEARCH("Group",D2879)),IF(G2879="",E2879,IFERROR(E2879/COUNTIF($G2:$G6000,G2879),E2879)),E2879)</f>
        <v>0</v>
      </c>
      <c r="I2879" s="1" t="str">
        <f>IFERROR(VLOOKUP(C2879,'Clients List'!A:F,6,FALSE),"")</f>
        <v/>
      </c>
    </row>
    <row r="2880" spans="4:9" x14ac:dyDescent="0.45">
      <c r="D2880" t="str">
        <f>IFERROR(VLOOKUP(C2880,'Clients List'!$A:$F,2,FALSE),"")</f>
        <v/>
      </c>
      <c r="F2880" s="1" t="str">
        <f>IF(OR(C2880="",NOT(ISNUMBER(SEARCH("Package",D2880)))),"",VLOOKUP(C2880,'Clients List'!$A:$F,4,FALSE)-SUMIFS($E$2:$E2880,$C$2:$C2880,C2880,$D$2:$D2880,"*Package*"))</f>
        <v/>
      </c>
      <c r="G2880" t="str">
        <f t="shared" si="78"/>
        <v/>
      </c>
      <c r="H2880" s="33">
        <f>IF(ISNUMBER(SEARCH("Group",D2880)),IF(G2880="",E2880,IFERROR(E2880/COUNTIF($G2:$G6000,G2880),E2880)),E2880)</f>
        <v>0</v>
      </c>
      <c r="I2880" s="1" t="str">
        <f>IFERROR(VLOOKUP(C2880,'Clients List'!A:F,6,FALSE),"")</f>
        <v/>
      </c>
    </row>
    <row r="2881" spans="4:9" x14ac:dyDescent="0.45">
      <c r="D2881" t="str">
        <f>IFERROR(VLOOKUP(C2881,'Clients List'!$A:$F,2,FALSE),"")</f>
        <v/>
      </c>
      <c r="F2881" s="1" t="str">
        <f>IF(OR(C2881="",NOT(ISNUMBER(SEARCH("Package",D2881)))),"",VLOOKUP(C2881,'Clients List'!$A:$F,4,FALSE)-SUMIFS($E$2:$E2881,$C$2:$C2881,C2881,$D$2:$D2881,"*Package*"))</f>
        <v/>
      </c>
      <c r="G2881" t="str">
        <f t="shared" si="78"/>
        <v/>
      </c>
      <c r="H2881" s="33">
        <f>IF(ISNUMBER(SEARCH("Group",D2881)),IF(G2881="",E2881,IFERROR(E2881/COUNTIF($G2:$G6000,G2881),E2881)),E2881)</f>
        <v>0</v>
      </c>
      <c r="I2881" s="1" t="str">
        <f>IFERROR(VLOOKUP(C2881,'Clients List'!A:F,6,FALSE),"")</f>
        <v/>
      </c>
    </row>
    <row r="2882" spans="4:9" x14ac:dyDescent="0.45">
      <c r="D2882" t="str">
        <f>IFERROR(VLOOKUP(C2882,'Clients List'!$A:$F,2,FALSE),"")</f>
        <v/>
      </c>
      <c r="F2882" s="1" t="str">
        <f>IF(OR(C2882="",NOT(ISNUMBER(SEARCH("Package",D2882)))),"",VLOOKUP(C2882,'Clients List'!$A:$F,4,FALSE)-SUMIFS($E$2:$E2882,$C$2:$C2882,C2882,$D$2:$D2882,"*Package*"))</f>
        <v/>
      </c>
      <c r="G2882" t="str">
        <f t="shared" si="78"/>
        <v/>
      </c>
      <c r="H2882" s="33">
        <f>IF(ISNUMBER(SEARCH("Group",D2882)),IF(G2882="",E2882,IFERROR(E2882/COUNTIF($G2:$G6000,G2882),E2882)),E2882)</f>
        <v>0</v>
      </c>
      <c r="I2882" s="1" t="str">
        <f>IFERROR(VLOOKUP(C2882,'Clients List'!A:F,6,FALSE),"")</f>
        <v/>
      </c>
    </row>
    <row r="2883" spans="4:9" x14ac:dyDescent="0.45">
      <c r="D2883" t="str">
        <f>IFERROR(VLOOKUP(C2883,'Clients List'!$A:$F,2,FALSE),"")</f>
        <v/>
      </c>
      <c r="F2883" s="1" t="str">
        <f>IF(OR(C2883="",NOT(ISNUMBER(SEARCH("Package",D2883)))),"",VLOOKUP(C2883,'Clients List'!$A:$F,4,FALSE)-SUMIFS($E$2:$E2883,$C$2:$C2883,C2883,$D$2:$D2883,"*Package*"))</f>
        <v/>
      </c>
      <c r="G2883" t="str">
        <f t="shared" si="78"/>
        <v/>
      </c>
      <c r="H2883" s="33">
        <f>IF(ISNUMBER(SEARCH("Group",D2883)),IF(G2883="",E2883,IFERROR(E2883/COUNTIF($G2:$G6000,G2883),E2883)),E2883)</f>
        <v>0</v>
      </c>
      <c r="I2883" s="1" t="str">
        <f>IFERROR(VLOOKUP(C2883,'Clients List'!A:F,6,FALSE),"")</f>
        <v/>
      </c>
    </row>
    <row r="2884" spans="4:9" x14ac:dyDescent="0.45">
      <c r="D2884" t="str">
        <f>IFERROR(VLOOKUP(C2884,'Clients List'!$A:$F,2,FALSE),"")</f>
        <v/>
      </c>
      <c r="F2884" s="1" t="str">
        <f>IF(OR(C2884="",NOT(ISNUMBER(SEARCH("Package",D2884)))),"",VLOOKUP(C2884,'Clients List'!$A:$F,4,FALSE)-SUMIFS($E$2:$E2884,$C$2:$C2884,C2884,$D$2:$D2884,"*Package*"))</f>
        <v/>
      </c>
      <c r="G2884" t="str">
        <f t="shared" si="78"/>
        <v/>
      </c>
      <c r="H2884" s="33">
        <f>IF(ISNUMBER(SEARCH("Group",D2884)),IF(G2884="",E2884,IFERROR(E2884/COUNTIF($G2:$G6000,G2884),E2884)),E2884)</f>
        <v>0</v>
      </c>
      <c r="I2884" s="1" t="str">
        <f>IFERROR(VLOOKUP(C2884,'Clients List'!A:F,6,FALSE),"")</f>
        <v/>
      </c>
    </row>
    <row r="2885" spans="4:9" x14ac:dyDescent="0.45">
      <c r="D2885" t="str">
        <f>IFERROR(VLOOKUP(C2885,'Clients List'!$A:$F,2,FALSE),"")</f>
        <v/>
      </c>
      <c r="F2885" s="1" t="str">
        <f>IF(OR(C2885="",NOT(ISNUMBER(SEARCH("Package",D2885)))),"",VLOOKUP(C2885,'Clients List'!$A:$F,4,FALSE)-SUMIFS($E$2:$E2885,$C$2:$C2885,C2885,$D$2:$D2885,"*Package*"))</f>
        <v/>
      </c>
      <c r="G2885" t="str">
        <f t="shared" si="78"/>
        <v/>
      </c>
      <c r="H2885" s="33">
        <f>IF(ISNUMBER(SEARCH("Group",D2885)),IF(G2885="",E2885,IFERROR(E2885/COUNTIF($G2:$G6000,G2885),E2885)),E2885)</f>
        <v>0</v>
      </c>
      <c r="I2885" s="1" t="str">
        <f>IFERROR(VLOOKUP(C2885,'Clients List'!A:F,6,FALSE),"")</f>
        <v/>
      </c>
    </row>
    <row r="2886" spans="4:9" x14ac:dyDescent="0.45">
      <c r="D2886" t="str">
        <f>IFERROR(VLOOKUP(C2886,'Clients List'!$A:$F,2,FALSE),"")</f>
        <v/>
      </c>
      <c r="F2886" s="1" t="str">
        <f>IF(OR(C2886="",NOT(ISNUMBER(SEARCH("Package",D2886)))),"",VLOOKUP(C2886,'Clients List'!$A:$F,4,FALSE)-SUMIFS($E$2:$E2886,$C$2:$C2886,C2886,$D$2:$D2886,"*Package*"))</f>
        <v/>
      </c>
      <c r="G2886" t="str">
        <f t="shared" si="78"/>
        <v/>
      </c>
      <c r="H2886" s="33">
        <f>IF(ISNUMBER(SEARCH("Group",D2886)),IF(G2886="",E2886,IFERROR(E2886/COUNTIF($G2:$G6000,G2886),E2886)),E2886)</f>
        <v>0</v>
      </c>
      <c r="I2886" s="1" t="str">
        <f>IFERROR(VLOOKUP(C2886,'Clients List'!A:F,6,FALSE),"")</f>
        <v/>
      </c>
    </row>
    <row r="2887" spans="4:9" x14ac:dyDescent="0.45">
      <c r="D2887" t="str">
        <f>IFERROR(VLOOKUP(C2887,'Clients List'!$A:$F,2,FALSE),"")</f>
        <v/>
      </c>
      <c r="F2887" s="1" t="str">
        <f>IF(OR(C2887="",NOT(ISNUMBER(SEARCH("Package",D2887)))),"",VLOOKUP(C2887,'Clients List'!$A:$F,4,FALSE)-SUMIFS($E$2:$E2887,$C$2:$C2887,C2887,$D$2:$D2887,"*Package*"))</f>
        <v/>
      </c>
      <c r="G2887" t="str">
        <f t="shared" si="78"/>
        <v/>
      </c>
      <c r="H2887" s="33">
        <f>IF(ISNUMBER(SEARCH("Group",D2887)),IF(G2887="",E2887,IFERROR(E2887/COUNTIF($G2:$G6000,G2887),E2887)),E2887)</f>
        <v>0</v>
      </c>
      <c r="I2887" s="1" t="str">
        <f>IFERROR(VLOOKUP(C2887,'Clients List'!A:F,6,FALSE),"")</f>
        <v/>
      </c>
    </row>
    <row r="2888" spans="4:9" x14ac:dyDescent="0.45">
      <c r="D2888" t="str">
        <f>IFERROR(VLOOKUP(C2888,'Clients List'!$A:$F,2,FALSE),"")</f>
        <v/>
      </c>
      <c r="F2888" s="1" t="str">
        <f>IF(OR(C2888="",NOT(ISNUMBER(SEARCH("Package",D2888)))),"",VLOOKUP(C2888,'Clients List'!$A:$F,4,FALSE)-SUMIFS($E$2:$E2888,$C$2:$C2888,C2888,$D$2:$D2888,"*Package*"))</f>
        <v/>
      </c>
      <c r="G2888" t="str">
        <f t="shared" si="78"/>
        <v/>
      </c>
      <c r="H2888" s="33">
        <f>IF(ISNUMBER(SEARCH("Group",D2888)),IF(G2888="",E2888,IFERROR(E2888/COUNTIF($G2:$G6000,G2888),E2888)),E2888)</f>
        <v>0</v>
      </c>
      <c r="I2888" s="1" t="str">
        <f>IFERROR(VLOOKUP(C2888,'Clients List'!A:F,6,FALSE),"")</f>
        <v/>
      </c>
    </row>
    <row r="2889" spans="4:9" x14ac:dyDescent="0.45">
      <c r="D2889" t="str">
        <f>IFERROR(VLOOKUP(C2889,'Clients List'!$A:$F,2,FALSE),"")</f>
        <v/>
      </c>
      <c r="F2889" s="1" t="str">
        <f>IF(OR(C2889="",NOT(ISNUMBER(SEARCH("Package",D2889)))),"",VLOOKUP(C2889,'Clients List'!$A:$F,4,FALSE)-SUMIFS($E$2:$E2889,$C$2:$C2889,C2889,$D$2:$D2889,"*Package*"))</f>
        <v/>
      </c>
      <c r="G2889" t="str">
        <f t="shared" si="78"/>
        <v/>
      </c>
      <c r="H2889" s="33">
        <f>IF(ISNUMBER(SEARCH("Group",D2889)),IF(G2889="",E2889,IFERROR(E2889/COUNTIF($G2:$G6000,G2889),E2889)),E2889)</f>
        <v>0</v>
      </c>
      <c r="I2889" s="1" t="str">
        <f>IFERROR(VLOOKUP(C2889,'Clients List'!A:F,6,FALSE),"")</f>
        <v/>
      </c>
    </row>
    <row r="2890" spans="4:9" x14ac:dyDescent="0.45">
      <c r="D2890" t="str">
        <f>IFERROR(VLOOKUP(C2890,'Clients List'!$A:$F,2,FALSE),"")</f>
        <v/>
      </c>
      <c r="F2890" s="1" t="str">
        <f>IF(OR(C2890="",NOT(ISNUMBER(SEARCH("Package",D2890)))),"",VLOOKUP(C2890,'Clients List'!$A:$F,4,FALSE)-SUMIFS($E$2:$E2890,$C$2:$C2890,C2890,$D$2:$D2890,"*Package*"))</f>
        <v/>
      </c>
      <c r="G2890" t="str">
        <f t="shared" si="78"/>
        <v/>
      </c>
      <c r="H2890" s="33">
        <f>IF(ISNUMBER(SEARCH("Group",D2890)),IF(G2890="",E2890,IFERROR(E2890/COUNTIF($G2:$G6000,G2890),E2890)),E2890)</f>
        <v>0</v>
      </c>
      <c r="I2890" s="1" t="str">
        <f>IFERROR(VLOOKUP(C2890,'Clients List'!A:F,6,FALSE),"")</f>
        <v/>
      </c>
    </row>
    <row r="2891" spans="4:9" x14ac:dyDescent="0.45">
      <c r="D2891" t="str">
        <f>IFERROR(VLOOKUP(C2891,'Clients List'!$A:$F,2,FALSE),"")</f>
        <v/>
      </c>
      <c r="F2891" s="1" t="str">
        <f>IF(OR(C2891="",NOT(ISNUMBER(SEARCH("Package",D2891)))),"",VLOOKUP(C2891,'Clients List'!$A:$F,4,FALSE)-SUMIFS($E$2:$E2891,$C$2:$C2891,C2891,$D$2:$D2891,"*Package*"))</f>
        <v/>
      </c>
      <c r="G2891" t="str">
        <f t="shared" si="78"/>
        <v/>
      </c>
      <c r="H2891" s="33">
        <f>IF(ISNUMBER(SEARCH("Group",D2891)),IF(G2891="",E2891,IFERROR(E2891/COUNTIF($G2:$G6000,G2891),E2891)),E2891)</f>
        <v>0</v>
      </c>
      <c r="I2891" s="1" t="str">
        <f>IFERROR(VLOOKUP(C2891,'Clients List'!A:F,6,FALSE),"")</f>
        <v/>
      </c>
    </row>
    <row r="2892" spans="4:9" x14ac:dyDescent="0.45">
      <c r="D2892" t="str">
        <f>IFERROR(VLOOKUP(C2892,'Clients List'!$A:$F,2,FALSE),"")</f>
        <v/>
      </c>
      <c r="F2892" s="1" t="str">
        <f>IF(OR(C2892="",NOT(ISNUMBER(SEARCH("Package",D2892)))),"",VLOOKUP(C2892,'Clients List'!$A:$F,4,FALSE)-SUMIFS($E$2:$E2892,$C$2:$C2892,C2892,$D$2:$D2892,"*Package*"))</f>
        <v/>
      </c>
      <c r="G2892" t="str">
        <f t="shared" si="78"/>
        <v/>
      </c>
      <c r="H2892" s="33">
        <f>IF(ISNUMBER(SEARCH("Group",D2892)),IF(G2892="",E2892,IFERROR(E2892/COUNTIF($G2:$G6000,G2892),E2892)),E2892)</f>
        <v>0</v>
      </c>
      <c r="I2892" s="1" t="str">
        <f>IFERROR(VLOOKUP(C2892,'Clients List'!A:F,6,FALSE),"")</f>
        <v/>
      </c>
    </row>
    <row r="2893" spans="4:9" x14ac:dyDescent="0.45">
      <c r="D2893" t="str">
        <f>IFERROR(VLOOKUP(C2893,'Clients List'!$A:$F,2,FALSE),"")</f>
        <v/>
      </c>
      <c r="F2893" s="1" t="str">
        <f>IF(OR(C2893="",NOT(ISNUMBER(SEARCH("Package",D2893)))),"",VLOOKUP(C2893,'Clients List'!$A:$F,4,FALSE)-SUMIFS($E$2:$E2893,$C$2:$C2893,C2893,$D$2:$D2893,"*Package*"))</f>
        <v/>
      </c>
      <c r="G2893" t="str">
        <f t="shared" si="78"/>
        <v/>
      </c>
      <c r="H2893" s="33">
        <f>IF(ISNUMBER(SEARCH("Group",D2893)),IF(G2893="",E2893,IFERROR(E2893/COUNTIF($G2:$G6000,G2893),E2893)),E2893)</f>
        <v>0</v>
      </c>
      <c r="I2893" s="1" t="str">
        <f>IFERROR(VLOOKUP(C2893,'Clients List'!A:F,6,FALSE),"")</f>
        <v/>
      </c>
    </row>
    <row r="2894" spans="4:9" x14ac:dyDescent="0.45">
      <c r="D2894" t="str">
        <f>IFERROR(VLOOKUP(C2894,'Clients List'!$A:$F,2,FALSE),"")</f>
        <v/>
      </c>
      <c r="F2894" s="1" t="str">
        <f>IF(OR(C2894="",NOT(ISNUMBER(SEARCH("Package",D2894)))),"",VLOOKUP(C2894,'Clients List'!$A:$F,4,FALSE)-SUMIFS($E$2:$E2894,$C$2:$C2894,C2894,$D$2:$D2894,"*Package*"))</f>
        <v/>
      </c>
      <c r="G2894" t="str">
        <f t="shared" si="78"/>
        <v/>
      </c>
      <c r="H2894" s="33">
        <f>IF(ISNUMBER(SEARCH("Group",D2894)),IF(G2894="",E2894,IFERROR(E2894/COUNTIF($G2:$G6000,G2894),E2894)),E2894)</f>
        <v>0</v>
      </c>
      <c r="I2894" s="1" t="str">
        <f>IFERROR(VLOOKUP(C2894,'Clients List'!A:F,6,FALSE),"")</f>
        <v/>
      </c>
    </row>
    <row r="2895" spans="4:9" x14ac:dyDescent="0.45">
      <c r="D2895" t="str">
        <f>IFERROR(VLOOKUP(C2895,'Clients List'!$A:$F,2,FALSE),"")</f>
        <v/>
      </c>
      <c r="F2895" s="1" t="str">
        <f>IF(OR(C2895="",NOT(ISNUMBER(SEARCH("Package",D2895)))),"",VLOOKUP(C2895,'Clients List'!$A:$F,4,FALSE)-SUMIFS($E$2:$E2895,$C$2:$C2895,C2895,$D$2:$D2895,"*Package*"))</f>
        <v/>
      </c>
      <c r="G2895" t="str">
        <f t="shared" si="78"/>
        <v/>
      </c>
      <c r="H2895" s="33">
        <f>IF(ISNUMBER(SEARCH("Group",D2895)),IF(G2895="",E2895,IFERROR(E2895/COUNTIF($G2:$G6000,G2895),E2895)),E2895)</f>
        <v>0</v>
      </c>
      <c r="I2895" s="1" t="str">
        <f>IFERROR(VLOOKUP(C2895,'Clients List'!A:F,6,FALSE),"")</f>
        <v/>
      </c>
    </row>
    <row r="2896" spans="4:9" x14ac:dyDescent="0.45">
      <c r="D2896" t="str">
        <f>IFERROR(VLOOKUP(C2896,'Clients List'!$A:$F,2,FALSE),"")</f>
        <v/>
      </c>
      <c r="F2896" s="1" t="str">
        <f>IF(OR(C2896="",NOT(ISNUMBER(SEARCH("Package",D2896)))),"",VLOOKUP(C2896,'Clients List'!$A:$F,4,FALSE)-SUMIFS($E$2:$E2896,$C$2:$C2896,C2896,$D$2:$D2896,"*Package*"))</f>
        <v/>
      </c>
      <c r="G2896" t="str">
        <f t="shared" si="78"/>
        <v/>
      </c>
      <c r="H2896" s="33">
        <f>IF(ISNUMBER(SEARCH("Group",D2896)),IF(G2896="",E2896,IFERROR(E2896/COUNTIF($G2:$G6000,G2896),E2896)),E2896)</f>
        <v>0</v>
      </c>
      <c r="I2896" s="1" t="str">
        <f>IFERROR(VLOOKUP(C2896,'Clients List'!A:F,6,FALSE),"")</f>
        <v/>
      </c>
    </row>
    <row r="2897" spans="4:9" x14ac:dyDescent="0.45">
      <c r="D2897" t="str">
        <f>IFERROR(VLOOKUP(C2897,'Clients List'!$A:$F,2,FALSE),"")</f>
        <v/>
      </c>
      <c r="F2897" s="1" t="str">
        <f>IF(OR(C2897="",NOT(ISNUMBER(SEARCH("Package",D2897)))),"",VLOOKUP(C2897,'Clients List'!$A:$F,4,FALSE)-SUMIFS($E$2:$E2897,$C$2:$C2897,C2897,$D$2:$D2897,"*Package*"))</f>
        <v/>
      </c>
      <c r="G2897" t="str">
        <f t="shared" si="78"/>
        <v/>
      </c>
      <c r="H2897" s="33">
        <f>IF(ISNUMBER(SEARCH("Group",D2897)),IF(G2897="",E2897,IFERROR(E2897/COUNTIF($G2:$G6000,G2897),E2897)),E2897)</f>
        <v>0</v>
      </c>
      <c r="I2897" s="1" t="str">
        <f>IFERROR(VLOOKUP(C2897,'Clients List'!A:F,6,FALSE),"")</f>
        <v/>
      </c>
    </row>
    <row r="2898" spans="4:9" x14ac:dyDescent="0.45">
      <c r="D2898" t="str">
        <f>IFERROR(VLOOKUP(C2898,'Clients List'!$A:$F,2,FALSE),"")</f>
        <v/>
      </c>
      <c r="F2898" s="1" t="str">
        <f>IF(OR(C2898="",NOT(ISNUMBER(SEARCH("Package",D2898)))),"",VLOOKUP(C2898,'Clients List'!$A:$F,4,FALSE)-SUMIFS($E$2:$E2898,$C$2:$C2898,C2898,$D$2:$D2898,"*Package*"))</f>
        <v/>
      </c>
      <c r="G2898" t="str">
        <f t="shared" si="78"/>
        <v/>
      </c>
      <c r="H2898" s="33">
        <f>IF(ISNUMBER(SEARCH("Group",D2898)),IF(G2898="",E2898,IFERROR(E2898/COUNTIF($G2:$G6000,G2898),E2898)),E2898)</f>
        <v>0</v>
      </c>
      <c r="I2898" s="1" t="str">
        <f>IFERROR(VLOOKUP(C2898,'Clients List'!A:F,6,FALSE),"")</f>
        <v/>
      </c>
    </row>
    <row r="2899" spans="4:9" x14ac:dyDescent="0.45">
      <c r="D2899" t="str">
        <f>IFERROR(VLOOKUP(C2899,'Clients List'!$A:$F,2,FALSE),"")</f>
        <v/>
      </c>
      <c r="F2899" s="1" t="str">
        <f>IF(OR(C2899="",NOT(ISNUMBER(SEARCH("Package",D2899)))),"",VLOOKUP(C2899,'Clients List'!$A:$F,4,FALSE)-SUMIFS($E$2:$E2899,$C$2:$C2899,C2899,$D$2:$D2899,"*Package*"))</f>
        <v/>
      </c>
      <c r="G2899" t="str">
        <f t="shared" si="78"/>
        <v/>
      </c>
      <c r="H2899" s="33">
        <f>IF(ISNUMBER(SEARCH("Group",D2899)),IF(G2899="",E2899,IFERROR(E2899/COUNTIF($G2:$G6000,G2899),E2899)),E2899)</f>
        <v>0</v>
      </c>
      <c r="I2899" s="1" t="str">
        <f>IFERROR(VLOOKUP(C2899,'Clients List'!A:F,6,FALSE),"")</f>
        <v/>
      </c>
    </row>
    <row r="2900" spans="4:9" x14ac:dyDescent="0.45">
      <c r="D2900" t="str">
        <f>IFERROR(VLOOKUP(C2900,'Clients List'!$A:$F,2,FALSE),"")</f>
        <v/>
      </c>
      <c r="F2900" s="1" t="str">
        <f>IF(OR(C2900="",NOT(ISNUMBER(SEARCH("Package",D2900)))),"",VLOOKUP(C2900,'Clients List'!$A:$F,4,FALSE)-SUMIFS($E$2:$E2900,$C$2:$C2900,C2900,$D$2:$D2900,"*Package*"))</f>
        <v/>
      </c>
      <c r="G2900" t="str">
        <f t="shared" si="78"/>
        <v/>
      </c>
      <c r="H2900" s="33">
        <f>IF(ISNUMBER(SEARCH("Group",D2900)),IF(G2900="",E2900,IFERROR(E2900/COUNTIF($G2:$G6000,G2900),E2900)),E2900)</f>
        <v>0</v>
      </c>
      <c r="I2900" s="1" t="str">
        <f>IFERROR(VLOOKUP(C2900,'Clients List'!A:F,6,FALSE),"")</f>
        <v/>
      </c>
    </row>
    <row r="2901" spans="4:9" x14ac:dyDescent="0.45">
      <c r="D2901" t="str">
        <f>IFERROR(VLOOKUP(C2901,'Clients List'!$A:$F,2,FALSE),"")</f>
        <v/>
      </c>
      <c r="F2901" s="1" t="str">
        <f>IF(OR(C2901="",NOT(ISNUMBER(SEARCH("Package",D2901)))),"",VLOOKUP(C2901,'Clients List'!$A:$F,4,FALSE)-SUMIFS($E$2:$E2901,$C$2:$C2901,C2901,$D$2:$D2901,"*Package*"))</f>
        <v/>
      </c>
      <c r="G2901" t="str">
        <f t="shared" si="78"/>
        <v/>
      </c>
      <c r="H2901" s="33">
        <f>IF(ISNUMBER(SEARCH("Group",D2901)),IF(G2901="",E2901,IFERROR(E2901/COUNTIF($G2:$G6000,G2901),E2901)),E2901)</f>
        <v>0</v>
      </c>
      <c r="I2901" s="1" t="str">
        <f>IFERROR(VLOOKUP(C2901,'Clients List'!A:F,6,FALSE),"")</f>
        <v/>
      </c>
    </row>
    <row r="2902" spans="4:9" x14ac:dyDescent="0.45">
      <c r="D2902" t="str">
        <f>IFERROR(VLOOKUP(C2902,'Clients List'!$A:$F,2,FALSE),"")</f>
        <v/>
      </c>
      <c r="F2902" s="1" t="str">
        <f>IF(OR(C2902="",NOT(ISNUMBER(SEARCH("Package",D2902)))),"",VLOOKUP(C2902,'Clients List'!$A:$F,4,FALSE)-SUMIFS($E$2:$E2902,$C$2:$C2902,C2902,$D$2:$D2902,"*Package*"))</f>
        <v/>
      </c>
      <c r="G2902" t="str">
        <f t="shared" si="78"/>
        <v/>
      </c>
      <c r="H2902" s="33">
        <f>IF(ISNUMBER(SEARCH("Group",D2902)),IF(G2902="",E2902,IFERROR(E2902/COUNTIF($G2:$G6000,G2902),E2902)),E2902)</f>
        <v>0</v>
      </c>
      <c r="I2902" s="1" t="str">
        <f>IFERROR(VLOOKUP(C2902,'Clients List'!A:F,6,FALSE),"")</f>
        <v/>
      </c>
    </row>
    <row r="2903" spans="4:9" x14ac:dyDescent="0.45">
      <c r="D2903" t="str">
        <f>IFERROR(VLOOKUP(C2903,'Clients List'!$A:$F,2,FALSE),"")</f>
        <v/>
      </c>
      <c r="F2903" s="1" t="str">
        <f>IF(OR(C2903="",NOT(ISNUMBER(SEARCH("Package",D2903)))),"",VLOOKUP(C2903,'Clients List'!$A:$F,4,FALSE)-SUMIFS($E$2:$E2903,$C$2:$C2903,C2903,$D$2:$D2903,"*Package*"))</f>
        <v/>
      </c>
      <c r="G2903" t="str">
        <f t="shared" si="78"/>
        <v/>
      </c>
      <c r="H2903" s="33">
        <f>IF(ISNUMBER(SEARCH("Group",D2903)),IF(G2903="",E2903,IFERROR(E2903/COUNTIF($G2:$G6000,G2903),E2903)),E2903)</f>
        <v>0</v>
      </c>
      <c r="I2903" s="1" t="str">
        <f>IFERROR(VLOOKUP(C2903,'Clients List'!A:F,6,FALSE),"")</f>
        <v/>
      </c>
    </row>
    <row r="2904" spans="4:9" x14ac:dyDescent="0.45">
      <c r="D2904" t="str">
        <f>IFERROR(VLOOKUP(C2904,'Clients List'!$A:$F,2,FALSE),"")</f>
        <v/>
      </c>
      <c r="F2904" s="1" t="str">
        <f>IF(OR(C2904="",NOT(ISNUMBER(SEARCH("Package",D2904)))),"",VLOOKUP(C2904,'Clients List'!$A:$F,4,FALSE)-SUMIFS($E$2:$E2904,$C$2:$C2904,C2904,$D$2:$D2904,"*Package*"))</f>
        <v/>
      </c>
      <c r="G2904" t="str">
        <f t="shared" si="78"/>
        <v/>
      </c>
      <c r="H2904" s="33">
        <f>IF(ISNUMBER(SEARCH("Group",D2904)),IF(G2904="",E2904,IFERROR(E2904/COUNTIF($G2:$G6000,G2904),E2904)),E2904)</f>
        <v>0</v>
      </c>
      <c r="I2904" s="1" t="str">
        <f>IFERROR(VLOOKUP(C2904,'Clients List'!A:F,6,FALSE),"")</f>
        <v/>
      </c>
    </row>
    <row r="2905" spans="4:9" x14ac:dyDescent="0.45">
      <c r="D2905" t="str">
        <f>IFERROR(VLOOKUP(C2905,'Clients List'!$A:$F,2,FALSE),"")</f>
        <v/>
      </c>
      <c r="F2905" s="1" t="str">
        <f>IF(OR(C2905="",NOT(ISNUMBER(SEARCH("Package",D2905)))),"",VLOOKUP(C2905,'Clients List'!$A:$F,4,FALSE)-SUMIFS($E$2:$E2905,$C$2:$C2905,C2905,$D$2:$D2905,"*Package*"))</f>
        <v/>
      </c>
      <c r="G2905" t="str">
        <f t="shared" si="78"/>
        <v/>
      </c>
      <c r="H2905" s="33">
        <f>IF(ISNUMBER(SEARCH("Group",D2905)),IF(G2905="",E2905,IFERROR(E2905/COUNTIF($G2:$G6000,G2905),E2905)),E2905)</f>
        <v>0</v>
      </c>
      <c r="I2905" s="1" t="str">
        <f>IFERROR(VLOOKUP(C2905,'Clients List'!A:F,6,FALSE),"")</f>
        <v/>
      </c>
    </row>
    <row r="2906" spans="4:9" x14ac:dyDescent="0.45">
      <c r="D2906" t="str">
        <f>IFERROR(VLOOKUP(C2906,'Clients List'!$A:$F,2,FALSE),"")</f>
        <v/>
      </c>
      <c r="F2906" s="1" t="str">
        <f>IF(OR(C2906="",NOT(ISNUMBER(SEARCH("Package",D2906)))),"",VLOOKUP(C2906,'Clients List'!$A:$F,4,FALSE)-SUMIFS($E$2:$E2906,$C$2:$C2906,C2906,$D$2:$D2906,"*Package*"))</f>
        <v/>
      </c>
      <c r="G2906" t="str">
        <f t="shared" si="78"/>
        <v/>
      </c>
      <c r="H2906" s="33">
        <f>IF(ISNUMBER(SEARCH("Group",D2906)),IF(G2906="",E2906,IFERROR(E2906/COUNTIF($G2:$G6000,G2906),E2906)),E2906)</f>
        <v>0</v>
      </c>
      <c r="I2906" s="1" t="str">
        <f>IFERROR(VLOOKUP(C2906,'Clients List'!A:F,6,FALSE),"")</f>
        <v/>
      </c>
    </row>
    <row r="2907" spans="4:9" x14ac:dyDescent="0.45">
      <c r="D2907" t="str">
        <f>IFERROR(VLOOKUP(C2907,'Clients List'!$A:$F,2,FALSE),"")</f>
        <v/>
      </c>
      <c r="F2907" s="1" t="str">
        <f>IF(OR(C2907="",NOT(ISNUMBER(SEARCH("Package",D2907)))),"",VLOOKUP(C2907,'Clients List'!$A:$F,4,FALSE)-SUMIFS($E$2:$E2907,$C$2:$C2907,C2907,$D$2:$D2907,"*Package*"))</f>
        <v/>
      </c>
      <c r="G2907" t="str">
        <f t="shared" si="78"/>
        <v/>
      </c>
      <c r="H2907" s="33">
        <f>IF(ISNUMBER(SEARCH("Group",D2907)),IF(G2907="",E2907,IFERROR(E2907/COUNTIF($G2:$G6000,G2907),E2907)),E2907)</f>
        <v>0</v>
      </c>
      <c r="I2907" s="1" t="str">
        <f>IFERROR(VLOOKUP(C2907,'Clients List'!A:F,6,FALSE),"")</f>
        <v/>
      </c>
    </row>
    <row r="2908" spans="4:9" x14ac:dyDescent="0.45">
      <c r="D2908" t="str">
        <f>IFERROR(VLOOKUP(C2908,'Clients List'!$A:$F,2,FALSE),"")</f>
        <v/>
      </c>
      <c r="F2908" s="1" t="str">
        <f>IF(OR(C2908="",NOT(ISNUMBER(SEARCH("Package",D2908)))),"",VLOOKUP(C2908,'Clients List'!$A:$F,4,FALSE)-SUMIFS($E$2:$E2908,$C$2:$C2908,C2908,$D$2:$D2908,"*Package*"))</f>
        <v/>
      </c>
      <c r="G2908" t="str">
        <f t="shared" si="78"/>
        <v/>
      </c>
      <c r="H2908" s="33">
        <f>IF(ISNUMBER(SEARCH("Group",D2908)),IF(G2908="",E2908,IFERROR(E2908/COUNTIF($G2:$G6000,G2908),E2908)),E2908)</f>
        <v>0</v>
      </c>
      <c r="I2908" s="1" t="str">
        <f>IFERROR(VLOOKUP(C2908,'Clients List'!A:F,6,FALSE),"")</f>
        <v/>
      </c>
    </row>
    <row r="2909" spans="4:9" x14ac:dyDescent="0.45">
      <c r="D2909" t="str">
        <f>IFERROR(VLOOKUP(C2909,'Clients List'!$A:$F,2,FALSE),"")</f>
        <v/>
      </c>
      <c r="F2909" s="1" t="str">
        <f>IF(OR(C2909="",NOT(ISNUMBER(SEARCH("Package",D2909)))),"",VLOOKUP(C2909,'Clients List'!$A:$F,4,FALSE)-SUMIFS($E$2:$E2909,$C$2:$C2909,C2909,$D$2:$D2909,"*Package*"))</f>
        <v/>
      </c>
      <c r="G2909" t="str">
        <f t="shared" si="78"/>
        <v/>
      </c>
      <c r="H2909" s="33">
        <f>IF(ISNUMBER(SEARCH("Group",D2909)),IF(G2909="",E2909,IFERROR(E2909/COUNTIF($G2:$G6000,G2909),E2909)),E2909)</f>
        <v>0</v>
      </c>
      <c r="I2909" s="1" t="str">
        <f>IFERROR(VLOOKUP(C2909,'Clients List'!A:F,6,FALSE),"")</f>
        <v/>
      </c>
    </row>
    <row r="2910" spans="4:9" x14ac:dyDescent="0.45">
      <c r="D2910" t="str">
        <f>IFERROR(VLOOKUP(C2910,'Clients List'!$A:$F,2,FALSE),"")</f>
        <v/>
      </c>
      <c r="F2910" s="1" t="str">
        <f>IF(OR(C2910="",NOT(ISNUMBER(SEARCH("Package",D2910)))),"",VLOOKUP(C2910,'Clients List'!$A:$F,4,FALSE)-SUMIFS($E$2:$E2910,$C$2:$C2910,C2910,$D$2:$D2910,"*Package*"))</f>
        <v/>
      </c>
      <c r="G2910" t="str">
        <f t="shared" si="78"/>
        <v/>
      </c>
      <c r="H2910" s="33">
        <f>IF(ISNUMBER(SEARCH("Group",D2910)),IF(G2910="",E2910,IFERROR(E2910/COUNTIF($G2:$G6000,G2910),E2910)),E2910)</f>
        <v>0</v>
      </c>
      <c r="I2910" s="1" t="str">
        <f>IFERROR(VLOOKUP(C2910,'Clients List'!A:F,6,FALSE),"")</f>
        <v/>
      </c>
    </row>
    <row r="2911" spans="4:9" x14ac:dyDescent="0.45">
      <c r="D2911" t="str">
        <f>IFERROR(VLOOKUP(C2911,'Clients List'!$A:$F,2,FALSE),"")</f>
        <v/>
      </c>
      <c r="F2911" s="1" t="str">
        <f>IF(OR(C2911="",NOT(ISNUMBER(SEARCH("Package",D2911)))),"",VLOOKUP(C2911,'Clients List'!$A:$F,4,FALSE)-SUMIFS($E$2:$E2911,$C$2:$C2911,C2911,$D$2:$D2911,"*Package*"))</f>
        <v/>
      </c>
      <c r="G2911" t="str">
        <f t="shared" si="78"/>
        <v/>
      </c>
      <c r="H2911" s="33">
        <f>IF(ISNUMBER(SEARCH("Group",D2911)),IF(G2911="",E2911,IFERROR(E2911/COUNTIF($G2:$G6000,G2911),E2911)),E2911)</f>
        <v>0</v>
      </c>
      <c r="I2911" s="1" t="str">
        <f>IFERROR(VLOOKUP(C2911,'Clients List'!A:F,6,FALSE),"")</f>
        <v/>
      </c>
    </row>
    <row r="2912" spans="4:9" x14ac:dyDescent="0.45">
      <c r="D2912" t="str">
        <f>IFERROR(VLOOKUP(C2912,'Clients List'!$A:$F,2,FALSE),"")</f>
        <v/>
      </c>
      <c r="F2912" s="1" t="str">
        <f>IF(OR(C2912="",NOT(ISNUMBER(SEARCH("Package",D2912)))),"",VLOOKUP(C2912,'Clients List'!$A:$F,4,FALSE)-SUMIFS($E$2:$E2912,$C$2:$C2912,C2912,$D$2:$D2912,"*Package*"))</f>
        <v/>
      </c>
      <c r="G2912" t="str">
        <f t="shared" si="78"/>
        <v/>
      </c>
      <c r="H2912" s="33">
        <f>IF(ISNUMBER(SEARCH("Group",D2912)),IF(G2912="",E2912,IFERROR(E2912/COUNTIF($G2:$G6000,G2912),E2912)),E2912)</f>
        <v>0</v>
      </c>
      <c r="I2912" s="1" t="str">
        <f>IFERROR(VLOOKUP(C2912,'Clients List'!A:F,6,FALSE),"")</f>
        <v/>
      </c>
    </row>
    <row r="2913" spans="4:9" x14ac:dyDescent="0.45">
      <c r="D2913" t="str">
        <f>IFERROR(VLOOKUP(C2913,'Clients List'!$A:$F,2,FALSE),"")</f>
        <v/>
      </c>
      <c r="F2913" s="1" t="str">
        <f>IF(OR(C2913="",NOT(ISNUMBER(SEARCH("Package",D2913)))),"",VLOOKUP(C2913,'Clients List'!$A:$F,4,FALSE)-SUMIFS($E$2:$E2913,$C$2:$C2913,C2913,$D$2:$D2913,"*Package*"))</f>
        <v/>
      </c>
      <c r="G2913" t="str">
        <f t="shared" si="78"/>
        <v/>
      </c>
      <c r="H2913" s="33">
        <f>IF(ISNUMBER(SEARCH("Group",D2913)),IF(G2913="",E2913,IFERROR(E2913/COUNTIF($G2:$G6000,G2913),E2913)),E2913)</f>
        <v>0</v>
      </c>
      <c r="I2913" s="1" t="str">
        <f>IFERROR(VLOOKUP(C2913,'Clients List'!A:F,6,FALSE),"")</f>
        <v/>
      </c>
    </row>
    <row r="2914" spans="4:9" x14ac:dyDescent="0.45">
      <c r="D2914" t="str">
        <f>IFERROR(VLOOKUP(C2914,'Clients List'!$A:$F,2,FALSE),"")</f>
        <v/>
      </c>
      <c r="F2914" s="1" t="str">
        <f>IF(OR(C2914="",NOT(ISNUMBER(SEARCH("Package",D2914)))),"",VLOOKUP(C2914,'Clients List'!$A:$F,4,FALSE)-SUMIFS($E$2:$E2914,$C$2:$C2914,C2914,$D$2:$D2914,"*Package*"))</f>
        <v/>
      </c>
      <c r="G2914" t="str">
        <f t="shared" si="78"/>
        <v/>
      </c>
      <c r="H2914" s="33">
        <f>IF(ISNUMBER(SEARCH("Group",D2914)),IF(G2914="",E2914,IFERROR(E2914/COUNTIF($G2:$G6000,G2914),E2914)),E2914)</f>
        <v>0</v>
      </c>
      <c r="I2914" s="1" t="str">
        <f>IFERROR(VLOOKUP(C2914,'Clients List'!A:F,6,FALSE),"")</f>
        <v/>
      </c>
    </row>
    <row r="2915" spans="4:9" x14ac:dyDescent="0.45">
      <c r="D2915" t="str">
        <f>IFERROR(VLOOKUP(C2915,'Clients List'!$A:$F,2,FALSE),"")</f>
        <v/>
      </c>
      <c r="F2915" s="1" t="str">
        <f>IF(OR(C2915="",NOT(ISNUMBER(SEARCH("Package",D2915)))),"",VLOOKUP(C2915,'Clients List'!$A:$F,4,FALSE)-SUMIFS($E$2:$E2915,$C$2:$C2915,C2915,$D$2:$D2915,"*Package*"))</f>
        <v/>
      </c>
      <c r="G2915" t="str">
        <f t="shared" si="78"/>
        <v/>
      </c>
      <c r="H2915" s="33">
        <f>IF(ISNUMBER(SEARCH("Group",D2915)),IF(G2915="",E2915,IFERROR(E2915/COUNTIF($G2:$G6000,G2915),E2915)),E2915)</f>
        <v>0</v>
      </c>
      <c r="I2915" s="1" t="str">
        <f>IFERROR(VLOOKUP(C2915,'Clients List'!A:F,6,FALSE),"")</f>
        <v/>
      </c>
    </row>
    <row r="2916" spans="4:9" x14ac:dyDescent="0.45">
      <c r="D2916" t="str">
        <f>IFERROR(VLOOKUP(C2916,'Clients List'!$A:$F,2,FALSE),"")</f>
        <v/>
      </c>
      <c r="F2916" s="1" t="str">
        <f>IF(OR(C2916="",NOT(ISNUMBER(SEARCH("Package",D2916)))),"",VLOOKUP(C2916,'Clients List'!$A:$F,4,FALSE)-SUMIFS($E$2:$E2916,$C$2:$C2916,C2916,$D$2:$D2916,"*Package*"))</f>
        <v/>
      </c>
      <c r="G2916" t="str">
        <f t="shared" si="78"/>
        <v/>
      </c>
      <c r="H2916" s="33">
        <f>IF(ISNUMBER(SEARCH("Group",D2916)),IF(G2916="",E2916,IFERROR(E2916/COUNTIF($G2:$G6000,G2916),E2916)),E2916)</f>
        <v>0</v>
      </c>
      <c r="I2916" s="1" t="str">
        <f>IFERROR(VLOOKUP(C2916,'Clients List'!A:F,6,FALSE),"")</f>
        <v/>
      </c>
    </row>
    <row r="2917" spans="4:9" x14ac:dyDescent="0.45">
      <c r="D2917" t="str">
        <f>IFERROR(VLOOKUP(C2917,'Clients List'!$A:$F,2,FALSE),"")</f>
        <v/>
      </c>
      <c r="F2917" s="1" t="str">
        <f>IF(OR(C2917="",NOT(ISNUMBER(SEARCH("Package",D2917)))),"",VLOOKUP(C2917,'Clients List'!$A:$F,4,FALSE)-SUMIFS($E$2:$E2917,$C$2:$C2917,C2917,$D$2:$D2917,"*Package*"))</f>
        <v/>
      </c>
      <c r="G2917" t="str">
        <f t="shared" si="78"/>
        <v/>
      </c>
      <c r="H2917" s="33">
        <f>IF(ISNUMBER(SEARCH("Group",D2917)),IF(G2917="",E2917,IFERROR(E2917/COUNTIF($G2:$G6000,G2917),E2917)),E2917)</f>
        <v>0</v>
      </c>
      <c r="I2917" s="1" t="str">
        <f>IFERROR(VLOOKUP(C2917,'Clients List'!A:F,6,FALSE),"")</f>
        <v/>
      </c>
    </row>
    <row r="2918" spans="4:9" x14ac:dyDescent="0.45">
      <c r="D2918" t="str">
        <f>IFERROR(VLOOKUP(C2918,'Clients List'!$A:$F,2,FALSE),"")</f>
        <v/>
      </c>
      <c r="F2918" s="1" t="str">
        <f>IF(OR(C2918="",NOT(ISNUMBER(SEARCH("Package",D2918)))),"",VLOOKUP(C2918,'Clients List'!$A:$F,4,FALSE)-SUMIFS($E$2:$E2918,$C$2:$C2918,C2918,$D$2:$D2918,"*Package*"))</f>
        <v/>
      </c>
      <c r="G2918" t="str">
        <f t="shared" si="78"/>
        <v/>
      </c>
      <c r="H2918" s="33">
        <f>IF(ISNUMBER(SEARCH("Group",D2918)),IF(G2918="",E2918,IFERROR(E2918/COUNTIF($G2:$G6000,G2918),E2918)),E2918)</f>
        <v>0</v>
      </c>
      <c r="I2918" s="1" t="str">
        <f>IFERROR(VLOOKUP(C2918,'Clients List'!A:F,6,FALSE),"")</f>
        <v/>
      </c>
    </row>
    <row r="2919" spans="4:9" x14ac:dyDescent="0.45">
      <c r="D2919" t="str">
        <f>IFERROR(VLOOKUP(C2919,'Clients List'!$A:$F,2,FALSE),"")</f>
        <v/>
      </c>
      <c r="F2919" s="1" t="str">
        <f>IF(OR(C2919="",NOT(ISNUMBER(SEARCH("Package",D2919)))),"",VLOOKUP(C2919,'Clients List'!$A:$F,4,FALSE)-SUMIFS($E$2:$E2919,$C$2:$C2919,C2919,$D$2:$D2919,"*Package*"))</f>
        <v/>
      </c>
      <c r="G2919" t="str">
        <f t="shared" si="78"/>
        <v/>
      </c>
      <c r="H2919" s="33">
        <f>IF(ISNUMBER(SEARCH("Group",D2919)),IF(G2919="",E2919,IFERROR(E2919/COUNTIF($G2:$G6000,G2919),E2919)),E2919)</f>
        <v>0</v>
      </c>
      <c r="I2919" s="1" t="str">
        <f>IFERROR(VLOOKUP(C2919,'Clients List'!A:F,6,FALSE),"")</f>
        <v/>
      </c>
    </row>
    <row r="2920" spans="4:9" x14ac:dyDescent="0.45">
      <c r="D2920" t="str">
        <f>IFERROR(VLOOKUP(C2920,'Clients List'!$A:$F,2,FALSE),"")</f>
        <v/>
      </c>
      <c r="F2920" s="1" t="str">
        <f>IF(OR(C2920="",NOT(ISNUMBER(SEARCH("Package",D2920)))),"",VLOOKUP(C2920,'Clients List'!$A:$F,4,FALSE)-SUMIFS($E$2:$E2920,$C$2:$C2920,C2920,$D$2:$D2920,"*Package*"))</f>
        <v/>
      </c>
      <c r="G2920" t="str">
        <f t="shared" si="78"/>
        <v/>
      </c>
      <c r="H2920" s="33">
        <f>IF(ISNUMBER(SEARCH("Group",D2920)),IF(G2920="",E2920,IFERROR(E2920/COUNTIF($G2:$G6000,G2920),E2920)),E2920)</f>
        <v>0</v>
      </c>
      <c r="I2920" s="1" t="str">
        <f>IFERROR(VLOOKUP(C2920,'Clients List'!A:F,6,FALSE),"")</f>
        <v/>
      </c>
    </row>
    <row r="2921" spans="4:9" x14ac:dyDescent="0.45">
      <c r="D2921" t="str">
        <f>IFERROR(VLOOKUP(C2921,'Clients List'!$A:$F,2,FALSE),"")</f>
        <v/>
      </c>
      <c r="F2921" s="1" t="str">
        <f>IF(OR(C2921="",NOT(ISNUMBER(SEARCH("Package",D2921)))),"",VLOOKUP(C2921,'Clients List'!$A:$F,4,FALSE)-SUMIFS($E$2:$E2921,$C$2:$C2921,C2921,$D$2:$D2921,"*Package*"))</f>
        <v/>
      </c>
      <c r="G2921" t="str">
        <f t="shared" si="78"/>
        <v/>
      </c>
      <c r="H2921" s="33">
        <f>IF(ISNUMBER(SEARCH("Group",D2921)),IF(G2921="",E2921,IFERROR(E2921/COUNTIF($G2:$G6000,G2921),E2921)),E2921)</f>
        <v>0</v>
      </c>
      <c r="I2921" s="1" t="str">
        <f>IFERROR(VLOOKUP(C2921,'Clients List'!A:F,6,FALSE),"")</f>
        <v/>
      </c>
    </row>
    <row r="2922" spans="4:9" x14ac:dyDescent="0.45">
      <c r="D2922" t="str">
        <f>IFERROR(VLOOKUP(C2922,'Clients List'!$A:$F,2,FALSE),"")</f>
        <v/>
      </c>
      <c r="F2922" s="1" t="str">
        <f>IF(OR(C2922="",NOT(ISNUMBER(SEARCH("Package",D2922)))),"",VLOOKUP(C2922,'Clients List'!$A:$F,4,FALSE)-SUMIFS($E$2:$E2922,$C$2:$C2922,C2922,$D$2:$D2922,"*Package*"))</f>
        <v/>
      </c>
      <c r="G2922" t="str">
        <f t="shared" si="78"/>
        <v/>
      </c>
      <c r="H2922" s="33">
        <f>IF(ISNUMBER(SEARCH("Group",D2922)),IF(G2922="",E2922,IFERROR(E2922/COUNTIF($G2:$G6000,G2922),E2922)),E2922)</f>
        <v>0</v>
      </c>
      <c r="I2922" s="1" t="str">
        <f>IFERROR(VLOOKUP(C2922,'Clients List'!A:F,6,FALSE),"")</f>
        <v/>
      </c>
    </row>
    <row r="2923" spans="4:9" x14ac:dyDescent="0.45">
      <c r="D2923" t="str">
        <f>IFERROR(VLOOKUP(C2923,'Clients List'!$A:$F,2,FALSE),"")</f>
        <v/>
      </c>
      <c r="F2923" s="1" t="str">
        <f>IF(OR(C2923="",NOT(ISNUMBER(SEARCH("Package",D2923)))),"",VLOOKUP(C2923,'Clients List'!$A:$F,4,FALSE)-SUMIFS($E$2:$E2923,$C$2:$C2923,C2923,$D$2:$D2923,"*Package*"))</f>
        <v/>
      </c>
      <c r="G2923" t="str">
        <f t="shared" si="78"/>
        <v/>
      </c>
      <c r="H2923" s="33">
        <f>IF(ISNUMBER(SEARCH("Group",D2923)),IF(G2923="",E2923,IFERROR(E2923/COUNTIF($G2:$G6000,G2923),E2923)),E2923)</f>
        <v>0</v>
      </c>
      <c r="I2923" s="1" t="str">
        <f>IFERROR(VLOOKUP(C2923,'Clients List'!A:F,6,FALSE),"")</f>
        <v/>
      </c>
    </row>
    <row r="2924" spans="4:9" x14ac:dyDescent="0.45">
      <c r="D2924" t="str">
        <f>IFERROR(VLOOKUP(C2924,'Clients List'!$A:$F,2,FALSE),"")</f>
        <v/>
      </c>
      <c r="F2924" s="1" t="str">
        <f>IF(OR(C2924="",NOT(ISNUMBER(SEARCH("Package",D2924)))),"",VLOOKUP(C2924,'Clients List'!$A:$F,4,FALSE)-SUMIFS($E$2:$E2924,$C$2:$C2924,C2924,$D$2:$D2924,"*Package*"))</f>
        <v/>
      </c>
      <c r="G2924" t="str">
        <f t="shared" si="78"/>
        <v/>
      </c>
      <c r="H2924" s="33">
        <f>IF(ISNUMBER(SEARCH("Group",D2924)),IF(G2924="",E2924,IFERROR(E2924/COUNTIF($G2:$G6000,G2924),E2924)),E2924)</f>
        <v>0</v>
      </c>
      <c r="I2924" s="1" t="str">
        <f>IFERROR(VLOOKUP(C2924,'Clients List'!A:F,6,FALSE),"")</f>
        <v/>
      </c>
    </row>
    <row r="2925" spans="4:9" x14ac:dyDescent="0.45">
      <c r="D2925" t="str">
        <f>IFERROR(VLOOKUP(C2925,'Clients List'!$A:$F,2,FALSE),"")</f>
        <v/>
      </c>
      <c r="F2925" s="1" t="str">
        <f>IF(OR(C2925="",NOT(ISNUMBER(SEARCH("Package",D2925)))),"",VLOOKUP(C2925,'Clients List'!$A:$F,4,FALSE)-SUMIFS($E$2:$E2925,$C$2:$C2925,C2925,$D$2:$D2925,"*Package*"))</f>
        <v/>
      </c>
      <c r="G2925" t="str">
        <f t="shared" si="78"/>
        <v/>
      </c>
      <c r="H2925" s="33">
        <f>IF(ISNUMBER(SEARCH("Group",D2925)),IF(G2925="",E2925,IFERROR(E2925/COUNTIF($G2:$G6000,G2925),E2925)),E2925)</f>
        <v>0</v>
      </c>
      <c r="I2925" s="1" t="str">
        <f>IFERROR(VLOOKUP(C2925,'Clients List'!A:F,6,FALSE),"")</f>
        <v/>
      </c>
    </row>
    <row r="2926" spans="4:9" x14ac:dyDescent="0.45">
      <c r="D2926" t="str">
        <f>IFERROR(VLOOKUP(C2926,'Clients List'!$A:$F,2,FALSE),"")</f>
        <v/>
      </c>
      <c r="F2926" s="1" t="str">
        <f>IF(OR(C2926="",NOT(ISNUMBER(SEARCH("Package",D2926)))),"",VLOOKUP(C2926,'Clients List'!$A:$F,4,FALSE)-SUMIFS($E$2:$E2926,$C$2:$C2926,C2926,$D$2:$D2926,"*Package*"))</f>
        <v/>
      </c>
      <c r="G2926" t="str">
        <f t="shared" si="78"/>
        <v/>
      </c>
      <c r="H2926" s="33">
        <f>IF(ISNUMBER(SEARCH("Group",D2926)),IF(G2926="",E2926,IFERROR(E2926/COUNTIF($G2:$G6000,G2926),E2926)),E2926)</f>
        <v>0</v>
      </c>
      <c r="I2926" s="1" t="str">
        <f>IFERROR(VLOOKUP(C2926,'Clients List'!A:F,6,FALSE),"")</f>
        <v/>
      </c>
    </row>
    <row r="2927" spans="4:9" x14ac:dyDescent="0.45">
      <c r="D2927" t="str">
        <f>IFERROR(VLOOKUP(C2927,'Clients List'!$A:$F,2,FALSE),"")</f>
        <v/>
      </c>
      <c r="F2927" s="1" t="str">
        <f>IF(OR(C2927="",NOT(ISNUMBER(SEARCH("Package",D2927)))),"",VLOOKUP(C2927,'Clients List'!$A:$F,4,FALSE)-SUMIFS($E$2:$E2927,$C$2:$C2927,C2927,$D$2:$D2927,"*Package*"))</f>
        <v/>
      </c>
      <c r="G2927" t="str">
        <f t="shared" si="78"/>
        <v/>
      </c>
      <c r="H2927" s="33">
        <f>IF(ISNUMBER(SEARCH("Group",D2927)),IF(G2927="",E2927,IFERROR(E2927/COUNTIF($G2:$G6000,G2927),E2927)),E2927)</f>
        <v>0</v>
      </c>
      <c r="I2927" s="1" t="str">
        <f>IFERROR(VLOOKUP(C2927,'Clients List'!A:F,6,FALSE),"")</f>
        <v/>
      </c>
    </row>
    <row r="2928" spans="4:9" x14ac:dyDescent="0.45">
      <c r="D2928" t="str">
        <f>IFERROR(VLOOKUP(C2928,'Clients List'!$A:$F,2,FALSE),"")</f>
        <v/>
      </c>
      <c r="F2928" s="1" t="str">
        <f>IF(OR(C2928="",NOT(ISNUMBER(SEARCH("Package",D2928)))),"",VLOOKUP(C2928,'Clients List'!$A:$F,4,FALSE)-SUMIFS($E$2:$E2928,$C$2:$C2928,C2928,$D$2:$D2928,"*Package*"))</f>
        <v/>
      </c>
      <c r="G2928" t="str">
        <f t="shared" si="78"/>
        <v/>
      </c>
      <c r="H2928" s="33">
        <f>IF(ISNUMBER(SEARCH("Group",D2928)),IF(G2928="",E2928,IFERROR(E2928/COUNTIF($G2:$G6000,G2928),E2928)),E2928)</f>
        <v>0</v>
      </c>
      <c r="I2928" s="1" t="str">
        <f>IFERROR(VLOOKUP(C2928,'Clients List'!A:F,6,FALSE),"")</f>
        <v/>
      </c>
    </row>
    <row r="2929" spans="4:9" x14ac:dyDescent="0.45">
      <c r="D2929" t="str">
        <f>IFERROR(VLOOKUP(C2929,'Clients List'!$A:$F,2,FALSE),"")</f>
        <v/>
      </c>
      <c r="F2929" s="1" t="str">
        <f>IF(OR(C2929="",NOT(ISNUMBER(SEARCH("Package",D2929)))),"",VLOOKUP(C2929,'Clients List'!$A:$F,4,FALSE)-SUMIFS($E$2:$E2929,$C$2:$C2929,C2929,$D$2:$D2929,"*Package*"))</f>
        <v/>
      </c>
      <c r="G2929" t="str">
        <f t="shared" si="78"/>
        <v/>
      </c>
      <c r="H2929" s="33">
        <f>IF(ISNUMBER(SEARCH("Group",D2929)),IF(G2929="",E2929,IFERROR(E2929/COUNTIF($G2:$G6000,G2929),E2929)),E2929)</f>
        <v>0</v>
      </c>
      <c r="I2929" s="1" t="str">
        <f>IFERROR(VLOOKUP(C2929,'Clients List'!A:F,6,FALSE),"")</f>
        <v/>
      </c>
    </row>
    <row r="2930" spans="4:9" x14ac:dyDescent="0.45">
      <c r="D2930" t="str">
        <f>IFERROR(VLOOKUP(C2930,'Clients List'!$A:$F,2,FALSE),"")</f>
        <v/>
      </c>
      <c r="F2930" s="1" t="str">
        <f>IF(OR(C2930="",NOT(ISNUMBER(SEARCH("Package",D2930)))),"",VLOOKUP(C2930,'Clients List'!$A:$F,4,FALSE)-SUMIFS($E$2:$E2930,$C$2:$C2930,C2930,$D$2:$D2930,"*Package*"))</f>
        <v/>
      </c>
      <c r="G2930" t="str">
        <f t="shared" si="78"/>
        <v/>
      </c>
      <c r="H2930" s="33">
        <f>IF(ISNUMBER(SEARCH("Group",D2930)),IF(G2930="",E2930,IFERROR(E2930/COUNTIF($G2:$G6000,G2930),E2930)),E2930)</f>
        <v>0</v>
      </c>
      <c r="I2930" s="1" t="str">
        <f>IFERROR(VLOOKUP(C2930,'Clients List'!A:F,6,FALSE),"")</f>
        <v/>
      </c>
    </row>
    <row r="2931" spans="4:9" x14ac:dyDescent="0.45">
      <c r="D2931" t="str">
        <f>IFERROR(VLOOKUP(C2931,'Clients List'!$A:$F,2,FALSE),"")</f>
        <v/>
      </c>
      <c r="F2931" s="1" t="str">
        <f>IF(OR(C2931="",NOT(ISNUMBER(SEARCH("Package",D2931)))),"",VLOOKUP(C2931,'Clients List'!$A:$F,4,FALSE)-SUMIFS($E$2:$E2931,$C$2:$C2931,C2931,$D$2:$D2931,"*Package*"))</f>
        <v/>
      </c>
      <c r="G2931" t="str">
        <f t="shared" si="78"/>
        <v/>
      </c>
      <c r="H2931" s="33">
        <f>IF(ISNUMBER(SEARCH("Group",D2931)),IF(G2931="",E2931,IFERROR(E2931/COUNTIF($G2:$G6000,G2931),E2931)),E2931)</f>
        <v>0</v>
      </c>
      <c r="I2931" s="1" t="str">
        <f>IFERROR(VLOOKUP(C2931,'Clients List'!A:F,6,FALSE),"")</f>
        <v/>
      </c>
    </row>
    <row r="2932" spans="4:9" x14ac:dyDescent="0.45">
      <c r="D2932" t="str">
        <f>IFERROR(VLOOKUP(C2932,'Clients List'!$A:$F,2,FALSE),"")</f>
        <v/>
      </c>
      <c r="F2932" s="1" t="str">
        <f>IF(OR(C2932="",NOT(ISNUMBER(SEARCH("Package",D2932)))),"",VLOOKUP(C2932,'Clients List'!$A:$F,4,FALSE)-SUMIFS($E$2:$E2932,$C$2:$C2932,C2932,$D$2:$D2932,"*Package*"))</f>
        <v/>
      </c>
      <c r="G2932" t="str">
        <f t="shared" si="78"/>
        <v/>
      </c>
      <c r="H2932" s="33">
        <f>IF(ISNUMBER(SEARCH("Group",D2932)),IF(G2932="",E2932,IFERROR(E2932/COUNTIF($G2:$G6000,G2932),E2932)),E2932)</f>
        <v>0</v>
      </c>
      <c r="I2932" s="1" t="str">
        <f>IFERROR(VLOOKUP(C2932,'Clients List'!A:F,6,FALSE),"")</f>
        <v/>
      </c>
    </row>
    <row r="2933" spans="4:9" x14ac:dyDescent="0.45">
      <c r="D2933" t="str">
        <f>IFERROR(VLOOKUP(C2933,'Clients List'!$A:$F,2,FALSE),"")</f>
        <v/>
      </c>
      <c r="F2933" s="1" t="str">
        <f>IF(OR(C2933="",NOT(ISNUMBER(SEARCH("Package",D2933)))),"",VLOOKUP(C2933,'Clients List'!$A:$F,4,FALSE)-SUMIFS($E$2:$E2933,$C$2:$C2933,C2933,$D$2:$D2933,"*Package*"))</f>
        <v/>
      </c>
      <c r="G2933" t="str">
        <f t="shared" ref="G2933:G2996" si="79">IF(ISNUMBER(SEARCH("Group",D2933)),IFERROR("GRP-"&amp;TEXT(IF(ISNUMBER(A2933),A2933,DATEVALUE(A2933)),"yyyymmdd"),""),"" )</f>
        <v/>
      </c>
      <c r="H2933" s="33">
        <f>IF(ISNUMBER(SEARCH("Group",D2933)),IF(G2933="",E2933,IFERROR(E2933/COUNTIF($G2:$G6000,G2933),E2933)),E2933)</f>
        <v>0</v>
      </c>
      <c r="I2933" s="1" t="str">
        <f>IFERROR(VLOOKUP(C2933,'Clients List'!A:F,6,FALSE),"")</f>
        <v/>
      </c>
    </row>
    <row r="2934" spans="4:9" x14ac:dyDescent="0.45">
      <c r="D2934" t="str">
        <f>IFERROR(VLOOKUP(C2934,'Clients List'!$A:$F,2,FALSE),"")</f>
        <v/>
      </c>
      <c r="F2934" s="1" t="str">
        <f>IF(OR(C2934="",NOT(ISNUMBER(SEARCH("Package",D2934)))),"",VLOOKUP(C2934,'Clients List'!$A:$F,4,FALSE)-SUMIFS($E$2:$E2934,$C$2:$C2934,C2934,$D$2:$D2934,"*Package*"))</f>
        <v/>
      </c>
      <c r="G2934" t="str">
        <f t="shared" si="79"/>
        <v/>
      </c>
      <c r="H2934" s="33">
        <f>IF(ISNUMBER(SEARCH("Group",D2934)),IF(G2934="",E2934,IFERROR(E2934/COUNTIF($G2:$G6000,G2934),E2934)),E2934)</f>
        <v>0</v>
      </c>
      <c r="I2934" s="1" t="str">
        <f>IFERROR(VLOOKUP(C2934,'Clients List'!A:F,6,FALSE),"")</f>
        <v/>
      </c>
    </row>
    <row r="2935" spans="4:9" x14ac:dyDescent="0.45">
      <c r="D2935" t="str">
        <f>IFERROR(VLOOKUP(C2935,'Clients List'!$A:$F,2,FALSE),"")</f>
        <v/>
      </c>
      <c r="F2935" s="1" t="str">
        <f>IF(OR(C2935="",NOT(ISNUMBER(SEARCH("Package",D2935)))),"",VLOOKUP(C2935,'Clients List'!$A:$F,4,FALSE)-SUMIFS($E$2:$E2935,$C$2:$C2935,C2935,$D$2:$D2935,"*Package*"))</f>
        <v/>
      </c>
      <c r="G2935" t="str">
        <f t="shared" si="79"/>
        <v/>
      </c>
      <c r="H2935" s="33">
        <f>IF(ISNUMBER(SEARCH("Group",D2935)),IF(G2935="",E2935,IFERROR(E2935/COUNTIF($G2:$G6000,G2935),E2935)),E2935)</f>
        <v>0</v>
      </c>
      <c r="I2935" s="1" t="str">
        <f>IFERROR(VLOOKUP(C2935,'Clients List'!A:F,6,FALSE),"")</f>
        <v/>
      </c>
    </row>
    <row r="2936" spans="4:9" x14ac:dyDescent="0.45">
      <c r="D2936" t="str">
        <f>IFERROR(VLOOKUP(C2936,'Clients List'!$A:$F,2,FALSE),"")</f>
        <v/>
      </c>
      <c r="F2936" s="1" t="str">
        <f>IF(OR(C2936="",NOT(ISNUMBER(SEARCH("Package",D2936)))),"",VLOOKUP(C2936,'Clients List'!$A:$F,4,FALSE)-SUMIFS($E$2:$E2936,$C$2:$C2936,C2936,$D$2:$D2936,"*Package*"))</f>
        <v/>
      </c>
      <c r="G2936" t="str">
        <f t="shared" si="79"/>
        <v/>
      </c>
      <c r="H2936" s="33">
        <f>IF(ISNUMBER(SEARCH("Group",D2936)),IF(G2936="",E2936,IFERROR(E2936/COUNTIF($G2:$G6000,G2936),E2936)),E2936)</f>
        <v>0</v>
      </c>
      <c r="I2936" s="1" t="str">
        <f>IFERROR(VLOOKUP(C2936,'Clients List'!A:F,6,FALSE),"")</f>
        <v/>
      </c>
    </row>
    <row r="2937" spans="4:9" x14ac:dyDescent="0.45">
      <c r="D2937" t="str">
        <f>IFERROR(VLOOKUP(C2937,'Clients List'!$A:$F,2,FALSE),"")</f>
        <v/>
      </c>
      <c r="F2937" s="1" t="str">
        <f>IF(OR(C2937="",NOT(ISNUMBER(SEARCH("Package",D2937)))),"",VLOOKUP(C2937,'Clients List'!$A:$F,4,FALSE)-SUMIFS($E$2:$E2937,$C$2:$C2937,C2937,$D$2:$D2937,"*Package*"))</f>
        <v/>
      </c>
      <c r="G2937" t="str">
        <f t="shared" si="79"/>
        <v/>
      </c>
      <c r="H2937" s="33">
        <f>IF(ISNUMBER(SEARCH("Group",D2937)),IF(G2937="",E2937,IFERROR(E2937/COUNTIF($G2:$G6000,G2937),E2937)),E2937)</f>
        <v>0</v>
      </c>
      <c r="I2937" s="1" t="str">
        <f>IFERROR(VLOOKUP(C2937,'Clients List'!A:F,6,FALSE),"")</f>
        <v/>
      </c>
    </row>
    <row r="2938" spans="4:9" x14ac:dyDescent="0.45">
      <c r="D2938" t="str">
        <f>IFERROR(VLOOKUP(C2938,'Clients List'!$A:$F,2,FALSE),"")</f>
        <v/>
      </c>
      <c r="F2938" s="1" t="str">
        <f>IF(OR(C2938="",NOT(ISNUMBER(SEARCH("Package",D2938)))),"",VLOOKUP(C2938,'Clients List'!$A:$F,4,FALSE)-SUMIFS($E$2:$E2938,$C$2:$C2938,C2938,$D$2:$D2938,"*Package*"))</f>
        <v/>
      </c>
      <c r="G2938" t="str">
        <f t="shared" si="79"/>
        <v/>
      </c>
      <c r="H2938" s="33">
        <f>IF(ISNUMBER(SEARCH("Group",D2938)),IF(G2938="",E2938,IFERROR(E2938/COUNTIF($G2:$G6000,G2938),E2938)),E2938)</f>
        <v>0</v>
      </c>
      <c r="I2938" s="1" t="str">
        <f>IFERROR(VLOOKUP(C2938,'Clients List'!A:F,6,FALSE),"")</f>
        <v/>
      </c>
    </row>
    <row r="2939" spans="4:9" x14ac:dyDescent="0.45">
      <c r="D2939" t="str">
        <f>IFERROR(VLOOKUP(C2939,'Clients List'!$A:$F,2,FALSE),"")</f>
        <v/>
      </c>
      <c r="F2939" s="1" t="str">
        <f>IF(OR(C2939="",NOT(ISNUMBER(SEARCH("Package",D2939)))),"",VLOOKUP(C2939,'Clients List'!$A:$F,4,FALSE)-SUMIFS($E$2:$E2939,$C$2:$C2939,C2939,$D$2:$D2939,"*Package*"))</f>
        <v/>
      </c>
      <c r="G2939" t="str">
        <f t="shared" si="79"/>
        <v/>
      </c>
      <c r="H2939" s="33">
        <f>IF(ISNUMBER(SEARCH("Group",D2939)),IF(G2939="",E2939,IFERROR(E2939/COUNTIF($G2:$G6000,G2939),E2939)),E2939)</f>
        <v>0</v>
      </c>
      <c r="I2939" s="1" t="str">
        <f>IFERROR(VLOOKUP(C2939,'Clients List'!A:F,6,FALSE),"")</f>
        <v/>
      </c>
    </row>
    <row r="2940" spans="4:9" x14ac:dyDescent="0.45">
      <c r="D2940" t="str">
        <f>IFERROR(VLOOKUP(C2940,'Clients List'!$A:$F,2,FALSE),"")</f>
        <v/>
      </c>
      <c r="F2940" s="1" t="str">
        <f>IF(OR(C2940="",NOT(ISNUMBER(SEARCH("Package",D2940)))),"",VLOOKUP(C2940,'Clients List'!$A:$F,4,FALSE)-SUMIFS($E$2:$E2940,$C$2:$C2940,C2940,$D$2:$D2940,"*Package*"))</f>
        <v/>
      </c>
      <c r="G2940" t="str">
        <f t="shared" si="79"/>
        <v/>
      </c>
      <c r="H2940" s="33">
        <f>IF(ISNUMBER(SEARCH("Group",D2940)),IF(G2940="",E2940,IFERROR(E2940/COUNTIF($G2:$G6000,G2940),E2940)),E2940)</f>
        <v>0</v>
      </c>
      <c r="I2940" s="1" t="str">
        <f>IFERROR(VLOOKUP(C2940,'Clients List'!A:F,6,FALSE),"")</f>
        <v/>
      </c>
    </row>
    <row r="2941" spans="4:9" x14ac:dyDescent="0.45">
      <c r="D2941" t="str">
        <f>IFERROR(VLOOKUP(C2941,'Clients List'!$A:$F,2,FALSE),"")</f>
        <v/>
      </c>
      <c r="F2941" s="1" t="str">
        <f>IF(OR(C2941="",NOT(ISNUMBER(SEARCH("Package",D2941)))),"",VLOOKUP(C2941,'Clients List'!$A:$F,4,FALSE)-SUMIFS($E$2:$E2941,$C$2:$C2941,C2941,$D$2:$D2941,"*Package*"))</f>
        <v/>
      </c>
      <c r="G2941" t="str">
        <f t="shared" si="79"/>
        <v/>
      </c>
      <c r="H2941" s="33">
        <f>IF(ISNUMBER(SEARCH("Group",D2941)),IF(G2941="",E2941,IFERROR(E2941/COUNTIF($G2:$G6000,G2941),E2941)),E2941)</f>
        <v>0</v>
      </c>
      <c r="I2941" s="1" t="str">
        <f>IFERROR(VLOOKUP(C2941,'Clients List'!A:F,6,FALSE),"")</f>
        <v/>
      </c>
    </row>
    <row r="2942" spans="4:9" x14ac:dyDescent="0.45">
      <c r="D2942" t="str">
        <f>IFERROR(VLOOKUP(C2942,'Clients List'!$A:$F,2,FALSE),"")</f>
        <v/>
      </c>
      <c r="F2942" s="1" t="str">
        <f>IF(OR(C2942="",NOT(ISNUMBER(SEARCH("Package",D2942)))),"",VLOOKUP(C2942,'Clients List'!$A:$F,4,FALSE)-SUMIFS($E$2:$E2942,$C$2:$C2942,C2942,$D$2:$D2942,"*Package*"))</f>
        <v/>
      </c>
      <c r="G2942" t="str">
        <f t="shared" si="79"/>
        <v/>
      </c>
      <c r="H2942" s="33">
        <f>IF(ISNUMBER(SEARCH("Group",D2942)),IF(G2942="",E2942,IFERROR(E2942/COUNTIF($G2:$G6000,G2942),E2942)),E2942)</f>
        <v>0</v>
      </c>
      <c r="I2942" s="1" t="str">
        <f>IFERROR(VLOOKUP(C2942,'Clients List'!A:F,6,FALSE),"")</f>
        <v/>
      </c>
    </row>
    <row r="2943" spans="4:9" x14ac:dyDescent="0.45">
      <c r="D2943" t="str">
        <f>IFERROR(VLOOKUP(C2943,'Clients List'!$A:$F,2,FALSE),"")</f>
        <v/>
      </c>
      <c r="F2943" s="1" t="str">
        <f>IF(OR(C2943="",NOT(ISNUMBER(SEARCH("Package",D2943)))),"",VLOOKUP(C2943,'Clients List'!$A:$F,4,FALSE)-SUMIFS($E$2:$E2943,$C$2:$C2943,C2943,$D$2:$D2943,"*Package*"))</f>
        <v/>
      </c>
      <c r="G2943" t="str">
        <f t="shared" si="79"/>
        <v/>
      </c>
      <c r="H2943" s="33">
        <f>IF(ISNUMBER(SEARCH("Group",D2943)),IF(G2943="",E2943,IFERROR(E2943/COUNTIF($G2:$G6000,G2943),E2943)),E2943)</f>
        <v>0</v>
      </c>
      <c r="I2943" s="1" t="str">
        <f>IFERROR(VLOOKUP(C2943,'Clients List'!A:F,6,FALSE),"")</f>
        <v/>
      </c>
    </row>
    <row r="2944" spans="4:9" x14ac:dyDescent="0.45">
      <c r="D2944" t="str">
        <f>IFERROR(VLOOKUP(C2944,'Clients List'!$A:$F,2,FALSE),"")</f>
        <v/>
      </c>
      <c r="F2944" s="1" t="str">
        <f>IF(OR(C2944="",NOT(ISNUMBER(SEARCH("Package",D2944)))),"",VLOOKUP(C2944,'Clients List'!$A:$F,4,FALSE)-SUMIFS($E$2:$E2944,$C$2:$C2944,C2944,$D$2:$D2944,"*Package*"))</f>
        <v/>
      </c>
      <c r="G2944" t="str">
        <f t="shared" si="79"/>
        <v/>
      </c>
      <c r="H2944" s="33">
        <f>IF(ISNUMBER(SEARCH("Group",D2944)),IF(G2944="",E2944,IFERROR(E2944/COUNTIF($G2:$G6000,G2944),E2944)),E2944)</f>
        <v>0</v>
      </c>
      <c r="I2944" s="1" t="str">
        <f>IFERROR(VLOOKUP(C2944,'Clients List'!A:F,6,FALSE),"")</f>
        <v/>
      </c>
    </row>
    <row r="2945" spans="4:9" x14ac:dyDescent="0.45">
      <c r="D2945" t="str">
        <f>IFERROR(VLOOKUP(C2945,'Clients List'!$A:$F,2,FALSE),"")</f>
        <v/>
      </c>
      <c r="F2945" s="1" t="str">
        <f>IF(OR(C2945="",NOT(ISNUMBER(SEARCH("Package",D2945)))),"",VLOOKUP(C2945,'Clients List'!$A:$F,4,FALSE)-SUMIFS($E$2:$E2945,$C$2:$C2945,C2945,$D$2:$D2945,"*Package*"))</f>
        <v/>
      </c>
      <c r="G2945" t="str">
        <f t="shared" si="79"/>
        <v/>
      </c>
      <c r="H2945" s="33">
        <f>IF(ISNUMBER(SEARCH("Group",D2945)),IF(G2945="",E2945,IFERROR(E2945/COUNTIF($G2:$G6000,G2945),E2945)),E2945)</f>
        <v>0</v>
      </c>
      <c r="I2945" s="1" t="str">
        <f>IFERROR(VLOOKUP(C2945,'Clients List'!A:F,6,FALSE),"")</f>
        <v/>
      </c>
    </row>
    <row r="2946" spans="4:9" x14ac:dyDescent="0.45">
      <c r="D2946" t="str">
        <f>IFERROR(VLOOKUP(C2946,'Clients List'!$A:$F,2,FALSE),"")</f>
        <v/>
      </c>
      <c r="F2946" s="1" t="str">
        <f>IF(OR(C2946="",NOT(ISNUMBER(SEARCH("Package",D2946)))),"",VLOOKUP(C2946,'Clients List'!$A:$F,4,FALSE)-SUMIFS($E$2:$E2946,$C$2:$C2946,C2946,$D$2:$D2946,"*Package*"))</f>
        <v/>
      </c>
      <c r="G2946" t="str">
        <f t="shared" si="79"/>
        <v/>
      </c>
      <c r="H2946" s="33">
        <f>IF(ISNUMBER(SEARCH("Group",D2946)),IF(G2946="",E2946,IFERROR(E2946/COUNTIF($G2:$G6000,G2946),E2946)),E2946)</f>
        <v>0</v>
      </c>
      <c r="I2946" s="1" t="str">
        <f>IFERROR(VLOOKUP(C2946,'Clients List'!A:F,6,FALSE),"")</f>
        <v/>
      </c>
    </row>
    <row r="2947" spans="4:9" x14ac:dyDescent="0.45">
      <c r="D2947" t="str">
        <f>IFERROR(VLOOKUP(C2947,'Clients List'!$A:$F,2,FALSE),"")</f>
        <v/>
      </c>
      <c r="F2947" s="1" t="str">
        <f>IF(OR(C2947="",NOT(ISNUMBER(SEARCH("Package",D2947)))),"",VLOOKUP(C2947,'Clients List'!$A:$F,4,FALSE)-SUMIFS($E$2:$E2947,$C$2:$C2947,C2947,$D$2:$D2947,"*Package*"))</f>
        <v/>
      </c>
      <c r="G2947" t="str">
        <f t="shared" si="79"/>
        <v/>
      </c>
      <c r="H2947" s="33">
        <f>IF(ISNUMBER(SEARCH("Group",D2947)),IF(G2947="",E2947,IFERROR(E2947/COUNTIF($G2:$G6000,G2947),E2947)),E2947)</f>
        <v>0</v>
      </c>
      <c r="I2947" s="1" t="str">
        <f>IFERROR(VLOOKUP(C2947,'Clients List'!A:F,6,FALSE),"")</f>
        <v/>
      </c>
    </row>
    <row r="2948" spans="4:9" x14ac:dyDescent="0.45">
      <c r="D2948" t="str">
        <f>IFERROR(VLOOKUP(C2948,'Clients List'!$A:$F,2,FALSE),"")</f>
        <v/>
      </c>
      <c r="F2948" s="1" t="str">
        <f>IF(OR(C2948="",NOT(ISNUMBER(SEARCH("Package",D2948)))),"",VLOOKUP(C2948,'Clients List'!$A:$F,4,FALSE)-SUMIFS($E$2:$E2948,$C$2:$C2948,C2948,$D$2:$D2948,"*Package*"))</f>
        <v/>
      </c>
      <c r="G2948" t="str">
        <f t="shared" si="79"/>
        <v/>
      </c>
      <c r="H2948" s="33">
        <f>IF(ISNUMBER(SEARCH("Group",D2948)),IF(G2948="",E2948,IFERROR(E2948/COUNTIF($G2:$G6000,G2948),E2948)),E2948)</f>
        <v>0</v>
      </c>
      <c r="I2948" s="1" t="str">
        <f>IFERROR(VLOOKUP(C2948,'Clients List'!A:F,6,FALSE),"")</f>
        <v/>
      </c>
    </row>
    <row r="2949" spans="4:9" x14ac:dyDescent="0.45">
      <c r="D2949" t="str">
        <f>IFERROR(VLOOKUP(C2949,'Clients List'!$A:$F,2,FALSE),"")</f>
        <v/>
      </c>
      <c r="F2949" s="1" t="str">
        <f>IF(OR(C2949="",NOT(ISNUMBER(SEARCH("Package",D2949)))),"",VLOOKUP(C2949,'Clients List'!$A:$F,4,FALSE)-SUMIFS($E$2:$E2949,$C$2:$C2949,C2949,$D$2:$D2949,"*Package*"))</f>
        <v/>
      </c>
      <c r="G2949" t="str">
        <f t="shared" si="79"/>
        <v/>
      </c>
      <c r="H2949" s="33">
        <f>IF(ISNUMBER(SEARCH("Group",D2949)),IF(G2949="",E2949,IFERROR(E2949/COUNTIF($G2:$G6000,G2949),E2949)),E2949)</f>
        <v>0</v>
      </c>
      <c r="I2949" s="1" t="str">
        <f>IFERROR(VLOOKUP(C2949,'Clients List'!A:F,6,FALSE),"")</f>
        <v/>
      </c>
    </row>
    <row r="2950" spans="4:9" x14ac:dyDescent="0.45">
      <c r="D2950" t="str">
        <f>IFERROR(VLOOKUP(C2950,'Clients List'!$A:$F,2,FALSE),"")</f>
        <v/>
      </c>
      <c r="F2950" s="1" t="str">
        <f>IF(OR(C2950="",NOT(ISNUMBER(SEARCH("Package",D2950)))),"",VLOOKUP(C2950,'Clients List'!$A:$F,4,FALSE)-SUMIFS($E$2:$E2950,$C$2:$C2950,C2950,$D$2:$D2950,"*Package*"))</f>
        <v/>
      </c>
      <c r="G2950" t="str">
        <f t="shared" si="79"/>
        <v/>
      </c>
      <c r="H2950" s="33">
        <f>IF(ISNUMBER(SEARCH("Group",D2950)),IF(G2950="",E2950,IFERROR(E2950/COUNTIF($G2:$G6000,G2950),E2950)),E2950)</f>
        <v>0</v>
      </c>
      <c r="I2950" s="1" t="str">
        <f>IFERROR(VLOOKUP(C2950,'Clients List'!A:F,6,FALSE),"")</f>
        <v/>
      </c>
    </row>
    <row r="2951" spans="4:9" x14ac:dyDescent="0.45">
      <c r="D2951" t="str">
        <f>IFERROR(VLOOKUP(C2951,'Clients List'!$A:$F,2,FALSE),"")</f>
        <v/>
      </c>
      <c r="F2951" s="1" t="str">
        <f>IF(OR(C2951="",NOT(ISNUMBER(SEARCH("Package",D2951)))),"",VLOOKUP(C2951,'Clients List'!$A:$F,4,FALSE)-SUMIFS($E$2:$E2951,$C$2:$C2951,C2951,$D$2:$D2951,"*Package*"))</f>
        <v/>
      </c>
      <c r="G2951" t="str">
        <f t="shared" si="79"/>
        <v/>
      </c>
      <c r="H2951" s="33">
        <f>IF(ISNUMBER(SEARCH("Group",D2951)),IF(G2951="",E2951,IFERROR(E2951/COUNTIF($G2:$G6000,G2951),E2951)),E2951)</f>
        <v>0</v>
      </c>
      <c r="I2951" s="1" t="str">
        <f>IFERROR(VLOOKUP(C2951,'Clients List'!A:F,6,FALSE),"")</f>
        <v/>
      </c>
    </row>
    <row r="2952" spans="4:9" x14ac:dyDescent="0.45">
      <c r="D2952" t="str">
        <f>IFERROR(VLOOKUP(C2952,'Clients List'!$A:$F,2,FALSE),"")</f>
        <v/>
      </c>
      <c r="F2952" s="1" t="str">
        <f>IF(OR(C2952="",NOT(ISNUMBER(SEARCH("Package",D2952)))),"",VLOOKUP(C2952,'Clients List'!$A:$F,4,FALSE)-SUMIFS($E$2:$E2952,$C$2:$C2952,C2952,$D$2:$D2952,"*Package*"))</f>
        <v/>
      </c>
      <c r="G2952" t="str">
        <f t="shared" si="79"/>
        <v/>
      </c>
      <c r="H2952" s="33">
        <f>IF(ISNUMBER(SEARCH("Group",D2952)),IF(G2952="",E2952,IFERROR(E2952/COUNTIF($G2:$G6000,G2952),E2952)),E2952)</f>
        <v>0</v>
      </c>
      <c r="I2952" s="1" t="str">
        <f>IFERROR(VLOOKUP(C2952,'Clients List'!A:F,6,FALSE),"")</f>
        <v/>
      </c>
    </row>
    <row r="2953" spans="4:9" x14ac:dyDescent="0.45">
      <c r="D2953" t="str">
        <f>IFERROR(VLOOKUP(C2953,'Clients List'!$A:$F,2,FALSE),"")</f>
        <v/>
      </c>
      <c r="F2953" s="1" t="str">
        <f>IF(OR(C2953="",NOT(ISNUMBER(SEARCH("Package",D2953)))),"",VLOOKUP(C2953,'Clients List'!$A:$F,4,FALSE)-SUMIFS($E$2:$E2953,$C$2:$C2953,C2953,$D$2:$D2953,"*Package*"))</f>
        <v/>
      </c>
      <c r="G2953" t="str">
        <f t="shared" si="79"/>
        <v/>
      </c>
      <c r="H2953" s="33">
        <f>IF(ISNUMBER(SEARCH("Group",D2953)),IF(G2953="",E2953,IFERROR(E2953/COUNTIF($G2:$G6000,G2953),E2953)),E2953)</f>
        <v>0</v>
      </c>
      <c r="I2953" s="1" t="str">
        <f>IFERROR(VLOOKUP(C2953,'Clients List'!A:F,6,FALSE),"")</f>
        <v/>
      </c>
    </row>
    <row r="2954" spans="4:9" x14ac:dyDescent="0.45">
      <c r="D2954" t="str">
        <f>IFERROR(VLOOKUP(C2954,'Clients List'!$A:$F,2,FALSE),"")</f>
        <v/>
      </c>
      <c r="F2954" s="1" t="str">
        <f>IF(OR(C2954="",NOT(ISNUMBER(SEARCH("Package",D2954)))),"",VLOOKUP(C2954,'Clients List'!$A:$F,4,FALSE)-SUMIFS($E$2:$E2954,$C$2:$C2954,C2954,$D$2:$D2954,"*Package*"))</f>
        <v/>
      </c>
      <c r="G2954" t="str">
        <f t="shared" si="79"/>
        <v/>
      </c>
      <c r="H2954" s="33">
        <f>IF(ISNUMBER(SEARCH("Group",D2954)),IF(G2954="",E2954,IFERROR(E2954/COUNTIF($G2:$G6000,G2954),E2954)),E2954)</f>
        <v>0</v>
      </c>
      <c r="I2954" s="1" t="str">
        <f>IFERROR(VLOOKUP(C2954,'Clients List'!A:F,6,FALSE),"")</f>
        <v/>
      </c>
    </row>
    <row r="2955" spans="4:9" x14ac:dyDescent="0.45">
      <c r="D2955" t="str">
        <f>IFERROR(VLOOKUP(C2955,'Clients List'!$A:$F,2,FALSE),"")</f>
        <v/>
      </c>
      <c r="F2955" s="1" t="str">
        <f>IF(OR(C2955="",NOT(ISNUMBER(SEARCH("Package",D2955)))),"",VLOOKUP(C2955,'Clients List'!$A:$F,4,FALSE)-SUMIFS($E$2:$E2955,$C$2:$C2955,C2955,$D$2:$D2955,"*Package*"))</f>
        <v/>
      </c>
      <c r="G2955" t="str">
        <f t="shared" si="79"/>
        <v/>
      </c>
      <c r="H2955" s="33">
        <f>IF(ISNUMBER(SEARCH("Group",D2955)),IF(G2955="",E2955,IFERROR(E2955/COUNTIF($G2:$G6000,G2955),E2955)),E2955)</f>
        <v>0</v>
      </c>
      <c r="I2955" s="1" t="str">
        <f>IFERROR(VLOOKUP(C2955,'Clients List'!A:F,6,FALSE),"")</f>
        <v/>
      </c>
    </row>
    <row r="2956" spans="4:9" x14ac:dyDescent="0.45">
      <c r="D2956" t="str">
        <f>IFERROR(VLOOKUP(C2956,'Clients List'!$A:$F,2,FALSE),"")</f>
        <v/>
      </c>
      <c r="F2956" s="1" t="str">
        <f>IF(OR(C2956="",NOT(ISNUMBER(SEARCH("Package",D2956)))),"",VLOOKUP(C2956,'Clients List'!$A:$F,4,FALSE)-SUMIFS($E$2:$E2956,$C$2:$C2956,C2956,$D$2:$D2956,"*Package*"))</f>
        <v/>
      </c>
      <c r="G2956" t="str">
        <f t="shared" si="79"/>
        <v/>
      </c>
      <c r="H2956" s="33">
        <f>IF(ISNUMBER(SEARCH("Group",D2956)),IF(G2956="",E2956,IFERROR(E2956/COUNTIF($G2:$G6000,G2956),E2956)),E2956)</f>
        <v>0</v>
      </c>
      <c r="I2956" s="1" t="str">
        <f>IFERROR(VLOOKUP(C2956,'Clients List'!A:F,6,FALSE),"")</f>
        <v/>
      </c>
    </row>
    <row r="2957" spans="4:9" x14ac:dyDescent="0.45">
      <c r="D2957" t="str">
        <f>IFERROR(VLOOKUP(C2957,'Clients List'!$A:$F,2,FALSE),"")</f>
        <v/>
      </c>
      <c r="F2957" s="1" t="str">
        <f>IF(OR(C2957="",NOT(ISNUMBER(SEARCH("Package",D2957)))),"",VLOOKUP(C2957,'Clients List'!$A:$F,4,FALSE)-SUMIFS($E$2:$E2957,$C$2:$C2957,C2957,$D$2:$D2957,"*Package*"))</f>
        <v/>
      </c>
      <c r="G2957" t="str">
        <f t="shared" si="79"/>
        <v/>
      </c>
      <c r="H2957" s="33">
        <f>IF(ISNUMBER(SEARCH("Group",D2957)),IF(G2957="",E2957,IFERROR(E2957/COUNTIF($G2:$G6000,G2957),E2957)),E2957)</f>
        <v>0</v>
      </c>
      <c r="I2957" s="1" t="str">
        <f>IFERROR(VLOOKUP(C2957,'Clients List'!A:F,6,FALSE),"")</f>
        <v/>
      </c>
    </row>
    <row r="2958" spans="4:9" x14ac:dyDescent="0.45">
      <c r="D2958" t="str">
        <f>IFERROR(VLOOKUP(C2958,'Clients List'!$A:$F,2,FALSE),"")</f>
        <v/>
      </c>
      <c r="F2958" s="1" t="str">
        <f>IF(OR(C2958="",NOT(ISNUMBER(SEARCH("Package",D2958)))),"",VLOOKUP(C2958,'Clients List'!$A:$F,4,FALSE)-SUMIFS($E$2:$E2958,$C$2:$C2958,C2958,$D$2:$D2958,"*Package*"))</f>
        <v/>
      </c>
      <c r="G2958" t="str">
        <f t="shared" si="79"/>
        <v/>
      </c>
      <c r="H2958" s="33">
        <f>IF(ISNUMBER(SEARCH("Group",D2958)),IF(G2958="",E2958,IFERROR(E2958/COUNTIF($G2:$G6000,G2958),E2958)),E2958)</f>
        <v>0</v>
      </c>
      <c r="I2958" s="1" t="str">
        <f>IFERROR(VLOOKUP(C2958,'Clients List'!A:F,6,FALSE),"")</f>
        <v/>
      </c>
    </row>
    <row r="2959" spans="4:9" x14ac:dyDescent="0.45">
      <c r="D2959" t="str">
        <f>IFERROR(VLOOKUP(C2959,'Clients List'!$A:$F,2,FALSE),"")</f>
        <v/>
      </c>
      <c r="F2959" s="1" t="str">
        <f>IF(OR(C2959="",NOT(ISNUMBER(SEARCH("Package",D2959)))),"",VLOOKUP(C2959,'Clients List'!$A:$F,4,FALSE)-SUMIFS($E$2:$E2959,$C$2:$C2959,C2959,$D$2:$D2959,"*Package*"))</f>
        <v/>
      </c>
      <c r="G2959" t="str">
        <f t="shared" si="79"/>
        <v/>
      </c>
      <c r="H2959" s="33">
        <f>IF(ISNUMBER(SEARCH("Group",D2959)),IF(G2959="",E2959,IFERROR(E2959/COUNTIF($G2:$G6000,G2959),E2959)),E2959)</f>
        <v>0</v>
      </c>
      <c r="I2959" s="1" t="str">
        <f>IFERROR(VLOOKUP(C2959,'Clients List'!A:F,6,FALSE),"")</f>
        <v/>
      </c>
    </row>
    <row r="2960" spans="4:9" x14ac:dyDescent="0.45">
      <c r="D2960" t="str">
        <f>IFERROR(VLOOKUP(C2960,'Clients List'!$A:$F,2,FALSE),"")</f>
        <v/>
      </c>
      <c r="F2960" s="1" t="str">
        <f>IF(OR(C2960="",NOT(ISNUMBER(SEARCH("Package",D2960)))),"",VLOOKUP(C2960,'Clients List'!$A:$F,4,FALSE)-SUMIFS($E$2:$E2960,$C$2:$C2960,C2960,$D$2:$D2960,"*Package*"))</f>
        <v/>
      </c>
      <c r="G2960" t="str">
        <f t="shared" si="79"/>
        <v/>
      </c>
      <c r="H2960" s="33">
        <f>IF(ISNUMBER(SEARCH("Group",D2960)),IF(G2960="",E2960,IFERROR(E2960/COUNTIF($G2:$G6000,G2960),E2960)),E2960)</f>
        <v>0</v>
      </c>
      <c r="I2960" s="1" t="str">
        <f>IFERROR(VLOOKUP(C2960,'Clients List'!A:F,6,FALSE),"")</f>
        <v/>
      </c>
    </row>
    <row r="2961" spans="4:9" x14ac:dyDescent="0.45">
      <c r="D2961" t="str">
        <f>IFERROR(VLOOKUP(C2961,'Clients List'!$A:$F,2,FALSE),"")</f>
        <v/>
      </c>
      <c r="F2961" s="1" t="str">
        <f>IF(OR(C2961="",NOT(ISNUMBER(SEARCH("Package",D2961)))),"",VLOOKUP(C2961,'Clients List'!$A:$F,4,FALSE)-SUMIFS($E$2:$E2961,$C$2:$C2961,C2961,$D$2:$D2961,"*Package*"))</f>
        <v/>
      </c>
      <c r="G2961" t="str">
        <f t="shared" si="79"/>
        <v/>
      </c>
      <c r="H2961" s="33">
        <f>IF(ISNUMBER(SEARCH("Group",D2961)),IF(G2961="",E2961,IFERROR(E2961/COUNTIF($G2:$G6000,G2961),E2961)),E2961)</f>
        <v>0</v>
      </c>
      <c r="I2961" s="1" t="str">
        <f>IFERROR(VLOOKUP(C2961,'Clients List'!A:F,6,FALSE),"")</f>
        <v/>
      </c>
    </row>
    <row r="2962" spans="4:9" x14ac:dyDescent="0.45">
      <c r="D2962" t="str">
        <f>IFERROR(VLOOKUP(C2962,'Clients List'!$A:$F,2,FALSE),"")</f>
        <v/>
      </c>
      <c r="F2962" s="1" t="str">
        <f>IF(OR(C2962="",NOT(ISNUMBER(SEARCH("Package",D2962)))),"",VLOOKUP(C2962,'Clients List'!$A:$F,4,FALSE)-SUMIFS($E$2:$E2962,$C$2:$C2962,C2962,$D$2:$D2962,"*Package*"))</f>
        <v/>
      </c>
      <c r="G2962" t="str">
        <f t="shared" si="79"/>
        <v/>
      </c>
      <c r="H2962" s="33">
        <f>IF(ISNUMBER(SEARCH("Group",D2962)),IF(G2962="",E2962,IFERROR(E2962/COUNTIF($G2:$G6000,G2962),E2962)),E2962)</f>
        <v>0</v>
      </c>
      <c r="I2962" s="1" t="str">
        <f>IFERROR(VLOOKUP(C2962,'Clients List'!A:F,6,FALSE),"")</f>
        <v/>
      </c>
    </row>
    <row r="2963" spans="4:9" x14ac:dyDescent="0.45">
      <c r="D2963" t="str">
        <f>IFERROR(VLOOKUP(C2963,'Clients List'!$A:$F,2,FALSE),"")</f>
        <v/>
      </c>
      <c r="F2963" s="1" t="str">
        <f>IF(OR(C2963="",NOT(ISNUMBER(SEARCH("Package",D2963)))),"",VLOOKUP(C2963,'Clients List'!$A:$F,4,FALSE)-SUMIFS($E$2:$E2963,$C$2:$C2963,C2963,$D$2:$D2963,"*Package*"))</f>
        <v/>
      </c>
      <c r="G2963" t="str">
        <f t="shared" si="79"/>
        <v/>
      </c>
      <c r="H2963" s="33">
        <f>IF(ISNUMBER(SEARCH("Group",D2963)),IF(G2963="",E2963,IFERROR(E2963/COUNTIF($G2:$G6000,G2963),E2963)),E2963)</f>
        <v>0</v>
      </c>
      <c r="I2963" s="1" t="str">
        <f>IFERROR(VLOOKUP(C2963,'Clients List'!A:F,6,FALSE),"")</f>
        <v/>
      </c>
    </row>
    <row r="2964" spans="4:9" x14ac:dyDescent="0.45">
      <c r="D2964" t="str">
        <f>IFERROR(VLOOKUP(C2964,'Clients List'!$A:$F,2,FALSE),"")</f>
        <v/>
      </c>
      <c r="F2964" s="1" t="str">
        <f>IF(OR(C2964="",NOT(ISNUMBER(SEARCH("Package",D2964)))),"",VLOOKUP(C2964,'Clients List'!$A:$F,4,FALSE)-SUMIFS($E$2:$E2964,$C$2:$C2964,C2964,$D$2:$D2964,"*Package*"))</f>
        <v/>
      </c>
      <c r="G2964" t="str">
        <f t="shared" si="79"/>
        <v/>
      </c>
      <c r="H2964" s="33">
        <f>IF(ISNUMBER(SEARCH("Group",D2964)),IF(G2964="",E2964,IFERROR(E2964/COUNTIF($G2:$G6000,G2964),E2964)),E2964)</f>
        <v>0</v>
      </c>
      <c r="I2964" s="1" t="str">
        <f>IFERROR(VLOOKUP(C2964,'Clients List'!A:F,6,FALSE),"")</f>
        <v/>
      </c>
    </row>
    <row r="2965" spans="4:9" x14ac:dyDescent="0.45">
      <c r="D2965" t="str">
        <f>IFERROR(VLOOKUP(C2965,'Clients List'!$A:$F,2,FALSE),"")</f>
        <v/>
      </c>
      <c r="F2965" s="1" t="str">
        <f>IF(OR(C2965="",NOT(ISNUMBER(SEARCH("Package",D2965)))),"",VLOOKUP(C2965,'Clients List'!$A:$F,4,FALSE)-SUMIFS($E$2:$E2965,$C$2:$C2965,C2965,$D$2:$D2965,"*Package*"))</f>
        <v/>
      </c>
      <c r="G2965" t="str">
        <f t="shared" si="79"/>
        <v/>
      </c>
      <c r="H2965" s="33">
        <f>IF(ISNUMBER(SEARCH("Group",D2965)),IF(G2965="",E2965,IFERROR(E2965/COUNTIF($G2:$G6000,G2965),E2965)),E2965)</f>
        <v>0</v>
      </c>
      <c r="I2965" s="1" t="str">
        <f>IFERROR(VLOOKUP(C2965,'Clients List'!A:F,6,FALSE),"")</f>
        <v/>
      </c>
    </row>
    <row r="2966" spans="4:9" x14ac:dyDescent="0.45">
      <c r="D2966" t="str">
        <f>IFERROR(VLOOKUP(C2966,'Clients List'!$A:$F,2,FALSE),"")</f>
        <v/>
      </c>
      <c r="F2966" s="1" t="str">
        <f>IF(OR(C2966="",NOT(ISNUMBER(SEARCH("Package",D2966)))),"",VLOOKUP(C2966,'Clients List'!$A:$F,4,FALSE)-SUMIFS($E$2:$E2966,$C$2:$C2966,C2966,$D$2:$D2966,"*Package*"))</f>
        <v/>
      </c>
      <c r="G2966" t="str">
        <f t="shared" si="79"/>
        <v/>
      </c>
      <c r="H2966" s="33">
        <f>IF(ISNUMBER(SEARCH("Group",D2966)),IF(G2966="",E2966,IFERROR(E2966/COUNTIF($G2:$G6000,G2966),E2966)),E2966)</f>
        <v>0</v>
      </c>
      <c r="I2966" s="1" t="str">
        <f>IFERROR(VLOOKUP(C2966,'Clients List'!A:F,6,FALSE),"")</f>
        <v/>
      </c>
    </row>
    <row r="2967" spans="4:9" x14ac:dyDescent="0.45">
      <c r="D2967" t="str">
        <f>IFERROR(VLOOKUP(C2967,'Clients List'!$A:$F,2,FALSE),"")</f>
        <v/>
      </c>
      <c r="F2967" s="1" t="str">
        <f>IF(OR(C2967="",NOT(ISNUMBER(SEARCH("Package",D2967)))),"",VLOOKUP(C2967,'Clients List'!$A:$F,4,FALSE)-SUMIFS($E$2:$E2967,$C$2:$C2967,C2967,$D$2:$D2967,"*Package*"))</f>
        <v/>
      </c>
      <c r="G2967" t="str">
        <f t="shared" si="79"/>
        <v/>
      </c>
      <c r="H2967" s="33">
        <f>IF(ISNUMBER(SEARCH("Group",D2967)),IF(G2967="",E2967,IFERROR(E2967/COUNTIF($G2:$G6000,G2967),E2967)),E2967)</f>
        <v>0</v>
      </c>
      <c r="I2967" s="1" t="str">
        <f>IFERROR(VLOOKUP(C2967,'Clients List'!A:F,6,FALSE),"")</f>
        <v/>
      </c>
    </row>
    <row r="2968" spans="4:9" x14ac:dyDescent="0.45">
      <c r="D2968" t="str">
        <f>IFERROR(VLOOKUP(C2968,'Clients List'!$A:$F,2,FALSE),"")</f>
        <v/>
      </c>
      <c r="F2968" s="1" t="str">
        <f>IF(OR(C2968="",NOT(ISNUMBER(SEARCH("Package",D2968)))),"",VLOOKUP(C2968,'Clients List'!$A:$F,4,FALSE)-SUMIFS($E$2:$E2968,$C$2:$C2968,C2968,$D$2:$D2968,"*Package*"))</f>
        <v/>
      </c>
      <c r="G2968" t="str">
        <f t="shared" si="79"/>
        <v/>
      </c>
      <c r="H2968" s="33">
        <f>IF(ISNUMBER(SEARCH("Group",D2968)),IF(G2968="",E2968,IFERROR(E2968/COUNTIF($G2:$G6000,G2968),E2968)),E2968)</f>
        <v>0</v>
      </c>
      <c r="I2968" s="1" t="str">
        <f>IFERROR(VLOOKUP(C2968,'Clients List'!A:F,6,FALSE),"")</f>
        <v/>
      </c>
    </row>
    <row r="2969" spans="4:9" x14ac:dyDescent="0.45">
      <c r="D2969" t="str">
        <f>IFERROR(VLOOKUP(C2969,'Clients List'!$A:$F,2,FALSE),"")</f>
        <v/>
      </c>
      <c r="F2969" s="1" t="str">
        <f>IF(OR(C2969="",NOT(ISNUMBER(SEARCH("Package",D2969)))),"",VLOOKUP(C2969,'Clients List'!$A:$F,4,FALSE)-SUMIFS($E$2:$E2969,$C$2:$C2969,C2969,$D$2:$D2969,"*Package*"))</f>
        <v/>
      </c>
      <c r="G2969" t="str">
        <f t="shared" si="79"/>
        <v/>
      </c>
      <c r="H2969" s="33">
        <f>IF(ISNUMBER(SEARCH("Group",D2969)),IF(G2969="",E2969,IFERROR(E2969/COUNTIF($G2:$G6000,G2969),E2969)),E2969)</f>
        <v>0</v>
      </c>
      <c r="I2969" s="1" t="str">
        <f>IFERROR(VLOOKUP(C2969,'Clients List'!A:F,6,FALSE),"")</f>
        <v/>
      </c>
    </row>
    <row r="2970" spans="4:9" x14ac:dyDescent="0.45">
      <c r="D2970" t="str">
        <f>IFERROR(VLOOKUP(C2970,'Clients List'!$A:$F,2,FALSE),"")</f>
        <v/>
      </c>
      <c r="F2970" s="1" t="str">
        <f>IF(OR(C2970="",NOT(ISNUMBER(SEARCH("Package",D2970)))),"",VLOOKUP(C2970,'Clients List'!$A:$F,4,FALSE)-SUMIFS($E$2:$E2970,$C$2:$C2970,C2970,$D$2:$D2970,"*Package*"))</f>
        <v/>
      </c>
      <c r="G2970" t="str">
        <f t="shared" si="79"/>
        <v/>
      </c>
      <c r="H2970" s="33">
        <f>IF(ISNUMBER(SEARCH("Group",D2970)),IF(G2970="",E2970,IFERROR(E2970/COUNTIF($G2:$G6000,G2970),E2970)),E2970)</f>
        <v>0</v>
      </c>
      <c r="I2970" s="1" t="str">
        <f>IFERROR(VLOOKUP(C2970,'Clients List'!A:F,6,FALSE),"")</f>
        <v/>
      </c>
    </row>
    <row r="2971" spans="4:9" x14ac:dyDescent="0.45">
      <c r="D2971" t="str">
        <f>IFERROR(VLOOKUP(C2971,'Clients List'!$A:$F,2,FALSE),"")</f>
        <v/>
      </c>
      <c r="F2971" s="1" t="str">
        <f>IF(OR(C2971="",NOT(ISNUMBER(SEARCH("Package",D2971)))),"",VLOOKUP(C2971,'Clients List'!$A:$F,4,FALSE)-SUMIFS($E$2:$E2971,$C$2:$C2971,C2971,$D$2:$D2971,"*Package*"))</f>
        <v/>
      </c>
      <c r="G2971" t="str">
        <f t="shared" si="79"/>
        <v/>
      </c>
      <c r="H2971" s="33">
        <f>IF(ISNUMBER(SEARCH("Group",D2971)),IF(G2971="",E2971,IFERROR(E2971/COUNTIF($G2:$G6000,G2971),E2971)),E2971)</f>
        <v>0</v>
      </c>
      <c r="I2971" s="1" t="str">
        <f>IFERROR(VLOOKUP(C2971,'Clients List'!A:F,6,FALSE),"")</f>
        <v/>
      </c>
    </row>
    <row r="2972" spans="4:9" x14ac:dyDescent="0.45">
      <c r="D2972" t="str">
        <f>IFERROR(VLOOKUP(C2972,'Clients List'!$A:$F,2,FALSE),"")</f>
        <v/>
      </c>
      <c r="F2972" s="1" t="str">
        <f>IF(OR(C2972="",NOT(ISNUMBER(SEARCH("Package",D2972)))),"",VLOOKUP(C2972,'Clients List'!$A:$F,4,FALSE)-SUMIFS($E$2:$E2972,$C$2:$C2972,C2972,$D$2:$D2972,"*Package*"))</f>
        <v/>
      </c>
      <c r="G2972" t="str">
        <f t="shared" si="79"/>
        <v/>
      </c>
      <c r="H2972" s="33">
        <f>IF(ISNUMBER(SEARCH("Group",D2972)),IF(G2972="",E2972,IFERROR(E2972/COUNTIF($G2:$G6000,G2972),E2972)),E2972)</f>
        <v>0</v>
      </c>
      <c r="I2972" s="1" t="str">
        <f>IFERROR(VLOOKUP(C2972,'Clients List'!A:F,6,FALSE),"")</f>
        <v/>
      </c>
    </row>
    <row r="2973" spans="4:9" x14ac:dyDescent="0.45">
      <c r="D2973" t="str">
        <f>IFERROR(VLOOKUP(C2973,'Clients List'!$A:$F,2,FALSE),"")</f>
        <v/>
      </c>
      <c r="F2973" s="1" t="str">
        <f>IF(OR(C2973="",NOT(ISNUMBER(SEARCH("Package",D2973)))),"",VLOOKUP(C2973,'Clients List'!$A:$F,4,FALSE)-SUMIFS($E$2:$E2973,$C$2:$C2973,C2973,$D$2:$D2973,"*Package*"))</f>
        <v/>
      </c>
      <c r="G2973" t="str">
        <f t="shared" si="79"/>
        <v/>
      </c>
      <c r="H2973" s="33">
        <f>IF(ISNUMBER(SEARCH("Group",D2973)),IF(G2973="",E2973,IFERROR(E2973/COUNTIF($G2:$G6000,G2973),E2973)),E2973)</f>
        <v>0</v>
      </c>
      <c r="I2973" s="1" t="str">
        <f>IFERROR(VLOOKUP(C2973,'Clients List'!A:F,6,FALSE),"")</f>
        <v/>
      </c>
    </row>
    <row r="2974" spans="4:9" x14ac:dyDescent="0.45">
      <c r="D2974" t="str">
        <f>IFERROR(VLOOKUP(C2974,'Clients List'!$A:$F,2,FALSE),"")</f>
        <v/>
      </c>
      <c r="F2974" s="1" t="str">
        <f>IF(OR(C2974="",NOT(ISNUMBER(SEARCH("Package",D2974)))),"",VLOOKUP(C2974,'Clients List'!$A:$F,4,FALSE)-SUMIFS($E$2:$E2974,$C$2:$C2974,C2974,$D$2:$D2974,"*Package*"))</f>
        <v/>
      </c>
      <c r="G2974" t="str">
        <f t="shared" si="79"/>
        <v/>
      </c>
      <c r="H2974" s="33">
        <f>IF(ISNUMBER(SEARCH("Group",D2974)),IF(G2974="",E2974,IFERROR(E2974/COUNTIF($G2:$G6000,G2974),E2974)),E2974)</f>
        <v>0</v>
      </c>
      <c r="I2974" s="1" t="str">
        <f>IFERROR(VLOOKUP(C2974,'Clients List'!A:F,6,FALSE),"")</f>
        <v/>
      </c>
    </row>
    <row r="2975" spans="4:9" x14ac:dyDescent="0.45">
      <c r="D2975" t="str">
        <f>IFERROR(VLOOKUP(C2975,'Clients List'!$A:$F,2,FALSE),"")</f>
        <v/>
      </c>
      <c r="F2975" s="1" t="str">
        <f>IF(OR(C2975="",NOT(ISNUMBER(SEARCH("Package",D2975)))),"",VLOOKUP(C2975,'Clients List'!$A:$F,4,FALSE)-SUMIFS($E$2:$E2975,$C$2:$C2975,C2975,$D$2:$D2975,"*Package*"))</f>
        <v/>
      </c>
      <c r="G2975" t="str">
        <f t="shared" si="79"/>
        <v/>
      </c>
      <c r="H2975" s="33">
        <f>IF(ISNUMBER(SEARCH("Group",D2975)),IF(G2975="",E2975,IFERROR(E2975/COUNTIF($G2:$G6000,G2975),E2975)),E2975)</f>
        <v>0</v>
      </c>
      <c r="I2975" s="1" t="str">
        <f>IFERROR(VLOOKUP(C2975,'Clients List'!A:F,6,FALSE),"")</f>
        <v/>
      </c>
    </row>
    <row r="2976" spans="4:9" x14ac:dyDescent="0.45">
      <c r="D2976" t="str">
        <f>IFERROR(VLOOKUP(C2976,'Clients List'!$A:$F,2,FALSE),"")</f>
        <v/>
      </c>
      <c r="F2976" s="1" t="str">
        <f>IF(OR(C2976="",NOT(ISNUMBER(SEARCH("Package",D2976)))),"",VLOOKUP(C2976,'Clients List'!$A:$F,4,FALSE)-SUMIFS($E$2:$E2976,$C$2:$C2976,C2976,$D$2:$D2976,"*Package*"))</f>
        <v/>
      </c>
      <c r="G2976" t="str">
        <f t="shared" si="79"/>
        <v/>
      </c>
      <c r="H2976" s="33">
        <f>IF(ISNUMBER(SEARCH("Group",D2976)),IF(G2976="",E2976,IFERROR(E2976/COUNTIF($G2:$G6000,G2976),E2976)),E2976)</f>
        <v>0</v>
      </c>
      <c r="I2976" s="1" t="str">
        <f>IFERROR(VLOOKUP(C2976,'Clients List'!A:F,6,FALSE),"")</f>
        <v/>
      </c>
    </row>
    <row r="2977" spans="4:9" x14ac:dyDescent="0.45">
      <c r="D2977" t="str">
        <f>IFERROR(VLOOKUP(C2977,'Clients List'!$A:$F,2,FALSE),"")</f>
        <v/>
      </c>
      <c r="F2977" s="1" t="str">
        <f>IF(OR(C2977="",NOT(ISNUMBER(SEARCH("Package",D2977)))),"",VLOOKUP(C2977,'Clients List'!$A:$F,4,FALSE)-SUMIFS($E$2:$E2977,$C$2:$C2977,C2977,$D$2:$D2977,"*Package*"))</f>
        <v/>
      </c>
      <c r="G2977" t="str">
        <f t="shared" si="79"/>
        <v/>
      </c>
      <c r="H2977" s="33">
        <f>IF(ISNUMBER(SEARCH("Group",D2977)),IF(G2977="",E2977,IFERROR(E2977/COUNTIF($G2:$G6000,G2977),E2977)),E2977)</f>
        <v>0</v>
      </c>
      <c r="I2977" s="1" t="str">
        <f>IFERROR(VLOOKUP(C2977,'Clients List'!A:F,6,FALSE),"")</f>
        <v/>
      </c>
    </row>
    <row r="2978" spans="4:9" x14ac:dyDescent="0.45">
      <c r="D2978" t="str">
        <f>IFERROR(VLOOKUP(C2978,'Clients List'!$A:$F,2,FALSE),"")</f>
        <v/>
      </c>
      <c r="F2978" s="1" t="str">
        <f>IF(OR(C2978="",NOT(ISNUMBER(SEARCH("Package",D2978)))),"",VLOOKUP(C2978,'Clients List'!$A:$F,4,FALSE)-SUMIFS($E$2:$E2978,$C$2:$C2978,C2978,$D$2:$D2978,"*Package*"))</f>
        <v/>
      </c>
      <c r="G2978" t="str">
        <f t="shared" si="79"/>
        <v/>
      </c>
      <c r="H2978" s="33">
        <f>IF(ISNUMBER(SEARCH("Group",D2978)),IF(G2978="",E2978,IFERROR(E2978/COUNTIF($G2:$G6000,G2978),E2978)),E2978)</f>
        <v>0</v>
      </c>
      <c r="I2978" s="1" t="str">
        <f>IFERROR(VLOOKUP(C2978,'Clients List'!A:F,6,FALSE),"")</f>
        <v/>
      </c>
    </row>
    <row r="2979" spans="4:9" x14ac:dyDescent="0.45">
      <c r="D2979" t="str">
        <f>IFERROR(VLOOKUP(C2979,'Clients List'!$A:$F,2,FALSE),"")</f>
        <v/>
      </c>
      <c r="F2979" s="1" t="str">
        <f>IF(OR(C2979="",NOT(ISNUMBER(SEARCH("Package",D2979)))),"",VLOOKUP(C2979,'Clients List'!$A:$F,4,FALSE)-SUMIFS($E$2:$E2979,$C$2:$C2979,C2979,$D$2:$D2979,"*Package*"))</f>
        <v/>
      </c>
      <c r="G2979" t="str">
        <f t="shared" si="79"/>
        <v/>
      </c>
      <c r="H2979" s="33">
        <f>IF(ISNUMBER(SEARCH("Group",D2979)),IF(G2979="",E2979,IFERROR(E2979/COUNTIF($G2:$G6000,G2979),E2979)),E2979)</f>
        <v>0</v>
      </c>
      <c r="I2979" s="1" t="str">
        <f>IFERROR(VLOOKUP(C2979,'Clients List'!A:F,6,FALSE),"")</f>
        <v/>
      </c>
    </row>
    <row r="2980" spans="4:9" x14ac:dyDescent="0.45">
      <c r="D2980" t="str">
        <f>IFERROR(VLOOKUP(C2980,'Clients List'!$A:$F,2,FALSE),"")</f>
        <v/>
      </c>
      <c r="F2980" s="1" t="str">
        <f>IF(OR(C2980="",NOT(ISNUMBER(SEARCH("Package",D2980)))),"",VLOOKUP(C2980,'Clients List'!$A:$F,4,FALSE)-SUMIFS($E$2:$E2980,$C$2:$C2980,C2980,$D$2:$D2980,"*Package*"))</f>
        <v/>
      </c>
      <c r="G2980" t="str">
        <f t="shared" si="79"/>
        <v/>
      </c>
      <c r="H2980" s="33">
        <f>IF(ISNUMBER(SEARCH("Group",D2980)),IF(G2980="",E2980,IFERROR(E2980/COUNTIF($G2:$G6000,G2980),E2980)),E2980)</f>
        <v>0</v>
      </c>
      <c r="I2980" s="1" t="str">
        <f>IFERROR(VLOOKUP(C2980,'Clients List'!A:F,6,FALSE),"")</f>
        <v/>
      </c>
    </row>
    <row r="2981" spans="4:9" x14ac:dyDescent="0.45">
      <c r="D2981" t="str">
        <f>IFERROR(VLOOKUP(C2981,'Clients List'!$A:$F,2,FALSE),"")</f>
        <v/>
      </c>
      <c r="F2981" s="1" t="str">
        <f>IF(OR(C2981="",NOT(ISNUMBER(SEARCH("Package",D2981)))),"",VLOOKUP(C2981,'Clients List'!$A:$F,4,FALSE)-SUMIFS($E$2:$E2981,$C$2:$C2981,C2981,$D$2:$D2981,"*Package*"))</f>
        <v/>
      </c>
      <c r="G2981" t="str">
        <f t="shared" si="79"/>
        <v/>
      </c>
      <c r="H2981" s="33">
        <f>IF(ISNUMBER(SEARCH("Group",D2981)),IF(G2981="",E2981,IFERROR(E2981/COUNTIF($G2:$G6000,G2981),E2981)),E2981)</f>
        <v>0</v>
      </c>
      <c r="I2981" s="1" t="str">
        <f>IFERROR(VLOOKUP(C2981,'Clients List'!A:F,6,FALSE),"")</f>
        <v/>
      </c>
    </row>
    <row r="2982" spans="4:9" x14ac:dyDescent="0.45">
      <c r="D2982" t="str">
        <f>IFERROR(VLOOKUP(C2982,'Clients List'!$A:$F,2,FALSE),"")</f>
        <v/>
      </c>
      <c r="F2982" s="1" t="str">
        <f>IF(OR(C2982="",NOT(ISNUMBER(SEARCH("Package",D2982)))),"",VLOOKUP(C2982,'Clients List'!$A:$F,4,FALSE)-SUMIFS($E$2:$E2982,$C$2:$C2982,C2982,$D$2:$D2982,"*Package*"))</f>
        <v/>
      </c>
      <c r="G2982" t="str">
        <f t="shared" si="79"/>
        <v/>
      </c>
      <c r="H2982" s="33">
        <f>IF(ISNUMBER(SEARCH("Group",D2982)),IF(G2982="",E2982,IFERROR(E2982/COUNTIF($G2:$G6000,G2982),E2982)),E2982)</f>
        <v>0</v>
      </c>
      <c r="I2982" s="1" t="str">
        <f>IFERROR(VLOOKUP(C2982,'Clients List'!A:F,6,FALSE),"")</f>
        <v/>
      </c>
    </row>
    <row r="2983" spans="4:9" x14ac:dyDescent="0.45">
      <c r="D2983" t="str">
        <f>IFERROR(VLOOKUP(C2983,'Clients List'!$A:$F,2,FALSE),"")</f>
        <v/>
      </c>
      <c r="F2983" s="1" t="str">
        <f>IF(OR(C2983="",NOT(ISNUMBER(SEARCH("Package",D2983)))),"",VLOOKUP(C2983,'Clients List'!$A:$F,4,FALSE)-SUMIFS($E$2:$E2983,$C$2:$C2983,C2983,$D$2:$D2983,"*Package*"))</f>
        <v/>
      </c>
      <c r="G2983" t="str">
        <f t="shared" si="79"/>
        <v/>
      </c>
      <c r="H2983" s="33">
        <f>IF(ISNUMBER(SEARCH("Group",D2983)),IF(G2983="",E2983,IFERROR(E2983/COUNTIF($G2:$G6000,G2983),E2983)),E2983)</f>
        <v>0</v>
      </c>
      <c r="I2983" s="1" t="str">
        <f>IFERROR(VLOOKUP(C2983,'Clients List'!A:F,6,FALSE),"")</f>
        <v/>
      </c>
    </row>
    <row r="2984" spans="4:9" x14ac:dyDescent="0.45">
      <c r="D2984" t="str">
        <f>IFERROR(VLOOKUP(C2984,'Clients List'!$A:$F,2,FALSE),"")</f>
        <v/>
      </c>
      <c r="F2984" s="1" t="str">
        <f>IF(OR(C2984="",NOT(ISNUMBER(SEARCH("Package",D2984)))),"",VLOOKUP(C2984,'Clients List'!$A:$F,4,FALSE)-SUMIFS($E$2:$E2984,$C$2:$C2984,C2984,$D$2:$D2984,"*Package*"))</f>
        <v/>
      </c>
      <c r="G2984" t="str">
        <f t="shared" si="79"/>
        <v/>
      </c>
      <c r="H2984" s="33">
        <f>IF(ISNUMBER(SEARCH("Group",D2984)),IF(G2984="",E2984,IFERROR(E2984/COUNTIF($G2:$G6000,G2984),E2984)),E2984)</f>
        <v>0</v>
      </c>
      <c r="I2984" s="1" t="str">
        <f>IFERROR(VLOOKUP(C2984,'Clients List'!A:F,6,FALSE),"")</f>
        <v/>
      </c>
    </row>
    <row r="2985" spans="4:9" x14ac:dyDescent="0.45">
      <c r="D2985" t="str">
        <f>IFERROR(VLOOKUP(C2985,'Clients List'!$A:$F,2,FALSE),"")</f>
        <v/>
      </c>
      <c r="F2985" s="1" t="str">
        <f>IF(OR(C2985="",NOT(ISNUMBER(SEARCH("Package",D2985)))),"",VLOOKUP(C2985,'Clients List'!$A:$F,4,FALSE)-SUMIFS($E$2:$E2985,$C$2:$C2985,C2985,$D$2:$D2985,"*Package*"))</f>
        <v/>
      </c>
      <c r="G2985" t="str">
        <f t="shared" si="79"/>
        <v/>
      </c>
      <c r="H2985" s="33">
        <f>IF(ISNUMBER(SEARCH("Group",D2985)),IF(G2985="",E2985,IFERROR(E2985/COUNTIF($G2:$G6000,G2985),E2985)),E2985)</f>
        <v>0</v>
      </c>
      <c r="I2985" s="1" t="str">
        <f>IFERROR(VLOOKUP(C2985,'Clients List'!A:F,6,FALSE),"")</f>
        <v/>
      </c>
    </row>
    <row r="2986" spans="4:9" x14ac:dyDescent="0.45">
      <c r="D2986" t="str">
        <f>IFERROR(VLOOKUP(C2986,'Clients List'!$A:$F,2,FALSE),"")</f>
        <v/>
      </c>
      <c r="F2986" s="1" t="str">
        <f>IF(OR(C2986="",NOT(ISNUMBER(SEARCH("Package",D2986)))),"",VLOOKUP(C2986,'Clients List'!$A:$F,4,FALSE)-SUMIFS($E$2:$E2986,$C$2:$C2986,C2986,$D$2:$D2986,"*Package*"))</f>
        <v/>
      </c>
      <c r="G2986" t="str">
        <f t="shared" si="79"/>
        <v/>
      </c>
      <c r="H2986" s="33">
        <f>IF(ISNUMBER(SEARCH("Group",D2986)),IF(G2986="",E2986,IFERROR(E2986/COUNTIF($G2:$G6000,G2986),E2986)),E2986)</f>
        <v>0</v>
      </c>
      <c r="I2986" s="1" t="str">
        <f>IFERROR(VLOOKUP(C2986,'Clients List'!A:F,6,FALSE),"")</f>
        <v/>
      </c>
    </row>
    <row r="2987" spans="4:9" x14ac:dyDescent="0.45">
      <c r="D2987" t="str">
        <f>IFERROR(VLOOKUP(C2987,'Clients List'!$A:$F,2,FALSE),"")</f>
        <v/>
      </c>
      <c r="F2987" s="1" t="str">
        <f>IF(OR(C2987="",NOT(ISNUMBER(SEARCH("Package",D2987)))),"",VLOOKUP(C2987,'Clients List'!$A:$F,4,FALSE)-SUMIFS($E$2:$E2987,$C$2:$C2987,C2987,$D$2:$D2987,"*Package*"))</f>
        <v/>
      </c>
      <c r="G2987" t="str">
        <f t="shared" si="79"/>
        <v/>
      </c>
      <c r="H2987" s="33">
        <f>IF(ISNUMBER(SEARCH("Group",D2987)),IF(G2987="",E2987,IFERROR(E2987/COUNTIF($G2:$G6000,G2987),E2987)),E2987)</f>
        <v>0</v>
      </c>
      <c r="I2987" s="1" t="str">
        <f>IFERROR(VLOOKUP(C2987,'Clients List'!A:F,6,FALSE),"")</f>
        <v/>
      </c>
    </row>
    <row r="2988" spans="4:9" x14ac:dyDescent="0.45">
      <c r="D2988" t="str">
        <f>IFERROR(VLOOKUP(C2988,'Clients List'!$A:$F,2,FALSE),"")</f>
        <v/>
      </c>
      <c r="F2988" s="1" t="str">
        <f>IF(OR(C2988="",NOT(ISNUMBER(SEARCH("Package",D2988)))),"",VLOOKUP(C2988,'Clients List'!$A:$F,4,FALSE)-SUMIFS($E$2:$E2988,$C$2:$C2988,C2988,$D$2:$D2988,"*Package*"))</f>
        <v/>
      </c>
      <c r="G2988" t="str">
        <f t="shared" si="79"/>
        <v/>
      </c>
      <c r="H2988" s="33">
        <f>IF(ISNUMBER(SEARCH("Group",D2988)),IF(G2988="",E2988,IFERROR(E2988/COUNTIF($G2:$G6000,G2988),E2988)),E2988)</f>
        <v>0</v>
      </c>
      <c r="I2988" s="1" t="str">
        <f>IFERROR(VLOOKUP(C2988,'Clients List'!A:F,6,FALSE),"")</f>
        <v/>
      </c>
    </row>
    <row r="2989" spans="4:9" x14ac:dyDescent="0.45">
      <c r="D2989" t="str">
        <f>IFERROR(VLOOKUP(C2989,'Clients List'!$A:$F,2,FALSE),"")</f>
        <v/>
      </c>
      <c r="F2989" s="1" t="str">
        <f>IF(OR(C2989="",NOT(ISNUMBER(SEARCH("Package",D2989)))),"",VLOOKUP(C2989,'Clients List'!$A:$F,4,FALSE)-SUMIFS($E$2:$E2989,$C$2:$C2989,C2989,$D$2:$D2989,"*Package*"))</f>
        <v/>
      </c>
      <c r="G2989" t="str">
        <f t="shared" si="79"/>
        <v/>
      </c>
      <c r="H2989" s="33">
        <f>IF(ISNUMBER(SEARCH("Group",D2989)),IF(G2989="",E2989,IFERROR(E2989/COUNTIF($G2:$G6000,G2989),E2989)),E2989)</f>
        <v>0</v>
      </c>
      <c r="I2989" s="1" t="str">
        <f>IFERROR(VLOOKUP(C2989,'Clients List'!A:F,6,FALSE),"")</f>
        <v/>
      </c>
    </row>
    <row r="2990" spans="4:9" x14ac:dyDescent="0.45">
      <c r="D2990" t="str">
        <f>IFERROR(VLOOKUP(C2990,'Clients List'!$A:$F,2,FALSE),"")</f>
        <v/>
      </c>
      <c r="F2990" s="1" t="str">
        <f>IF(OR(C2990="",NOT(ISNUMBER(SEARCH("Package",D2990)))),"",VLOOKUP(C2990,'Clients List'!$A:$F,4,FALSE)-SUMIFS($E$2:$E2990,$C$2:$C2990,C2990,$D$2:$D2990,"*Package*"))</f>
        <v/>
      </c>
      <c r="G2990" t="str">
        <f t="shared" si="79"/>
        <v/>
      </c>
      <c r="H2990" s="33">
        <f>IF(ISNUMBER(SEARCH("Group",D2990)),IF(G2990="",E2990,IFERROR(E2990/COUNTIF($G2:$G6000,G2990),E2990)),E2990)</f>
        <v>0</v>
      </c>
      <c r="I2990" s="1" t="str">
        <f>IFERROR(VLOOKUP(C2990,'Clients List'!A:F,6,FALSE),"")</f>
        <v/>
      </c>
    </row>
    <row r="2991" spans="4:9" x14ac:dyDescent="0.45">
      <c r="D2991" t="str">
        <f>IFERROR(VLOOKUP(C2991,'Clients List'!$A:$F,2,FALSE),"")</f>
        <v/>
      </c>
      <c r="F2991" s="1" t="str">
        <f>IF(OR(C2991="",NOT(ISNUMBER(SEARCH("Package",D2991)))),"",VLOOKUP(C2991,'Clients List'!$A:$F,4,FALSE)-SUMIFS($E$2:$E2991,$C$2:$C2991,C2991,$D$2:$D2991,"*Package*"))</f>
        <v/>
      </c>
      <c r="G2991" t="str">
        <f t="shared" si="79"/>
        <v/>
      </c>
      <c r="H2991" s="33">
        <f>IF(ISNUMBER(SEARCH("Group",D2991)),IF(G2991="",E2991,IFERROR(E2991/COUNTIF($G2:$G6000,G2991),E2991)),E2991)</f>
        <v>0</v>
      </c>
      <c r="I2991" s="1" t="str">
        <f>IFERROR(VLOOKUP(C2991,'Clients List'!A:F,6,FALSE),"")</f>
        <v/>
      </c>
    </row>
    <row r="2992" spans="4:9" x14ac:dyDescent="0.45">
      <c r="D2992" t="str">
        <f>IFERROR(VLOOKUP(C2992,'Clients List'!$A:$F,2,FALSE),"")</f>
        <v/>
      </c>
      <c r="F2992" s="1" t="str">
        <f>IF(OR(C2992="",NOT(ISNUMBER(SEARCH("Package",D2992)))),"",VLOOKUP(C2992,'Clients List'!$A:$F,4,FALSE)-SUMIFS($E$2:$E2992,$C$2:$C2992,C2992,$D$2:$D2992,"*Package*"))</f>
        <v/>
      </c>
      <c r="G2992" t="str">
        <f t="shared" si="79"/>
        <v/>
      </c>
      <c r="H2992" s="33">
        <f>IF(ISNUMBER(SEARCH("Group",D2992)),IF(G2992="",E2992,IFERROR(E2992/COUNTIF($G2:$G6000,G2992),E2992)),E2992)</f>
        <v>0</v>
      </c>
      <c r="I2992" s="1" t="str">
        <f>IFERROR(VLOOKUP(C2992,'Clients List'!A:F,6,FALSE),"")</f>
        <v/>
      </c>
    </row>
    <row r="2993" spans="4:9" x14ac:dyDescent="0.45">
      <c r="D2993" t="str">
        <f>IFERROR(VLOOKUP(C2993,'Clients List'!$A:$F,2,FALSE),"")</f>
        <v/>
      </c>
      <c r="F2993" s="1" t="str">
        <f>IF(OR(C2993="",NOT(ISNUMBER(SEARCH("Package",D2993)))),"",VLOOKUP(C2993,'Clients List'!$A:$F,4,FALSE)-SUMIFS($E$2:$E2993,$C$2:$C2993,C2993,$D$2:$D2993,"*Package*"))</f>
        <v/>
      </c>
      <c r="G2993" t="str">
        <f t="shared" si="79"/>
        <v/>
      </c>
      <c r="H2993" s="33">
        <f>IF(ISNUMBER(SEARCH("Group",D2993)),IF(G2993="",E2993,IFERROR(E2993/COUNTIF($G2:$G6000,G2993),E2993)),E2993)</f>
        <v>0</v>
      </c>
      <c r="I2993" s="1" t="str">
        <f>IFERROR(VLOOKUP(C2993,'Clients List'!A:F,6,FALSE),"")</f>
        <v/>
      </c>
    </row>
    <row r="2994" spans="4:9" x14ac:dyDescent="0.45">
      <c r="D2994" t="str">
        <f>IFERROR(VLOOKUP(C2994,'Clients List'!$A:$F,2,FALSE),"")</f>
        <v/>
      </c>
      <c r="F2994" s="1" t="str">
        <f>IF(OR(C2994="",NOT(ISNUMBER(SEARCH("Package",D2994)))),"",VLOOKUP(C2994,'Clients List'!$A:$F,4,FALSE)-SUMIFS($E$2:$E2994,$C$2:$C2994,C2994,$D$2:$D2994,"*Package*"))</f>
        <v/>
      </c>
      <c r="G2994" t="str">
        <f t="shared" si="79"/>
        <v/>
      </c>
      <c r="H2994" s="33">
        <f>IF(ISNUMBER(SEARCH("Group",D2994)),IF(G2994="",E2994,IFERROR(E2994/COUNTIF($G2:$G6000,G2994),E2994)),E2994)</f>
        <v>0</v>
      </c>
      <c r="I2994" s="1" t="str">
        <f>IFERROR(VLOOKUP(C2994,'Clients List'!A:F,6,FALSE),"")</f>
        <v/>
      </c>
    </row>
    <row r="2995" spans="4:9" x14ac:dyDescent="0.45">
      <c r="D2995" t="str">
        <f>IFERROR(VLOOKUP(C2995,'Clients List'!$A:$F,2,FALSE),"")</f>
        <v/>
      </c>
      <c r="F2995" s="1" t="str">
        <f>IF(OR(C2995="",NOT(ISNUMBER(SEARCH("Package",D2995)))),"",VLOOKUP(C2995,'Clients List'!$A:$F,4,FALSE)-SUMIFS($E$2:$E2995,$C$2:$C2995,C2995,$D$2:$D2995,"*Package*"))</f>
        <v/>
      </c>
      <c r="G2995" t="str">
        <f t="shared" si="79"/>
        <v/>
      </c>
      <c r="H2995" s="33">
        <f>IF(ISNUMBER(SEARCH("Group",D2995)),IF(G2995="",E2995,IFERROR(E2995/COUNTIF($G2:$G6000,G2995),E2995)),E2995)</f>
        <v>0</v>
      </c>
      <c r="I2995" s="1" t="str">
        <f>IFERROR(VLOOKUP(C2995,'Clients List'!A:F,6,FALSE),"")</f>
        <v/>
      </c>
    </row>
    <row r="2996" spans="4:9" x14ac:dyDescent="0.45">
      <c r="D2996" t="str">
        <f>IFERROR(VLOOKUP(C2996,'Clients List'!$A:$F,2,FALSE),"")</f>
        <v/>
      </c>
      <c r="F2996" s="1" t="str">
        <f>IF(OR(C2996="",NOT(ISNUMBER(SEARCH("Package",D2996)))),"",VLOOKUP(C2996,'Clients List'!$A:$F,4,FALSE)-SUMIFS($E$2:$E2996,$C$2:$C2996,C2996,$D$2:$D2996,"*Package*"))</f>
        <v/>
      </c>
      <c r="G2996" t="str">
        <f t="shared" si="79"/>
        <v/>
      </c>
      <c r="H2996" s="33">
        <f>IF(ISNUMBER(SEARCH("Group",D2996)),IF(G2996="",E2996,IFERROR(E2996/COUNTIF($G2:$G6000,G2996),E2996)),E2996)</f>
        <v>0</v>
      </c>
      <c r="I2996" s="1" t="str">
        <f>IFERROR(VLOOKUP(C2996,'Clients List'!A:F,6,FALSE),"")</f>
        <v/>
      </c>
    </row>
    <row r="2997" spans="4:9" x14ac:dyDescent="0.45">
      <c r="D2997" t="str">
        <f>IFERROR(VLOOKUP(C2997,'Clients List'!$A:$F,2,FALSE),"")</f>
        <v/>
      </c>
      <c r="F2997" s="1" t="str">
        <f>IF(OR(C2997="",NOT(ISNUMBER(SEARCH("Package",D2997)))),"",VLOOKUP(C2997,'Clients List'!$A:$F,4,FALSE)-SUMIFS($E$2:$E2997,$C$2:$C2997,C2997,$D$2:$D2997,"*Package*"))</f>
        <v/>
      </c>
      <c r="G2997" t="str">
        <f t="shared" ref="G2997:G3060" si="80">IF(ISNUMBER(SEARCH("Group",D2997)),IFERROR("GRP-"&amp;TEXT(IF(ISNUMBER(A2997),A2997,DATEVALUE(A2997)),"yyyymmdd"),""),"" )</f>
        <v/>
      </c>
      <c r="H2997" s="33">
        <f>IF(ISNUMBER(SEARCH("Group",D2997)),IF(G2997="",E2997,IFERROR(E2997/COUNTIF($G2:$G6000,G2997),E2997)),E2997)</f>
        <v>0</v>
      </c>
      <c r="I2997" s="1" t="str">
        <f>IFERROR(VLOOKUP(C2997,'Clients List'!A:F,6,FALSE),"")</f>
        <v/>
      </c>
    </row>
    <row r="2998" spans="4:9" x14ac:dyDescent="0.45">
      <c r="D2998" t="str">
        <f>IFERROR(VLOOKUP(C2998,'Clients List'!$A:$F,2,FALSE),"")</f>
        <v/>
      </c>
      <c r="F2998" s="1" t="str">
        <f>IF(OR(C2998="",NOT(ISNUMBER(SEARCH("Package",D2998)))),"",VLOOKUP(C2998,'Clients List'!$A:$F,4,FALSE)-SUMIFS($E$2:$E2998,$C$2:$C2998,C2998,$D$2:$D2998,"*Package*"))</f>
        <v/>
      </c>
      <c r="G2998" t="str">
        <f t="shared" si="80"/>
        <v/>
      </c>
      <c r="H2998" s="33">
        <f>IF(ISNUMBER(SEARCH("Group",D2998)),IF(G2998="",E2998,IFERROR(E2998/COUNTIF($G2:$G6000,G2998),E2998)),E2998)</f>
        <v>0</v>
      </c>
      <c r="I2998" s="1" t="str">
        <f>IFERROR(VLOOKUP(C2998,'Clients List'!A:F,6,FALSE),"")</f>
        <v/>
      </c>
    </row>
    <row r="2999" spans="4:9" x14ac:dyDescent="0.45">
      <c r="D2999" t="str">
        <f>IFERROR(VLOOKUP(C2999,'Clients List'!$A:$F,2,FALSE),"")</f>
        <v/>
      </c>
      <c r="F2999" s="1" t="str">
        <f>IF(OR(C2999="",NOT(ISNUMBER(SEARCH("Package",D2999)))),"",VLOOKUP(C2999,'Clients List'!$A:$F,4,FALSE)-SUMIFS($E$2:$E2999,$C$2:$C2999,C2999,$D$2:$D2999,"*Package*"))</f>
        <v/>
      </c>
      <c r="G2999" t="str">
        <f t="shared" si="80"/>
        <v/>
      </c>
      <c r="H2999" s="33">
        <f>IF(ISNUMBER(SEARCH("Group",D2999)),IF(G2999="",E2999,IFERROR(E2999/COUNTIF($G2:$G6000,G2999),E2999)),E2999)</f>
        <v>0</v>
      </c>
      <c r="I2999" s="1" t="str">
        <f>IFERROR(VLOOKUP(C2999,'Clients List'!A:F,6,FALSE),"")</f>
        <v/>
      </c>
    </row>
    <row r="3000" spans="4:9" x14ac:dyDescent="0.45">
      <c r="D3000" t="str">
        <f>IFERROR(VLOOKUP(C3000,'Clients List'!$A:$F,2,FALSE),"")</f>
        <v/>
      </c>
      <c r="F3000" s="1" t="str">
        <f>IF(OR(C3000="",NOT(ISNUMBER(SEARCH("Package",D3000)))),"",VLOOKUP(C3000,'Clients List'!$A:$F,4,FALSE)-SUMIFS($E$2:$E3000,$C$2:$C3000,C3000,$D$2:$D3000,"*Package*"))</f>
        <v/>
      </c>
      <c r="G3000" t="str">
        <f t="shared" si="80"/>
        <v/>
      </c>
      <c r="H3000" s="33">
        <f>IF(ISNUMBER(SEARCH("Group",D3000)),IF(G3000="",E3000,IFERROR(E3000/COUNTIF($G2:$G6000,G3000),E3000)),E3000)</f>
        <v>0</v>
      </c>
      <c r="I3000" s="1" t="str">
        <f>IFERROR(VLOOKUP(C3000,'Clients List'!A:F,6,FALSE),"")</f>
        <v/>
      </c>
    </row>
    <row r="3001" spans="4:9" x14ac:dyDescent="0.45">
      <c r="D3001" t="str">
        <f>IFERROR(VLOOKUP(C3001,'Clients List'!$A:$F,2,FALSE),"")</f>
        <v/>
      </c>
      <c r="F3001" s="1" t="str">
        <f>IF(OR(C3001="",NOT(ISNUMBER(SEARCH("Package",D3001)))),"",VLOOKUP(C3001,'Clients List'!$A:$F,4,FALSE)-SUMIFS($E$2:$E3001,$C$2:$C3001,C3001,$D$2:$D3001,"*Package*"))</f>
        <v/>
      </c>
      <c r="G3001" t="str">
        <f t="shared" si="80"/>
        <v/>
      </c>
      <c r="H3001" s="33">
        <f>IF(ISNUMBER(SEARCH("Group",D3001)),IF(G3001="",E3001,IFERROR(E3001/COUNTIF($G2:$G6000,G3001),E3001)),E3001)</f>
        <v>0</v>
      </c>
      <c r="I3001" s="1" t="str">
        <f>IFERROR(VLOOKUP(C3001,'Clients List'!A:F,6,FALSE),"")</f>
        <v/>
      </c>
    </row>
    <row r="3002" spans="4:9" x14ac:dyDescent="0.45">
      <c r="D3002" t="str">
        <f>IFERROR(VLOOKUP(C3002,'Clients List'!$A:$F,2,FALSE),"")</f>
        <v/>
      </c>
      <c r="F3002" s="1" t="str">
        <f>IF(OR(C3002="",NOT(ISNUMBER(SEARCH("Package",D3002)))),"",VLOOKUP(C3002,'Clients List'!$A:$F,4,FALSE)-SUMIFS($E$2:$E3002,$C$2:$C3002,C3002,$D$2:$D3002,"*Package*"))</f>
        <v/>
      </c>
      <c r="G3002" t="str">
        <f t="shared" si="80"/>
        <v/>
      </c>
      <c r="H3002" s="33">
        <f>IF(ISNUMBER(SEARCH("Group",D3002)),IF(G3002="",E3002,IFERROR(E3002/COUNTIF($G2:$G6000,G3002),E3002)),E3002)</f>
        <v>0</v>
      </c>
      <c r="I3002" s="1" t="str">
        <f>IFERROR(VLOOKUP(C3002,'Clients List'!A:F,6,FALSE),"")</f>
        <v/>
      </c>
    </row>
    <row r="3003" spans="4:9" x14ac:dyDescent="0.45">
      <c r="D3003" t="str">
        <f>IFERROR(VLOOKUP(C3003,'Clients List'!$A:$F,2,FALSE),"")</f>
        <v/>
      </c>
      <c r="F3003" s="1" t="str">
        <f>IF(OR(C3003="",NOT(ISNUMBER(SEARCH("Package",D3003)))),"",VLOOKUP(C3003,'Clients List'!$A:$F,4,FALSE)-SUMIFS($E$2:$E3003,$C$2:$C3003,C3003,$D$2:$D3003,"*Package*"))</f>
        <v/>
      </c>
      <c r="G3003" t="str">
        <f t="shared" si="80"/>
        <v/>
      </c>
      <c r="H3003" s="33">
        <f>IF(ISNUMBER(SEARCH("Group",D3003)),IF(G3003="",E3003,IFERROR(E3003/COUNTIF($G2:$G6000,G3003),E3003)),E3003)</f>
        <v>0</v>
      </c>
      <c r="I3003" s="1" t="str">
        <f>IFERROR(VLOOKUP(C3003,'Clients List'!A:F,6,FALSE),"")</f>
        <v/>
      </c>
    </row>
    <row r="3004" spans="4:9" x14ac:dyDescent="0.45">
      <c r="D3004" t="str">
        <f>IFERROR(VLOOKUP(C3004,'Clients List'!$A:$F,2,FALSE),"")</f>
        <v/>
      </c>
      <c r="F3004" s="1" t="str">
        <f>IF(OR(C3004="",NOT(ISNUMBER(SEARCH("Package",D3004)))),"",VLOOKUP(C3004,'Clients List'!$A:$F,4,FALSE)-SUMIFS($E$2:$E3004,$C$2:$C3004,C3004,$D$2:$D3004,"*Package*"))</f>
        <v/>
      </c>
      <c r="G3004" t="str">
        <f t="shared" si="80"/>
        <v/>
      </c>
      <c r="H3004" s="33">
        <f>IF(ISNUMBER(SEARCH("Group",D3004)),IF(G3004="",E3004,IFERROR(E3004/COUNTIF($G2:$G6000,G3004),E3004)),E3004)</f>
        <v>0</v>
      </c>
      <c r="I3004" s="1" t="str">
        <f>IFERROR(VLOOKUP(C3004,'Clients List'!A:F,6,FALSE),"")</f>
        <v/>
      </c>
    </row>
    <row r="3005" spans="4:9" x14ac:dyDescent="0.45">
      <c r="D3005" t="str">
        <f>IFERROR(VLOOKUP(C3005,'Clients List'!$A:$F,2,FALSE),"")</f>
        <v/>
      </c>
      <c r="F3005" s="1" t="str">
        <f>IF(OR(C3005="",NOT(ISNUMBER(SEARCH("Package",D3005)))),"",VLOOKUP(C3005,'Clients List'!$A:$F,4,FALSE)-SUMIFS($E$2:$E3005,$C$2:$C3005,C3005,$D$2:$D3005,"*Package*"))</f>
        <v/>
      </c>
      <c r="G3005" t="str">
        <f t="shared" si="80"/>
        <v/>
      </c>
      <c r="H3005" s="33">
        <f>IF(ISNUMBER(SEARCH("Group",D3005)),IF(G3005="",E3005,IFERROR(E3005/COUNTIF($G2:$G6000,G3005),E3005)),E3005)</f>
        <v>0</v>
      </c>
      <c r="I3005" s="1" t="str">
        <f>IFERROR(VLOOKUP(C3005,'Clients List'!A:F,6,FALSE),"")</f>
        <v/>
      </c>
    </row>
    <row r="3006" spans="4:9" x14ac:dyDescent="0.45">
      <c r="D3006" t="str">
        <f>IFERROR(VLOOKUP(C3006,'Clients List'!$A:$F,2,FALSE),"")</f>
        <v/>
      </c>
      <c r="F3006" s="1" t="str">
        <f>IF(OR(C3006="",NOT(ISNUMBER(SEARCH("Package",D3006)))),"",VLOOKUP(C3006,'Clients List'!$A:$F,4,FALSE)-SUMIFS($E$2:$E3006,$C$2:$C3006,C3006,$D$2:$D3006,"*Package*"))</f>
        <v/>
      </c>
      <c r="G3006" t="str">
        <f t="shared" si="80"/>
        <v/>
      </c>
      <c r="H3006" s="33">
        <f>IF(ISNUMBER(SEARCH("Group",D3006)),IF(G3006="",E3006,IFERROR(E3006/COUNTIF($G2:$G6000,G3006),E3006)),E3006)</f>
        <v>0</v>
      </c>
      <c r="I3006" s="1" t="str">
        <f>IFERROR(VLOOKUP(C3006,'Clients List'!A:F,6,FALSE),"")</f>
        <v/>
      </c>
    </row>
    <row r="3007" spans="4:9" x14ac:dyDescent="0.45">
      <c r="D3007" t="str">
        <f>IFERROR(VLOOKUP(C3007,'Clients List'!$A:$F,2,FALSE),"")</f>
        <v/>
      </c>
      <c r="F3007" s="1" t="str">
        <f>IF(OR(C3007="",NOT(ISNUMBER(SEARCH("Package",D3007)))),"",VLOOKUP(C3007,'Clients List'!$A:$F,4,FALSE)-SUMIFS($E$2:$E3007,$C$2:$C3007,C3007,$D$2:$D3007,"*Package*"))</f>
        <v/>
      </c>
      <c r="G3007" t="str">
        <f t="shared" si="80"/>
        <v/>
      </c>
      <c r="H3007" s="33">
        <f>IF(ISNUMBER(SEARCH("Group",D3007)),IF(G3007="",E3007,IFERROR(E3007/COUNTIF($G2:$G6000,G3007),E3007)),E3007)</f>
        <v>0</v>
      </c>
      <c r="I3007" s="1" t="str">
        <f>IFERROR(VLOOKUP(C3007,'Clients List'!A:F,6,FALSE),"")</f>
        <v/>
      </c>
    </row>
    <row r="3008" spans="4:9" x14ac:dyDescent="0.45">
      <c r="D3008" t="str">
        <f>IFERROR(VLOOKUP(C3008,'Clients List'!$A:$F,2,FALSE),"")</f>
        <v/>
      </c>
      <c r="F3008" s="1" t="str">
        <f>IF(OR(C3008="",NOT(ISNUMBER(SEARCH("Package",D3008)))),"",VLOOKUP(C3008,'Clients List'!$A:$F,4,FALSE)-SUMIFS($E$2:$E3008,$C$2:$C3008,C3008,$D$2:$D3008,"*Package*"))</f>
        <v/>
      </c>
      <c r="G3008" t="str">
        <f t="shared" si="80"/>
        <v/>
      </c>
      <c r="H3008" s="33">
        <f>IF(ISNUMBER(SEARCH("Group",D3008)),IF(G3008="",E3008,IFERROR(E3008/COUNTIF($G2:$G6000,G3008),E3008)),E3008)</f>
        <v>0</v>
      </c>
      <c r="I3008" s="1" t="str">
        <f>IFERROR(VLOOKUP(C3008,'Clients List'!A:F,6,FALSE),"")</f>
        <v/>
      </c>
    </row>
    <row r="3009" spans="4:9" x14ac:dyDescent="0.45">
      <c r="D3009" t="str">
        <f>IFERROR(VLOOKUP(C3009,'Clients List'!$A:$F,2,FALSE),"")</f>
        <v/>
      </c>
      <c r="F3009" s="1" t="str">
        <f>IF(OR(C3009="",NOT(ISNUMBER(SEARCH("Package",D3009)))),"",VLOOKUP(C3009,'Clients List'!$A:$F,4,FALSE)-SUMIFS($E$2:$E3009,$C$2:$C3009,C3009,$D$2:$D3009,"*Package*"))</f>
        <v/>
      </c>
      <c r="G3009" t="str">
        <f t="shared" si="80"/>
        <v/>
      </c>
      <c r="H3009" s="33">
        <f>IF(ISNUMBER(SEARCH("Group",D3009)),IF(G3009="",E3009,IFERROR(E3009/COUNTIF($G2:$G6000,G3009),E3009)),E3009)</f>
        <v>0</v>
      </c>
      <c r="I3009" s="1" t="str">
        <f>IFERROR(VLOOKUP(C3009,'Clients List'!A:F,6,FALSE),"")</f>
        <v/>
      </c>
    </row>
    <row r="3010" spans="4:9" x14ac:dyDescent="0.45">
      <c r="D3010" t="str">
        <f>IFERROR(VLOOKUP(C3010,'Clients List'!$A:$F,2,FALSE),"")</f>
        <v/>
      </c>
      <c r="F3010" s="1" t="str">
        <f>IF(OR(C3010="",NOT(ISNUMBER(SEARCH("Package",D3010)))),"",VLOOKUP(C3010,'Clients List'!$A:$F,4,FALSE)-SUMIFS($E$2:$E3010,$C$2:$C3010,C3010,$D$2:$D3010,"*Package*"))</f>
        <v/>
      </c>
      <c r="G3010" t="str">
        <f t="shared" si="80"/>
        <v/>
      </c>
      <c r="H3010" s="33">
        <f>IF(ISNUMBER(SEARCH("Group",D3010)),IF(G3010="",E3010,IFERROR(E3010/COUNTIF($G2:$G6000,G3010),E3010)),E3010)</f>
        <v>0</v>
      </c>
      <c r="I3010" s="1" t="str">
        <f>IFERROR(VLOOKUP(C3010,'Clients List'!A:F,6,FALSE),"")</f>
        <v/>
      </c>
    </row>
    <row r="3011" spans="4:9" x14ac:dyDescent="0.45">
      <c r="D3011" t="str">
        <f>IFERROR(VLOOKUP(C3011,'Clients List'!$A:$F,2,FALSE),"")</f>
        <v/>
      </c>
      <c r="F3011" s="1" t="str">
        <f>IF(OR(C3011="",NOT(ISNUMBER(SEARCH("Package",D3011)))),"",VLOOKUP(C3011,'Clients List'!$A:$F,4,FALSE)-SUMIFS($E$2:$E3011,$C$2:$C3011,C3011,$D$2:$D3011,"*Package*"))</f>
        <v/>
      </c>
      <c r="G3011" t="str">
        <f t="shared" si="80"/>
        <v/>
      </c>
      <c r="H3011" s="33">
        <f>IF(ISNUMBER(SEARCH("Group",D3011)),IF(G3011="",E3011,IFERROR(E3011/COUNTIF($G2:$G6000,G3011),E3011)),E3011)</f>
        <v>0</v>
      </c>
      <c r="I3011" s="1" t="str">
        <f>IFERROR(VLOOKUP(C3011,'Clients List'!A:F,6,FALSE),"")</f>
        <v/>
      </c>
    </row>
    <row r="3012" spans="4:9" x14ac:dyDescent="0.45">
      <c r="D3012" t="str">
        <f>IFERROR(VLOOKUP(C3012,'Clients List'!$A:$F,2,FALSE),"")</f>
        <v/>
      </c>
      <c r="F3012" s="1" t="str">
        <f>IF(OR(C3012="",NOT(ISNUMBER(SEARCH("Package",D3012)))),"",VLOOKUP(C3012,'Clients List'!$A:$F,4,FALSE)-SUMIFS($E$2:$E3012,$C$2:$C3012,C3012,$D$2:$D3012,"*Package*"))</f>
        <v/>
      </c>
      <c r="G3012" t="str">
        <f t="shared" si="80"/>
        <v/>
      </c>
      <c r="H3012" s="33">
        <f>IF(ISNUMBER(SEARCH("Group",D3012)),IF(G3012="",E3012,IFERROR(E3012/COUNTIF($G2:$G6000,G3012),E3012)),E3012)</f>
        <v>0</v>
      </c>
      <c r="I3012" s="1" t="str">
        <f>IFERROR(VLOOKUP(C3012,'Clients List'!A:F,6,FALSE),"")</f>
        <v/>
      </c>
    </row>
    <row r="3013" spans="4:9" x14ac:dyDescent="0.45">
      <c r="D3013" t="str">
        <f>IFERROR(VLOOKUP(C3013,'Clients List'!$A:$F,2,FALSE),"")</f>
        <v/>
      </c>
      <c r="F3013" s="1" t="str">
        <f>IF(OR(C3013="",NOT(ISNUMBER(SEARCH("Package",D3013)))),"",VLOOKUP(C3013,'Clients List'!$A:$F,4,FALSE)-SUMIFS($E$2:$E3013,$C$2:$C3013,C3013,$D$2:$D3013,"*Package*"))</f>
        <v/>
      </c>
      <c r="G3013" t="str">
        <f t="shared" si="80"/>
        <v/>
      </c>
      <c r="H3013" s="33">
        <f>IF(ISNUMBER(SEARCH("Group",D3013)),IF(G3013="",E3013,IFERROR(E3013/COUNTIF($G2:$G6000,G3013),E3013)),E3013)</f>
        <v>0</v>
      </c>
      <c r="I3013" s="1" t="str">
        <f>IFERROR(VLOOKUP(C3013,'Clients List'!A:F,6,FALSE),"")</f>
        <v/>
      </c>
    </row>
    <row r="3014" spans="4:9" x14ac:dyDescent="0.45">
      <c r="D3014" t="str">
        <f>IFERROR(VLOOKUP(C3014,'Clients List'!$A:$F,2,FALSE),"")</f>
        <v/>
      </c>
      <c r="F3014" s="1" t="str">
        <f>IF(OR(C3014="",NOT(ISNUMBER(SEARCH("Package",D3014)))),"",VLOOKUP(C3014,'Clients List'!$A:$F,4,FALSE)-SUMIFS($E$2:$E3014,$C$2:$C3014,C3014,$D$2:$D3014,"*Package*"))</f>
        <v/>
      </c>
      <c r="G3014" t="str">
        <f t="shared" si="80"/>
        <v/>
      </c>
      <c r="H3014" s="33">
        <f>IF(ISNUMBER(SEARCH("Group",D3014)),IF(G3014="",E3014,IFERROR(E3014/COUNTIF($G2:$G6000,G3014),E3014)),E3014)</f>
        <v>0</v>
      </c>
      <c r="I3014" s="1" t="str">
        <f>IFERROR(VLOOKUP(C3014,'Clients List'!A:F,6,FALSE),"")</f>
        <v/>
      </c>
    </row>
    <row r="3015" spans="4:9" x14ac:dyDescent="0.45">
      <c r="D3015" t="str">
        <f>IFERROR(VLOOKUP(C3015,'Clients List'!$A:$F,2,FALSE),"")</f>
        <v/>
      </c>
      <c r="F3015" s="1" t="str">
        <f>IF(OR(C3015="",NOT(ISNUMBER(SEARCH("Package",D3015)))),"",VLOOKUP(C3015,'Clients List'!$A:$F,4,FALSE)-SUMIFS($E$2:$E3015,$C$2:$C3015,C3015,$D$2:$D3015,"*Package*"))</f>
        <v/>
      </c>
      <c r="G3015" t="str">
        <f t="shared" si="80"/>
        <v/>
      </c>
      <c r="H3015" s="33">
        <f>IF(ISNUMBER(SEARCH("Group",D3015)),IF(G3015="",E3015,IFERROR(E3015/COUNTIF($G2:$G6000,G3015),E3015)),E3015)</f>
        <v>0</v>
      </c>
      <c r="I3015" s="1" t="str">
        <f>IFERROR(VLOOKUP(C3015,'Clients List'!A:F,6,FALSE),"")</f>
        <v/>
      </c>
    </row>
    <row r="3016" spans="4:9" x14ac:dyDescent="0.45">
      <c r="D3016" t="str">
        <f>IFERROR(VLOOKUP(C3016,'Clients List'!$A:$F,2,FALSE),"")</f>
        <v/>
      </c>
      <c r="F3016" s="1" t="str">
        <f>IF(OR(C3016="",NOT(ISNUMBER(SEARCH("Package",D3016)))),"",VLOOKUP(C3016,'Clients List'!$A:$F,4,FALSE)-SUMIFS($E$2:$E3016,$C$2:$C3016,C3016,$D$2:$D3016,"*Package*"))</f>
        <v/>
      </c>
      <c r="G3016" t="str">
        <f t="shared" si="80"/>
        <v/>
      </c>
      <c r="H3016" s="33">
        <f>IF(ISNUMBER(SEARCH("Group",D3016)),IF(G3016="",E3016,IFERROR(E3016/COUNTIF($G2:$G6000,G3016),E3016)),E3016)</f>
        <v>0</v>
      </c>
      <c r="I3016" s="1" t="str">
        <f>IFERROR(VLOOKUP(C3016,'Clients List'!A:F,6,FALSE),"")</f>
        <v/>
      </c>
    </row>
    <row r="3017" spans="4:9" x14ac:dyDescent="0.45">
      <c r="D3017" t="str">
        <f>IFERROR(VLOOKUP(C3017,'Clients List'!$A:$F,2,FALSE),"")</f>
        <v/>
      </c>
      <c r="F3017" s="1" t="str">
        <f>IF(OR(C3017="",NOT(ISNUMBER(SEARCH("Package",D3017)))),"",VLOOKUP(C3017,'Clients List'!$A:$F,4,FALSE)-SUMIFS($E$2:$E3017,$C$2:$C3017,C3017,$D$2:$D3017,"*Package*"))</f>
        <v/>
      </c>
      <c r="G3017" t="str">
        <f t="shared" si="80"/>
        <v/>
      </c>
      <c r="H3017" s="33">
        <f>IF(ISNUMBER(SEARCH("Group",D3017)),IF(G3017="",E3017,IFERROR(E3017/COUNTIF($G2:$G6000,G3017),E3017)),E3017)</f>
        <v>0</v>
      </c>
      <c r="I3017" s="1" t="str">
        <f>IFERROR(VLOOKUP(C3017,'Clients List'!A:F,6,FALSE),"")</f>
        <v/>
      </c>
    </row>
    <row r="3018" spans="4:9" x14ac:dyDescent="0.45">
      <c r="D3018" t="str">
        <f>IFERROR(VLOOKUP(C3018,'Clients List'!$A:$F,2,FALSE),"")</f>
        <v/>
      </c>
      <c r="F3018" s="1" t="str">
        <f>IF(OR(C3018="",NOT(ISNUMBER(SEARCH("Package",D3018)))),"",VLOOKUP(C3018,'Clients List'!$A:$F,4,FALSE)-SUMIFS($E$2:$E3018,$C$2:$C3018,C3018,$D$2:$D3018,"*Package*"))</f>
        <v/>
      </c>
      <c r="G3018" t="str">
        <f t="shared" si="80"/>
        <v/>
      </c>
      <c r="H3018" s="33">
        <f>IF(ISNUMBER(SEARCH("Group",D3018)),IF(G3018="",E3018,IFERROR(E3018/COUNTIF($G2:$G6000,G3018),E3018)),E3018)</f>
        <v>0</v>
      </c>
      <c r="I3018" s="1" t="str">
        <f>IFERROR(VLOOKUP(C3018,'Clients List'!A:F,6,FALSE),"")</f>
        <v/>
      </c>
    </row>
    <row r="3019" spans="4:9" x14ac:dyDescent="0.45">
      <c r="D3019" t="str">
        <f>IFERROR(VLOOKUP(C3019,'Clients List'!$A:$F,2,FALSE),"")</f>
        <v/>
      </c>
      <c r="F3019" s="1" t="str">
        <f>IF(OR(C3019="",NOT(ISNUMBER(SEARCH("Package",D3019)))),"",VLOOKUP(C3019,'Clients List'!$A:$F,4,FALSE)-SUMIFS($E$2:$E3019,$C$2:$C3019,C3019,$D$2:$D3019,"*Package*"))</f>
        <v/>
      </c>
      <c r="G3019" t="str">
        <f t="shared" si="80"/>
        <v/>
      </c>
      <c r="H3019" s="33">
        <f>IF(ISNUMBER(SEARCH("Group",D3019)),IF(G3019="",E3019,IFERROR(E3019/COUNTIF($G2:$G6000,G3019),E3019)),E3019)</f>
        <v>0</v>
      </c>
      <c r="I3019" s="1" t="str">
        <f>IFERROR(VLOOKUP(C3019,'Clients List'!A:F,6,FALSE),"")</f>
        <v/>
      </c>
    </row>
    <row r="3020" spans="4:9" x14ac:dyDescent="0.45">
      <c r="D3020" t="str">
        <f>IFERROR(VLOOKUP(C3020,'Clients List'!$A:$F,2,FALSE),"")</f>
        <v/>
      </c>
      <c r="F3020" s="1" t="str">
        <f>IF(OR(C3020="",NOT(ISNUMBER(SEARCH("Package",D3020)))),"",VLOOKUP(C3020,'Clients List'!$A:$F,4,FALSE)-SUMIFS($E$2:$E3020,$C$2:$C3020,C3020,$D$2:$D3020,"*Package*"))</f>
        <v/>
      </c>
      <c r="G3020" t="str">
        <f t="shared" si="80"/>
        <v/>
      </c>
      <c r="H3020" s="33">
        <f>IF(ISNUMBER(SEARCH("Group",D3020)),IF(G3020="",E3020,IFERROR(E3020/COUNTIF($G2:$G6000,G3020),E3020)),E3020)</f>
        <v>0</v>
      </c>
      <c r="I3020" s="1" t="str">
        <f>IFERROR(VLOOKUP(C3020,'Clients List'!A:F,6,FALSE),"")</f>
        <v/>
      </c>
    </row>
    <row r="3021" spans="4:9" x14ac:dyDescent="0.45">
      <c r="D3021" t="str">
        <f>IFERROR(VLOOKUP(C3021,'Clients List'!$A:$F,2,FALSE),"")</f>
        <v/>
      </c>
      <c r="F3021" s="1" t="str">
        <f>IF(OR(C3021="",NOT(ISNUMBER(SEARCH("Package",D3021)))),"",VLOOKUP(C3021,'Clients List'!$A:$F,4,FALSE)-SUMIFS($E$2:$E3021,$C$2:$C3021,C3021,$D$2:$D3021,"*Package*"))</f>
        <v/>
      </c>
      <c r="G3021" t="str">
        <f t="shared" si="80"/>
        <v/>
      </c>
      <c r="H3021" s="33">
        <f>IF(ISNUMBER(SEARCH("Group",D3021)),IF(G3021="",E3021,IFERROR(E3021/COUNTIF($G2:$G6000,G3021),E3021)),E3021)</f>
        <v>0</v>
      </c>
      <c r="I3021" s="1" t="str">
        <f>IFERROR(VLOOKUP(C3021,'Clients List'!A:F,6,FALSE),"")</f>
        <v/>
      </c>
    </row>
    <row r="3022" spans="4:9" x14ac:dyDescent="0.45">
      <c r="D3022" t="str">
        <f>IFERROR(VLOOKUP(C3022,'Clients List'!$A:$F,2,FALSE),"")</f>
        <v/>
      </c>
      <c r="F3022" s="1" t="str">
        <f>IF(OR(C3022="",NOT(ISNUMBER(SEARCH("Package",D3022)))),"",VLOOKUP(C3022,'Clients List'!$A:$F,4,FALSE)-SUMIFS($E$2:$E3022,$C$2:$C3022,C3022,$D$2:$D3022,"*Package*"))</f>
        <v/>
      </c>
      <c r="G3022" t="str">
        <f t="shared" si="80"/>
        <v/>
      </c>
      <c r="H3022" s="33">
        <f>IF(ISNUMBER(SEARCH("Group",D3022)),IF(G3022="",E3022,IFERROR(E3022/COUNTIF($G2:$G6000,G3022),E3022)),E3022)</f>
        <v>0</v>
      </c>
      <c r="I3022" s="1" t="str">
        <f>IFERROR(VLOOKUP(C3022,'Clients List'!A:F,6,FALSE),"")</f>
        <v/>
      </c>
    </row>
    <row r="3023" spans="4:9" x14ac:dyDescent="0.45">
      <c r="D3023" t="str">
        <f>IFERROR(VLOOKUP(C3023,'Clients List'!$A:$F,2,FALSE),"")</f>
        <v/>
      </c>
      <c r="F3023" s="1" t="str">
        <f>IF(OR(C3023="",NOT(ISNUMBER(SEARCH("Package",D3023)))),"",VLOOKUP(C3023,'Clients List'!$A:$F,4,FALSE)-SUMIFS($E$2:$E3023,$C$2:$C3023,C3023,$D$2:$D3023,"*Package*"))</f>
        <v/>
      </c>
      <c r="G3023" t="str">
        <f t="shared" si="80"/>
        <v/>
      </c>
      <c r="H3023" s="33">
        <f>IF(ISNUMBER(SEARCH("Group",D3023)),IF(G3023="",E3023,IFERROR(E3023/COUNTIF($G2:$G6000,G3023),E3023)),E3023)</f>
        <v>0</v>
      </c>
      <c r="I3023" s="1" t="str">
        <f>IFERROR(VLOOKUP(C3023,'Clients List'!A:F,6,FALSE),"")</f>
        <v/>
      </c>
    </row>
    <row r="3024" spans="4:9" x14ac:dyDescent="0.45">
      <c r="D3024" t="str">
        <f>IFERROR(VLOOKUP(C3024,'Clients List'!$A:$F,2,FALSE),"")</f>
        <v/>
      </c>
      <c r="F3024" s="1" t="str">
        <f>IF(OR(C3024="",NOT(ISNUMBER(SEARCH("Package",D3024)))),"",VLOOKUP(C3024,'Clients List'!$A:$F,4,FALSE)-SUMIFS($E$2:$E3024,$C$2:$C3024,C3024,$D$2:$D3024,"*Package*"))</f>
        <v/>
      </c>
      <c r="G3024" t="str">
        <f t="shared" si="80"/>
        <v/>
      </c>
      <c r="H3024" s="33">
        <f>IF(ISNUMBER(SEARCH("Group",D3024)),IF(G3024="",E3024,IFERROR(E3024/COUNTIF($G2:$G6000,G3024),E3024)),E3024)</f>
        <v>0</v>
      </c>
      <c r="I3024" s="1" t="str">
        <f>IFERROR(VLOOKUP(C3024,'Clients List'!A:F,6,FALSE),"")</f>
        <v/>
      </c>
    </row>
    <row r="3025" spans="4:9" x14ac:dyDescent="0.45">
      <c r="D3025" t="str">
        <f>IFERROR(VLOOKUP(C3025,'Clients List'!$A:$F,2,FALSE),"")</f>
        <v/>
      </c>
      <c r="F3025" s="1" t="str">
        <f>IF(OR(C3025="",NOT(ISNUMBER(SEARCH("Package",D3025)))),"",VLOOKUP(C3025,'Clients List'!$A:$F,4,FALSE)-SUMIFS($E$2:$E3025,$C$2:$C3025,C3025,$D$2:$D3025,"*Package*"))</f>
        <v/>
      </c>
      <c r="G3025" t="str">
        <f t="shared" si="80"/>
        <v/>
      </c>
      <c r="H3025" s="33">
        <f>IF(ISNUMBER(SEARCH("Group",D3025)),IF(G3025="",E3025,IFERROR(E3025/COUNTIF($G2:$G6000,G3025),E3025)),E3025)</f>
        <v>0</v>
      </c>
      <c r="I3025" s="1" t="str">
        <f>IFERROR(VLOOKUP(C3025,'Clients List'!A:F,6,FALSE),"")</f>
        <v/>
      </c>
    </row>
    <row r="3026" spans="4:9" x14ac:dyDescent="0.45">
      <c r="D3026" t="str">
        <f>IFERROR(VLOOKUP(C3026,'Clients List'!$A:$F,2,FALSE),"")</f>
        <v/>
      </c>
      <c r="F3026" s="1" t="str">
        <f>IF(OR(C3026="",NOT(ISNUMBER(SEARCH("Package",D3026)))),"",VLOOKUP(C3026,'Clients List'!$A:$F,4,FALSE)-SUMIFS($E$2:$E3026,$C$2:$C3026,C3026,$D$2:$D3026,"*Package*"))</f>
        <v/>
      </c>
      <c r="G3026" t="str">
        <f t="shared" si="80"/>
        <v/>
      </c>
      <c r="H3026" s="33">
        <f>IF(ISNUMBER(SEARCH("Group",D3026)),IF(G3026="",E3026,IFERROR(E3026/COUNTIF($G2:$G6000,G3026),E3026)),E3026)</f>
        <v>0</v>
      </c>
      <c r="I3026" s="1" t="str">
        <f>IFERROR(VLOOKUP(C3026,'Clients List'!A:F,6,FALSE),"")</f>
        <v/>
      </c>
    </row>
    <row r="3027" spans="4:9" x14ac:dyDescent="0.45">
      <c r="D3027" t="str">
        <f>IFERROR(VLOOKUP(C3027,'Clients List'!$A:$F,2,FALSE),"")</f>
        <v/>
      </c>
      <c r="F3027" s="1" t="str">
        <f>IF(OR(C3027="",NOT(ISNUMBER(SEARCH("Package",D3027)))),"",VLOOKUP(C3027,'Clients List'!$A:$F,4,FALSE)-SUMIFS($E$2:$E3027,$C$2:$C3027,C3027,$D$2:$D3027,"*Package*"))</f>
        <v/>
      </c>
      <c r="G3027" t="str">
        <f t="shared" si="80"/>
        <v/>
      </c>
      <c r="H3027" s="33">
        <f>IF(ISNUMBER(SEARCH("Group",D3027)),IF(G3027="",E3027,IFERROR(E3027/COUNTIF($G2:$G6000,G3027),E3027)),E3027)</f>
        <v>0</v>
      </c>
      <c r="I3027" s="1" t="str">
        <f>IFERROR(VLOOKUP(C3027,'Clients List'!A:F,6,FALSE),"")</f>
        <v/>
      </c>
    </row>
    <row r="3028" spans="4:9" x14ac:dyDescent="0.45">
      <c r="D3028" t="str">
        <f>IFERROR(VLOOKUP(C3028,'Clients List'!$A:$F,2,FALSE),"")</f>
        <v/>
      </c>
      <c r="F3028" s="1" t="str">
        <f>IF(OR(C3028="",NOT(ISNUMBER(SEARCH("Package",D3028)))),"",VLOOKUP(C3028,'Clients List'!$A:$F,4,FALSE)-SUMIFS($E$2:$E3028,$C$2:$C3028,C3028,$D$2:$D3028,"*Package*"))</f>
        <v/>
      </c>
      <c r="G3028" t="str">
        <f t="shared" si="80"/>
        <v/>
      </c>
      <c r="H3028" s="33">
        <f>IF(ISNUMBER(SEARCH("Group",D3028)),IF(G3028="",E3028,IFERROR(E3028/COUNTIF($G2:$G6000,G3028),E3028)),E3028)</f>
        <v>0</v>
      </c>
      <c r="I3028" s="1" t="str">
        <f>IFERROR(VLOOKUP(C3028,'Clients List'!A:F,6,FALSE),"")</f>
        <v/>
      </c>
    </row>
    <row r="3029" spans="4:9" x14ac:dyDescent="0.45">
      <c r="D3029" t="str">
        <f>IFERROR(VLOOKUP(C3029,'Clients List'!$A:$F,2,FALSE),"")</f>
        <v/>
      </c>
      <c r="F3029" s="1" t="str">
        <f>IF(OR(C3029="",NOT(ISNUMBER(SEARCH("Package",D3029)))),"",VLOOKUP(C3029,'Clients List'!$A:$F,4,FALSE)-SUMIFS($E$2:$E3029,$C$2:$C3029,C3029,$D$2:$D3029,"*Package*"))</f>
        <v/>
      </c>
      <c r="G3029" t="str">
        <f t="shared" si="80"/>
        <v/>
      </c>
      <c r="H3029" s="33">
        <f>IF(ISNUMBER(SEARCH("Group",D3029)),IF(G3029="",E3029,IFERROR(E3029/COUNTIF($G2:$G6000,G3029),E3029)),E3029)</f>
        <v>0</v>
      </c>
      <c r="I3029" s="1" t="str">
        <f>IFERROR(VLOOKUP(C3029,'Clients List'!A:F,6,FALSE),"")</f>
        <v/>
      </c>
    </row>
    <row r="3030" spans="4:9" x14ac:dyDescent="0.45">
      <c r="D3030" t="str">
        <f>IFERROR(VLOOKUP(C3030,'Clients List'!$A:$F,2,FALSE),"")</f>
        <v/>
      </c>
      <c r="F3030" s="1" t="str">
        <f>IF(OR(C3030="",NOT(ISNUMBER(SEARCH("Package",D3030)))),"",VLOOKUP(C3030,'Clients List'!$A:$F,4,FALSE)-SUMIFS($E$2:$E3030,$C$2:$C3030,C3030,$D$2:$D3030,"*Package*"))</f>
        <v/>
      </c>
      <c r="G3030" t="str">
        <f t="shared" si="80"/>
        <v/>
      </c>
      <c r="H3030" s="33">
        <f>IF(ISNUMBER(SEARCH("Group",D3030)),IF(G3030="",E3030,IFERROR(E3030/COUNTIF($G2:$G6000,G3030),E3030)),E3030)</f>
        <v>0</v>
      </c>
      <c r="I3030" s="1" t="str">
        <f>IFERROR(VLOOKUP(C3030,'Clients List'!A:F,6,FALSE),"")</f>
        <v/>
      </c>
    </row>
    <row r="3031" spans="4:9" x14ac:dyDescent="0.45">
      <c r="D3031" t="str">
        <f>IFERROR(VLOOKUP(C3031,'Clients List'!$A:$F,2,FALSE),"")</f>
        <v/>
      </c>
      <c r="F3031" s="1" t="str">
        <f>IF(OR(C3031="",NOT(ISNUMBER(SEARCH("Package",D3031)))),"",VLOOKUP(C3031,'Clients List'!$A:$F,4,FALSE)-SUMIFS($E$2:$E3031,$C$2:$C3031,C3031,$D$2:$D3031,"*Package*"))</f>
        <v/>
      </c>
      <c r="G3031" t="str">
        <f t="shared" si="80"/>
        <v/>
      </c>
      <c r="H3031" s="33">
        <f>IF(ISNUMBER(SEARCH("Group",D3031)),IF(G3031="",E3031,IFERROR(E3031/COUNTIF($G2:$G6000,G3031),E3031)),E3031)</f>
        <v>0</v>
      </c>
      <c r="I3031" s="1" t="str">
        <f>IFERROR(VLOOKUP(C3031,'Clients List'!A:F,6,FALSE),"")</f>
        <v/>
      </c>
    </row>
    <row r="3032" spans="4:9" x14ac:dyDescent="0.45">
      <c r="D3032" t="str">
        <f>IFERROR(VLOOKUP(C3032,'Clients List'!$A:$F,2,FALSE),"")</f>
        <v/>
      </c>
      <c r="F3032" s="1" t="str">
        <f>IF(OR(C3032="",NOT(ISNUMBER(SEARCH("Package",D3032)))),"",VLOOKUP(C3032,'Clients List'!$A:$F,4,FALSE)-SUMIFS($E$2:$E3032,$C$2:$C3032,C3032,$D$2:$D3032,"*Package*"))</f>
        <v/>
      </c>
      <c r="G3032" t="str">
        <f t="shared" si="80"/>
        <v/>
      </c>
      <c r="H3032" s="33">
        <f>IF(ISNUMBER(SEARCH("Group",D3032)),IF(G3032="",E3032,IFERROR(E3032/COUNTIF($G2:$G6000,G3032),E3032)),E3032)</f>
        <v>0</v>
      </c>
      <c r="I3032" s="1" t="str">
        <f>IFERROR(VLOOKUP(C3032,'Clients List'!A:F,6,FALSE),"")</f>
        <v/>
      </c>
    </row>
    <row r="3033" spans="4:9" x14ac:dyDescent="0.45">
      <c r="D3033" t="str">
        <f>IFERROR(VLOOKUP(C3033,'Clients List'!$A:$F,2,FALSE),"")</f>
        <v/>
      </c>
      <c r="F3033" s="1" t="str">
        <f>IF(OR(C3033="",NOT(ISNUMBER(SEARCH("Package",D3033)))),"",VLOOKUP(C3033,'Clients List'!$A:$F,4,FALSE)-SUMIFS($E$2:$E3033,$C$2:$C3033,C3033,$D$2:$D3033,"*Package*"))</f>
        <v/>
      </c>
      <c r="G3033" t="str">
        <f t="shared" si="80"/>
        <v/>
      </c>
      <c r="H3033" s="33">
        <f>IF(ISNUMBER(SEARCH("Group",D3033)),IF(G3033="",E3033,IFERROR(E3033/COUNTIF($G2:$G6000,G3033),E3033)),E3033)</f>
        <v>0</v>
      </c>
      <c r="I3033" s="1" t="str">
        <f>IFERROR(VLOOKUP(C3033,'Clients List'!A:F,6,FALSE),"")</f>
        <v/>
      </c>
    </row>
    <row r="3034" spans="4:9" x14ac:dyDescent="0.45">
      <c r="D3034" t="str">
        <f>IFERROR(VLOOKUP(C3034,'Clients List'!$A:$F,2,FALSE),"")</f>
        <v/>
      </c>
      <c r="F3034" s="1" t="str">
        <f>IF(OR(C3034="",NOT(ISNUMBER(SEARCH("Package",D3034)))),"",VLOOKUP(C3034,'Clients List'!$A:$F,4,FALSE)-SUMIFS($E$2:$E3034,$C$2:$C3034,C3034,$D$2:$D3034,"*Package*"))</f>
        <v/>
      </c>
      <c r="G3034" t="str">
        <f t="shared" si="80"/>
        <v/>
      </c>
      <c r="H3034" s="33">
        <f>IF(ISNUMBER(SEARCH("Group",D3034)),IF(G3034="",E3034,IFERROR(E3034/COUNTIF($G2:$G6000,G3034),E3034)),E3034)</f>
        <v>0</v>
      </c>
      <c r="I3034" s="1" t="str">
        <f>IFERROR(VLOOKUP(C3034,'Clients List'!A:F,6,FALSE),"")</f>
        <v/>
      </c>
    </row>
    <row r="3035" spans="4:9" x14ac:dyDescent="0.45">
      <c r="D3035" t="str">
        <f>IFERROR(VLOOKUP(C3035,'Clients List'!$A:$F,2,FALSE),"")</f>
        <v/>
      </c>
      <c r="F3035" s="1" t="str">
        <f>IF(OR(C3035="",NOT(ISNUMBER(SEARCH("Package",D3035)))),"",VLOOKUP(C3035,'Clients List'!$A:$F,4,FALSE)-SUMIFS($E$2:$E3035,$C$2:$C3035,C3035,$D$2:$D3035,"*Package*"))</f>
        <v/>
      </c>
      <c r="G3035" t="str">
        <f t="shared" si="80"/>
        <v/>
      </c>
      <c r="H3035" s="33">
        <f>IF(ISNUMBER(SEARCH("Group",D3035)),IF(G3035="",E3035,IFERROR(E3035/COUNTIF($G2:$G6000,G3035),E3035)),E3035)</f>
        <v>0</v>
      </c>
      <c r="I3035" s="1" t="str">
        <f>IFERROR(VLOOKUP(C3035,'Clients List'!A:F,6,FALSE),"")</f>
        <v/>
      </c>
    </row>
    <row r="3036" spans="4:9" x14ac:dyDescent="0.45">
      <c r="D3036" t="str">
        <f>IFERROR(VLOOKUP(C3036,'Clients List'!$A:$F,2,FALSE),"")</f>
        <v/>
      </c>
      <c r="F3036" s="1" t="str">
        <f>IF(OR(C3036="",NOT(ISNUMBER(SEARCH("Package",D3036)))),"",VLOOKUP(C3036,'Clients List'!$A:$F,4,FALSE)-SUMIFS($E$2:$E3036,$C$2:$C3036,C3036,$D$2:$D3036,"*Package*"))</f>
        <v/>
      </c>
      <c r="G3036" t="str">
        <f t="shared" si="80"/>
        <v/>
      </c>
      <c r="H3036" s="33">
        <f>IF(ISNUMBER(SEARCH("Group",D3036)),IF(G3036="",E3036,IFERROR(E3036/COUNTIF($G2:$G6000,G3036),E3036)),E3036)</f>
        <v>0</v>
      </c>
      <c r="I3036" s="1" t="str">
        <f>IFERROR(VLOOKUP(C3036,'Clients List'!A:F,6,FALSE),"")</f>
        <v/>
      </c>
    </row>
    <row r="3037" spans="4:9" x14ac:dyDescent="0.45">
      <c r="D3037" t="str">
        <f>IFERROR(VLOOKUP(C3037,'Clients List'!$A:$F,2,FALSE),"")</f>
        <v/>
      </c>
      <c r="F3037" s="1" t="str">
        <f>IF(OR(C3037="",NOT(ISNUMBER(SEARCH("Package",D3037)))),"",VLOOKUP(C3037,'Clients List'!$A:$F,4,FALSE)-SUMIFS($E$2:$E3037,$C$2:$C3037,C3037,$D$2:$D3037,"*Package*"))</f>
        <v/>
      </c>
      <c r="G3037" t="str">
        <f t="shared" si="80"/>
        <v/>
      </c>
      <c r="H3037" s="33">
        <f>IF(ISNUMBER(SEARCH("Group",D3037)),IF(G3037="",E3037,IFERROR(E3037/COUNTIF($G2:$G6000,G3037),E3037)),E3037)</f>
        <v>0</v>
      </c>
      <c r="I3037" s="1" t="str">
        <f>IFERROR(VLOOKUP(C3037,'Clients List'!A:F,6,FALSE),"")</f>
        <v/>
      </c>
    </row>
    <row r="3038" spans="4:9" x14ac:dyDescent="0.45">
      <c r="D3038" t="str">
        <f>IFERROR(VLOOKUP(C3038,'Clients List'!$A:$F,2,FALSE),"")</f>
        <v/>
      </c>
      <c r="F3038" s="1" t="str">
        <f>IF(OR(C3038="",NOT(ISNUMBER(SEARCH("Package",D3038)))),"",VLOOKUP(C3038,'Clients List'!$A:$F,4,FALSE)-SUMIFS($E$2:$E3038,$C$2:$C3038,C3038,$D$2:$D3038,"*Package*"))</f>
        <v/>
      </c>
      <c r="G3038" t="str">
        <f t="shared" si="80"/>
        <v/>
      </c>
      <c r="H3038" s="33">
        <f>IF(ISNUMBER(SEARCH("Group",D3038)),IF(G3038="",E3038,IFERROR(E3038/COUNTIF($G2:$G6000,G3038),E3038)),E3038)</f>
        <v>0</v>
      </c>
      <c r="I3038" s="1" t="str">
        <f>IFERROR(VLOOKUP(C3038,'Clients List'!A:F,6,FALSE),"")</f>
        <v/>
      </c>
    </row>
    <row r="3039" spans="4:9" x14ac:dyDescent="0.45">
      <c r="D3039" t="str">
        <f>IFERROR(VLOOKUP(C3039,'Clients List'!$A:$F,2,FALSE),"")</f>
        <v/>
      </c>
      <c r="F3039" s="1" t="str">
        <f>IF(OR(C3039="",NOT(ISNUMBER(SEARCH("Package",D3039)))),"",VLOOKUP(C3039,'Clients List'!$A:$F,4,FALSE)-SUMIFS($E$2:$E3039,$C$2:$C3039,C3039,$D$2:$D3039,"*Package*"))</f>
        <v/>
      </c>
      <c r="G3039" t="str">
        <f t="shared" si="80"/>
        <v/>
      </c>
      <c r="H3039" s="33">
        <f>IF(ISNUMBER(SEARCH("Group",D3039)),IF(G3039="",E3039,IFERROR(E3039/COUNTIF($G2:$G6000,G3039),E3039)),E3039)</f>
        <v>0</v>
      </c>
      <c r="I3039" s="1" t="str">
        <f>IFERROR(VLOOKUP(C3039,'Clients List'!A:F,6,FALSE),"")</f>
        <v/>
      </c>
    </row>
    <row r="3040" spans="4:9" x14ac:dyDescent="0.45">
      <c r="D3040" t="str">
        <f>IFERROR(VLOOKUP(C3040,'Clients List'!$A:$F,2,FALSE),"")</f>
        <v/>
      </c>
      <c r="F3040" s="1" t="str">
        <f>IF(OR(C3040="",NOT(ISNUMBER(SEARCH("Package",D3040)))),"",VLOOKUP(C3040,'Clients List'!$A:$F,4,FALSE)-SUMIFS($E$2:$E3040,$C$2:$C3040,C3040,$D$2:$D3040,"*Package*"))</f>
        <v/>
      </c>
      <c r="G3040" t="str">
        <f t="shared" si="80"/>
        <v/>
      </c>
      <c r="H3040" s="33">
        <f>IF(ISNUMBER(SEARCH("Group",D3040)),IF(G3040="",E3040,IFERROR(E3040/COUNTIF($G2:$G6000,G3040),E3040)),E3040)</f>
        <v>0</v>
      </c>
      <c r="I3040" s="1" t="str">
        <f>IFERROR(VLOOKUP(C3040,'Clients List'!A:F,6,FALSE),"")</f>
        <v/>
      </c>
    </row>
    <row r="3041" spans="4:9" x14ac:dyDescent="0.45">
      <c r="D3041" t="str">
        <f>IFERROR(VLOOKUP(C3041,'Clients List'!$A:$F,2,FALSE),"")</f>
        <v/>
      </c>
      <c r="F3041" s="1" t="str">
        <f>IF(OR(C3041="",NOT(ISNUMBER(SEARCH("Package",D3041)))),"",VLOOKUP(C3041,'Clients List'!$A:$F,4,FALSE)-SUMIFS($E$2:$E3041,$C$2:$C3041,C3041,$D$2:$D3041,"*Package*"))</f>
        <v/>
      </c>
      <c r="G3041" t="str">
        <f t="shared" si="80"/>
        <v/>
      </c>
      <c r="H3041" s="33">
        <f>IF(ISNUMBER(SEARCH("Group",D3041)),IF(G3041="",E3041,IFERROR(E3041/COUNTIF($G2:$G6000,G3041),E3041)),E3041)</f>
        <v>0</v>
      </c>
      <c r="I3041" s="1" t="str">
        <f>IFERROR(VLOOKUP(C3041,'Clients List'!A:F,6,FALSE),"")</f>
        <v/>
      </c>
    </row>
    <row r="3042" spans="4:9" x14ac:dyDescent="0.45">
      <c r="D3042" t="str">
        <f>IFERROR(VLOOKUP(C3042,'Clients List'!$A:$F,2,FALSE),"")</f>
        <v/>
      </c>
      <c r="F3042" s="1" t="str">
        <f>IF(OR(C3042="",NOT(ISNUMBER(SEARCH("Package",D3042)))),"",VLOOKUP(C3042,'Clients List'!$A:$F,4,FALSE)-SUMIFS($E$2:$E3042,$C$2:$C3042,C3042,$D$2:$D3042,"*Package*"))</f>
        <v/>
      </c>
      <c r="G3042" t="str">
        <f t="shared" si="80"/>
        <v/>
      </c>
      <c r="H3042" s="33">
        <f>IF(ISNUMBER(SEARCH("Group",D3042)),IF(G3042="",E3042,IFERROR(E3042/COUNTIF($G2:$G6000,G3042),E3042)),E3042)</f>
        <v>0</v>
      </c>
      <c r="I3042" s="1" t="str">
        <f>IFERROR(VLOOKUP(C3042,'Clients List'!A:F,6,FALSE),"")</f>
        <v/>
      </c>
    </row>
    <row r="3043" spans="4:9" x14ac:dyDescent="0.45">
      <c r="D3043" t="str">
        <f>IFERROR(VLOOKUP(C3043,'Clients List'!$A:$F,2,FALSE),"")</f>
        <v/>
      </c>
      <c r="F3043" s="1" t="str">
        <f>IF(OR(C3043="",NOT(ISNUMBER(SEARCH("Package",D3043)))),"",VLOOKUP(C3043,'Clients List'!$A:$F,4,FALSE)-SUMIFS($E$2:$E3043,$C$2:$C3043,C3043,$D$2:$D3043,"*Package*"))</f>
        <v/>
      </c>
      <c r="G3043" t="str">
        <f t="shared" si="80"/>
        <v/>
      </c>
      <c r="H3043" s="33">
        <f>IF(ISNUMBER(SEARCH("Group",D3043)),IF(G3043="",E3043,IFERROR(E3043/COUNTIF($G2:$G6000,G3043),E3043)),E3043)</f>
        <v>0</v>
      </c>
      <c r="I3043" s="1" t="str">
        <f>IFERROR(VLOOKUP(C3043,'Clients List'!A:F,6,FALSE),"")</f>
        <v/>
      </c>
    </row>
    <row r="3044" spans="4:9" x14ac:dyDescent="0.45">
      <c r="D3044" t="str">
        <f>IFERROR(VLOOKUP(C3044,'Clients List'!$A:$F,2,FALSE),"")</f>
        <v/>
      </c>
      <c r="F3044" s="1" t="str">
        <f>IF(OR(C3044="",NOT(ISNUMBER(SEARCH("Package",D3044)))),"",VLOOKUP(C3044,'Clients List'!$A:$F,4,FALSE)-SUMIFS($E$2:$E3044,$C$2:$C3044,C3044,$D$2:$D3044,"*Package*"))</f>
        <v/>
      </c>
      <c r="G3044" t="str">
        <f t="shared" si="80"/>
        <v/>
      </c>
      <c r="H3044" s="33">
        <f>IF(ISNUMBER(SEARCH("Group",D3044)),IF(G3044="",E3044,IFERROR(E3044/COUNTIF($G2:$G6000,G3044),E3044)),E3044)</f>
        <v>0</v>
      </c>
      <c r="I3044" s="1" t="str">
        <f>IFERROR(VLOOKUP(C3044,'Clients List'!A:F,6,FALSE),"")</f>
        <v/>
      </c>
    </row>
    <row r="3045" spans="4:9" x14ac:dyDescent="0.45">
      <c r="D3045" t="str">
        <f>IFERROR(VLOOKUP(C3045,'Clients List'!$A:$F,2,FALSE),"")</f>
        <v/>
      </c>
      <c r="F3045" s="1" t="str">
        <f>IF(OR(C3045="",NOT(ISNUMBER(SEARCH("Package",D3045)))),"",VLOOKUP(C3045,'Clients List'!$A:$F,4,FALSE)-SUMIFS($E$2:$E3045,$C$2:$C3045,C3045,$D$2:$D3045,"*Package*"))</f>
        <v/>
      </c>
      <c r="G3045" t="str">
        <f t="shared" si="80"/>
        <v/>
      </c>
      <c r="H3045" s="33">
        <f>IF(ISNUMBER(SEARCH("Group",D3045)),IF(G3045="",E3045,IFERROR(E3045/COUNTIF($G2:$G6000,G3045),E3045)),E3045)</f>
        <v>0</v>
      </c>
      <c r="I3045" s="1" t="str">
        <f>IFERROR(VLOOKUP(C3045,'Clients List'!A:F,6,FALSE),"")</f>
        <v/>
      </c>
    </row>
    <row r="3046" spans="4:9" x14ac:dyDescent="0.45">
      <c r="D3046" t="str">
        <f>IFERROR(VLOOKUP(C3046,'Clients List'!$A:$F,2,FALSE),"")</f>
        <v/>
      </c>
      <c r="F3046" s="1" t="str">
        <f>IF(OR(C3046="",NOT(ISNUMBER(SEARCH("Package",D3046)))),"",VLOOKUP(C3046,'Clients List'!$A:$F,4,FALSE)-SUMIFS($E$2:$E3046,$C$2:$C3046,C3046,$D$2:$D3046,"*Package*"))</f>
        <v/>
      </c>
      <c r="G3046" t="str">
        <f t="shared" si="80"/>
        <v/>
      </c>
      <c r="H3046" s="33">
        <f>IF(ISNUMBER(SEARCH("Group",D3046)),IF(G3046="",E3046,IFERROR(E3046/COUNTIF($G2:$G6000,G3046),E3046)),E3046)</f>
        <v>0</v>
      </c>
      <c r="I3046" s="1" t="str">
        <f>IFERROR(VLOOKUP(C3046,'Clients List'!A:F,6,FALSE),"")</f>
        <v/>
      </c>
    </row>
    <row r="3047" spans="4:9" x14ac:dyDescent="0.45">
      <c r="D3047" t="str">
        <f>IFERROR(VLOOKUP(C3047,'Clients List'!$A:$F,2,FALSE),"")</f>
        <v/>
      </c>
      <c r="F3047" s="1" t="str">
        <f>IF(OR(C3047="",NOT(ISNUMBER(SEARCH("Package",D3047)))),"",VLOOKUP(C3047,'Clients List'!$A:$F,4,FALSE)-SUMIFS($E$2:$E3047,$C$2:$C3047,C3047,$D$2:$D3047,"*Package*"))</f>
        <v/>
      </c>
      <c r="G3047" t="str">
        <f t="shared" si="80"/>
        <v/>
      </c>
      <c r="H3047" s="33">
        <f>IF(ISNUMBER(SEARCH("Group",D3047)),IF(G3047="",E3047,IFERROR(E3047/COUNTIF($G2:$G6000,G3047),E3047)),E3047)</f>
        <v>0</v>
      </c>
      <c r="I3047" s="1" t="str">
        <f>IFERROR(VLOOKUP(C3047,'Clients List'!A:F,6,FALSE),"")</f>
        <v/>
      </c>
    </row>
    <row r="3048" spans="4:9" x14ac:dyDescent="0.45">
      <c r="D3048" t="str">
        <f>IFERROR(VLOOKUP(C3048,'Clients List'!$A:$F,2,FALSE),"")</f>
        <v/>
      </c>
      <c r="F3048" s="1" t="str">
        <f>IF(OR(C3048="",NOT(ISNUMBER(SEARCH("Package",D3048)))),"",VLOOKUP(C3048,'Clients List'!$A:$F,4,FALSE)-SUMIFS($E$2:$E3048,$C$2:$C3048,C3048,$D$2:$D3048,"*Package*"))</f>
        <v/>
      </c>
      <c r="G3048" t="str">
        <f t="shared" si="80"/>
        <v/>
      </c>
      <c r="H3048" s="33">
        <f>IF(ISNUMBER(SEARCH("Group",D3048)),IF(G3048="",E3048,IFERROR(E3048/COUNTIF($G2:$G6000,G3048),E3048)),E3048)</f>
        <v>0</v>
      </c>
      <c r="I3048" s="1" t="str">
        <f>IFERROR(VLOOKUP(C3048,'Clients List'!A:F,6,FALSE),"")</f>
        <v/>
      </c>
    </row>
    <row r="3049" spans="4:9" x14ac:dyDescent="0.45">
      <c r="D3049" t="str">
        <f>IFERROR(VLOOKUP(C3049,'Clients List'!$A:$F,2,FALSE),"")</f>
        <v/>
      </c>
      <c r="F3049" s="1" t="str">
        <f>IF(OR(C3049="",NOT(ISNUMBER(SEARCH("Package",D3049)))),"",VLOOKUP(C3049,'Clients List'!$A:$F,4,FALSE)-SUMIFS($E$2:$E3049,$C$2:$C3049,C3049,$D$2:$D3049,"*Package*"))</f>
        <v/>
      </c>
      <c r="G3049" t="str">
        <f t="shared" si="80"/>
        <v/>
      </c>
      <c r="H3049" s="33">
        <f>IF(ISNUMBER(SEARCH("Group",D3049)),IF(G3049="",E3049,IFERROR(E3049/COUNTIF($G2:$G6000,G3049),E3049)),E3049)</f>
        <v>0</v>
      </c>
      <c r="I3049" s="1" t="str">
        <f>IFERROR(VLOOKUP(C3049,'Clients List'!A:F,6,FALSE),"")</f>
        <v/>
      </c>
    </row>
    <row r="3050" spans="4:9" x14ac:dyDescent="0.45">
      <c r="D3050" t="str">
        <f>IFERROR(VLOOKUP(C3050,'Clients List'!$A:$F,2,FALSE),"")</f>
        <v/>
      </c>
      <c r="F3050" s="1" t="str">
        <f>IF(OR(C3050="",NOT(ISNUMBER(SEARCH("Package",D3050)))),"",VLOOKUP(C3050,'Clients List'!$A:$F,4,FALSE)-SUMIFS($E$2:$E3050,$C$2:$C3050,C3050,$D$2:$D3050,"*Package*"))</f>
        <v/>
      </c>
      <c r="G3050" t="str">
        <f t="shared" si="80"/>
        <v/>
      </c>
      <c r="H3050" s="33">
        <f>IF(ISNUMBER(SEARCH("Group",D3050)),IF(G3050="",E3050,IFERROR(E3050/COUNTIF($G2:$G6000,G3050),E3050)),E3050)</f>
        <v>0</v>
      </c>
      <c r="I3050" s="1" t="str">
        <f>IFERROR(VLOOKUP(C3050,'Clients List'!A:F,6,FALSE),"")</f>
        <v/>
      </c>
    </row>
    <row r="3051" spans="4:9" x14ac:dyDescent="0.45">
      <c r="D3051" t="str">
        <f>IFERROR(VLOOKUP(C3051,'Clients List'!$A:$F,2,FALSE),"")</f>
        <v/>
      </c>
      <c r="F3051" s="1" t="str">
        <f>IF(OR(C3051="",NOT(ISNUMBER(SEARCH("Package",D3051)))),"",VLOOKUP(C3051,'Clients List'!$A:$F,4,FALSE)-SUMIFS($E$2:$E3051,$C$2:$C3051,C3051,$D$2:$D3051,"*Package*"))</f>
        <v/>
      </c>
      <c r="G3051" t="str">
        <f t="shared" si="80"/>
        <v/>
      </c>
      <c r="H3051" s="33">
        <f>IF(ISNUMBER(SEARCH("Group",D3051)),IF(G3051="",E3051,IFERROR(E3051/COUNTIF($G2:$G6000,G3051),E3051)),E3051)</f>
        <v>0</v>
      </c>
      <c r="I3051" s="1" t="str">
        <f>IFERROR(VLOOKUP(C3051,'Clients List'!A:F,6,FALSE),"")</f>
        <v/>
      </c>
    </row>
    <row r="3052" spans="4:9" x14ac:dyDescent="0.45">
      <c r="D3052" t="str">
        <f>IFERROR(VLOOKUP(C3052,'Clients List'!$A:$F,2,FALSE),"")</f>
        <v/>
      </c>
      <c r="F3052" s="1" t="str">
        <f>IF(OR(C3052="",NOT(ISNUMBER(SEARCH("Package",D3052)))),"",VLOOKUP(C3052,'Clients List'!$A:$F,4,FALSE)-SUMIFS($E$2:$E3052,$C$2:$C3052,C3052,$D$2:$D3052,"*Package*"))</f>
        <v/>
      </c>
      <c r="G3052" t="str">
        <f t="shared" si="80"/>
        <v/>
      </c>
      <c r="H3052" s="33">
        <f>IF(ISNUMBER(SEARCH("Group",D3052)),IF(G3052="",E3052,IFERROR(E3052/COUNTIF($G2:$G6000,G3052),E3052)),E3052)</f>
        <v>0</v>
      </c>
      <c r="I3052" s="1" t="str">
        <f>IFERROR(VLOOKUP(C3052,'Clients List'!A:F,6,FALSE),"")</f>
        <v/>
      </c>
    </row>
    <row r="3053" spans="4:9" x14ac:dyDescent="0.45">
      <c r="D3053" t="str">
        <f>IFERROR(VLOOKUP(C3053,'Clients List'!$A:$F,2,FALSE),"")</f>
        <v/>
      </c>
      <c r="F3053" s="1" t="str">
        <f>IF(OR(C3053="",NOT(ISNUMBER(SEARCH("Package",D3053)))),"",VLOOKUP(C3053,'Clients List'!$A:$F,4,FALSE)-SUMIFS($E$2:$E3053,$C$2:$C3053,C3053,$D$2:$D3053,"*Package*"))</f>
        <v/>
      </c>
      <c r="G3053" t="str">
        <f t="shared" si="80"/>
        <v/>
      </c>
      <c r="H3053" s="33">
        <f>IF(ISNUMBER(SEARCH("Group",D3053)),IF(G3053="",E3053,IFERROR(E3053/COUNTIF($G2:$G6000,G3053),E3053)),E3053)</f>
        <v>0</v>
      </c>
      <c r="I3053" s="1" t="str">
        <f>IFERROR(VLOOKUP(C3053,'Clients List'!A:F,6,FALSE),"")</f>
        <v/>
      </c>
    </row>
    <row r="3054" spans="4:9" x14ac:dyDescent="0.45">
      <c r="D3054" t="str">
        <f>IFERROR(VLOOKUP(C3054,'Clients List'!$A:$F,2,FALSE),"")</f>
        <v/>
      </c>
      <c r="F3054" s="1" t="str">
        <f>IF(OR(C3054="",NOT(ISNUMBER(SEARCH("Package",D3054)))),"",VLOOKUP(C3054,'Clients List'!$A:$F,4,FALSE)-SUMIFS($E$2:$E3054,$C$2:$C3054,C3054,$D$2:$D3054,"*Package*"))</f>
        <v/>
      </c>
      <c r="G3054" t="str">
        <f t="shared" si="80"/>
        <v/>
      </c>
      <c r="H3054" s="33">
        <f>IF(ISNUMBER(SEARCH("Group",D3054)),IF(G3054="",E3054,IFERROR(E3054/COUNTIF($G2:$G6000,G3054),E3054)),E3054)</f>
        <v>0</v>
      </c>
      <c r="I3054" s="1" t="str">
        <f>IFERROR(VLOOKUP(C3054,'Clients List'!A:F,6,FALSE),"")</f>
        <v/>
      </c>
    </row>
    <row r="3055" spans="4:9" x14ac:dyDescent="0.45">
      <c r="D3055" t="str">
        <f>IFERROR(VLOOKUP(C3055,'Clients List'!$A:$F,2,FALSE),"")</f>
        <v/>
      </c>
      <c r="F3055" s="1" t="str">
        <f>IF(OR(C3055="",NOT(ISNUMBER(SEARCH("Package",D3055)))),"",VLOOKUP(C3055,'Clients List'!$A:$F,4,FALSE)-SUMIFS($E$2:$E3055,$C$2:$C3055,C3055,$D$2:$D3055,"*Package*"))</f>
        <v/>
      </c>
      <c r="G3055" t="str">
        <f t="shared" si="80"/>
        <v/>
      </c>
      <c r="H3055" s="33">
        <f>IF(ISNUMBER(SEARCH("Group",D3055)),IF(G3055="",E3055,IFERROR(E3055/COUNTIF($G2:$G6000,G3055),E3055)),E3055)</f>
        <v>0</v>
      </c>
      <c r="I3055" s="1" t="str">
        <f>IFERROR(VLOOKUP(C3055,'Clients List'!A:F,6,FALSE),"")</f>
        <v/>
      </c>
    </row>
    <row r="3056" spans="4:9" x14ac:dyDescent="0.45">
      <c r="D3056" t="str">
        <f>IFERROR(VLOOKUP(C3056,'Clients List'!$A:$F,2,FALSE),"")</f>
        <v/>
      </c>
      <c r="F3056" s="1" t="str">
        <f>IF(OR(C3056="",NOT(ISNUMBER(SEARCH("Package",D3056)))),"",VLOOKUP(C3056,'Clients List'!$A:$F,4,FALSE)-SUMIFS($E$2:$E3056,$C$2:$C3056,C3056,$D$2:$D3056,"*Package*"))</f>
        <v/>
      </c>
      <c r="G3056" t="str">
        <f t="shared" si="80"/>
        <v/>
      </c>
      <c r="H3056" s="33">
        <f>IF(ISNUMBER(SEARCH("Group",D3056)),IF(G3056="",E3056,IFERROR(E3056/COUNTIF($G2:$G6000,G3056),E3056)),E3056)</f>
        <v>0</v>
      </c>
      <c r="I3056" s="1" t="str">
        <f>IFERROR(VLOOKUP(C3056,'Clients List'!A:F,6,FALSE),"")</f>
        <v/>
      </c>
    </row>
    <row r="3057" spans="4:9" x14ac:dyDescent="0.45">
      <c r="D3057" t="str">
        <f>IFERROR(VLOOKUP(C3057,'Clients List'!$A:$F,2,FALSE),"")</f>
        <v/>
      </c>
      <c r="F3057" s="1" t="str">
        <f>IF(OR(C3057="",NOT(ISNUMBER(SEARCH("Package",D3057)))),"",VLOOKUP(C3057,'Clients List'!$A:$F,4,FALSE)-SUMIFS($E$2:$E3057,$C$2:$C3057,C3057,$D$2:$D3057,"*Package*"))</f>
        <v/>
      </c>
      <c r="G3057" t="str">
        <f t="shared" si="80"/>
        <v/>
      </c>
      <c r="H3057" s="33">
        <f>IF(ISNUMBER(SEARCH("Group",D3057)),IF(G3057="",E3057,IFERROR(E3057/COUNTIF($G2:$G6000,G3057),E3057)),E3057)</f>
        <v>0</v>
      </c>
      <c r="I3057" s="1" t="str">
        <f>IFERROR(VLOOKUP(C3057,'Clients List'!A:F,6,FALSE),"")</f>
        <v/>
      </c>
    </row>
    <row r="3058" spans="4:9" x14ac:dyDescent="0.45">
      <c r="D3058" t="str">
        <f>IFERROR(VLOOKUP(C3058,'Clients List'!$A:$F,2,FALSE),"")</f>
        <v/>
      </c>
      <c r="F3058" s="1" t="str">
        <f>IF(OR(C3058="",NOT(ISNUMBER(SEARCH("Package",D3058)))),"",VLOOKUP(C3058,'Clients List'!$A:$F,4,FALSE)-SUMIFS($E$2:$E3058,$C$2:$C3058,C3058,$D$2:$D3058,"*Package*"))</f>
        <v/>
      </c>
      <c r="G3058" t="str">
        <f t="shared" si="80"/>
        <v/>
      </c>
      <c r="H3058" s="33">
        <f>IF(ISNUMBER(SEARCH("Group",D3058)),IF(G3058="",E3058,IFERROR(E3058/COUNTIF($G2:$G6000,G3058),E3058)),E3058)</f>
        <v>0</v>
      </c>
      <c r="I3058" s="1" t="str">
        <f>IFERROR(VLOOKUP(C3058,'Clients List'!A:F,6,FALSE),"")</f>
        <v/>
      </c>
    </row>
    <row r="3059" spans="4:9" x14ac:dyDescent="0.45">
      <c r="D3059" t="str">
        <f>IFERROR(VLOOKUP(C3059,'Clients List'!$A:$F,2,FALSE),"")</f>
        <v/>
      </c>
      <c r="F3059" s="1" t="str">
        <f>IF(OR(C3059="",NOT(ISNUMBER(SEARCH("Package",D3059)))),"",VLOOKUP(C3059,'Clients List'!$A:$F,4,FALSE)-SUMIFS($E$2:$E3059,$C$2:$C3059,C3059,$D$2:$D3059,"*Package*"))</f>
        <v/>
      </c>
      <c r="G3059" t="str">
        <f t="shared" si="80"/>
        <v/>
      </c>
      <c r="H3059" s="33">
        <f>IF(ISNUMBER(SEARCH("Group",D3059)),IF(G3059="",E3059,IFERROR(E3059/COUNTIF($G2:$G6000,G3059),E3059)),E3059)</f>
        <v>0</v>
      </c>
      <c r="I3059" s="1" t="str">
        <f>IFERROR(VLOOKUP(C3059,'Clients List'!A:F,6,FALSE),"")</f>
        <v/>
      </c>
    </row>
    <row r="3060" spans="4:9" x14ac:dyDescent="0.45">
      <c r="D3060" t="str">
        <f>IFERROR(VLOOKUP(C3060,'Clients List'!$A:$F,2,FALSE),"")</f>
        <v/>
      </c>
      <c r="F3060" s="1" t="str">
        <f>IF(OR(C3060="",NOT(ISNUMBER(SEARCH("Package",D3060)))),"",VLOOKUP(C3060,'Clients List'!$A:$F,4,FALSE)-SUMIFS($E$2:$E3060,$C$2:$C3060,C3060,$D$2:$D3060,"*Package*"))</f>
        <v/>
      </c>
      <c r="G3060" t="str">
        <f t="shared" si="80"/>
        <v/>
      </c>
      <c r="H3060" s="33">
        <f>IF(ISNUMBER(SEARCH("Group",D3060)),IF(G3060="",E3060,IFERROR(E3060/COUNTIF($G2:$G6000,G3060),E3060)),E3060)</f>
        <v>0</v>
      </c>
      <c r="I3060" s="1" t="str">
        <f>IFERROR(VLOOKUP(C3060,'Clients List'!A:F,6,FALSE),"")</f>
        <v/>
      </c>
    </row>
    <row r="3061" spans="4:9" x14ac:dyDescent="0.45">
      <c r="D3061" t="str">
        <f>IFERROR(VLOOKUP(C3061,'Clients List'!$A:$F,2,FALSE),"")</f>
        <v/>
      </c>
      <c r="F3061" s="1" t="str">
        <f>IF(OR(C3061="",NOT(ISNUMBER(SEARCH("Package",D3061)))),"",VLOOKUP(C3061,'Clients List'!$A:$F,4,FALSE)-SUMIFS($E$2:$E3061,$C$2:$C3061,C3061,$D$2:$D3061,"*Package*"))</f>
        <v/>
      </c>
      <c r="G3061" t="str">
        <f t="shared" ref="G3061:G3124" si="81">IF(ISNUMBER(SEARCH("Group",D3061)),IFERROR("GRP-"&amp;TEXT(IF(ISNUMBER(A3061),A3061,DATEVALUE(A3061)),"yyyymmdd"),""),"" )</f>
        <v/>
      </c>
      <c r="H3061" s="33">
        <f>IF(ISNUMBER(SEARCH("Group",D3061)),IF(G3061="",E3061,IFERROR(E3061/COUNTIF($G2:$G6000,G3061),E3061)),E3061)</f>
        <v>0</v>
      </c>
      <c r="I3061" s="1" t="str">
        <f>IFERROR(VLOOKUP(C3061,'Clients List'!A:F,6,FALSE),"")</f>
        <v/>
      </c>
    </row>
    <row r="3062" spans="4:9" x14ac:dyDescent="0.45">
      <c r="D3062" t="str">
        <f>IFERROR(VLOOKUP(C3062,'Clients List'!$A:$F,2,FALSE),"")</f>
        <v/>
      </c>
      <c r="F3062" s="1" t="str">
        <f>IF(OR(C3062="",NOT(ISNUMBER(SEARCH("Package",D3062)))),"",VLOOKUP(C3062,'Clients List'!$A:$F,4,FALSE)-SUMIFS($E$2:$E3062,$C$2:$C3062,C3062,$D$2:$D3062,"*Package*"))</f>
        <v/>
      </c>
      <c r="G3062" t="str">
        <f t="shared" si="81"/>
        <v/>
      </c>
      <c r="H3062" s="33">
        <f>IF(ISNUMBER(SEARCH("Group",D3062)),IF(G3062="",E3062,IFERROR(E3062/COUNTIF($G2:$G6000,G3062),E3062)),E3062)</f>
        <v>0</v>
      </c>
      <c r="I3062" s="1" t="str">
        <f>IFERROR(VLOOKUP(C3062,'Clients List'!A:F,6,FALSE),"")</f>
        <v/>
      </c>
    </row>
    <row r="3063" spans="4:9" x14ac:dyDescent="0.45">
      <c r="D3063" t="str">
        <f>IFERROR(VLOOKUP(C3063,'Clients List'!$A:$F,2,FALSE),"")</f>
        <v/>
      </c>
      <c r="F3063" s="1" t="str">
        <f>IF(OR(C3063="",NOT(ISNUMBER(SEARCH("Package",D3063)))),"",VLOOKUP(C3063,'Clients List'!$A:$F,4,FALSE)-SUMIFS($E$2:$E3063,$C$2:$C3063,C3063,$D$2:$D3063,"*Package*"))</f>
        <v/>
      </c>
      <c r="G3063" t="str">
        <f t="shared" si="81"/>
        <v/>
      </c>
      <c r="H3063" s="33">
        <f>IF(ISNUMBER(SEARCH("Group",D3063)),IF(G3063="",E3063,IFERROR(E3063/COUNTIF($G2:$G6000,G3063),E3063)),E3063)</f>
        <v>0</v>
      </c>
      <c r="I3063" s="1" t="str">
        <f>IFERROR(VLOOKUP(C3063,'Clients List'!A:F,6,FALSE),"")</f>
        <v/>
      </c>
    </row>
    <row r="3064" spans="4:9" x14ac:dyDescent="0.45">
      <c r="D3064" t="str">
        <f>IFERROR(VLOOKUP(C3064,'Clients List'!$A:$F,2,FALSE),"")</f>
        <v/>
      </c>
      <c r="F3064" s="1" t="str">
        <f>IF(OR(C3064="",NOT(ISNUMBER(SEARCH("Package",D3064)))),"",VLOOKUP(C3064,'Clients List'!$A:$F,4,FALSE)-SUMIFS($E$2:$E3064,$C$2:$C3064,C3064,$D$2:$D3064,"*Package*"))</f>
        <v/>
      </c>
      <c r="G3064" t="str">
        <f t="shared" si="81"/>
        <v/>
      </c>
      <c r="H3064" s="33">
        <f>IF(ISNUMBER(SEARCH("Group",D3064)),IF(G3064="",E3064,IFERROR(E3064/COUNTIF($G2:$G6000,G3064),E3064)),E3064)</f>
        <v>0</v>
      </c>
      <c r="I3064" s="1" t="str">
        <f>IFERROR(VLOOKUP(C3064,'Clients List'!A:F,6,FALSE),"")</f>
        <v/>
      </c>
    </row>
    <row r="3065" spans="4:9" x14ac:dyDescent="0.45">
      <c r="D3065" t="str">
        <f>IFERROR(VLOOKUP(C3065,'Clients List'!$A:$F,2,FALSE),"")</f>
        <v/>
      </c>
      <c r="F3065" s="1" t="str">
        <f>IF(OR(C3065="",NOT(ISNUMBER(SEARCH("Package",D3065)))),"",VLOOKUP(C3065,'Clients List'!$A:$F,4,FALSE)-SUMIFS($E$2:$E3065,$C$2:$C3065,C3065,$D$2:$D3065,"*Package*"))</f>
        <v/>
      </c>
      <c r="G3065" t="str">
        <f t="shared" si="81"/>
        <v/>
      </c>
      <c r="H3065" s="33">
        <f>IF(ISNUMBER(SEARCH("Group",D3065)),IF(G3065="",E3065,IFERROR(E3065/COUNTIF($G2:$G6000,G3065),E3065)),E3065)</f>
        <v>0</v>
      </c>
      <c r="I3065" s="1" t="str">
        <f>IFERROR(VLOOKUP(C3065,'Clients List'!A:F,6,FALSE),"")</f>
        <v/>
      </c>
    </row>
    <row r="3066" spans="4:9" x14ac:dyDescent="0.45">
      <c r="D3066" t="str">
        <f>IFERROR(VLOOKUP(C3066,'Clients List'!$A:$F,2,FALSE),"")</f>
        <v/>
      </c>
      <c r="F3066" s="1" t="str">
        <f>IF(OR(C3066="",NOT(ISNUMBER(SEARCH("Package",D3066)))),"",VLOOKUP(C3066,'Clients List'!$A:$F,4,FALSE)-SUMIFS($E$2:$E3066,$C$2:$C3066,C3066,$D$2:$D3066,"*Package*"))</f>
        <v/>
      </c>
      <c r="G3066" t="str">
        <f t="shared" si="81"/>
        <v/>
      </c>
      <c r="H3066" s="33">
        <f>IF(ISNUMBER(SEARCH("Group",D3066)),IF(G3066="",E3066,IFERROR(E3066/COUNTIF($G2:$G6000,G3066),E3066)),E3066)</f>
        <v>0</v>
      </c>
      <c r="I3066" s="1" t="str">
        <f>IFERROR(VLOOKUP(C3066,'Clients List'!A:F,6,FALSE),"")</f>
        <v/>
      </c>
    </row>
    <row r="3067" spans="4:9" x14ac:dyDescent="0.45">
      <c r="D3067" t="str">
        <f>IFERROR(VLOOKUP(C3067,'Clients List'!$A:$F,2,FALSE),"")</f>
        <v/>
      </c>
      <c r="F3067" s="1" t="str">
        <f>IF(OR(C3067="",NOT(ISNUMBER(SEARCH("Package",D3067)))),"",VLOOKUP(C3067,'Clients List'!$A:$F,4,FALSE)-SUMIFS($E$2:$E3067,$C$2:$C3067,C3067,$D$2:$D3067,"*Package*"))</f>
        <v/>
      </c>
      <c r="G3067" t="str">
        <f t="shared" si="81"/>
        <v/>
      </c>
      <c r="H3067" s="33">
        <f>IF(ISNUMBER(SEARCH("Group",D3067)),IF(G3067="",E3067,IFERROR(E3067/COUNTIF($G2:$G6000,G3067),E3067)),E3067)</f>
        <v>0</v>
      </c>
      <c r="I3067" s="1" t="str">
        <f>IFERROR(VLOOKUP(C3067,'Clients List'!A:F,6,FALSE),"")</f>
        <v/>
      </c>
    </row>
    <row r="3068" spans="4:9" x14ac:dyDescent="0.45">
      <c r="D3068" t="str">
        <f>IFERROR(VLOOKUP(C3068,'Clients List'!$A:$F,2,FALSE),"")</f>
        <v/>
      </c>
      <c r="F3068" s="1" t="str">
        <f>IF(OR(C3068="",NOT(ISNUMBER(SEARCH("Package",D3068)))),"",VLOOKUP(C3068,'Clients List'!$A:$F,4,FALSE)-SUMIFS($E$2:$E3068,$C$2:$C3068,C3068,$D$2:$D3068,"*Package*"))</f>
        <v/>
      </c>
      <c r="G3068" t="str">
        <f t="shared" si="81"/>
        <v/>
      </c>
      <c r="H3068" s="33">
        <f>IF(ISNUMBER(SEARCH("Group",D3068)),IF(G3068="",E3068,IFERROR(E3068/COUNTIF($G2:$G6000,G3068),E3068)),E3068)</f>
        <v>0</v>
      </c>
      <c r="I3068" s="1" t="str">
        <f>IFERROR(VLOOKUP(C3068,'Clients List'!A:F,6,FALSE),"")</f>
        <v/>
      </c>
    </row>
    <row r="3069" spans="4:9" x14ac:dyDescent="0.45">
      <c r="D3069" t="str">
        <f>IFERROR(VLOOKUP(C3069,'Clients List'!$A:$F,2,FALSE),"")</f>
        <v/>
      </c>
      <c r="F3069" s="1" t="str">
        <f>IF(OR(C3069="",NOT(ISNUMBER(SEARCH("Package",D3069)))),"",VLOOKUP(C3069,'Clients List'!$A:$F,4,FALSE)-SUMIFS($E$2:$E3069,$C$2:$C3069,C3069,$D$2:$D3069,"*Package*"))</f>
        <v/>
      </c>
      <c r="G3069" t="str">
        <f t="shared" si="81"/>
        <v/>
      </c>
      <c r="H3069" s="33">
        <f>IF(ISNUMBER(SEARCH("Group",D3069)),IF(G3069="",E3069,IFERROR(E3069/COUNTIF($G2:$G6000,G3069),E3069)),E3069)</f>
        <v>0</v>
      </c>
      <c r="I3069" s="1" t="str">
        <f>IFERROR(VLOOKUP(C3069,'Clients List'!A:F,6,FALSE),"")</f>
        <v/>
      </c>
    </row>
    <row r="3070" spans="4:9" x14ac:dyDescent="0.45">
      <c r="D3070" t="str">
        <f>IFERROR(VLOOKUP(C3070,'Clients List'!$A:$F,2,FALSE),"")</f>
        <v/>
      </c>
      <c r="F3070" s="1" t="str">
        <f>IF(OR(C3070="",NOT(ISNUMBER(SEARCH("Package",D3070)))),"",VLOOKUP(C3070,'Clients List'!$A:$F,4,FALSE)-SUMIFS($E$2:$E3070,$C$2:$C3070,C3070,$D$2:$D3070,"*Package*"))</f>
        <v/>
      </c>
      <c r="G3070" t="str">
        <f t="shared" si="81"/>
        <v/>
      </c>
      <c r="H3070" s="33">
        <f>IF(ISNUMBER(SEARCH("Group",D3070)),IF(G3070="",E3070,IFERROR(E3070/COUNTIF($G2:$G6000,G3070),E3070)),E3070)</f>
        <v>0</v>
      </c>
      <c r="I3070" s="1" t="str">
        <f>IFERROR(VLOOKUP(C3070,'Clients List'!A:F,6,FALSE),"")</f>
        <v/>
      </c>
    </row>
    <row r="3071" spans="4:9" x14ac:dyDescent="0.45">
      <c r="D3071" t="str">
        <f>IFERROR(VLOOKUP(C3071,'Clients List'!$A:$F,2,FALSE),"")</f>
        <v/>
      </c>
      <c r="F3071" s="1" t="str">
        <f>IF(OR(C3071="",NOT(ISNUMBER(SEARCH("Package",D3071)))),"",VLOOKUP(C3071,'Clients List'!$A:$F,4,FALSE)-SUMIFS($E$2:$E3071,$C$2:$C3071,C3071,$D$2:$D3071,"*Package*"))</f>
        <v/>
      </c>
      <c r="G3071" t="str">
        <f t="shared" si="81"/>
        <v/>
      </c>
      <c r="H3071" s="33">
        <f>IF(ISNUMBER(SEARCH("Group",D3071)),IF(G3071="",E3071,IFERROR(E3071/COUNTIF($G2:$G6000,G3071),E3071)),E3071)</f>
        <v>0</v>
      </c>
      <c r="I3071" s="1" t="str">
        <f>IFERROR(VLOOKUP(C3071,'Clients List'!A:F,6,FALSE),"")</f>
        <v/>
      </c>
    </row>
    <row r="3072" spans="4:9" x14ac:dyDescent="0.45">
      <c r="D3072" t="str">
        <f>IFERROR(VLOOKUP(C3072,'Clients List'!$A:$F,2,FALSE),"")</f>
        <v/>
      </c>
      <c r="F3072" s="1" t="str">
        <f>IF(OR(C3072="",NOT(ISNUMBER(SEARCH("Package",D3072)))),"",VLOOKUP(C3072,'Clients List'!$A:$F,4,FALSE)-SUMIFS($E$2:$E3072,$C$2:$C3072,C3072,$D$2:$D3072,"*Package*"))</f>
        <v/>
      </c>
      <c r="G3072" t="str">
        <f t="shared" si="81"/>
        <v/>
      </c>
      <c r="H3072" s="33">
        <f>IF(ISNUMBER(SEARCH("Group",D3072)),IF(G3072="",E3072,IFERROR(E3072/COUNTIF($G2:$G6000,G3072),E3072)),E3072)</f>
        <v>0</v>
      </c>
      <c r="I3072" s="1" t="str">
        <f>IFERROR(VLOOKUP(C3072,'Clients List'!A:F,6,FALSE),"")</f>
        <v/>
      </c>
    </row>
    <row r="3073" spans="4:9" x14ac:dyDescent="0.45">
      <c r="D3073" t="str">
        <f>IFERROR(VLOOKUP(C3073,'Clients List'!$A:$F,2,FALSE),"")</f>
        <v/>
      </c>
      <c r="F3073" s="1" t="str">
        <f>IF(OR(C3073="",NOT(ISNUMBER(SEARCH("Package",D3073)))),"",VLOOKUP(C3073,'Clients List'!$A:$F,4,FALSE)-SUMIFS($E$2:$E3073,$C$2:$C3073,C3073,$D$2:$D3073,"*Package*"))</f>
        <v/>
      </c>
      <c r="G3073" t="str">
        <f t="shared" si="81"/>
        <v/>
      </c>
      <c r="H3073" s="33">
        <f>IF(ISNUMBER(SEARCH("Group",D3073)),IF(G3073="",E3073,IFERROR(E3073/COUNTIF($G2:$G6000,G3073),E3073)),E3073)</f>
        <v>0</v>
      </c>
      <c r="I3073" s="1" t="str">
        <f>IFERROR(VLOOKUP(C3073,'Clients List'!A:F,6,FALSE),"")</f>
        <v/>
      </c>
    </row>
    <row r="3074" spans="4:9" x14ac:dyDescent="0.45">
      <c r="D3074" t="str">
        <f>IFERROR(VLOOKUP(C3074,'Clients List'!$A:$F,2,FALSE),"")</f>
        <v/>
      </c>
      <c r="F3074" s="1" t="str">
        <f>IF(OR(C3074="",NOT(ISNUMBER(SEARCH("Package",D3074)))),"",VLOOKUP(C3074,'Clients List'!$A:$F,4,FALSE)-SUMIFS($E$2:$E3074,$C$2:$C3074,C3074,$D$2:$D3074,"*Package*"))</f>
        <v/>
      </c>
      <c r="G3074" t="str">
        <f t="shared" si="81"/>
        <v/>
      </c>
      <c r="H3074" s="33">
        <f>IF(ISNUMBER(SEARCH("Group",D3074)),IF(G3074="",E3074,IFERROR(E3074/COUNTIF($G2:$G6000,G3074),E3074)),E3074)</f>
        <v>0</v>
      </c>
      <c r="I3074" s="1" t="str">
        <f>IFERROR(VLOOKUP(C3074,'Clients List'!A:F,6,FALSE),"")</f>
        <v/>
      </c>
    </row>
    <row r="3075" spans="4:9" x14ac:dyDescent="0.45">
      <c r="D3075" t="str">
        <f>IFERROR(VLOOKUP(C3075,'Clients List'!$A:$F,2,FALSE),"")</f>
        <v/>
      </c>
      <c r="F3075" s="1" t="str">
        <f>IF(OR(C3075="",NOT(ISNUMBER(SEARCH("Package",D3075)))),"",VLOOKUP(C3075,'Clients List'!$A:$F,4,FALSE)-SUMIFS($E$2:$E3075,$C$2:$C3075,C3075,$D$2:$D3075,"*Package*"))</f>
        <v/>
      </c>
      <c r="G3075" t="str">
        <f t="shared" si="81"/>
        <v/>
      </c>
      <c r="H3075" s="33">
        <f>IF(ISNUMBER(SEARCH("Group",D3075)),IF(G3075="",E3075,IFERROR(E3075/COUNTIF($G2:$G6000,G3075),E3075)),E3075)</f>
        <v>0</v>
      </c>
      <c r="I3075" s="1" t="str">
        <f>IFERROR(VLOOKUP(C3075,'Clients List'!A:F,6,FALSE),"")</f>
        <v/>
      </c>
    </row>
    <row r="3076" spans="4:9" x14ac:dyDescent="0.45">
      <c r="D3076" t="str">
        <f>IFERROR(VLOOKUP(C3076,'Clients List'!$A:$F,2,FALSE),"")</f>
        <v/>
      </c>
      <c r="F3076" s="1" t="str">
        <f>IF(OR(C3076="",NOT(ISNUMBER(SEARCH("Package",D3076)))),"",VLOOKUP(C3076,'Clients List'!$A:$F,4,FALSE)-SUMIFS($E$2:$E3076,$C$2:$C3076,C3076,$D$2:$D3076,"*Package*"))</f>
        <v/>
      </c>
      <c r="G3076" t="str">
        <f t="shared" si="81"/>
        <v/>
      </c>
      <c r="H3076" s="33">
        <f>IF(ISNUMBER(SEARCH("Group",D3076)),IF(G3076="",E3076,IFERROR(E3076/COUNTIF($G2:$G6000,G3076),E3076)),E3076)</f>
        <v>0</v>
      </c>
      <c r="I3076" s="1" t="str">
        <f>IFERROR(VLOOKUP(C3076,'Clients List'!A:F,6,FALSE),"")</f>
        <v/>
      </c>
    </row>
    <row r="3077" spans="4:9" x14ac:dyDescent="0.45">
      <c r="D3077" t="str">
        <f>IFERROR(VLOOKUP(C3077,'Clients List'!$A:$F,2,FALSE),"")</f>
        <v/>
      </c>
      <c r="F3077" s="1" t="str">
        <f>IF(OR(C3077="",NOT(ISNUMBER(SEARCH("Package",D3077)))),"",VLOOKUP(C3077,'Clients List'!$A:$F,4,FALSE)-SUMIFS($E$2:$E3077,$C$2:$C3077,C3077,$D$2:$D3077,"*Package*"))</f>
        <v/>
      </c>
      <c r="G3077" t="str">
        <f t="shared" si="81"/>
        <v/>
      </c>
      <c r="H3077" s="33">
        <f>IF(ISNUMBER(SEARCH("Group",D3077)),IF(G3077="",E3077,IFERROR(E3077/COUNTIF($G2:$G6000,G3077),E3077)),E3077)</f>
        <v>0</v>
      </c>
      <c r="I3077" s="1" t="str">
        <f>IFERROR(VLOOKUP(C3077,'Clients List'!A:F,6,FALSE),"")</f>
        <v/>
      </c>
    </row>
    <row r="3078" spans="4:9" x14ac:dyDescent="0.45">
      <c r="D3078" t="str">
        <f>IFERROR(VLOOKUP(C3078,'Clients List'!$A:$F,2,FALSE),"")</f>
        <v/>
      </c>
      <c r="F3078" s="1" t="str">
        <f>IF(OR(C3078="",NOT(ISNUMBER(SEARCH("Package",D3078)))),"",VLOOKUP(C3078,'Clients List'!$A:$F,4,FALSE)-SUMIFS($E$2:$E3078,$C$2:$C3078,C3078,$D$2:$D3078,"*Package*"))</f>
        <v/>
      </c>
      <c r="G3078" t="str">
        <f t="shared" si="81"/>
        <v/>
      </c>
      <c r="H3078" s="33">
        <f>IF(ISNUMBER(SEARCH("Group",D3078)),IF(G3078="",E3078,IFERROR(E3078/COUNTIF($G2:$G6000,G3078),E3078)),E3078)</f>
        <v>0</v>
      </c>
      <c r="I3078" s="1" t="str">
        <f>IFERROR(VLOOKUP(C3078,'Clients List'!A:F,6,FALSE),"")</f>
        <v/>
      </c>
    </row>
    <row r="3079" spans="4:9" x14ac:dyDescent="0.45">
      <c r="D3079" t="str">
        <f>IFERROR(VLOOKUP(C3079,'Clients List'!$A:$F,2,FALSE),"")</f>
        <v/>
      </c>
      <c r="F3079" s="1" t="str">
        <f>IF(OR(C3079="",NOT(ISNUMBER(SEARCH("Package",D3079)))),"",VLOOKUP(C3079,'Clients List'!$A:$F,4,FALSE)-SUMIFS($E$2:$E3079,$C$2:$C3079,C3079,$D$2:$D3079,"*Package*"))</f>
        <v/>
      </c>
      <c r="G3079" t="str">
        <f t="shared" si="81"/>
        <v/>
      </c>
      <c r="H3079" s="33">
        <f>IF(ISNUMBER(SEARCH("Group",D3079)),IF(G3079="",E3079,IFERROR(E3079/COUNTIF($G2:$G6000,G3079),E3079)),E3079)</f>
        <v>0</v>
      </c>
      <c r="I3079" s="1" t="str">
        <f>IFERROR(VLOOKUP(C3079,'Clients List'!A:F,6,FALSE),"")</f>
        <v/>
      </c>
    </row>
    <row r="3080" spans="4:9" x14ac:dyDescent="0.45">
      <c r="D3080" t="str">
        <f>IFERROR(VLOOKUP(C3080,'Clients List'!$A:$F,2,FALSE),"")</f>
        <v/>
      </c>
      <c r="F3080" s="1" t="str">
        <f>IF(OR(C3080="",NOT(ISNUMBER(SEARCH("Package",D3080)))),"",VLOOKUP(C3080,'Clients List'!$A:$F,4,FALSE)-SUMIFS($E$2:$E3080,$C$2:$C3080,C3080,$D$2:$D3080,"*Package*"))</f>
        <v/>
      </c>
      <c r="G3080" t="str">
        <f t="shared" si="81"/>
        <v/>
      </c>
      <c r="H3080" s="33">
        <f>IF(ISNUMBER(SEARCH("Group",D3080)),IF(G3080="",E3080,IFERROR(E3080/COUNTIF($G2:$G6000,G3080),E3080)),E3080)</f>
        <v>0</v>
      </c>
      <c r="I3080" s="1" t="str">
        <f>IFERROR(VLOOKUP(C3080,'Clients List'!A:F,6,FALSE),"")</f>
        <v/>
      </c>
    </row>
    <row r="3081" spans="4:9" x14ac:dyDescent="0.45">
      <c r="D3081" t="str">
        <f>IFERROR(VLOOKUP(C3081,'Clients List'!$A:$F,2,FALSE),"")</f>
        <v/>
      </c>
      <c r="F3081" s="1" t="str">
        <f>IF(OR(C3081="",NOT(ISNUMBER(SEARCH("Package",D3081)))),"",VLOOKUP(C3081,'Clients List'!$A:$F,4,FALSE)-SUMIFS($E$2:$E3081,$C$2:$C3081,C3081,$D$2:$D3081,"*Package*"))</f>
        <v/>
      </c>
      <c r="G3081" t="str">
        <f t="shared" si="81"/>
        <v/>
      </c>
      <c r="H3081" s="33">
        <f>IF(ISNUMBER(SEARCH("Group",D3081)),IF(G3081="",E3081,IFERROR(E3081/COUNTIF($G2:$G6000,G3081),E3081)),E3081)</f>
        <v>0</v>
      </c>
      <c r="I3081" s="1" t="str">
        <f>IFERROR(VLOOKUP(C3081,'Clients List'!A:F,6,FALSE),"")</f>
        <v/>
      </c>
    </row>
    <row r="3082" spans="4:9" x14ac:dyDescent="0.45">
      <c r="D3082" t="str">
        <f>IFERROR(VLOOKUP(C3082,'Clients List'!$A:$F,2,FALSE),"")</f>
        <v/>
      </c>
      <c r="F3082" s="1" t="str">
        <f>IF(OR(C3082="",NOT(ISNUMBER(SEARCH("Package",D3082)))),"",VLOOKUP(C3082,'Clients List'!$A:$F,4,FALSE)-SUMIFS($E$2:$E3082,$C$2:$C3082,C3082,$D$2:$D3082,"*Package*"))</f>
        <v/>
      </c>
      <c r="G3082" t="str">
        <f t="shared" si="81"/>
        <v/>
      </c>
      <c r="H3082" s="33">
        <f>IF(ISNUMBER(SEARCH("Group",D3082)),IF(G3082="",E3082,IFERROR(E3082/COUNTIF($G2:$G6000,G3082),E3082)),E3082)</f>
        <v>0</v>
      </c>
      <c r="I3082" s="1" t="str">
        <f>IFERROR(VLOOKUP(C3082,'Clients List'!A:F,6,FALSE),"")</f>
        <v/>
      </c>
    </row>
    <row r="3083" spans="4:9" x14ac:dyDescent="0.45">
      <c r="D3083" t="str">
        <f>IFERROR(VLOOKUP(C3083,'Clients List'!$A:$F,2,FALSE),"")</f>
        <v/>
      </c>
      <c r="F3083" s="1" t="str">
        <f>IF(OR(C3083="",NOT(ISNUMBER(SEARCH("Package",D3083)))),"",VLOOKUP(C3083,'Clients List'!$A:$F,4,FALSE)-SUMIFS($E$2:$E3083,$C$2:$C3083,C3083,$D$2:$D3083,"*Package*"))</f>
        <v/>
      </c>
      <c r="G3083" t="str">
        <f t="shared" si="81"/>
        <v/>
      </c>
      <c r="H3083" s="33">
        <f>IF(ISNUMBER(SEARCH("Group",D3083)),IF(G3083="",E3083,IFERROR(E3083/COUNTIF($G2:$G6000,G3083),E3083)),E3083)</f>
        <v>0</v>
      </c>
      <c r="I3083" s="1" t="str">
        <f>IFERROR(VLOOKUP(C3083,'Clients List'!A:F,6,FALSE),"")</f>
        <v/>
      </c>
    </row>
    <row r="3084" spans="4:9" x14ac:dyDescent="0.45">
      <c r="D3084" t="str">
        <f>IFERROR(VLOOKUP(C3084,'Clients List'!$A:$F,2,FALSE),"")</f>
        <v/>
      </c>
      <c r="F3084" s="1" t="str">
        <f>IF(OR(C3084="",NOT(ISNUMBER(SEARCH("Package",D3084)))),"",VLOOKUP(C3084,'Clients List'!$A:$F,4,FALSE)-SUMIFS($E$2:$E3084,$C$2:$C3084,C3084,$D$2:$D3084,"*Package*"))</f>
        <v/>
      </c>
      <c r="G3084" t="str">
        <f t="shared" si="81"/>
        <v/>
      </c>
      <c r="H3084" s="33">
        <f>IF(ISNUMBER(SEARCH("Group",D3084)),IF(G3084="",E3084,IFERROR(E3084/COUNTIF($G2:$G6000,G3084),E3084)),E3084)</f>
        <v>0</v>
      </c>
      <c r="I3084" s="1" t="str">
        <f>IFERROR(VLOOKUP(C3084,'Clients List'!A:F,6,FALSE),"")</f>
        <v/>
      </c>
    </row>
    <row r="3085" spans="4:9" x14ac:dyDescent="0.45">
      <c r="D3085" t="str">
        <f>IFERROR(VLOOKUP(C3085,'Clients List'!$A:$F,2,FALSE),"")</f>
        <v/>
      </c>
      <c r="F3085" s="1" t="str">
        <f>IF(OR(C3085="",NOT(ISNUMBER(SEARCH("Package",D3085)))),"",VLOOKUP(C3085,'Clients List'!$A:$F,4,FALSE)-SUMIFS($E$2:$E3085,$C$2:$C3085,C3085,$D$2:$D3085,"*Package*"))</f>
        <v/>
      </c>
      <c r="G3085" t="str">
        <f t="shared" si="81"/>
        <v/>
      </c>
      <c r="H3085" s="33">
        <f>IF(ISNUMBER(SEARCH("Group",D3085)),IF(G3085="",E3085,IFERROR(E3085/COUNTIF($G2:$G6000,G3085),E3085)),E3085)</f>
        <v>0</v>
      </c>
      <c r="I3085" s="1" t="str">
        <f>IFERROR(VLOOKUP(C3085,'Clients List'!A:F,6,FALSE),"")</f>
        <v/>
      </c>
    </row>
    <row r="3086" spans="4:9" x14ac:dyDescent="0.45">
      <c r="D3086" t="str">
        <f>IFERROR(VLOOKUP(C3086,'Clients List'!$A:$F,2,FALSE),"")</f>
        <v/>
      </c>
      <c r="F3086" s="1" t="str">
        <f>IF(OR(C3086="",NOT(ISNUMBER(SEARCH("Package",D3086)))),"",VLOOKUP(C3086,'Clients List'!$A:$F,4,FALSE)-SUMIFS($E$2:$E3086,$C$2:$C3086,C3086,$D$2:$D3086,"*Package*"))</f>
        <v/>
      </c>
      <c r="G3086" t="str">
        <f t="shared" si="81"/>
        <v/>
      </c>
      <c r="H3086" s="33">
        <f>IF(ISNUMBER(SEARCH("Group",D3086)),IF(G3086="",E3086,IFERROR(E3086/COUNTIF($G2:$G6000,G3086),E3086)),E3086)</f>
        <v>0</v>
      </c>
      <c r="I3086" s="1" t="str">
        <f>IFERROR(VLOOKUP(C3086,'Clients List'!A:F,6,FALSE),"")</f>
        <v/>
      </c>
    </row>
    <row r="3087" spans="4:9" x14ac:dyDescent="0.45">
      <c r="D3087" t="str">
        <f>IFERROR(VLOOKUP(C3087,'Clients List'!$A:$F,2,FALSE),"")</f>
        <v/>
      </c>
      <c r="F3087" s="1" t="str">
        <f>IF(OR(C3087="",NOT(ISNUMBER(SEARCH("Package",D3087)))),"",VLOOKUP(C3087,'Clients List'!$A:$F,4,FALSE)-SUMIFS($E$2:$E3087,$C$2:$C3087,C3087,$D$2:$D3087,"*Package*"))</f>
        <v/>
      </c>
      <c r="G3087" t="str">
        <f t="shared" si="81"/>
        <v/>
      </c>
      <c r="H3087" s="33">
        <f>IF(ISNUMBER(SEARCH("Group",D3087)),IF(G3087="",E3087,IFERROR(E3087/COUNTIF($G2:$G6000,G3087),E3087)),E3087)</f>
        <v>0</v>
      </c>
      <c r="I3087" s="1" t="str">
        <f>IFERROR(VLOOKUP(C3087,'Clients List'!A:F,6,FALSE),"")</f>
        <v/>
      </c>
    </row>
    <row r="3088" spans="4:9" x14ac:dyDescent="0.45">
      <c r="D3088" t="str">
        <f>IFERROR(VLOOKUP(C3088,'Clients List'!$A:$F,2,FALSE),"")</f>
        <v/>
      </c>
      <c r="F3088" s="1" t="str">
        <f>IF(OR(C3088="",NOT(ISNUMBER(SEARCH("Package",D3088)))),"",VLOOKUP(C3088,'Clients List'!$A:$F,4,FALSE)-SUMIFS($E$2:$E3088,$C$2:$C3088,C3088,$D$2:$D3088,"*Package*"))</f>
        <v/>
      </c>
      <c r="G3088" t="str">
        <f t="shared" si="81"/>
        <v/>
      </c>
      <c r="H3088" s="33">
        <f>IF(ISNUMBER(SEARCH("Group",D3088)),IF(G3088="",E3088,IFERROR(E3088/COUNTIF($G2:$G6000,G3088),E3088)),E3088)</f>
        <v>0</v>
      </c>
      <c r="I3088" s="1" t="str">
        <f>IFERROR(VLOOKUP(C3088,'Clients List'!A:F,6,FALSE),"")</f>
        <v/>
      </c>
    </row>
    <row r="3089" spans="4:9" x14ac:dyDescent="0.45">
      <c r="D3089" t="str">
        <f>IFERROR(VLOOKUP(C3089,'Clients List'!$A:$F,2,FALSE),"")</f>
        <v/>
      </c>
      <c r="F3089" s="1" t="str">
        <f>IF(OR(C3089="",NOT(ISNUMBER(SEARCH("Package",D3089)))),"",VLOOKUP(C3089,'Clients List'!$A:$F,4,FALSE)-SUMIFS($E$2:$E3089,$C$2:$C3089,C3089,$D$2:$D3089,"*Package*"))</f>
        <v/>
      </c>
      <c r="G3089" t="str">
        <f t="shared" si="81"/>
        <v/>
      </c>
      <c r="H3089" s="33">
        <f>IF(ISNUMBER(SEARCH("Group",D3089)),IF(G3089="",E3089,IFERROR(E3089/COUNTIF($G2:$G6000,G3089),E3089)),E3089)</f>
        <v>0</v>
      </c>
      <c r="I3089" s="1" t="str">
        <f>IFERROR(VLOOKUP(C3089,'Clients List'!A:F,6,FALSE),"")</f>
        <v/>
      </c>
    </row>
    <row r="3090" spans="4:9" x14ac:dyDescent="0.45">
      <c r="D3090" t="str">
        <f>IFERROR(VLOOKUP(C3090,'Clients List'!$A:$F,2,FALSE),"")</f>
        <v/>
      </c>
      <c r="F3090" s="1" t="str">
        <f>IF(OR(C3090="",NOT(ISNUMBER(SEARCH("Package",D3090)))),"",VLOOKUP(C3090,'Clients List'!$A:$F,4,FALSE)-SUMIFS($E$2:$E3090,$C$2:$C3090,C3090,$D$2:$D3090,"*Package*"))</f>
        <v/>
      </c>
      <c r="G3090" t="str">
        <f t="shared" si="81"/>
        <v/>
      </c>
      <c r="H3090" s="33">
        <f>IF(ISNUMBER(SEARCH("Group",D3090)),IF(G3090="",E3090,IFERROR(E3090/COUNTIF($G2:$G6000,G3090),E3090)),E3090)</f>
        <v>0</v>
      </c>
      <c r="I3090" s="1" t="str">
        <f>IFERROR(VLOOKUP(C3090,'Clients List'!A:F,6,FALSE),"")</f>
        <v/>
      </c>
    </row>
    <row r="3091" spans="4:9" x14ac:dyDescent="0.45">
      <c r="D3091" t="str">
        <f>IFERROR(VLOOKUP(C3091,'Clients List'!$A:$F,2,FALSE),"")</f>
        <v/>
      </c>
      <c r="F3091" s="1" t="str">
        <f>IF(OR(C3091="",NOT(ISNUMBER(SEARCH("Package",D3091)))),"",VLOOKUP(C3091,'Clients List'!$A:$F,4,FALSE)-SUMIFS($E$2:$E3091,$C$2:$C3091,C3091,$D$2:$D3091,"*Package*"))</f>
        <v/>
      </c>
      <c r="G3091" t="str">
        <f t="shared" si="81"/>
        <v/>
      </c>
      <c r="H3091" s="33">
        <f>IF(ISNUMBER(SEARCH("Group",D3091)),IF(G3091="",E3091,IFERROR(E3091/COUNTIF($G2:$G6000,G3091),E3091)),E3091)</f>
        <v>0</v>
      </c>
      <c r="I3091" s="1" t="str">
        <f>IFERROR(VLOOKUP(C3091,'Clients List'!A:F,6,FALSE),"")</f>
        <v/>
      </c>
    </row>
    <row r="3092" spans="4:9" x14ac:dyDescent="0.45">
      <c r="D3092" t="str">
        <f>IFERROR(VLOOKUP(C3092,'Clients List'!$A:$F,2,FALSE),"")</f>
        <v/>
      </c>
      <c r="F3092" s="1" t="str">
        <f>IF(OR(C3092="",NOT(ISNUMBER(SEARCH("Package",D3092)))),"",VLOOKUP(C3092,'Clients List'!$A:$F,4,FALSE)-SUMIFS($E$2:$E3092,$C$2:$C3092,C3092,$D$2:$D3092,"*Package*"))</f>
        <v/>
      </c>
      <c r="G3092" t="str">
        <f t="shared" si="81"/>
        <v/>
      </c>
      <c r="H3092" s="33">
        <f>IF(ISNUMBER(SEARCH("Group",D3092)),IF(G3092="",E3092,IFERROR(E3092/COUNTIF($G2:$G6000,G3092),E3092)),E3092)</f>
        <v>0</v>
      </c>
      <c r="I3092" s="1" t="str">
        <f>IFERROR(VLOOKUP(C3092,'Clients List'!A:F,6,FALSE),"")</f>
        <v/>
      </c>
    </row>
    <row r="3093" spans="4:9" x14ac:dyDescent="0.45">
      <c r="D3093" t="str">
        <f>IFERROR(VLOOKUP(C3093,'Clients List'!$A:$F,2,FALSE),"")</f>
        <v/>
      </c>
      <c r="F3093" s="1" t="str">
        <f>IF(OR(C3093="",NOT(ISNUMBER(SEARCH("Package",D3093)))),"",VLOOKUP(C3093,'Clients List'!$A:$F,4,FALSE)-SUMIFS($E$2:$E3093,$C$2:$C3093,C3093,$D$2:$D3093,"*Package*"))</f>
        <v/>
      </c>
      <c r="G3093" t="str">
        <f t="shared" si="81"/>
        <v/>
      </c>
      <c r="H3093" s="33">
        <f>IF(ISNUMBER(SEARCH("Group",D3093)),IF(G3093="",E3093,IFERROR(E3093/COUNTIF($G2:$G6000,G3093),E3093)),E3093)</f>
        <v>0</v>
      </c>
      <c r="I3093" s="1" t="str">
        <f>IFERROR(VLOOKUP(C3093,'Clients List'!A:F,6,FALSE),"")</f>
        <v/>
      </c>
    </row>
    <row r="3094" spans="4:9" x14ac:dyDescent="0.45">
      <c r="D3094" t="str">
        <f>IFERROR(VLOOKUP(C3094,'Clients List'!$A:$F,2,FALSE),"")</f>
        <v/>
      </c>
      <c r="F3094" s="1" t="str">
        <f>IF(OR(C3094="",NOT(ISNUMBER(SEARCH("Package",D3094)))),"",VLOOKUP(C3094,'Clients List'!$A:$F,4,FALSE)-SUMIFS($E$2:$E3094,$C$2:$C3094,C3094,$D$2:$D3094,"*Package*"))</f>
        <v/>
      </c>
      <c r="G3094" t="str">
        <f t="shared" si="81"/>
        <v/>
      </c>
      <c r="H3094" s="33">
        <f>IF(ISNUMBER(SEARCH("Group",D3094)),IF(G3094="",E3094,IFERROR(E3094/COUNTIF($G2:$G6000,G3094),E3094)),E3094)</f>
        <v>0</v>
      </c>
      <c r="I3094" s="1" t="str">
        <f>IFERROR(VLOOKUP(C3094,'Clients List'!A:F,6,FALSE),"")</f>
        <v/>
      </c>
    </row>
    <row r="3095" spans="4:9" x14ac:dyDescent="0.45">
      <c r="D3095" t="str">
        <f>IFERROR(VLOOKUP(C3095,'Clients List'!$A:$F,2,FALSE),"")</f>
        <v/>
      </c>
      <c r="F3095" s="1" t="str">
        <f>IF(OR(C3095="",NOT(ISNUMBER(SEARCH("Package",D3095)))),"",VLOOKUP(C3095,'Clients List'!$A:$F,4,FALSE)-SUMIFS($E$2:$E3095,$C$2:$C3095,C3095,$D$2:$D3095,"*Package*"))</f>
        <v/>
      </c>
      <c r="G3095" t="str">
        <f t="shared" si="81"/>
        <v/>
      </c>
      <c r="H3095" s="33">
        <f>IF(ISNUMBER(SEARCH("Group",D3095)),IF(G3095="",E3095,IFERROR(E3095/COUNTIF($G2:$G6000,G3095),E3095)),E3095)</f>
        <v>0</v>
      </c>
      <c r="I3095" s="1" t="str">
        <f>IFERROR(VLOOKUP(C3095,'Clients List'!A:F,6,FALSE),"")</f>
        <v/>
      </c>
    </row>
    <row r="3096" spans="4:9" x14ac:dyDescent="0.45">
      <c r="D3096" t="str">
        <f>IFERROR(VLOOKUP(C3096,'Clients List'!$A:$F,2,FALSE),"")</f>
        <v/>
      </c>
      <c r="F3096" s="1" t="str">
        <f>IF(OR(C3096="",NOT(ISNUMBER(SEARCH("Package",D3096)))),"",VLOOKUP(C3096,'Clients List'!$A:$F,4,FALSE)-SUMIFS($E$2:$E3096,$C$2:$C3096,C3096,$D$2:$D3096,"*Package*"))</f>
        <v/>
      </c>
      <c r="G3096" t="str">
        <f t="shared" si="81"/>
        <v/>
      </c>
      <c r="H3096" s="33">
        <f>IF(ISNUMBER(SEARCH("Group",D3096)),IF(G3096="",E3096,IFERROR(E3096/COUNTIF($G2:$G6000,G3096),E3096)),E3096)</f>
        <v>0</v>
      </c>
      <c r="I3096" s="1" t="str">
        <f>IFERROR(VLOOKUP(C3096,'Clients List'!A:F,6,FALSE),"")</f>
        <v/>
      </c>
    </row>
    <row r="3097" spans="4:9" x14ac:dyDescent="0.45">
      <c r="D3097" t="str">
        <f>IFERROR(VLOOKUP(C3097,'Clients List'!$A:$F,2,FALSE),"")</f>
        <v/>
      </c>
      <c r="F3097" s="1" t="str">
        <f>IF(OR(C3097="",NOT(ISNUMBER(SEARCH("Package",D3097)))),"",VLOOKUP(C3097,'Clients List'!$A:$F,4,FALSE)-SUMIFS($E$2:$E3097,$C$2:$C3097,C3097,$D$2:$D3097,"*Package*"))</f>
        <v/>
      </c>
      <c r="G3097" t="str">
        <f t="shared" si="81"/>
        <v/>
      </c>
      <c r="H3097" s="33">
        <f>IF(ISNUMBER(SEARCH("Group",D3097)),IF(G3097="",E3097,IFERROR(E3097/COUNTIF($G2:$G6000,G3097),E3097)),E3097)</f>
        <v>0</v>
      </c>
      <c r="I3097" s="1" t="str">
        <f>IFERROR(VLOOKUP(C3097,'Clients List'!A:F,6,FALSE),"")</f>
        <v/>
      </c>
    </row>
    <row r="3098" spans="4:9" x14ac:dyDescent="0.45">
      <c r="D3098" t="str">
        <f>IFERROR(VLOOKUP(C3098,'Clients List'!$A:$F,2,FALSE),"")</f>
        <v/>
      </c>
      <c r="F3098" s="1" t="str">
        <f>IF(OR(C3098="",NOT(ISNUMBER(SEARCH("Package",D3098)))),"",VLOOKUP(C3098,'Clients List'!$A:$F,4,FALSE)-SUMIFS($E$2:$E3098,$C$2:$C3098,C3098,$D$2:$D3098,"*Package*"))</f>
        <v/>
      </c>
      <c r="G3098" t="str">
        <f t="shared" si="81"/>
        <v/>
      </c>
      <c r="H3098" s="33">
        <f>IF(ISNUMBER(SEARCH("Group",D3098)),IF(G3098="",E3098,IFERROR(E3098/COUNTIF($G2:$G6000,G3098),E3098)),E3098)</f>
        <v>0</v>
      </c>
      <c r="I3098" s="1" t="str">
        <f>IFERROR(VLOOKUP(C3098,'Clients List'!A:F,6,FALSE),"")</f>
        <v/>
      </c>
    </row>
    <row r="3099" spans="4:9" x14ac:dyDescent="0.45">
      <c r="D3099" t="str">
        <f>IFERROR(VLOOKUP(C3099,'Clients List'!$A:$F,2,FALSE),"")</f>
        <v/>
      </c>
      <c r="F3099" s="1" t="str">
        <f>IF(OR(C3099="",NOT(ISNUMBER(SEARCH("Package",D3099)))),"",VLOOKUP(C3099,'Clients List'!$A:$F,4,FALSE)-SUMIFS($E$2:$E3099,$C$2:$C3099,C3099,$D$2:$D3099,"*Package*"))</f>
        <v/>
      </c>
      <c r="G3099" t="str">
        <f t="shared" si="81"/>
        <v/>
      </c>
      <c r="H3099" s="33">
        <f>IF(ISNUMBER(SEARCH("Group",D3099)),IF(G3099="",E3099,IFERROR(E3099/COUNTIF($G2:$G6000,G3099),E3099)),E3099)</f>
        <v>0</v>
      </c>
      <c r="I3099" s="1" t="str">
        <f>IFERROR(VLOOKUP(C3099,'Clients List'!A:F,6,FALSE),"")</f>
        <v/>
      </c>
    </row>
    <row r="3100" spans="4:9" x14ac:dyDescent="0.45">
      <c r="D3100" t="str">
        <f>IFERROR(VLOOKUP(C3100,'Clients List'!$A:$F,2,FALSE),"")</f>
        <v/>
      </c>
      <c r="F3100" s="1" t="str">
        <f>IF(OR(C3100="",NOT(ISNUMBER(SEARCH("Package",D3100)))),"",VLOOKUP(C3100,'Clients List'!$A:$F,4,FALSE)-SUMIFS($E$2:$E3100,$C$2:$C3100,C3100,$D$2:$D3100,"*Package*"))</f>
        <v/>
      </c>
      <c r="G3100" t="str">
        <f t="shared" si="81"/>
        <v/>
      </c>
      <c r="H3100" s="33">
        <f>IF(ISNUMBER(SEARCH("Group",D3100)),IF(G3100="",E3100,IFERROR(E3100/COUNTIF($G2:$G6000,G3100),E3100)),E3100)</f>
        <v>0</v>
      </c>
      <c r="I3100" s="1" t="str">
        <f>IFERROR(VLOOKUP(C3100,'Clients List'!A:F,6,FALSE),"")</f>
        <v/>
      </c>
    </row>
    <row r="3101" spans="4:9" x14ac:dyDescent="0.45">
      <c r="D3101" t="str">
        <f>IFERROR(VLOOKUP(C3101,'Clients List'!$A:$F,2,FALSE),"")</f>
        <v/>
      </c>
      <c r="F3101" s="1" t="str">
        <f>IF(OR(C3101="",NOT(ISNUMBER(SEARCH("Package",D3101)))),"",VLOOKUP(C3101,'Clients List'!$A:$F,4,FALSE)-SUMIFS($E$2:$E3101,$C$2:$C3101,C3101,$D$2:$D3101,"*Package*"))</f>
        <v/>
      </c>
      <c r="G3101" t="str">
        <f t="shared" si="81"/>
        <v/>
      </c>
      <c r="H3101" s="33">
        <f>IF(ISNUMBER(SEARCH("Group",D3101)),IF(G3101="",E3101,IFERROR(E3101/COUNTIF($G2:$G6000,G3101),E3101)),E3101)</f>
        <v>0</v>
      </c>
      <c r="I3101" s="1" t="str">
        <f>IFERROR(VLOOKUP(C3101,'Clients List'!A:F,6,FALSE),"")</f>
        <v/>
      </c>
    </row>
    <row r="3102" spans="4:9" x14ac:dyDescent="0.45">
      <c r="D3102" t="str">
        <f>IFERROR(VLOOKUP(C3102,'Clients List'!$A:$F,2,FALSE),"")</f>
        <v/>
      </c>
      <c r="F3102" s="1" t="str">
        <f>IF(OR(C3102="",NOT(ISNUMBER(SEARCH("Package",D3102)))),"",VLOOKUP(C3102,'Clients List'!$A:$F,4,FALSE)-SUMIFS($E$2:$E3102,$C$2:$C3102,C3102,$D$2:$D3102,"*Package*"))</f>
        <v/>
      </c>
      <c r="G3102" t="str">
        <f t="shared" si="81"/>
        <v/>
      </c>
      <c r="H3102" s="33">
        <f>IF(ISNUMBER(SEARCH("Group",D3102)),IF(G3102="",E3102,IFERROR(E3102/COUNTIF($G2:$G6000,G3102),E3102)),E3102)</f>
        <v>0</v>
      </c>
      <c r="I3102" s="1" t="str">
        <f>IFERROR(VLOOKUP(C3102,'Clients List'!A:F,6,FALSE),"")</f>
        <v/>
      </c>
    </row>
    <row r="3103" spans="4:9" x14ac:dyDescent="0.45">
      <c r="D3103" t="str">
        <f>IFERROR(VLOOKUP(C3103,'Clients List'!$A:$F,2,FALSE),"")</f>
        <v/>
      </c>
      <c r="F3103" s="1" t="str">
        <f>IF(OR(C3103="",NOT(ISNUMBER(SEARCH("Package",D3103)))),"",VLOOKUP(C3103,'Clients List'!$A:$F,4,FALSE)-SUMIFS($E$2:$E3103,$C$2:$C3103,C3103,$D$2:$D3103,"*Package*"))</f>
        <v/>
      </c>
      <c r="G3103" t="str">
        <f t="shared" si="81"/>
        <v/>
      </c>
      <c r="H3103" s="33">
        <f>IF(ISNUMBER(SEARCH("Group",D3103)),IF(G3103="",E3103,IFERROR(E3103/COUNTIF($G2:$G6000,G3103),E3103)),E3103)</f>
        <v>0</v>
      </c>
      <c r="I3103" s="1" t="str">
        <f>IFERROR(VLOOKUP(C3103,'Clients List'!A:F,6,FALSE),"")</f>
        <v/>
      </c>
    </row>
    <row r="3104" spans="4:9" x14ac:dyDescent="0.45">
      <c r="D3104" t="str">
        <f>IFERROR(VLOOKUP(C3104,'Clients List'!$A:$F,2,FALSE),"")</f>
        <v/>
      </c>
      <c r="F3104" s="1" t="str">
        <f>IF(OR(C3104="",NOT(ISNUMBER(SEARCH("Package",D3104)))),"",VLOOKUP(C3104,'Clients List'!$A:$F,4,FALSE)-SUMIFS($E$2:$E3104,$C$2:$C3104,C3104,$D$2:$D3104,"*Package*"))</f>
        <v/>
      </c>
      <c r="G3104" t="str">
        <f t="shared" si="81"/>
        <v/>
      </c>
      <c r="H3104" s="33">
        <f>IF(ISNUMBER(SEARCH("Group",D3104)),IF(G3104="",E3104,IFERROR(E3104/COUNTIF($G2:$G6000,G3104),E3104)),E3104)</f>
        <v>0</v>
      </c>
      <c r="I3104" s="1" t="str">
        <f>IFERROR(VLOOKUP(C3104,'Clients List'!A:F,6,FALSE),"")</f>
        <v/>
      </c>
    </row>
    <row r="3105" spans="4:9" x14ac:dyDescent="0.45">
      <c r="D3105" t="str">
        <f>IFERROR(VLOOKUP(C3105,'Clients List'!$A:$F,2,FALSE),"")</f>
        <v/>
      </c>
      <c r="F3105" s="1" t="str">
        <f>IF(OR(C3105="",NOT(ISNUMBER(SEARCH("Package",D3105)))),"",VLOOKUP(C3105,'Clients List'!$A:$F,4,FALSE)-SUMIFS($E$2:$E3105,$C$2:$C3105,C3105,$D$2:$D3105,"*Package*"))</f>
        <v/>
      </c>
      <c r="G3105" t="str">
        <f t="shared" si="81"/>
        <v/>
      </c>
      <c r="H3105" s="33">
        <f>IF(ISNUMBER(SEARCH("Group",D3105)),IF(G3105="",E3105,IFERROR(E3105/COUNTIF($G2:$G6000,G3105),E3105)),E3105)</f>
        <v>0</v>
      </c>
      <c r="I3105" s="1" t="str">
        <f>IFERROR(VLOOKUP(C3105,'Clients List'!A:F,6,FALSE),"")</f>
        <v/>
      </c>
    </row>
    <row r="3106" spans="4:9" x14ac:dyDescent="0.45">
      <c r="D3106" t="str">
        <f>IFERROR(VLOOKUP(C3106,'Clients List'!$A:$F,2,FALSE),"")</f>
        <v/>
      </c>
      <c r="F3106" s="1" t="str">
        <f>IF(OR(C3106="",NOT(ISNUMBER(SEARCH("Package",D3106)))),"",VLOOKUP(C3106,'Clients List'!$A:$F,4,FALSE)-SUMIFS($E$2:$E3106,$C$2:$C3106,C3106,$D$2:$D3106,"*Package*"))</f>
        <v/>
      </c>
      <c r="G3106" t="str">
        <f t="shared" si="81"/>
        <v/>
      </c>
      <c r="H3106" s="33">
        <f>IF(ISNUMBER(SEARCH("Group",D3106)),IF(G3106="",E3106,IFERROR(E3106/COUNTIF($G2:$G6000,G3106),E3106)),E3106)</f>
        <v>0</v>
      </c>
      <c r="I3106" s="1" t="str">
        <f>IFERROR(VLOOKUP(C3106,'Clients List'!A:F,6,FALSE),"")</f>
        <v/>
      </c>
    </row>
    <row r="3107" spans="4:9" x14ac:dyDescent="0.45">
      <c r="D3107" t="str">
        <f>IFERROR(VLOOKUP(C3107,'Clients List'!$A:$F,2,FALSE),"")</f>
        <v/>
      </c>
      <c r="F3107" s="1" t="str">
        <f>IF(OR(C3107="",NOT(ISNUMBER(SEARCH("Package",D3107)))),"",VLOOKUP(C3107,'Clients List'!$A:$F,4,FALSE)-SUMIFS($E$2:$E3107,$C$2:$C3107,C3107,$D$2:$D3107,"*Package*"))</f>
        <v/>
      </c>
      <c r="G3107" t="str">
        <f t="shared" si="81"/>
        <v/>
      </c>
      <c r="H3107" s="33">
        <f>IF(ISNUMBER(SEARCH("Group",D3107)),IF(G3107="",E3107,IFERROR(E3107/COUNTIF($G2:$G6000,G3107),E3107)),E3107)</f>
        <v>0</v>
      </c>
      <c r="I3107" s="1" t="str">
        <f>IFERROR(VLOOKUP(C3107,'Clients List'!A:F,6,FALSE),"")</f>
        <v/>
      </c>
    </row>
    <row r="3108" spans="4:9" x14ac:dyDescent="0.45">
      <c r="D3108" t="str">
        <f>IFERROR(VLOOKUP(C3108,'Clients List'!$A:$F,2,FALSE),"")</f>
        <v/>
      </c>
      <c r="F3108" s="1" t="str">
        <f>IF(OR(C3108="",NOT(ISNUMBER(SEARCH("Package",D3108)))),"",VLOOKUP(C3108,'Clients List'!$A:$F,4,FALSE)-SUMIFS($E$2:$E3108,$C$2:$C3108,C3108,$D$2:$D3108,"*Package*"))</f>
        <v/>
      </c>
      <c r="G3108" t="str">
        <f t="shared" si="81"/>
        <v/>
      </c>
      <c r="H3108" s="33">
        <f>IF(ISNUMBER(SEARCH("Group",D3108)),IF(G3108="",E3108,IFERROR(E3108/COUNTIF($G2:$G6000,G3108),E3108)),E3108)</f>
        <v>0</v>
      </c>
      <c r="I3108" s="1" t="str">
        <f>IFERROR(VLOOKUP(C3108,'Clients List'!A:F,6,FALSE),"")</f>
        <v/>
      </c>
    </row>
    <row r="3109" spans="4:9" x14ac:dyDescent="0.45">
      <c r="D3109" t="str">
        <f>IFERROR(VLOOKUP(C3109,'Clients List'!$A:$F,2,FALSE),"")</f>
        <v/>
      </c>
      <c r="F3109" s="1" t="str">
        <f>IF(OR(C3109="",NOT(ISNUMBER(SEARCH("Package",D3109)))),"",VLOOKUP(C3109,'Clients List'!$A:$F,4,FALSE)-SUMIFS($E$2:$E3109,$C$2:$C3109,C3109,$D$2:$D3109,"*Package*"))</f>
        <v/>
      </c>
      <c r="G3109" t="str">
        <f t="shared" si="81"/>
        <v/>
      </c>
      <c r="H3109" s="33">
        <f>IF(ISNUMBER(SEARCH("Group",D3109)),IF(G3109="",E3109,IFERROR(E3109/COUNTIF($G2:$G6000,G3109),E3109)),E3109)</f>
        <v>0</v>
      </c>
      <c r="I3109" s="1" t="str">
        <f>IFERROR(VLOOKUP(C3109,'Clients List'!A:F,6,FALSE),"")</f>
        <v/>
      </c>
    </row>
    <row r="3110" spans="4:9" x14ac:dyDescent="0.45">
      <c r="D3110" t="str">
        <f>IFERROR(VLOOKUP(C3110,'Clients List'!$A:$F,2,FALSE),"")</f>
        <v/>
      </c>
      <c r="F3110" s="1" t="str">
        <f>IF(OR(C3110="",NOT(ISNUMBER(SEARCH("Package",D3110)))),"",VLOOKUP(C3110,'Clients List'!$A:$F,4,FALSE)-SUMIFS($E$2:$E3110,$C$2:$C3110,C3110,$D$2:$D3110,"*Package*"))</f>
        <v/>
      </c>
      <c r="G3110" t="str">
        <f t="shared" si="81"/>
        <v/>
      </c>
      <c r="H3110" s="33">
        <f>IF(ISNUMBER(SEARCH("Group",D3110)),IF(G3110="",E3110,IFERROR(E3110/COUNTIF($G2:$G6000,G3110),E3110)),E3110)</f>
        <v>0</v>
      </c>
      <c r="I3110" s="1" t="str">
        <f>IFERROR(VLOOKUP(C3110,'Clients List'!A:F,6,FALSE),"")</f>
        <v/>
      </c>
    </row>
    <row r="3111" spans="4:9" x14ac:dyDescent="0.45">
      <c r="D3111" t="str">
        <f>IFERROR(VLOOKUP(C3111,'Clients List'!$A:$F,2,FALSE),"")</f>
        <v/>
      </c>
      <c r="F3111" s="1" t="str">
        <f>IF(OR(C3111="",NOT(ISNUMBER(SEARCH("Package",D3111)))),"",VLOOKUP(C3111,'Clients List'!$A:$F,4,FALSE)-SUMIFS($E$2:$E3111,$C$2:$C3111,C3111,$D$2:$D3111,"*Package*"))</f>
        <v/>
      </c>
      <c r="G3111" t="str">
        <f t="shared" si="81"/>
        <v/>
      </c>
      <c r="H3111" s="33">
        <f>IF(ISNUMBER(SEARCH("Group",D3111)),IF(G3111="",E3111,IFERROR(E3111/COUNTIF($G2:$G6000,G3111),E3111)),E3111)</f>
        <v>0</v>
      </c>
      <c r="I3111" s="1" t="str">
        <f>IFERROR(VLOOKUP(C3111,'Clients List'!A:F,6,FALSE),"")</f>
        <v/>
      </c>
    </row>
    <row r="3112" spans="4:9" x14ac:dyDescent="0.45">
      <c r="D3112" t="str">
        <f>IFERROR(VLOOKUP(C3112,'Clients List'!$A:$F,2,FALSE),"")</f>
        <v/>
      </c>
      <c r="F3112" s="1" t="str">
        <f>IF(OR(C3112="",NOT(ISNUMBER(SEARCH("Package",D3112)))),"",VLOOKUP(C3112,'Clients List'!$A:$F,4,FALSE)-SUMIFS($E$2:$E3112,$C$2:$C3112,C3112,$D$2:$D3112,"*Package*"))</f>
        <v/>
      </c>
      <c r="G3112" t="str">
        <f t="shared" si="81"/>
        <v/>
      </c>
      <c r="H3112" s="33">
        <f>IF(ISNUMBER(SEARCH("Group",D3112)),IF(G3112="",E3112,IFERROR(E3112/COUNTIF($G2:$G6000,G3112),E3112)),E3112)</f>
        <v>0</v>
      </c>
      <c r="I3112" s="1" t="str">
        <f>IFERROR(VLOOKUP(C3112,'Clients List'!A:F,6,FALSE),"")</f>
        <v/>
      </c>
    </row>
    <row r="3113" spans="4:9" x14ac:dyDescent="0.45">
      <c r="D3113" t="str">
        <f>IFERROR(VLOOKUP(C3113,'Clients List'!$A:$F,2,FALSE),"")</f>
        <v/>
      </c>
      <c r="F3113" s="1" t="str">
        <f>IF(OR(C3113="",NOT(ISNUMBER(SEARCH("Package",D3113)))),"",VLOOKUP(C3113,'Clients List'!$A:$F,4,FALSE)-SUMIFS($E$2:$E3113,$C$2:$C3113,C3113,$D$2:$D3113,"*Package*"))</f>
        <v/>
      </c>
      <c r="G3113" t="str">
        <f t="shared" si="81"/>
        <v/>
      </c>
      <c r="H3113" s="33">
        <f>IF(ISNUMBER(SEARCH("Group",D3113)),IF(G3113="",E3113,IFERROR(E3113/COUNTIF($G2:$G6000,G3113),E3113)),E3113)</f>
        <v>0</v>
      </c>
      <c r="I3113" s="1" t="str">
        <f>IFERROR(VLOOKUP(C3113,'Clients List'!A:F,6,FALSE),"")</f>
        <v/>
      </c>
    </row>
    <row r="3114" spans="4:9" x14ac:dyDescent="0.45">
      <c r="D3114" t="str">
        <f>IFERROR(VLOOKUP(C3114,'Clients List'!$A:$F,2,FALSE),"")</f>
        <v/>
      </c>
      <c r="F3114" s="1" t="str">
        <f>IF(OR(C3114="",NOT(ISNUMBER(SEARCH("Package",D3114)))),"",VLOOKUP(C3114,'Clients List'!$A:$F,4,FALSE)-SUMIFS($E$2:$E3114,$C$2:$C3114,C3114,$D$2:$D3114,"*Package*"))</f>
        <v/>
      </c>
      <c r="G3114" t="str">
        <f t="shared" si="81"/>
        <v/>
      </c>
      <c r="H3114" s="33">
        <f>IF(ISNUMBER(SEARCH("Group",D3114)),IF(G3114="",E3114,IFERROR(E3114/COUNTIF($G2:$G6000,G3114),E3114)),E3114)</f>
        <v>0</v>
      </c>
      <c r="I3114" s="1" t="str">
        <f>IFERROR(VLOOKUP(C3114,'Clients List'!A:F,6,FALSE),"")</f>
        <v/>
      </c>
    </row>
    <row r="3115" spans="4:9" x14ac:dyDescent="0.45">
      <c r="D3115" t="str">
        <f>IFERROR(VLOOKUP(C3115,'Clients List'!$A:$F,2,FALSE),"")</f>
        <v/>
      </c>
      <c r="F3115" s="1" t="str">
        <f>IF(OR(C3115="",NOT(ISNUMBER(SEARCH("Package",D3115)))),"",VLOOKUP(C3115,'Clients List'!$A:$F,4,FALSE)-SUMIFS($E$2:$E3115,$C$2:$C3115,C3115,$D$2:$D3115,"*Package*"))</f>
        <v/>
      </c>
      <c r="G3115" t="str">
        <f t="shared" si="81"/>
        <v/>
      </c>
      <c r="H3115" s="33">
        <f>IF(ISNUMBER(SEARCH("Group",D3115)),IF(G3115="",E3115,IFERROR(E3115/COUNTIF($G2:$G6000,G3115),E3115)),E3115)</f>
        <v>0</v>
      </c>
      <c r="I3115" s="1" t="str">
        <f>IFERROR(VLOOKUP(C3115,'Clients List'!A:F,6,FALSE),"")</f>
        <v/>
      </c>
    </row>
    <row r="3116" spans="4:9" x14ac:dyDescent="0.45">
      <c r="D3116" t="str">
        <f>IFERROR(VLOOKUP(C3116,'Clients List'!$A:$F,2,FALSE),"")</f>
        <v/>
      </c>
      <c r="F3116" s="1" t="str">
        <f>IF(OR(C3116="",NOT(ISNUMBER(SEARCH("Package",D3116)))),"",VLOOKUP(C3116,'Clients List'!$A:$F,4,FALSE)-SUMIFS($E$2:$E3116,$C$2:$C3116,C3116,$D$2:$D3116,"*Package*"))</f>
        <v/>
      </c>
      <c r="G3116" t="str">
        <f t="shared" si="81"/>
        <v/>
      </c>
      <c r="H3116" s="33">
        <f>IF(ISNUMBER(SEARCH("Group",D3116)),IF(G3116="",E3116,IFERROR(E3116/COUNTIF($G2:$G6000,G3116),E3116)),E3116)</f>
        <v>0</v>
      </c>
      <c r="I3116" s="1" t="str">
        <f>IFERROR(VLOOKUP(C3116,'Clients List'!A:F,6,FALSE),"")</f>
        <v/>
      </c>
    </row>
    <row r="3117" spans="4:9" x14ac:dyDescent="0.45">
      <c r="D3117" t="str">
        <f>IFERROR(VLOOKUP(C3117,'Clients List'!$A:$F,2,FALSE),"")</f>
        <v/>
      </c>
      <c r="F3117" s="1" t="str">
        <f>IF(OR(C3117="",NOT(ISNUMBER(SEARCH("Package",D3117)))),"",VLOOKUP(C3117,'Clients List'!$A:$F,4,FALSE)-SUMIFS($E$2:$E3117,$C$2:$C3117,C3117,$D$2:$D3117,"*Package*"))</f>
        <v/>
      </c>
      <c r="G3117" t="str">
        <f t="shared" si="81"/>
        <v/>
      </c>
      <c r="H3117" s="33">
        <f>IF(ISNUMBER(SEARCH("Group",D3117)),IF(G3117="",E3117,IFERROR(E3117/COUNTIF($G2:$G6000,G3117),E3117)),E3117)</f>
        <v>0</v>
      </c>
      <c r="I3117" s="1" t="str">
        <f>IFERROR(VLOOKUP(C3117,'Clients List'!A:F,6,FALSE),"")</f>
        <v/>
      </c>
    </row>
    <row r="3118" spans="4:9" x14ac:dyDescent="0.45">
      <c r="D3118" t="str">
        <f>IFERROR(VLOOKUP(C3118,'Clients List'!$A:$F,2,FALSE),"")</f>
        <v/>
      </c>
      <c r="F3118" s="1" t="str">
        <f>IF(OR(C3118="",NOT(ISNUMBER(SEARCH("Package",D3118)))),"",VLOOKUP(C3118,'Clients List'!$A:$F,4,FALSE)-SUMIFS($E$2:$E3118,$C$2:$C3118,C3118,$D$2:$D3118,"*Package*"))</f>
        <v/>
      </c>
      <c r="G3118" t="str">
        <f t="shared" si="81"/>
        <v/>
      </c>
      <c r="H3118" s="33">
        <f>IF(ISNUMBER(SEARCH("Group",D3118)),IF(G3118="",E3118,IFERROR(E3118/COUNTIF($G2:$G6000,G3118),E3118)),E3118)</f>
        <v>0</v>
      </c>
      <c r="I3118" s="1" t="str">
        <f>IFERROR(VLOOKUP(C3118,'Clients List'!A:F,6,FALSE),"")</f>
        <v/>
      </c>
    </row>
    <row r="3119" spans="4:9" x14ac:dyDescent="0.45">
      <c r="D3119" t="str">
        <f>IFERROR(VLOOKUP(C3119,'Clients List'!$A:$F,2,FALSE),"")</f>
        <v/>
      </c>
      <c r="F3119" s="1" t="str">
        <f>IF(OR(C3119="",NOT(ISNUMBER(SEARCH("Package",D3119)))),"",VLOOKUP(C3119,'Clients List'!$A:$F,4,FALSE)-SUMIFS($E$2:$E3119,$C$2:$C3119,C3119,$D$2:$D3119,"*Package*"))</f>
        <v/>
      </c>
      <c r="G3119" t="str">
        <f t="shared" si="81"/>
        <v/>
      </c>
      <c r="H3119" s="33">
        <f>IF(ISNUMBER(SEARCH("Group",D3119)),IF(G3119="",E3119,IFERROR(E3119/COUNTIF($G2:$G6000,G3119),E3119)),E3119)</f>
        <v>0</v>
      </c>
      <c r="I3119" s="1" t="str">
        <f>IFERROR(VLOOKUP(C3119,'Clients List'!A:F,6,FALSE),"")</f>
        <v/>
      </c>
    </row>
    <row r="3120" spans="4:9" x14ac:dyDescent="0.45">
      <c r="D3120" t="str">
        <f>IFERROR(VLOOKUP(C3120,'Clients List'!$A:$F,2,FALSE),"")</f>
        <v/>
      </c>
      <c r="F3120" s="1" t="str">
        <f>IF(OR(C3120="",NOT(ISNUMBER(SEARCH("Package",D3120)))),"",VLOOKUP(C3120,'Clients List'!$A:$F,4,FALSE)-SUMIFS($E$2:$E3120,$C$2:$C3120,C3120,$D$2:$D3120,"*Package*"))</f>
        <v/>
      </c>
      <c r="G3120" t="str">
        <f t="shared" si="81"/>
        <v/>
      </c>
      <c r="H3120" s="33">
        <f>IF(ISNUMBER(SEARCH("Group",D3120)),IF(G3120="",E3120,IFERROR(E3120/COUNTIF($G2:$G6000,G3120),E3120)),E3120)</f>
        <v>0</v>
      </c>
      <c r="I3120" s="1" t="str">
        <f>IFERROR(VLOOKUP(C3120,'Clients List'!A:F,6,FALSE),"")</f>
        <v/>
      </c>
    </row>
    <row r="3121" spans="4:9" x14ac:dyDescent="0.45">
      <c r="D3121" t="str">
        <f>IFERROR(VLOOKUP(C3121,'Clients List'!$A:$F,2,FALSE),"")</f>
        <v/>
      </c>
      <c r="F3121" s="1" t="str">
        <f>IF(OR(C3121="",NOT(ISNUMBER(SEARCH("Package",D3121)))),"",VLOOKUP(C3121,'Clients List'!$A:$F,4,FALSE)-SUMIFS($E$2:$E3121,$C$2:$C3121,C3121,$D$2:$D3121,"*Package*"))</f>
        <v/>
      </c>
      <c r="G3121" t="str">
        <f t="shared" si="81"/>
        <v/>
      </c>
      <c r="H3121" s="33">
        <f>IF(ISNUMBER(SEARCH("Group",D3121)),IF(G3121="",E3121,IFERROR(E3121/COUNTIF($G2:$G6000,G3121),E3121)),E3121)</f>
        <v>0</v>
      </c>
      <c r="I3121" s="1" t="str">
        <f>IFERROR(VLOOKUP(C3121,'Clients List'!A:F,6,FALSE),"")</f>
        <v/>
      </c>
    </row>
    <row r="3122" spans="4:9" x14ac:dyDescent="0.45">
      <c r="D3122" t="str">
        <f>IFERROR(VLOOKUP(C3122,'Clients List'!$A:$F,2,FALSE),"")</f>
        <v/>
      </c>
      <c r="F3122" s="1" t="str">
        <f>IF(OR(C3122="",NOT(ISNUMBER(SEARCH("Package",D3122)))),"",VLOOKUP(C3122,'Clients List'!$A:$F,4,FALSE)-SUMIFS($E$2:$E3122,$C$2:$C3122,C3122,$D$2:$D3122,"*Package*"))</f>
        <v/>
      </c>
      <c r="G3122" t="str">
        <f t="shared" si="81"/>
        <v/>
      </c>
      <c r="H3122" s="33">
        <f>IF(ISNUMBER(SEARCH("Group",D3122)),IF(G3122="",E3122,IFERROR(E3122/COUNTIF($G2:$G6000,G3122),E3122)),E3122)</f>
        <v>0</v>
      </c>
      <c r="I3122" s="1" t="str">
        <f>IFERROR(VLOOKUP(C3122,'Clients List'!A:F,6,FALSE),"")</f>
        <v/>
      </c>
    </row>
    <row r="3123" spans="4:9" x14ac:dyDescent="0.45">
      <c r="D3123" t="str">
        <f>IFERROR(VLOOKUP(C3123,'Clients List'!$A:$F,2,FALSE),"")</f>
        <v/>
      </c>
      <c r="F3123" s="1" t="str">
        <f>IF(OR(C3123="",NOT(ISNUMBER(SEARCH("Package",D3123)))),"",VLOOKUP(C3123,'Clients List'!$A:$F,4,FALSE)-SUMIFS($E$2:$E3123,$C$2:$C3123,C3123,$D$2:$D3123,"*Package*"))</f>
        <v/>
      </c>
      <c r="G3123" t="str">
        <f t="shared" si="81"/>
        <v/>
      </c>
      <c r="H3123" s="33">
        <f>IF(ISNUMBER(SEARCH("Group",D3123)),IF(G3123="",E3123,IFERROR(E3123/COUNTIF($G2:$G6000,G3123),E3123)),E3123)</f>
        <v>0</v>
      </c>
      <c r="I3123" s="1" t="str">
        <f>IFERROR(VLOOKUP(C3123,'Clients List'!A:F,6,FALSE),"")</f>
        <v/>
      </c>
    </row>
    <row r="3124" spans="4:9" x14ac:dyDescent="0.45">
      <c r="D3124" t="str">
        <f>IFERROR(VLOOKUP(C3124,'Clients List'!$A:$F,2,FALSE),"")</f>
        <v/>
      </c>
      <c r="F3124" s="1" t="str">
        <f>IF(OR(C3124="",NOT(ISNUMBER(SEARCH("Package",D3124)))),"",VLOOKUP(C3124,'Clients List'!$A:$F,4,FALSE)-SUMIFS($E$2:$E3124,$C$2:$C3124,C3124,$D$2:$D3124,"*Package*"))</f>
        <v/>
      </c>
      <c r="G3124" t="str">
        <f t="shared" si="81"/>
        <v/>
      </c>
      <c r="H3124" s="33">
        <f>IF(ISNUMBER(SEARCH("Group",D3124)),IF(G3124="",E3124,IFERROR(E3124/COUNTIF($G2:$G6000,G3124),E3124)),E3124)</f>
        <v>0</v>
      </c>
      <c r="I3124" s="1" t="str">
        <f>IFERROR(VLOOKUP(C3124,'Clients List'!A:F,6,FALSE),"")</f>
        <v/>
      </c>
    </row>
    <row r="3125" spans="4:9" x14ac:dyDescent="0.45">
      <c r="D3125" t="str">
        <f>IFERROR(VLOOKUP(C3125,'Clients List'!$A:$F,2,FALSE),"")</f>
        <v/>
      </c>
      <c r="F3125" s="1" t="str">
        <f>IF(OR(C3125="",NOT(ISNUMBER(SEARCH("Package",D3125)))),"",VLOOKUP(C3125,'Clients List'!$A:$F,4,FALSE)-SUMIFS($E$2:$E3125,$C$2:$C3125,C3125,$D$2:$D3125,"*Package*"))</f>
        <v/>
      </c>
      <c r="G3125" t="str">
        <f t="shared" ref="G3125:G3188" si="82">IF(ISNUMBER(SEARCH("Group",D3125)),IFERROR("GRP-"&amp;TEXT(IF(ISNUMBER(A3125),A3125,DATEVALUE(A3125)),"yyyymmdd"),""),"" )</f>
        <v/>
      </c>
      <c r="H3125" s="33">
        <f>IF(ISNUMBER(SEARCH("Group",D3125)),IF(G3125="",E3125,IFERROR(E3125/COUNTIF($G2:$G6000,G3125),E3125)),E3125)</f>
        <v>0</v>
      </c>
      <c r="I3125" s="1" t="str">
        <f>IFERROR(VLOOKUP(C3125,'Clients List'!A:F,6,FALSE),"")</f>
        <v/>
      </c>
    </row>
    <row r="3126" spans="4:9" x14ac:dyDescent="0.45">
      <c r="D3126" t="str">
        <f>IFERROR(VLOOKUP(C3126,'Clients List'!$A:$F,2,FALSE),"")</f>
        <v/>
      </c>
      <c r="F3126" s="1" t="str">
        <f>IF(OR(C3126="",NOT(ISNUMBER(SEARCH("Package",D3126)))),"",VLOOKUP(C3126,'Clients List'!$A:$F,4,FALSE)-SUMIFS($E$2:$E3126,$C$2:$C3126,C3126,$D$2:$D3126,"*Package*"))</f>
        <v/>
      </c>
      <c r="G3126" t="str">
        <f t="shared" si="82"/>
        <v/>
      </c>
      <c r="H3126" s="33">
        <f>IF(ISNUMBER(SEARCH("Group",D3126)),IF(G3126="",E3126,IFERROR(E3126/COUNTIF($G2:$G6000,G3126),E3126)),E3126)</f>
        <v>0</v>
      </c>
      <c r="I3126" s="1" t="str">
        <f>IFERROR(VLOOKUP(C3126,'Clients List'!A:F,6,FALSE),"")</f>
        <v/>
      </c>
    </row>
    <row r="3127" spans="4:9" x14ac:dyDescent="0.45">
      <c r="D3127" t="str">
        <f>IFERROR(VLOOKUP(C3127,'Clients List'!$A:$F,2,FALSE),"")</f>
        <v/>
      </c>
      <c r="F3127" s="1" t="str">
        <f>IF(OR(C3127="",NOT(ISNUMBER(SEARCH("Package",D3127)))),"",VLOOKUP(C3127,'Clients List'!$A:$F,4,FALSE)-SUMIFS($E$2:$E3127,$C$2:$C3127,C3127,$D$2:$D3127,"*Package*"))</f>
        <v/>
      </c>
      <c r="G3127" t="str">
        <f t="shared" si="82"/>
        <v/>
      </c>
      <c r="H3127" s="33">
        <f>IF(ISNUMBER(SEARCH("Group",D3127)),IF(G3127="",E3127,IFERROR(E3127/COUNTIF($G2:$G6000,G3127),E3127)),E3127)</f>
        <v>0</v>
      </c>
      <c r="I3127" s="1" t="str">
        <f>IFERROR(VLOOKUP(C3127,'Clients List'!A:F,6,FALSE),"")</f>
        <v/>
      </c>
    </row>
    <row r="3128" spans="4:9" x14ac:dyDescent="0.45">
      <c r="D3128" t="str">
        <f>IFERROR(VLOOKUP(C3128,'Clients List'!$A:$F,2,FALSE),"")</f>
        <v/>
      </c>
      <c r="F3128" s="1" t="str">
        <f>IF(OR(C3128="",NOT(ISNUMBER(SEARCH("Package",D3128)))),"",VLOOKUP(C3128,'Clients List'!$A:$F,4,FALSE)-SUMIFS($E$2:$E3128,$C$2:$C3128,C3128,$D$2:$D3128,"*Package*"))</f>
        <v/>
      </c>
      <c r="G3128" t="str">
        <f t="shared" si="82"/>
        <v/>
      </c>
      <c r="H3128" s="33">
        <f>IF(ISNUMBER(SEARCH("Group",D3128)),IF(G3128="",E3128,IFERROR(E3128/COUNTIF($G2:$G6000,G3128),E3128)),E3128)</f>
        <v>0</v>
      </c>
      <c r="I3128" s="1" t="str">
        <f>IFERROR(VLOOKUP(C3128,'Clients List'!A:F,6,FALSE),"")</f>
        <v/>
      </c>
    </row>
    <row r="3129" spans="4:9" x14ac:dyDescent="0.45">
      <c r="D3129" t="str">
        <f>IFERROR(VLOOKUP(C3129,'Clients List'!$A:$F,2,FALSE),"")</f>
        <v/>
      </c>
      <c r="F3129" s="1" t="str">
        <f>IF(OR(C3129="",NOT(ISNUMBER(SEARCH("Package",D3129)))),"",VLOOKUP(C3129,'Clients List'!$A:$F,4,FALSE)-SUMIFS($E$2:$E3129,$C$2:$C3129,C3129,$D$2:$D3129,"*Package*"))</f>
        <v/>
      </c>
      <c r="G3129" t="str">
        <f t="shared" si="82"/>
        <v/>
      </c>
      <c r="H3129" s="33">
        <f>IF(ISNUMBER(SEARCH("Group",D3129)),IF(G3129="",E3129,IFERROR(E3129/COUNTIF($G2:$G6000,G3129),E3129)),E3129)</f>
        <v>0</v>
      </c>
      <c r="I3129" s="1" t="str">
        <f>IFERROR(VLOOKUP(C3129,'Clients List'!A:F,6,FALSE),"")</f>
        <v/>
      </c>
    </row>
    <row r="3130" spans="4:9" x14ac:dyDescent="0.45">
      <c r="D3130" t="str">
        <f>IFERROR(VLOOKUP(C3130,'Clients List'!$A:$F,2,FALSE),"")</f>
        <v/>
      </c>
      <c r="F3130" s="1" t="str">
        <f>IF(OR(C3130="",NOT(ISNUMBER(SEARCH("Package",D3130)))),"",VLOOKUP(C3130,'Clients List'!$A:$F,4,FALSE)-SUMIFS($E$2:$E3130,$C$2:$C3130,C3130,$D$2:$D3130,"*Package*"))</f>
        <v/>
      </c>
      <c r="G3130" t="str">
        <f t="shared" si="82"/>
        <v/>
      </c>
      <c r="H3130" s="33">
        <f>IF(ISNUMBER(SEARCH("Group",D3130)),IF(G3130="",E3130,IFERROR(E3130/COUNTIF($G2:$G6000,G3130),E3130)),E3130)</f>
        <v>0</v>
      </c>
      <c r="I3130" s="1" t="str">
        <f>IFERROR(VLOOKUP(C3130,'Clients List'!A:F,6,FALSE),"")</f>
        <v/>
      </c>
    </row>
    <row r="3131" spans="4:9" x14ac:dyDescent="0.45">
      <c r="D3131" t="str">
        <f>IFERROR(VLOOKUP(C3131,'Clients List'!$A:$F,2,FALSE),"")</f>
        <v/>
      </c>
      <c r="F3131" s="1" t="str">
        <f>IF(OR(C3131="",NOT(ISNUMBER(SEARCH("Package",D3131)))),"",VLOOKUP(C3131,'Clients List'!$A:$F,4,FALSE)-SUMIFS($E$2:$E3131,$C$2:$C3131,C3131,$D$2:$D3131,"*Package*"))</f>
        <v/>
      </c>
      <c r="G3131" t="str">
        <f t="shared" si="82"/>
        <v/>
      </c>
      <c r="H3131" s="33">
        <f>IF(ISNUMBER(SEARCH("Group",D3131)),IF(G3131="",E3131,IFERROR(E3131/COUNTIF($G2:$G6000,G3131),E3131)),E3131)</f>
        <v>0</v>
      </c>
      <c r="I3131" s="1" t="str">
        <f>IFERROR(VLOOKUP(C3131,'Clients List'!A:F,6,FALSE),"")</f>
        <v/>
      </c>
    </row>
    <row r="3132" spans="4:9" x14ac:dyDescent="0.45">
      <c r="D3132" t="str">
        <f>IFERROR(VLOOKUP(C3132,'Clients List'!$A:$F,2,FALSE),"")</f>
        <v/>
      </c>
      <c r="F3132" s="1" t="str">
        <f>IF(OR(C3132="",NOT(ISNUMBER(SEARCH("Package",D3132)))),"",VLOOKUP(C3132,'Clients List'!$A:$F,4,FALSE)-SUMIFS($E$2:$E3132,$C$2:$C3132,C3132,$D$2:$D3132,"*Package*"))</f>
        <v/>
      </c>
      <c r="G3132" t="str">
        <f t="shared" si="82"/>
        <v/>
      </c>
      <c r="H3132" s="33">
        <f>IF(ISNUMBER(SEARCH("Group",D3132)),IF(G3132="",E3132,IFERROR(E3132/COUNTIF($G2:$G6000,G3132),E3132)),E3132)</f>
        <v>0</v>
      </c>
      <c r="I3132" s="1" t="str">
        <f>IFERROR(VLOOKUP(C3132,'Clients List'!A:F,6,FALSE),"")</f>
        <v/>
      </c>
    </row>
    <row r="3133" spans="4:9" x14ac:dyDescent="0.45">
      <c r="D3133" t="str">
        <f>IFERROR(VLOOKUP(C3133,'Clients List'!$A:$F,2,FALSE),"")</f>
        <v/>
      </c>
      <c r="F3133" s="1" t="str">
        <f>IF(OR(C3133="",NOT(ISNUMBER(SEARCH("Package",D3133)))),"",VLOOKUP(C3133,'Clients List'!$A:$F,4,FALSE)-SUMIFS($E$2:$E3133,$C$2:$C3133,C3133,$D$2:$D3133,"*Package*"))</f>
        <v/>
      </c>
      <c r="G3133" t="str">
        <f t="shared" si="82"/>
        <v/>
      </c>
      <c r="H3133" s="33">
        <f>IF(ISNUMBER(SEARCH("Group",D3133)),IF(G3133="",E3133,IFERROR(E3133/COUNTIF($G2:$G6000,G3133),E3133)),E3133)</f>
        <v>0</v>
      </c>
      <c r="I3133" s="1" t="str">
        <f>IFERROR(VLOOKUP(C3133,'Clients List'!A:F,6,FALSE),"")</f>
        <v/>
      </c>
    </row>
    <row r="3134" spans="4:9" x14ac:dyDescent="0.45">
      <c r="D3134" t="str">
        <f>IFERROR(VLOOKUP(C3134,'Clients List'!$A:$F,2,FALSE),"")</f>
        <v/>
      </c>
      <c r="F3134" s="1" t="str">
        <f>IF(OR(C3134="",NOT(ISNUMBER(SEARCH("Package",D3134)))),"",VLOOKUP(C3134,'Clients List'!$A:$F,4,FALSE)-SUMIFS($E$2:$E3134,$C$2:$C3134,C3134,$D$2:$D3134,"*Package*"))</f>
        <v/>
      </c>
      <c r="G3134" t="str">
        <f t="shared" si="82"/>
        <v/>
      </c>
      <c r="H3134" s="33">
        <f>IF(ISNUMBER(SEARCH("Group",D3134)),IF(G3134="",E3134,IFERROR(E3134/COUNTIF($G2:$G6000,G3134),E3134)),E3134)</f>
        <v>0</v>
      </c>
      <c r="I3134" s="1" t="str">
        <f>IFERROR(VLOOKUP(C3134,'Clients List'!A:F,6,FALSE),"")</f>
        <v/>
      </c>
    </row>
    <row r="3135" spans="4:9" x14ac:dyDescent="0.45">
      <c r="D3135" t="str">
        <f>IFERROR(VLOOKUP(C3135,'Clients List'!$A:$F,2,FALSE),"")</f>
        <v/>
      </c>
      <c r="F3135" s="1" t="str">
        <f>IF(OR(C3135="",NOT(ISNUMBER(SEARCH("Package",D3135)))),"",VLOOKUP(C3135,'Clients List'!$A:$F,4,FALSE)-SUMIFS($E$2:$E3135,$C$2:$C3135,C3135,$D$2:$D3135,"*Package*"))</f>
        <v/>
      </c>
      <c r="G3135" t="str">
        <f t="shared" si="82"/>
        <v/>
      </c>
      <c r="H3135" s="33">
        <f>IF(ISNUMBER(SEARCH("Group",D3135)),IF(G3135="",E3135,IFERROR(E3135/COUNTIF($G2:$G6000,G3135),E3135)),E3135)</f>
        <v>0</v>
      </c>
      <c r="I3135" s="1" t="str">
        <f>IFERROR(VLOOKUP(C3135,'Clients List'!A:F,6,FALSE),"")</f>
        <v/>
      </c>
    </row>
    <row r="3136" spans="4:9" x14ac:dyDescent="0.45">
      <c r="D3136" t="str">
        <f>IFERROR(VLOOKUP(C3136,'Clients List'!$A:$F,2,FALSE),"")</f>
        <v/>
      </c>
      <c r="F3136" s="1" t="str">
        <f>IF(OR(C3136="",NOT(ISNUMBER(SEARCH("Package",D3136)))),"",VLOOKUP(C3136,'Clients List'!$A:$F,4,FALSE)-SUMIFS($E$2:$E3136,$C$2:$C3136,C3136,$D$2:$D3136,"*Package*"))</f>
        <v/>
      </c>
      <c r="G3136" t="str">
        <f t="shared" si="82"/>
        <v/>
      </c>
      <c r="H3136" s="33">
        <f>IF(ISNUMBER(SEARCH("Group",D3136)),IF(G3136="",E3136,IFERROR(E3136/COUNTIF($G2:$G6000,G3136),E3136)),E3136)</f>
        <v>0</v>
      </c>
      <c r="I3136" s="1" t="str">
        <f>IFERROR(VLOOKUP(C3136,'Clients List'!A:F,6,FALSE),"")</f>
        <v/>
      </c>
    </row>
    <row r="3137" spans="4:9" x14ac:dyDescent="0.45">
      <c r="D3137" t="str">
        <f>IFERROR(VLOOKUP(C3137,'Clients List'!$A:$F,2,FALSE),"")</f>
        <v/>
      </c>
      <c r="F3137" s="1" t="str">
        <f>IF(OR(C3137="",NOT(ISNUMBER(SEARCH("Package",D3137)))),"",VLOOKUP(C3137,'Clients List'!$A:$F,4,FALSE)-SUMIFS($E$2:$E3137,$C$2:$C3137,C3137,$D$2:$D3137,"*Package*"))</f>
        <v/>
      </c>
      <c r="G3137" t="str">
        <f t="shared" si="82"/>
        <v/>
      </c>
      <c r="H3137" s="33">
        <f>IF(ISNUMBER(SEARCH("Group",D3137)),IF(G3137="",E3137,IFERROR(E3137/COUNTIF($G2:$G6000,G3137),E3137)),E3137)</f>
        <v>0</v>
      </c>
      <c r="I3137" s="1" t="str">
        <f>IFERROR(VLOOKUP(C3137,'Clients List'!A:F,6,FALSE),"")</f>
        <v/>
      </c>
    </row>
    <row r="3138" spans="4:9" x14ac:dyDescent="0.45">
      <c r="D3138" t="str">
        <f>IFERROR(VLOOKUP(C3138,'Clients List'!$A:$F,2,FALSE),"")</f>
        <v/>
      </c>
      <c r="F3138" s="1" t="str">
        <f>IF(OR(C3138="",NOT(ISNUMBER(SEARCH("Package",D3138)))),"",VLOOKUP(C3138,'Clients List'!$A:$F,4,FALSE)-SUMIFS($E$2:$E3138,$C$2:$C3138,C3138,$D$2:$D3138,"*Package*"))</f>
        <v/>
      </c>
      <c r="G3138" t="str">
        <f t="shared" si="82"/>
        <v/>
      </c>
      <c r="H3138" s="33">
        <f>IF(ISNUMBER(SEARCH("Group",D3138)),IF(G3138="",E3138,IFERROR(E3138/COUNTIF($G2:$G6000,G3138),E3138)),E3138)</f>
        <v>0</v>
      </c>
      <c r="I3138" s="1" t="str">
        <f>IFERROR(VLOOKUP(C3138,'Clients List'!A:F,6,FALSE),"")</f>
        <v/>
      </c>
    </row>
    <row r="3139" spans="4:9" x14ac:dyDescent="0.45">
      <c r="D3139" t="str">
        <f>IFERROR(VLOOKUP(C3139,'Clients List'!$A:$F,2,FALSE),"")</f>
        <v/>
      </c>
      <c r="F3139" s="1" t="str">
        <f>IF(OR(C3139="",NOT(ISNUMBER(SEARCH("Package",D3139)))),"",VLOOKUP(C3139,'Clients List'!$A:$F,4,FALSE)-SUMIFS($E$2:$E3139,$C$2:$C3139,C3139,$D$2:$D3139,"*Package*"))</f>
        <v/>
      </c>
      <c r="G3139" t="str">
        <f t="shared" si="82"/>
        <v/>
      </c>
      <c r="H3139" s="33">
        <f>IF(ISNUMBER(SEARCH("Group",D3139)),IF(G3139="",E3139,IFERROR(E3139/COUNTIF($G2:$G6000,G3139),E3139)),E3139)</f>
        <v>0</v>
      </c>
      <c r="I3139" s="1" t="str">
        <f>IFERROR(VLOOKUP(C3139,'Clients List'!A:F,6,FALSE),"")</f>
        <v/>
      </c>
    </row>
    <row r="3140" spans="4:9" x14ac:dyDescent="0.45">
      <c r="D3140" t="str">
        <f>IFERROR(VLOOKUP(C3140,'Clients List'!$A:$F,2,FALSE),"")</f>
        <v/>
      </c>
      <c r="F3140" s="1" t="str">
        <f>IF(OR(C3140="",NOT(ISNUMBER(SEARCH("Package",D3140)))),"",VLOOKUP(C3140,'Clients List'!$A:$F,4,FALSE)-SUMIFS($E$2:$E3140,$C$2:$C3140,C3140,$D$2:$D3140,"*Package*"))</f>
        <v/>
      </c>
      <c r="G3140" t="str">
        <f t="shared" si="82"/>
        <v/>
      </c>
      <c r="H3140" s="33">
        <f>IF(ISNUMBER(SEARCH("Group",D3140)),IF(G3140="",E3140,IFERROR(E3140/COUNTIF($G2:$G6000,G3140),E3140)),E3140)</f>
        <v>0</v>
      </c>
      <c r="I3140" s="1" t="str">
        <f>IFERROR(VLOOKUP(C3140,'Clients List'!A:F,6,FALSE),"")</f>
        <v/>
      </c>
    </row>
    <row r="3141" spans="4:9" x14ac:dyDescent="0.45">
      <c r="D3141" t="str">
        <f>IFERROR(VLOOKUP(C3141,'Clients List'!$A:$F,2,FALSE),"")</f>
        <v/>
      </c>
      <c r="F3141" s="1" t="str">
        <f>IF(OR(C3141="",NOT(ISNUMBER(SEARCH("Package",D3141)))),"",VLOOKUP(C3141,'Clients List'!$A:$F,4,FALSE)-SUMIFS($E$2:$E3141,$C$2:$C3141,C3141,$D$2:$D3141,"*Package*"))</f>
        <v/>
      </c>
      <c r="G3141" t="str">
        <f t="shared" si="82"/>
        <v/>
      </c>
      <c r="H3141" s="33">
        <f>IF(ISNUMBER(SEARCH("Group",D3141)),IF(G3141="",E3141,IFERROR(E3141/COUNTIF($G2:$G6000,G3141),E3141)),E3141)</f>
        <v>0</v>
      </c>
      <c r="I3141" s="1" t="str">
        <f>IFERROR(VLOOKUP(C3141,'Clients List'!A:F,6,FALSE),"")</f>
        <v/>
      </c>
    </row>
    <row r="3142" spans="4:9" x14ac:dyDescent="0.45">
      <c r="D3142" t="str">
        <f>IFERROR(VLOOKUP(C3142,'Clients List'!$A:$F,2,FALSE),"")</f>
        <v/>
      </c>
      <c r="F3142" s="1" t="str">
        <f>IF(OR(C3142="",NOT(ISNUMBER(SEARCH("Package",D3142)))),"",VLOOKUP(C3142,'Clients List'!$A:$F,4,FALSE)-SUMIFS($E$2:$E3142,$C$2:$C3142,C3142,$D$2:$D3142,"*Package*"))</f>
        <v/>
      </c>
      <c r="G3142" t="str">
        <f t="shared" si="82"/>
        <v/>
      </c>
      <c r="H3142" s="33">
        <f>IF(ISNUMBER(SEARCH("Group",D3142)),IF(G3142="",E3142,IFERROR(E3142/COUNTIF($G2:$G6000,G3142),E3142)),E3142)</f>
        <v>0</v>
      </c>
      <c r="I3142" s="1" t="str">
        <f>IFERROR(VLOOKUP(C3142,'Clients List'!A:F,6,FALSE),"")</f>
        <v/>
      </c>
    </row>
    <row r="3143" spans="4:9" x14ac:dyDescent="0.45">
      <c r="D3143" t="str">
        <f>IFERROR(VLOOKUP(C3143,'Clients List'!$A:$F,2,FALSE),"")</f>
        <v/>
      </c>
      <c r="F3143" s="1" t="str">
        <f>IF(OR(C3143="",NOT(ISNUMBER(SEARCH("Package",D3143)))),"",VLOOKUP(C3143,'Clients List'!$A:$F,4,FALSE)-SUMIFS($E$2:$E3143,$C$2:$C3143,C3143,$D$2:$D3143,"*Package*"))</f>
        <v/>
      </c>
      <c r="G3143" t="str">
        <f t="shared" si="82"/>
        <v/>
      </c>
      <c r="H3143" s="33">
        <f>IF(ISNUMBER(SEARCH("Group",D3143)),IF(G3143="",E3143,IFERROR(E3143/COUNTIF($G2:$G6000,G3143),E3143)),E3143)</f>
        <v>0</v>
      </c>
      <c r="I3143" s="1" t="str">
        <f>IFERROR(VLOOKUP(C3143,'Clients List'!A:F,6,FALSE),"")</f>
        <v/>
      </c>
    </row>
    <row r="3144" spans="4:9" x14ac:dyDescent="0.45">
      <c r="D3144" t="str">
        <f>IFERROR(VLOOKUP(C3144,'Clients List'!$A:$F,2,FALSE),"")</f>
        <v/>
      </c>
      <c r="F3144" s="1" t="str">
        <f>IF(OR(C3144="",NOT(ISNUMBER(SEARCH("Package",D3144)))),"",VLOOKUP(C3144,'Clients List'!$A:$F,4,FALSE)-SUMIFS($E$2:$E3144,$C$2:$C3144,C3144,$D$2:$D3144,"*Package*"))</f>
        <v/>
      </c>
      <c r="G3144" t="str">
        <f t="shared" si="82"/>
        <v/>
      </c>
      <c r="H3144" s="33">
        <f>IF(ISNUMBER(SEARCH("Group",D3144)),IF(G3144="",E3144,IFERROR(E3144/COUNTIF($G2:$G6000,G3144),E3144)),E3144)</f>
        <v>0</v>
      </c>
      <c r="I3144" s="1" t="str">
        <f>IFERROR(VLOOKUP(C3144,'Clients List'!A:F,6,FALSE),"")</f>
        <v/>
      </c>
    </row>
    <row r="3145" spans="4:9" x14ac:dyDescent="0.45">
      <c r="D3145" t="str">
        <f>IFERROR(VLOOKUP(C3145,'Clients List'!$A:$F,2,FALSE),"")</f>
        <v/>
      </c>
      <c r="F3145" s="1" t="str">
        <f>IF(OR(C3145="",NOT(ISNUMBER(SEARCH("Package",D3145)))),"",VLOOKUP(C3145,'Clients List'!$A:$F,4,FALSE)-SUMIFS($E$2:$E3145,$C$2:$C3145,C3145,$D$2:$D3145,"*Package*"))</f>
        <v/>
      </c>
      <c r="G3145" t="str">
        <f t="shared" si="82"/>
        <v/>
      </c>
      <c r="H3145" s="33">
        <f>IF(ISNUMBER(SEARCH("Group",D3145)),IF(G3145="",E3145,IFERROR(E3145/COUNTIF($G2:$G6000,G3145),E3145)),E3145)</f>
        <v>0</v>
      </c>
      <c r="I3145" s="1" t="str">
        <f>IFERROR(VLOOKUP(C3145,'Clients List'!A:F,6,FALSE),"")</f>
        <v/>
      </c>
    </row>
    <row r="3146" spans="4:9" x14ac:dyDescent="0.45">
      <c r="D3146" t="str">
        <f>IFERROR(VLOOKUP(C3146,'Clients List'!$A:$F,2,FALSE),"")</f>
        <v/>
      </c>
      <c r="F3146" s="1" t="str">
        <f>IF(OR(C3146="",NOT(ISNUMBER(SEARCH("Package",D3146)))),"",VLOOKUP(C3146,'Clients List'!$A:$F,4,FALSE)-SUMIFS($E$2:$E3146,$C$2:$C3146,C3146,$D$2:$D3146,"*Package*"))</f>
        <v/>
      </c>
      <c r="G3146" t="str">
        <f t="shared" si="82"/>
        <v/>
      </c>
      <c r="H3146" s="33">
        <f>IF(ISNUMBER(SEARCH("Group",D3146)),IF(G3146="",E3146,IFERROR(E3146/COUNTIF($G2:$G6000,G3146),E3146)),E3146)</f>
        <v>0</v>
      </c>
      <c r="I3146" s="1" t="str">
        <f>IFERROR(VLOOKUP(C3146,'Clients List'!A:F,6,FALSE),"")</f>
        <v/>
      </c>
    </row>
    <row r="3147" spans="4:9" x14ac:dyDescent="0.45">
      <c r="D3147" t="str">
        <f>IFERROR(VLOOKUP(C3147,'Clients List'!$A:$F,2,FALSE),"")</f>
        <v/>
      </c>
      <c r="F3147" s="1" t="str">
        <f>IF(OR(C3147="",NOT(ISNUMBER(SEARCH("Package",D3147)))),"",VLOOKUP(C3147,'Clients List'!$A:$F,4,FALSE)-SUMIFS($E$2:$E3147,$C$2:$C3147,C3147,$D$2:$D3147,"*Package*"))</f>
        <v/>
      </c>
      <c r="G3147" t="str">
        <f t="shared" si="82"/>
        <v/>
      </c>
      <c r="H3147" s="33">
        <f>IF(ISNUMBER(SEARCH("Group",D3147)),IF(G3147="",E3147,IFERROR(E3147/COUNTIF($G2:$G6000,G3147),E3147)),E3147)</f>
        <v>0</v>
      </c>
      <c r="I3147" s="1" t="str">
        <f>IFERROR(VLOOKUP(C3147,'Clients List'!A:F,6,FALSE),"")</f>
        <v/>
      </c>
    </row>
    <row r="3148" spans="4:9" x14ac:dyDescent="0.45">
      <c r="D3148" t="str">
        <f>IFERROR(VLOOKUP(C3148,'Clients List'!$A:$F,2,FALSE),"")</f>
        <v/>
      </c>
      <c r="F3148" s="1" t="str">
        <f>IF(OR(C3148="",NOT(ISNUMBER(SEARCH("Package",D3148)))),"",VLOOKUP(C3148,'Clients List'!$A:$F,4,FALSE)-SUMIFS($E$2:$E3148,$C$2:$C3148,C3148,$D$2:$D3148,"*Package*"))</f>
        <v/>
      </c>
      <c r="G3148" t="str">
        <f t="shared" si="82"/>
        <v/>
      </c>
      <c r="H3148" s="33">
        <f>IF(ISNUMBER(SEARCH("Group",D3148)),IF(G3148="",E3148,IFERROR(E3148/COUNTIF($G2:$G6000,G3148),E3148)),E3148)</f>
        <v>0</v>
      </c>
      <c r="I3148" s="1" t="str">
        <f>IFERROR(VLOOKUP(C3148,'Clients List'!A:F,6,FALSE),"")</f>
        <v/>
      </c>
    </row>
    <row r="3149" spans="4:9" x14ac:dyDescent="0.45">
      <c r="D3149" t="str">
        <f>IFERROR(VLOOKUP(C3149,'Clients List'!$A:$F,2,FALSE),"")</f>
        <v/>
      </c>
      <c r="F3149" s="1" t="str">
        <f>IF(OR(C3149="",NOT(ISNUMBER(SEARCH("Package",D3149)))),"",VLOOKUP(C3149,'Clients List'!$A:$F,4,FALSE)-SUMIFS($E$2:$E3149,$C$2:$C3149,C3149,$D$2:$D3149,"*Package*"))</f>
        <v/>
      </c>
      <c r="G3149" t="str">
        <f t="shared" si="82"/>
        <v/>
      </c>
      <c r="H3149" s="33">
        <f>IF(ISNUMBER(SEARCH("Group",D3149)),IF(G3149="",E3149,IFERROR(E3149/COUNTIF($G2:$G6000,G3149),E3149)),E3149)</f>
        <v>0</v>
      </c>
      <c r="I3149" s="1" t="str">
        <f>IFERROR(VLOOKUP(C3149,'Clients List'!A:F,6,FALSE),"")</f>
        <v/>
      </c>
    </row>
    <row r="3150" spans="4:9" x14ac:dyDescent="0.45">
      <c r="D3150" t="str">
        <f>IFERROR(VLOOKUP(C3150,'Clients List'!$A:$F,2,FALSE),"")</f>
        <v/>
      </c>
      <c r="F3150" s="1" t="str">
        <f>IF(OR(C3150="",NOT(ISNUMBER(SEARCH("Package",D3150)))),"",VLOOKUP(C3150,'Clients List'!$A:$F,4,FALSE)-SUMIFS($E$2:$E3150,$C$2:$C3150,C3150,$D$2:$D3150,"*Package*"))</f>
        <v/>
      </c>
      <c r="G3150" t="str">
        <f t="shared" si="82"/>
        <v/>
      </c>
      <c r="H3150" s="33">
        <f>IF(ISNUMBER(SEARCH("Group",D3150)),IF(G3150="",E3150,IFERROR(E3150/COUNTIF($G2:$G6000,G3150),E3150)),E3150)</f>
        <v>0</v>
      </c>
      <c r="I3150" s="1" t="str">
        <f>IFERROR(VLOOKUP(C3150,'Clients List'!A:F,6,FALSE),"")</f>
        <v/>
      </c>
    </row>
    <row r="3151" spans="4:9" x14ac:dyDescent="0.45">
      <c r="D3151" t="str">
        <f>IFERROR(VLOOKUP(C3151,'Clients List'!$A:$F,2,FALSE),"")</f>
        <v/>
      </c>
      <c r="F3151" s="1" t="str">
        <f>IF(OR(C3151="",NOT(ISNUMBER(SEARCH("Package",D3151)))),"",VLOOKUP(C3151,'Clients List'!$A:$F,4,FALSE)-SUMIFS($E$2:$E3151,$C$2:$C3151,C3151,$D$2:$D3151,"*Package*"))</f>
        <v/>
      </c>
      <c r="G3151" t="str">
        <f t="shared" si="82"/>
        <v/>
      </c>
      <c r="H3151" s="33">
        <f>IF(ISNUMBER(SEARCH("Group",D3151)),IF(G3151="",E3151,IFERROR(E3151/COUNTIF($G2:$G6000,G3151),E3151)),E3151)</f>
        <v>0</v>
      </c>
      <c r="I3151" s="1" t="str">
        <f>IFERROR(VLOOKUP(C3151,'Clients List'!A:F,6,FALSE),"")</f>
        <v/>
      </c>
    </row>
    <row r="3152" spans="4:9" x14ac:dyDescent="0.45">
      <c r="D3152" t="str">
        <f>IFERROR(VLOOKUP(C3152,'Clients List'!$A:$F,2,FALSE),"")</f>
        <v/>
      </c>
      <c r="F3152" s="1" t="str">
        <f>IF(OR(C3152="",NOT(ISNUMBER(SEARCH("Package",D3152)))),"",VLOOKUP(C3152,'Clients List'!$A:$F,4,FALSE)-SUMIFS($E$2:$E3152,$C$2:$C3152,C3152,$D$2:$D3152,"*Package*"))</f>
        <v/>
      </c>
      <c r="G3152" t="str">
        <f t="shared" si="82"/>
        <v/>
      </c>
      <c r="H3152" s="33">
        <f>IF(ISNUMBER(SEARCH("Group",D3152)),IF(G3152="",E3152,IFERROR(E3152/COUNTIF($G2:$G6000,G3152),E3152)),E3152)</f>
        <v>0</v>
      </c>
      <c r="I3152" s="1" t="str">
        <f>IFERROR(VLOOKUP(C3152,'Clients List'!A:F,6,FALSE),"")</f>
        <v/>
      </c>
    </row>
    <row r="3153" spans="4:9" x14ac:dyDescent="0.45">
      <c r="D3153" t="str">
        <f>IFERROR(VLOOKUP(C3153,'Clients List'!$A:$F,2,FALSE),"")</f>
        <v/>
      </c>
      <c r="F3153" s="1" t="str">
        <f>IF(OR(C3153="",NOT(ISNUMBER(SEARCH("Package",D3153)))),"",VLOOKUP(C3153,'Clients List'!$A:$F,4,FALSE)-SUMIFS($E$2:$E3153,$C$2:$C3153,C3153,$D$2:$D3153,"*Package*"))</f>
        <v/>
      </c>
      <c r="G3153" t="str">
        <f t="shared" si="82"/>
        <v/>
      </c>
      <c r="H3153" s="33">
        <f>IF(ISNUMBER(SEARCH("Group",D3153)),IF(G3153="",E3153,IFERROR(E3153/COUNTIF($G2:$G6000,G3153),E3153)),E3153)</f>
        <v>0</v>
      </c>
      <c r="I3153" s="1" t="str">
        <f>IFERROR(VLOOKUP(C3153,'Clients List'!A:F,6,FALSE),"")</f>
        <v/>
      </c>
    </row>
    <row r="3154" spans="4:9" x14ac:dyDescent="0.45">
      <c r="D3154" t="str">
        <f>IFERROR(VLOOKUP(C3154,'Clients List'!$A:$F,2,FALSE),"")</f>
        <v/>
      </c>
      <c r="F3154" s="1" t="str">
        <f>IF(OR(C3154="",NOT(ISNUMBER(SEARCH("Package",D3154)))),"",VLOOKUP(C3154,'Clients List'!$A:$F,4,FALSE)-SUMIFS($E$2:$E3154,$C$2:$C3154,C3154,$D$2:$D3154,"*Package*"))</f>
        <v/>
      </c>
      <c r="G3154" t="str">
        <f t="shared" si="82"/>
        <v/>
      </c>
      <c r="H3154" s="33">
        <f>IF(ISNUMBER(SEARCH("Group",D3154)),IF(G3154="",E3154,IFERROR(E3154/COUNTIF($G2:$G6000,G3154),E3154)),E3154)</f>
        <v>0</v>
      </c>
      <c r="I3154" s="1" t="str">
        <f>IFERROR(VLOOKUP(C3154,'Clients List'!A:F,6,FALSE),"")</f>
        <v/>
      </c>
    </row>
    <row r="3155" spans="4:9" x14ac:dyDescent="0.45">
      <c r="D3155" t="str">
        <f>IFERROR(VLOOKUP(C3155,'Clients List'!$A:$F,2,FALSE),"")</f>
        <v/>
      </c>
      <c r="F3155" s="1" t="str">
        <f>IF(OR(C3155="",NOT(ISNUMBER(SEARCH("Package",D3155)))),"",VLOOKUP(C3155,'Clients List'!$A:$F,4,FALSE)-SUMIFS($E$2:$E3155,$C$2:$C3155,C3155,$D$2:$D3155,"*Package*"))</f>
        <v/>
      </c>
      <c r="G3155" t="str">
        <f t="shared" si="82"/>
        <v/>
      </c>
      <c r="H3155" s="33">
        <f>IF(ISNUMBER(SEARCH("Group",D3155)),IF(G3155="",E3155,IFERROR(E3155/COUNTIF($G2:$G6000,G3155),E3155)),E3155)</f>
        <v>0</v>
      </c>
      <c r="I3155" s="1" t="str">
        <f>IFERROR(VLOOKUP(C3155,'Clients List'!A:F,6,FALSE),"")</f>
        <v/>
      </c>
    </row>
    <row r="3156" spans="4:9" x14ac:dyDescent="0.45">
      <c r="D3156" t="str">
        <f>IFERROR(VLOOKUP(C3156,'Clients List'!$A:$F,2,FALSE),"")</f>
        <v/>
      </c>
      <c r="F3156" s="1" t="str">
        <f>IF(OR(C3156="",NOT(ISNUMBER(SEARCH("Package",D3156)))),"",VLOOKUP(C3156,'Clients List'!$A:$F,4,FALSE)-SUMIFS($E$2:$E3156,$C$2:$C3156,C3156,$D$2:$D3156,"*Package*"))</f>
        <v/>
      </c>
      <c r="G3156" t="str">
        <f t="shared" si="82"/>
        <v/>
      </c>
      <c r="H3156" s="33">
        <f>IF(ISNUMBER(SEARCH("Group",D3156)),IF(G3156="",E3156,IFERROR(E3156/COUNTIF($G2:$G6000,G3156),E3156)),E3156)</f>
        <v>0</v>
      </c>
      <c r="I3156" s="1" t="str">
        <f>IFERROR(VLOOKUP(C3156,'Clients List'!A:F,6,FALSE),"")</f>
        <v/>
      </c>
    </row>
    <row r="3157" spans="4:9" x14ac:dyDescent="0.45">
      <c r="D3157" t="str">
        <f>IFERROR(VLOOKUP(C3157,'Clients List'!$A:$F,2,FALSE),"")</f>
        <v/>
      </c>
      <c r="F3157" s="1" t="str">
        <f>IF(OR(C3157="",NOT(ISNUMBER(SEARCH("Package",D3157)))),"",VLOOKUP(C3157,'Clients List'!$A:$F,4,FALSE)-SUMIFS($E$2:$E3157,$C$2:$C3157,C3157,$D$2:$D3157,"*Package*"))</f>
        <v/>
      </c>
      <c r="G3157" t="str">
        <f t="shared" si="82"/>
        <v/>
      </c>
      <c r="H3157" s="33">
        <f>IF(ISNUMBER(SEARCH("Group",D3157)),IF(G3157="",E3157,IFERROR(E3157/COUNTIF($G2:$G6000,G3157),E3157)),E3157)</f>
        <v>0</v>
      </c>
      <c r="I3157" s="1" t="str">
        <f>IFERROR(VLOOKUP(C3157,'Clients List'!A:F,6,FALSE),"")</f>
        <v/>
      </c>
    </row>
    <row r="3158" spans="4:9" x14ac:dyDescent="0.45">
      <c r="D3158" t="str">
        <f>IFERROR(VLOOKUP(C3158,'Clients List'!$A:$F,2,FALSE),"")</f>
        <v/>
      </c>
      <c r="F3158" s="1" t="str">
        <f>IF(OR(C3158="",NOT(ISNUMBER(SEARCH("Package",D3158)))),"",VLOOKUP(C3158,'Clients List'!$A:$F,4,FALSE)-SUMIFS($E$2:$E3158,$C$2:$C3158,C3158,$D$2:$D3158,"*Package*"))</f>
        <v/>
      </c>
      <c r="G3158" t="str">
        <f t="shared" si="82"/>
        <v/>
      </c>
      <c r="H3158" s="33">
        <f>IF(ISNUMBER(SEARCH("Group",D3158)),IF(G3158="",E3158,IFERROR(E3158/COUNTIF($G2:$G6000,G3158),E3158)),E3158)</f>
        <v>0</v>
      </c>
      <c r="I3158" s="1" t="str">
        <f>IFERROR(VLOOKUP(C3158,'Clients List'!A:F,6,FALSE),"")</f>
        <v/>
      </c>
    </row>
    <row r="3159" spans="4:9" x14ac:dyDescent="0.45">
      <c r="D3159" t="str">
        <f>IFERROR(VLOOKUP(C3159,'Clients List'!$A:$F,2,FALSE),"")</f>
        <v/>
      </c>
      <c r="F3159" s="1" t="str">
        <f>IF(OR(C3159="",NOT(ISNUMBER(SEARCH("Package",D3159)))),"",VLOOKUP(C3159,'Clients List'!$A:$F,4,FALSE)-SUMIFS($E$2:$E3159,$C$2:$C3159,C3159,$D$2:$D3159,"*Package*"))</f>
        <v/>
      </c>
      <c r="G3159" t="str">
        <f t="shared" si="82"/>
        <v/>
      </c>
      <c r="H3159" s="33">
        <f>IF(ISNUMBER(SEARCH("Group",D3159)),IF(G3159="",E3159,IFERROR(E3159/COUNTIF($G2:$G6000,G3159),E3159)),E3159)</f>
        <v>0</v>
      </c>
      <c r="I3159" s="1" t="str">
        <f>IFERROR(VLOOKUP(C3159,'Clients List'!A:F,6,FALSE),"")</f>
        <v/>
      </c>
    </row>
    <row r="3160" spans="4:9" x14ac:dyDescent="0.45">
      <c r="D3160" t="str">
        <f>IFERROR(VLOOKUP(C3160,'Clients List'!$A:$F,2,FALSE),"")</f>
        <v/>
      </c>
      <c r="F3160" s="1" t="str">
        <f>IF(OR(C3160="",NOT(ISNUMBER(SEARCH("Package",D3160)))),"",VLOOKUP(C3160,'Clients List'!$A:$F,4,FALSE)-SUMIFS($E$2:$E3160,$C$2:$C3160,C3160,$D$2:$D3160,"*Package*"))</f>
        <v/>
      </c>
      <c r="G3160" t="str">
        <f t="shared" si="82"/>
        <v/>
      </c>
      <c r="H3160" s="33">
        <f>IF(ISNUMBER(SEARCH("Group",D3160)),IF(G3160="",E3160,IFERROR(E3160/COUNTIF($G2:$G6000,G3160),E3160)),E3160)</f>
        <v>0</v>
      </c>
      <c r="I3160" s="1" t="str">
        <f>IFERROR(VLOOKUP(C3160,'Clients List'!A:F,6,FALSE),"")</f>
        <v/>
      </c>
    </row>
    <row r="3161" spans="4:9" x14ac:dyDescent="0.45">
      <c r="D3161" t="str">
        <f>IFERROR(VLOOKUP(C3161,'Clients List'!$A:$F,2,FALSE),"")</f>
        <v/>
      </c>
      <c r="F3161" s="1" t="str">
        <f>IF(OR(C3161="",NOT(ISNUMBER(SEARCH("Package",D3161)))),"",VLOOKUP(C3161,'Clients List'!$A:$F,4,FALSE)-SUMIFS($E$2:$E3161,$C$2:$C3161,C3161,$D$2:$D3161,"*Package*"))</f>
        <v/>
      </c>
      <c r="G3161" t="str">
        <f t="shared" si="82"/>
        <v/>
      </c>
      <c r="H3161" s="33">
        <f>IF(ISNUMBER(SEARCH("Group",D3161)),IF(G3161="",E3161,IFERROR(E3161/COUNTIF($G2:$G6000,G3161),E3161)),E3161)</f>
        <v>0</v>
      </c>
      <c r="I3161" s="1" t="str">
        <f>IFERROR(VLOOKUP(C3161,'Clients List'!A:F,6,FALSE),"")</f>
        <v/>
      </c>
    </row>
    <row r="3162" spans="4:9" x14ac:dyDescent="0.45">
      <c r="D3162" t="str">
        <f>IFERROR(VLOOKUP(C3162,'Clients List'!$A:$F,2,FALSE),"")</f>
        <v/>
      </c>
      <c r="F3162" s="1" t="str">
        <f>IF(OR(C3162="",NOT(ISNUMBER(SEARCH("Package",D3162)))),"",VLOOKUP(C3162,'Clients List'!$A:$F,4,FALSE)-SUMIFS($E$2:$E3162,$C$2:$C3162,C3162,$D$2:$D3162,"*Package*"))</f>
        <v/>
      </c>
      <c r="G3162" t="str">
        <f t="shared" si="82"/>
        <v/>
      </c>
      <c r="H3162" s="33">
        <f>IF(ISNUMBER(SEARCH("Group",D3162)),IF(G3162="",E3162,IFERROR(E3162/COUNTIF($G2:$G6000,G3162),E3162)),E3162)</f>
        <v>0</v>
      </c>
      <c r="I3162" s="1" t="str">
        <f>IFERROR(VLOOKUP(C3162,'Clients List'!A:F,6,FALSE),"")</f>
        <v/>
      </c>
    </row>
    <row r="3163" spans="4:9" x14ac:dyDescent="0.45">
      <c r="D3163" t="str">
        <f>IFERROR(VLOOKUP(C3163,'Clients List'!$A:$F,2,FALSE),"")</f>
        <v/>
      </c>
      <c r="F3163" s="1" t="str">
        <f>IF(OR(C3163="",NOT(ISNUMBER(SEARCH("Package",D3163)))),"",VLOOKUP(C3163,'Clients List'!$A:$F,4,FALSE)-SUMIFS($E$2:$E3163,$C$2:$C3163,C3163,$D$2:$D3163,"*Package*"))</f>
        <v/>
      </c>
      <c r="G3163" t="str">
        <f t="shared" si="82"/>
        <v/>
      </c>
      <c r="H3163" s="33">
        <f>IF(ISNUMBER(SEARCH("Group",D3163)),IF(G3163="",E3163,IFERROR(E3163/COUNTIF($G2:$G6000,G3163),E3163)),E3163)</f>
        <v>0</v>
      </c>
      <c r="I3163" s="1" t="str">
        <f>IFERROR(VLOOKUP(C3163,'Clients List'!A:F,6,FALSE),"")</f>
        <v/>
      </c>
    </row>
    <row r="3164" spans="4:9" x14ac:dyDescent="0.45">
      <c r="D3164" t="str">
        <f>IFERROR(VLOOKUP(C3164,'Clients List'!$A:$F,2,FALSE),"")</f>
        <v/>
      </c>
      <c r="F3164" s="1" t="str">
        <f>IF(OR(C3164="",NOT(ISNUMBER(SEARCH("Package",D3164)))),"",VLOOKUP(C3164,'Clients List'!$A:$F,4,FALSE)-SUMIFS($E$2:$E3164,$C$2:$C3164,C3164,$D$2:$D3164,"*Package*"))</f>
        <v/>
      </c>
      <c r="G3164" t="str">
        <f t="shared" si="82"/>
        <v/>
      </c>
      <c r="H3164" s="33">
        <f>IF(ISNUMBER(SEARCH("Group",D3164)),IF(G3164="",E3164,IFERROR(E3164/COUNTIF($G2:$G6000,G3164),E3164)),E3164)</f>
        <v>0</v>
      </c>
      <c r="I3164" s="1" t="str">
        <f>IFERROR(VLOOKUP(C3164,'Clients List'!A:F,6,FALSE),"")</f>
        <v/>
      </c>
    </row>
    <row r="3165" spans="4:9" x14ac:dyDescent="0.45">
      <c r="D3165" t="str">
        <f>IFERROR(VLOOKUP(C3165,'Clients List'!$A:$F,2,FALSE),"")</f>
        <v/>
      </c>
      <c r="F3165" s="1" t="str">
        <f>IF(OR(C3165="",NOT(ISNUMBER(SEARCH("Package",D3165)))),"",VLOOKUP(C3165,'Clients List'!$A:$F,4,FALSE)-SUMIFS($E$2:$E3165,$C$2:$C3165,C3165,$D$2:$D3165,"*Package*"))</f>
        <v/>
      </c>
      <c r="G3165" t="str">
        <f t="shared" si="82"/>
        <v/>
      </c>
      <c r="H3165" s="33">
        <f>IF(ISNUMBER(SEARCH("Group",D3165)),IF(G3165="",E3165,IFERROR(E3165/COUNTIF($G2:$G6000,G3165),E3165)),E3165)</f>
        <v>0</v>
      </c>
      <c r="I3165" s="1" t="str">
        <f>IFERROR(VLOOKUP(C3165,'Clients List'!A:F,6,FALSE),"")</f>
        <v/>
      </c>
    </row>
    <row r="3166" spans="4:9" x14ac:dyDescent="0.45">
      <c r="D3166" t="str">
        <f>IFERROR(VLOOKUP(C3166,'Clients List'!$A:$F,2,FALSE),"")</f>
        <v/>
      </c>
      <c r="F3166" s="1" t="str">
        <f>IF(OR(C3166="",NOT(ISNUMBER(SEARCH("Package",D3166)))),"",VLOOKUP(C3166,'Clients List'!$A:$F,4,FALSE)-SUMIFS($E$2:$E3166,$C$2:$C3166,C3166,$D$2:$D3166,"*Package*"))</f>
        <v/>
      </c>
      <c r="G3166" t="str">
        <f t="shared" si="82"/>
        <v/>
      </c>
      <c r="H3166" s="33">
        <f>IF(ISNUMBER(SEARCH("Group",D3166)),IF(G3166="",E3166,IFERROR(E3166/COUNTIF($G2:$G6000,G3166),E3166)),E3166)</f>
        <v>0</v>
      </c>
      <c r="I3166" s="1" t="str">
        <f>IFERROR(VLOOKUP(C3166,'Clients List'!A:F,6,FALSE),"")</f>
        <v/>
      </c>
    </row>
    <row r="3167" spans="4:9" x14ac:dyDescent="0.45">
      <c r="D3167" t="str">
        <f>IFERROR(VLOOKUP(C3167,'Clients List'!$A:$F,2,FALSE),"")</f>
        <v/>
      </c>
      <c r="F3167" s="1" t="str">
        <f>IF(OR(C3167="",NOT(ISNUMBER(SEARCH("Package",D3167)))),"",VLOOKUP(C3167,'Clients List'!$A:$F,4,FALSE)-SUMIFS($E$2:$E3167,$C$2:$C3167,C3167,$D$2:$D3167,"*Package*"))</f>
        <v/>
      </c>
      <c r="G3167" t="str">
        <f t="shared" si="82"/>
        <v/>
      </c>
      <c r="H3167" s="33">
        <f>IF(ISNUMBER(SEARCH("Group",D3167)),IF(G3167="",E3167,IFERROR(E3167/COUNTIF($G2:$G6000,G3167),E3167)),E3167)</f>
        <v>0</v>
      </c>
      <c r="I3167" s="1" t="str">
        <f>IFERROR(VLOOKUP(C3167,'Clients List'!A:F,6,FALSE),"")</f>
        <v/>
      </c>
    </row>
    <row r="3168" spans="4:9" x14ac:dyDescent="0.45">
      <c r="D3168" t="str">
        <f>IFERROR(VLOOKUP(C3168,'Clients List'!$A:$F,2,FALSE),"")</f>
        <v/>
      </c>
      <c r="F3168" s="1" t="str">
        <f>IF(OR(C3168="",NOT(ISNUMBER(SEARCH("Package",D3168)))),"",VLOOKUP(C3168,'Clients List'!$A:$F,4,FALSE)-SUMIFS($E$2:$E3168,$C$2:$C3168,C3168,$D$2:$D3168,"*Package*"))</f>
        <v/>
      </c>
      <c r="G3168" t="str">
        <f t="shared" si="82"/>
        <v/>
      </c>
      <c r="H3168" s="33">
        <f>IF(ISNUMBER(SEARCH("Group",D3168)),IF(G3168="",E3168,IFERROR(E3168/COUNTIF($G2:$G6000,G3168),E3168)),E3168)</f>
        <v>0</v>
      </c>
      <c r="I3168" s="1" t="str">
        <f>IFERROR(VLOOKUP(C3168,'Clients List'!A:F,6,FALSE),"")</f>
        <v/>
      </c>
    </row>
    <row r="3169" spans="4:9" x14ac:dyDescent="0.45">
      <c r="D3169" t="str">
        <f>IFERROR(VLOOKUP(C3169,'Clients List'!$A:$F,2,FALSE),"")</f>
        <v/>
      </c>
      <c r="F3169" s="1" t="str">
        <f>IF(OR(C3169="",NOT(ISNUMBER(SEARCH("Package",D3169)))),"",VLOOKUP(C3169,'Clients List'!$A:$F,4,FALSE)-SUMIFS($E$2:$E3169,$C$2:$C3169,C3169,$D$2:$D3169,"*Package*"))</f>
        <v/>
      </c>
      <c r="G3169" t="str">
        <f t="shared" si="82"/>
        <v/>
      </c>
      <c r="H3169" s="33">
        <f>IF(ISNUMBER(SEARCH("Group",D3169)),IF(G3169="",E3169,IFERROR(E3169/COUNTIF($G2:$G6000,G3169),E3169)),E3169)</f>
        <v>0</v>
      </c>
      <c r="I3169" s="1" t="str">
        <f>IFERROR(VLOOKUP(C3169,'Clients List'!A:F,6,FALSE),"")</f>
        <v/>
      </c>
    </row>
    <row r="3170" spans="4:9" x14ac:dyDescent="0.45">
      <c r="D3170" t="str">
        <f>IFERROR(VLOOKUP(C3170,'Clients List'!$A:$F,2,FALSE),"")</f>
        <v/>
      </c>
      <c r="F3170" s="1" t="str">
        <f>IF(OR(C3170="",NOT(ISNUMBER(SEARCH("Package",D3170)))),"",VLOOKUP(C3170,'Clients List'!$A:$F,4,FALSE)-SUMIFS($E$2:$E3170,$C$2:$C3170,C3170,$D$2:$D3170,"*Package*"))</f>
        <v/>
      </c>
      <c r="G3170" t="str">
        <f t="shared" si="82"/>
        <v/>
      </c>
      <c r="H3170" s="33">
        <f>IF(ISNUMBER(SEARCH("Group",D3170)),IF(G3170="",E3170,IFERROR(E3170/COUNTIF($G2:$G6000,G3170),E3170)),E3170)</f>
        <v>0</v>
      </c>
      <c r="I3170" s="1" t="str">
        <f>IFERROR(VLOOKUP(C3170,'Clients List'!A:F,6,FALSE),"")</f>
        <v/>
      </c>
    </row>
    <row r="3171" spans="4:9" x14ac:dyDescent="0.45">
      <c r="D3171" t="str">
        <f>IFERROR(VLOOKUP(C3171,'Clients List'!$A:$F,2,FALSE),"")</f>
        <v/>
      </c>
      <c r="F3171" s="1" t="str">
        <f>IF(OR(C3171="",NOT(ISNUMBER(SEARCH("Package",D3171)))),"",VLOOKUP(C3171,'Clients List'!$A:$F,4,FALSE)-SUMIFS($E$2:$E3171,$C$2:$C3171,C3171,$D$2:$D3171,"*Package*"))</f>
        <v/>
      </c>
      <c r="G3171" t="str">
        <f t="shared" si="82"/>
        <v/>
      </c>
      <c r="H3171" s="33">
        <f>IF(ISNUMBER(SEARCH("Group",D3171)),IF(G3171="",E3171,IFERROR(E3171/COUNTIF($G2:$G6000,G3171),E3171)),E3171)</f>
        <v>0</v>
      </c>
      <c r="I3171" s="1" t="str">
        <f>IFERROR(VLOOKUP(C3171,'Clients List'!A:F,6,FALSE),"")</f>
        <v/>
      </c>
    </row>
    <row r="3172" spans="4:9" x14ac:dyDescent="0.45">
      <c r="D3172" t="str">
        <f>IFERROR(VLOOKUP(C3172,'Clients List'!$A:$F,2,FALSE),"")</f>
        <v/>
      </c>
      <c r="F3172" s="1" t="str">
        <f>IF(OR(C3172="",NOT(ISNUMBER(SEARCH("Package",D3172)))),"",VLOOKUP(C3172,'Clients List'!$A:$F,4,FALSE)-SUMIFS($E$2:$E3172,$C$2:$C3172,C3172,$D$2:$D3172,"*Package*"))</f>
        <v/>
      </c>
      <c r="G3172" t="str">
        <f t="shared" si="82"/>
        <v/>
      </c>
      <c r="H3172" s="33">
        <f>IF(ISNUMBER(SEARCH("Group",D3172)),IF(G3172="",E3172,IFERROR(E3172/COUNTIF($G2:$G6000,G3172),E3172)),E3172)</f>
        <v>0</v>
      </c>
      <c r="I3172" s="1" t="str">
        <f>IFERROR(VLOOKUP(C3172,'Clients List'!A:F,6,FALSE),"")</f>
        <v/>
      </c>
    </row>
    <row r="3173" spans="4:9" x14ac:dyDescent="0.45">
      <c r="D3173" t="str">
        <f>IFERROR(VLOOKUP(C3173,'Clients List'!$A:$F,2,FALSE),"")</f>
        <v/>
      </c>
      <c r="F3173" s="1" t="str">
        <f>IF(OR(C3173="",NOT(ISNUMBER(SEARCH("Package",D3173)))),"",VLOOKUP(C3173,'Clients List'!$A:$F,4,FALSE)-SUMIFS($E$2:$E3173,$C$2:$C3173,C3173,$D$2:$D3173,"*Package*"))</f>
        <v/>
      </c>
      <c r="G3173" t="str">
        <f t="shared" si="82"/>
        <v/>
      </c>
      <c r="H3173" s="33">
        <f>IF(ISNUMBER(SEARCH("Group",D3173)),IF(G3173="",E3173,IFERROR(E3173/COUNTIF($G2:$G6000,G3173),E3173)),E3173)</f>
        <v>0</v>
      </c>
      <c r="I3173" s="1" t="str">
        <f>IFERROR(VLOOKUP(C3173,'Clients List'!A:F,6,FALSE),"")</f>
        <v/>
      </c>
    </row>
    <row r="3174" spans="4:9" x14ac:dyDescent="0.45">
      <c r="D3174" t="str">
        <f>IFERROR(VLOOKUP(C3174,'Clients List'!$A:$F,2,FALSE),"")</f>
        <v/>
      </c>
      <c r="F3174" s="1" t="str">
        <f>IF(OR(C3174="",NOT(ISNUMBER(SEARCH("Package",D3174)))),"",VLOOKUP(C3174,'Clients List'!$A:$F,4,FALSE)-SUMIFS($E$2:$E3174,$C$2:$C3174,C3174,$D$2:$D3174,"*Package*"))</f>
        <v/>
      </c>
      <c r="G3174" t="str">
        <f t="shared" si="82"/>
        <v/>
      </c>
      <c r="H3174" s="33">
        <f>IF(ISNUMBER(SEARCH("Group",D3174)),IF(G3174="",E3174,IFERROR(E3174/COUNTIF($G2:$G6000,G3174),E3174)),E3174)</f>
        <v>0</v>
      </c>
      <c r="I3174" s="1" t="str">
        <f>IFERROR(VLOOKUP(C3174,'Clients List'!A:F,6,FALSE),"")</f>
        <v/>
      </c>
    </row>
    <row r="3175" spans="4:9" x14ac:dyDescent="0.45">
      <c r="D3175" t="str">
        <f>IFERROR(VLOOKUP(C3175,'Clients List'!$A:$F,2,FALSE),"")</f>
        <v/>
      </c>
      <c r="F3175" s="1" t="str">
        <f>IF(OR(C3175="",NOT(ISNUMBER(SEARCH("Package",D3175)))),"",VLOOKUP(C3175,'Clients List'!$A:$F,4,FALSE)-SUMIFS($E$2:$E3175,$C$2:$C3175,C3175,$D$2:$D3175,"*Package*"))</f>
        <v/>
      </c>
      <c r="G3175" t="str">
        <f t="shared" si="82"/>
        <v/>
      </c>
      <c r="H3175" s="33">
        <f>IF(ISNUMBER(SEARCH("Group",D3175)),IF(G3175="",E3175,IFERROR(E3175/COUNTIF($G2:$G6000,G3175),E3175)),E3175)</f>
        <v>0</v>
      </c>
      <c r="I3175" s="1" t="str">
        <f>IFERROR(VLOOKUP(C3175,'Clients List'!A:F,6,FALSE),"")</f>
        <v/>
      </c>
    </row>
    <row r="3176" spans="4:9" x14ac:dyDescent="0.45">
      <c r="D3176" t="str">
        <f>IFERROR(VLOOKUP(C3176,'Clients List'!$A:$F,2,FALSE),"")</f>
        <v/>
      </c>
      <c r="F3176" s="1" t="str">
        <f>IF(OR(C3176="",NOT(ISNUMBER(SEARCH("Package",D3176)))),"",VLOOKUP(C3176,'Clients List'!$A:$F,4,FALSE)-SUMIFS($E$2:$E3176,$C$2:$C3176,C3176,$D$2:$D3176,"*Package*"))</f>
        <v/>
      </c>
      <c r="G3176" t="str">
        <f t="shared" si="82"/>
        <v/>
      </c>
      <c r="H3176" s="33">
        <f>IF(ISNUMBER(SEARCH("Group",D3176)),IF(G3176="",E3176,IFERROR(E3176/COUNTIF($G2:$G6000,G3176),E3176)),E3176)</f>
        <v>0</v>
      </c>
      <c r="I3176" s="1" t="str">
        <f>IFERROR(VLOOKUP(C3176,'Clients List'!A:F,6,FALSE),"")</f>
        <v/>
      </c>
    </row>
    <row r="3177" spans="4:9" x14ac:dyDescent="0.45">
      <c r="D3177" t="str">
        <f>IFERROR(VLOOKUP(C3177,'Clients List'!$A:$F,2,FALSE),"")</f>
        <v/>
      </c>
      <c r="F3177" s="1" t="str">
        <f>IF(OR(C3177="",NOT(ISNUMBER(SEARCH("Package",D3177)))),"",VLOOKUP(C3177,'Clients List'!$A:$F,4,FALSE)-SUMIFS($E$2:$E3177,$C$2:$C3177,C3177,$D$2:$D3177,"*Package*"))</f>
        <v/>
      </c>
      <c r="G3177" t="str">
        <f t="shared" si="82"/>
        <v/>
      </c>
      <c r="H3177" s="33">
        <f>IF(ISNUMBER(SEARCH("Group",D3177)),IF(G3177="",E3177,IFERROR(E3177/COUNTIF($G2:$G6000,G3177),E3177)),E3177)</f>
        <v>0</v>
      </c>
      <c r="I3177" s="1" t="str">
        <f>IFERROR(VLOOKUP(C3177,'Clients List'!A:F,6,FALSE),"")</f>
        <v/>
      </c>
    </row>
    <row r="3178" spans="4:9" x14ac:dyDescent="0.45">
      <c r="D3178" t="str">
        <f>IFERROR(VLOOKUP(C3178,'Clients List'!$A:$F,2,FALSE),"")</f>
        <v/>
      </c>
      <c r="F3178" s="1" t="str">
        <f>IF(OR(C3178="",NOT(ISNUMBER(SEARCH("Package",D3178)))),"",VLOOKUP(C3178,'Clients List'!$A:$F,4,FALSE)-SUMIFS($E$2:$E3178,$C$2:$C3178,C3178,$D$2:$D3178,"*Package*"))</f>
        <v/>
      </c>
      <c r="G3178" t="str">
        <f t="shared" si="82"/>
        <v/>
      </c>
      <c r="H3178" s="33">
        <f>IF(ISNUMBER(SEARCH("Group",D3178)),IF(G3178="",E3178,IFERROR(E3178/COUNTIF($G2:$G6000,G3178),E3178)),E3178)</f>
        <v>0</v>
      </c>
      <c r="I3178" s="1" t="str">
        <f>IFERROR(VLOOKUP(C3178,'Clients List'!A:F,6,FALSE),"")</f>
        <v/>
      </c>
    </row>
    <row r="3179" spans="4:9" x14ac:dyDescent="0.45">
      <c r="D3179" t="str">
        <f>IFERROR(VLOOKUP(C3179,'Clients List'!$A:$F,2,FALSE),"")</f>
        <v/>
      </c>
      <c r="F3179" s="1" t="str">
        <f>IF(OR(C3179="",NOT(ISNUMBER(SEARCH("Package",D3179)))),"",VLOOKUP(C3179,'Clients List'!$A:$F,4,FALSE)-SUMIFS($E$2:$E3179,$C$2:$C3179,C3179,$D$2:$D3179,"*Package*"))</f>
        <v/>
      </c>
      <c r="G3179" t="str">
        <f t="shared" si="82"/>
        <v/>
      </c>
      <c r="H3179" s="33">
        <f>IF(ISNUMBER(SEARCH("Group",D3179)),IF(G3179="",E3179,IFERROR(E3179/COUNTIF($G2:$G6000,G3179),E3179)),E3179)</f>
        <v>0</v>
      </c>
      <c r="I3179" s="1" t="str">
        <f>IFERROR(VLOOKUP(C3179,'Clients List'!A:F,6,FALSE),"")</f>
        <v/>
      </c>
    </row>
    <row r="3180" spans="4:9" x14ac:dyDescent="0.45">
      <c r="D3180" t="str">
        <f>IFERROR(VLOOKUP(C3180,'Clients List'!$A:$F,2,FALSE),"")</f>
        <v/>
      </c>
      <c r="F3180" s="1" t="str">
        <f>IF(OR(C3180="",NOT(ISNUMBER(SEARCH("Package",D3180)))),"",VLOOKUP(C3180,'Clients List'!$A:$F,4,FALSE)-SUMIFS($E$2:$E3180,$C$2:$C3180,C3180,$D$2:$D3180,"*Package*"))</f>
        <v/>
      </c>
      <c r="G3180" t="str">
        <f t="shared" si="82"/>
        <v/>
      </c>
      <c r="H3180" s="33">
        <f>IF(ISNUMBER(SEARCH("Group",D3180)),IF(G3180="",E3180,IFERROR(E3180/COUNTIF($G2:$G6000,G3180),E3180)),E3180)</f>
        <v>0</v>
      </c>
      <c r="I3180" s="1" t="str">
        <f>IFERROR(VLOOKUP(C3180,'Clients List'!A:F,6,FALSE),"")</f>
        <v/>
      </c>
    </row>
    <row r="3181" spans="4:9" x14ac:dyDescent="0.45">
      <c r="D3181" t="str">
        <f>IFERROR(VLOOKUP(C3181,'Clients List'!$A:$F,2,FALSE),"")</f>
        <v/>
      </c>
      <c r="F3181" s="1" t="str">
        <f>IF(OR(C3181="",NOT(ISNUMBER(SEARCH("Package",D3181)))),"",VLOOKUP(C3181,'Clients List'!$A:$F,4,FALSE)-SUMIFS($E$2:$E3181,$C$2:$C3181,C3181,$D$2:$D3181,"*Package*"))</f>
        <v/>
      </c>
      <c r="G3181" t="str">
        <f t="shared" si="82"/>
        <v/>
      </c>
      <c r="H3181" s="33">
        <f>IF(ISNUMBER(SEARCH("Group",D3181)),IF(G3181="",E3181,IFERROR(E3181/COUNTIF($G2:$G6000,G3181),E3181)),E3181)</f>
        <v>0</v>
      </c>
      <c r="I3181" s="1" t="str">
        <f>IFERROR(VLOOKUP(C3181,'Clients List'!A:F,6,FALSE),"")</f>
        <v/>
      </c>
    </row>
    <row r="3182" spans="4:9" x14ac:dyDescent="0.45">
      <c r="D3182" t="str">
        <f>IFERROR(VLOOKUP(C3182,'Clients List'!$A:$F,2,FALSE),"")</f>
        <v/>
      </c>
      <c r="F3182" s="1" t="str">
        <f>IF(OR(C3182="",NOT(ISNUMBER(SEARCH("Package",D3182)))),"",VLOOKUP(C3182,'Clients List'!$A:$F,4,FALSE)-SUMIFS($E$2:$E3182,$C$2:$C3182,C3182,$D$2:$D3182,"*Package*"))</f>
        <v/>
      </c>
      <c r="G3182" t="str">
        <f t="shared" si="82"/>
        <v/>
      </c>
      <c r="H3182" s="33">
        <f>IF(ISNUMBER(SEARCH("Group",D3182)),IF(G3182="",E3182,IFERROR(E3182/COUNTIF($G2:$G6000,G3182),E3182)),E3182)</f>
        <v>0</v>
      </c>
      <c r="I3182" s="1" t="str">
        <f>IFERROR(VLOOKUP(C3182,'Clients List'!A:F,6,FALSE),"")</f>
        <v/>
      </c>
    </row>
    <row r="3183" spans="4:9" x14ac:dyDescent="0.45">
      <c r="D3183" t="str">
        <f>IFERROR(VLOOKUP(C3183,'Clients List'!$A:$F,2,FALSE),"")</f>
        <v/>
      </c>
      <c r="F3183" s="1" t="str">
        <f>IF(OR(C3183="",NOT(ISNUMBER(SEARCH("Package",D3183)))),"",VLOOKUP(C3183,'Clients List'!$A:$F,4,FALSE)-SUMIFS($E$2:$E3183,$C$2:$C3183,C3183,$D$2:$D3183,"*Package*"))</f>
        <v/>
      </c>
      <c r="G3183" t="str">
        <f t="shared" si="82"/>
        <v/>
      </c>
      <c r="H3183" s="33">
        <f>IF(ISNUMBER(SEARCH("Group",D3183)),IF(G3183="",E3183,IFERROR(E3183/COUNTIF($G2:$G6000,G3183),E3183)),E3183)</f>
        <v>0</v>
      </c>
      <c r="I3183" s="1" t="str">
        <f>IFERROR(VLOOKUP(C3183,'Clients List'!A:F,6,FALSE),"")</f>
        <v/>
      </c>
    </row>
    <row r="3184" spans="4:9" x14ac:dyDescent="0.45">
      <c r="D3184" t="str">
        <f>IFERROR(VLOOKUP(C3184,'Clients List'!$A:$F,2,FALSE),"")</f>
        <v/>
      </c>
      <c r="F3184" s="1" t="str">
        <f>IF(OR(C3184="",NOT(ISNUMBER(SEARCH("Package",D3184)))),"",VLOOKUP(C3184,'Clients List'!$A:$F,4,FALSE)-SUMIFS($E$2:$E3184,$C$2:$C3184,C3184,$D$2:$D3184,"*Package*"))</f>
        <v/>
      </c>
      <c r="G3184" t="str">
        <f t="shared" si="82"/>
        <v/>
      </c>
      <c r="H3184" s="33">
        <f>IF(ISNUMBER(SEARCH("Group",D3184)),IF(G3184="",E3184,IFERROR(E3184/COUNTIF($G2:$G6000,G3184),E3184)),E3184)</f>
        <v>0</v>
      </c>
      <c r="I3184" s="1" t="str">
        <f>IFERROR(VLOOKUP(C3184,'Clients List'!A:F,6,FALSE),"")</f>
        <v/>
      </c>
    </row>
    <row r="3185" spans="4:9" x14ac:dyDescent="0.45">
      <c r="D3185" t="str">
        <f>IFERROR(VLOOKUP(C3185,'Clients List'!$A:$F,2,FALSE),"")</f>
        <v/>
      </c>
      <c r="F3185" s="1" t="str">
        <f>IF(OR(C3185="",NOT(ISNUMBER(SEARCH("Package",D3185)))),"",VLOOKUP(C3185,'Clients List'!$A:$F,4,FALSE)-SUMIFS($E$2:$E3185,$C$2:$C3185,C3185,$D$2:$D3185,"*Package*"))</f>
        <v/>
      </c>
      <c r="G3185" t="str">
        <f t="shared" si="82"/>
        <v/>
      </c>
      <c r="H3185" s="33">
        <f>IF(ISNUMBER(SEARCH("Group",D3185)),IF(G3185="",E3185,IFERROR(E3185/COUNTIF($G2:$G6000,G3185),E3185)),E3185)</f>
        <v>0</v>
      </c>
      <c r="I3185" s="1" t="str">
        <f>IFERROR(VLOOKUP(C3185,'Clients List'!A:F,6,FALSE),"")</f>
        <v/>
      </c>
    </row>
    <row r="3186" spans="4:9" x14ac:dyDescent="0.45">
      <c r="D3186" t="str">
        <f>IFERROR(VLOOKUP(C3186,'Clients List'!$A:$F,2,FALSE),"")</f>
        <v/>
      </c>
      <c r="F3186" s="1" t="str">
        <f>IF(OR(C3186="",NOT(ISNUMBER(SEARCH("Package",D3186)))),"",VLOOKUP(C3186,'Clients List'!$A:$F,4,FALSE)-SUMIFS($E$2:$E3186,$C$2:$C3186,C3186,$D$2:$D3186,"*Package*"))</f>
        <v/>
      </c>
      <c r="G3186" t="str">
        <f t="shared" si="82"/>
        <v/>
      </c>
      <c r="H3186" s="33">
        <f>IF(ISNUMBER(SEARCH("Group",D3186)),IF(G3186="",E3186,IFERROR(E3186/COUNTIF($G2:$G6000,G3186),E3186)),E3186)</f>
        <v>0</v>
      </c>
      <c r="I3186" s="1" t="str">
        <f>IFERROR(VLOOKUP(C3186,'Clients List'!A:F,6,FALSE),"")</f>
        <v/>
      </c>
    </row>
    <row r="3187" spans="4:9" x14ac:dyDescent="0.45">
      <c r="D3187" t="str">
        <f>IFERROR(VLOOKUP(C3187,'Clients List'!$A:$F,2,FALSE),"")</f>
        <v/>
      </c>
      <c r="F3187" s="1" t="str">
        <f>IF(OR(C3187="",NOT(ISNUMBER(SEARCH("Package",D3187)))),"",VLOOKUP(C3187,'Clients List'!$A:$F,4,FALSE)-SUMIFS($E$2:$E3187,$C$2:$C3187,C3187,$D$2:$D3187,"*Package*"))</f>
        <v/>
      </c>
      <c r="G3187" t="str">
        <f t="shared" si="82"/>
        <v/>
      </c>
      <c r="H3187" s="33">
        <f>IF(ISNUMBER(SEARCH("Group",D3187)),IF(G3187="",E3187,IFERROR(E3187/COUNTIF($G2:$G6000,G3187),E3187)),E3187)</f>
        <v>0</v>
      </c>
      <c r="I3187" s="1" t="str">
        <f>IFERROR(VLOOKUP(C3187,'Clients List'!A:F,6,FALSE),"")</f>
        <v/>
      </c>
    </row>
    <row r="3188" spans="4:9" x14ac:dyDescent="0.45">
      <c r="D3188" t="str">
        <f>IFERROR(VLOOKUP(C3188,'Clients List'!$A:$F,2,FALSE),"")</f>
        <v/>
      </c>
      <c r="F3188" s="1" t="str">
        <f>IF(OR(C3188="",NOT(ISNUMBER(SEARCH("Package",D3188)))),"",VLOOKUP(C3188,'Clients List'!$A:$F,4,FALSE)-SUMIFS($E$2:$E3188,$C$2:$C3188,C3188,$D$2:$D3188,"*Package*"))</f>
        <v/>
      </c>
      <c r="G3188" t="str">
        <f t="shared" si="82"/>
        <v/>
      </c>
      <c r="H3188" s="33">
        <f>IF(ISNUMBER(SEARCH("Group",D3188)),IF(G3188="",E3188,IFERROR(E3188/COUNTIF($G2:$G6000,G3188),E3188)),E3188)</f>
        <v>0</v>
      </c>
      <c r="I3188" s="1" t="str">
        <f>IFERROR(VLOOKUP(C3188,'Clients List'!A:F,6,FALSE),"")</f>
        <v/>
      </c>
    </row>
    <row r="3189" spans="4:9" x14ac:dyDescent="0.45">
      <c r="D3189" t="str">
        <f>IFERROR(VLOOKUP(C3189,'Clients List'!$A:$F,2,FALSE),"")</f>
        <v/>
      </c>
      <c r="F3189" s="1" t="str">
        <f>IF(OR(C3189="",NOT(ISNUMBER(SEARCH("Package",D3189)))),"",VLOOKUP(C3189,'Clients List'!$A:$F,4,FALSE)-SUMIFS($E$2:$E3189,$C$2:$C3189,C3189,$D$2:$D3189,"*Package*"))</f>
        <v/>
      </c>
      <c r="G3189" t="str">
        <f t="shared" ref="G3189:G3252" si="83">IF(ISNUMBER(SEARCH("Group",D3189)),IFERROR("GRP-"&amp;TEXT(IF(ISNUMBER(A3189),A3189,DATEVALUE(A3189)),"yyyymmdd"),""),"" )</f>
        <v/>
      </c>
      <c r="H3189" s="33">
        <f>IF(ISNUMBER(SEARCH("Group",D3189)),IF(G3189="",E3189,IFERROR(E3189/COUNTIF($G2:$G6000,G3189),E3189)),E3189)</f>
        <v>0</v>
      </c>
      <c r="I3189" s="1" t="str">
        <f>IFERROR(VLOOKUP(C3189,'Clients List'!A:F,6,FALSE),"")</f>
        <v/>
      </c>
    </row>
    <row r="3190" spans="4:9" x14ac:dyDescent="0.45">
      <c r="D3190" t="str">
        <f>IFERROR(VLOOKUP(C3190,'Clients List'!$A:$F,2,FALSE),"")</f>
        <v/>
      </c>
      <c r="F3190" s="1" t="str">
        <f>IF(OR(C3190="",NOT(ISNUMBER(SEARCH("Package",D3190)))),"",VLOOKUP(C3190,'Clients List'!$A:$F,4,FALSE)-SUMIFS($E$2:$E3190,$C$2:$C3190,C3190,$D$2:$D3190,"*Package*"))</f>
        <v/>
      </c>
      <c r="G3190" t="str">
        <f t="shared" si="83"/>
        <v/>
      </c>
      <c r="H3190" s="33">
        <f>IF(ISNUMBER(SEARCH("Group",D3190)),IF(G3190="",E3190,IFERROR(E3190/COUNTIF($G2:$G6000,G3190),E3190)),E3190)</f>
        <v>0</v>
      </c>
      <c r="I3190" s="1" t="str">
        <f>IFERROR(VLOOKUP(C3190,'Clients List'!A:F,6,FALSE),"")</f>
        <v/>
      </c>
    </row>
    <row r="3191" spans="4:9" x14ac:dyDescent="0.45">
      <c r="D3191" t="str">
        <f>IFERROR(VLOOKUP(C3191,'Clients List'!$A:$F,2,FALSE),"")</f>
        <v/>
      </c>
      <c r="F3191" s="1" t="str">
        <f>IF(OR(C3191="",NOT(ISNUMBER(SEARCH("Package",D3191)))),"",VLOOKUP(C3191,'Clients List'!$A:$F,4,FALSE)-SUMIFS($E$2:$E3191,$C$2:$C3191,C3191,$D$2:$D3191,"*Package*"))</f>
        <v/>
      </c>
      <c r="G3191" t="str">
        <f t="shared" si="83"/>
        <v/>
      </c>
      <c r="H3191" s="33">
        <f>IF(ISNUMBER(SEARCH("Group",D3191)),IF(G3191="",E3191,IFERROR(E3191/COUNTIF($G2:$G6000,G3191),E3191)),E3191)</f>
        <v>0</v>
      </c>
      <c r="I3191" s="1" t="str">
        <f>IFERROR(VLOOKUP(C3191,'Clients List'!A:F,6,FALSE),"")</f>
        <v/>
      </c>
    </row>
    <row r="3192" spans="4:9" x14ac:dyDescent="0.45">
      <c r="D3192" t="str">
        <f>IFERROR(VLOOKUP(C3192,'Clients List'!$A:$F,2,FALSE),"")</f>
        <v/>
      </c>
      <c r="F3192" s="1" t="str">
        <f>IF(OR(C3192="",NOT(ISNUMBER(SEARCH("Package",D3192)))),"",VLOOKUP(C3192,'Clients List'!$A:$F,4,FALSE)-SUMIFS($E$2:$E3192,$C$2:$C3192,C3192,$D$2:$D3192,"*Package*"))</f>
        <v/>
      </c>
      <c r="G3192" t="str">
        <f t="shared" si="83"/>
        <v/>
      </c>
      <c r="H3192" s="33">
        <f>IF(ISNUMBER(SEARCH("Group",D3192)),IF(G3192="",E3192,IFERROR(E3192/COUNTIF($G2:$G6000,G3192),E3192)),E3192)</f>
        <v>0</v>
      </c>
      <c r="I3192" s="1" t="str">
        <f>IFERROR(VLOOKUP(C3192,'Clients List'!A:F,6,FALSE),"")</f>
        <v/>
      </c>
    </row>
    <row r="3193" spans="4:9" x14ac:dyDescent="0.45">
      <c r="D3193" t="str">
        <f>IFERROR(VLOOKUP(C3193,'Clients List'!$A:$F,2,FALSE),"")</f>
        <v/>
      </c>
      <c r="F3193" s="1" t="str">
        <f>IF(OR(C3193="",NOT(ISNUMBER(SEARCH("Package",D3193)))),"",VLOOKUP(C3193,'Clients List'!$A:$F,4,FALSE)-SUMIFS($E$2:$E3193,$C$2:$C3193,C3193,$D$2:$D3193,"*Package*"))</f>
        <v/>
      </c>
      <c r="G3193" t="str">
        <f t="shared" si="83"/>
        <v/>
      </c>
      <c r="H3193" s="33">
        <f>IF(ISNUMBER(SEARCH("Group",D3193)),IF(G3193="",E3193,IFERROR(E3193/COUNTIF($G2:$G6000,G3193),E3193)),E3193)</f>
        <v>0</v>
      </c>
      <c r="I3193" s="1" t="str">
        <f>IFERROR(VLOOKUP(C3193,'Clients List'!A:F,6,FALSE),"")</f>
        <v/>
      </c>
    </row>
    <row r="3194" spans="4:9" x14ac:dyDescent="0.45">
      <c r="D3194" t="str">
        <f>IFERROR(VLOOKUP(C3194,'Clients List'!$A:$F,2,FALSE),"")</f>
        <v/>
      </c>
      <c r="F3194" s="1" t="str">
        <f>IF(OR(C3194="",NOT(ISNUMBER(SEARCH("Package",D3194)))),"",VLOOKUP(C3194,'Clients List'!$A:$F,4,FALSE)-SUMIFS($E$2:$E3194,$C$2:$C3194,C3194,$D$2:$D3194,"*Package*"))</f>
        <v/>
      </c>
      <c r="G3194" t="str">
        <f t="shared" si="83"/>
        <v/>
      </c>
      <c r="H3194" s="33">
        <f>IF(ISNUMBER(SEARCH("Group",D3194)),IF(G3194="",E3194,IFERROR(E3194/COUNTIF($G2:$G6000,G3194),E3194)),E3194)</f>
        <v>0</v>
      </c>
      <c r="I3194" s="1" t="str">
        <f>IFERROR(VLOOKUP(C3194,'Clients List'!A:F,6,FALSE),"")</f>
        <v/>
      </c>
    </row>
    <row r="3195" spans="4:9" x14ac:dyDescent="0.45">
      <c r="D3195" t="str">
        <f>IFERROR(VLOOKUP(C3195,'Clients List'!$A:$F,2,FALSE),"")</f>
        <v/>
      </c>
      <c r="F3195" s="1" t="str">
        <f>IF(OR(C3195="",NOT(ISNUMBER(SEARCH("Package",D3195)))),"",VLOOKUP(C3195,'Clients List'!$A:$F,4,FALSE)-SUMIFS($E$2:$E3195,$C$2:$C3195,C3195,$D$2:$D3195,"*Package*"))</f>
        <v/>
      </c>
      <c r="G3195" t="str">
        <f t="shared" si="83"/>
        <v/>
      </c>
      <c r="H3195" s="33">
        <f>IF(ISNUMBER(SEARCH("Group",D3195)),IF(G3195="",E3195,IFERROR(E3195/COUNTIF($G2:$G6000,G3195),E3195)),E3195)</f>
        <v>0</v>
      </c>
      <c r="I3195" s="1" t="str">
        <f>IFERROR(VLOOKUP(C3195,'Clients List'!A:F,6,FALSE),"")</f>
        <v/>
      </c>
    </row>
    <row r="3196" spans="4:9" x14ac:dyDescent="0.45">
      <c r="D3196" t="str">
        <f>IFERROR(VLOOKUP(C3196,'Clients List'!$A:$F,2,FALSE),"")</f>
        <v/>
      </c>
      <c r="F3196" s="1" t="str">
        <f>IF(OR(C3196="",NOT(ISNUMBER(SEARCH("Package",D3196)))),"",VLOOKUP(C3196,'Clients List'!$A:$F,4,FALSE)-SUMIFS($E$2:$E3196,$C$2:$C3196,C3196,$D$2:$D3196,"*Package*"))</f>
        <v/>
      </c>
      <c r="G3196" t="str">
        <f t="shared" si="83"/>
        <v/>
      </c>
      <c r="H3196" s="33">
        <f>IF(ISNUMBER(SEARCH("Group",D3196)),IF(G3196="",E3196,IFERROR(E3196/COUNTIF($G2:$G6000,G3196),E3196)),E3196)</f>
        <v>0</v>
      </c>
      <c r="I3196" s="1" t="str">
        <f>IFERROR(VLOOKUP(C3196,'Clients List'!A:F,6,FALSE),"")</f>
        <v/>
      </c>
    </row>
    <row r="3197" spans="4:9" x14ac:dyDescent="0.45">
      <c r="D3197" t="str">
        <f>IFERROR(VLOOKUP(C3197,'Clients List'!$A:$F,2,FALSE),"")</f>
        <v/>
      </c>
      <c r="F3197" s="1" t="str">
        <f>IF(OR(C3197="",NOT(ISNUMBER(SEARCH("Package",D3197)))),"",VLOOKUP(C3197,'Clients List'!$A:$F,4,FALSE)-SUMIFS($E$2:$E3197,$C$2:$C3197,C3197,$D$2:$D3197,"*Package*"))</f>
        <v/>
      </c>
      <c r="G3197" t="str">
        <f t="shared" si="83"/>
        <v/>
      </c>
      <c r="H3197" s="33">
        <f>IF(ISNUMBER(SEARCH("Group",D3197)),IF(G3197="",E3197,IFERROR(E3197/COUNTIF($G2:$G6000,G3197),E3197)),E3197)</f>
        <v>0</v>
      </c>
      <c r="I3197" s="1" t="str">
        <f>IFERROR(VLOOKUP(C3197,'Clients List'!A:F,6,FALSE),"")</f>
        <v/>
      </c>
    </row>
    <row r="3198" spans="4:9" x14ac:dyDescent="0.45">
      <c r="D3198" t="str">
        <f>IFERROR(VLOOKUP(C3198,'Clients List'!$A:$F,2,FALSE),"")</f>
        <v/>
      </c>
      <c r="F3198" s="1" t="str">
        <f>IF(OR(C3198="",NOT(ISNUMBER(SEARCH("Package",D3198)))),"",VLOOKUP(C3198,'Clients List'!$A:$F,4,FALSE)-SUMIFS($E$2:$E3198,$C$2:$C3198,C3198,$D$2:$D3198,"*Package*"))</f>
        <v/>
      </c>
      <c r="G3198" t="str">
        <f t="shared" si="83"/>
        <v/>
      </c>
      <c r="H3198" s="33">
        <f>IF(ISNUMBER(SEARCH("Group",D3198)),IF(G3198="",E3198,IFERROR(E3198/COUNTIF($G2:$G6000,G3198),E3198)),E3198)</f>
        <v>0</v>
      </c>
      <c r="I3198" s="1" t="str">
        <f>IFERROR(VLOOKUP(C3198,'Clients List'!A:F,6,FALSE),"")</f>
        <v/>
      </c>
    </row>
    <row r="3199" spans="4:9" x14ac:dyDescent="0.45">
      <c r="D3199" t="str">
        <f>IFERROR(VLOOKUP(C3199,'Clients List'!$A:$F,2,FALSE),"")</f>
        <v/>
      </c>
      <c r="F3199" s="1" t="str">
        <f>IF(OR(C3199="",NOT(ISNUMBER(SEARCH("Package",D3199)))),"",VLOOKUP(C3199,'Clients List'!$A:$F,4,FALSE)-SUMIFS($E$2:$E3199,$C$2:$C3199,C3199,$D$2:$D3199,"*Package*"))</f>
        <v/>
      </c>
      <c r="G3199" t="str">
        <f t="shared" si="83"/>
        <v/>
      </c>
      <c r="H3199" s="33">
        <f>IF(ISNUMBER(SEARCH("Group",D3199)),IF(G3199="",E3199,IFERROR(E3199/COUNTIF($G2:$G6000,G3199),E3199)),E3199)</f>
        <v>0</v>
      </c>
      <c r="I3199" s="1" t="str">
        <f>IFERROR(VLOOKUP(C3199,'Clients List'!A:F,6,FALSE),"")</f>
        <v/>
      </c>
    </row>
    <row r="3200" spans="4:9" x14ac:dyDescent="0.45">
      <c r="D3200" t="str">
        <f>IFERROR(VLOOKUP(C3200,'Clients List'!$A:$F,2,FALSE),"")</f>
        <v/>
      </c>
      <c r="F3200" s="1" t="str">
        <f>IF(OR(C3200="",NOT(ISNUMBER(SEARCH("Package",D3200)))),"",VLOOKUP(C3200,'Clients List'!$A:$F,4,FALSE)-SUMIFS($E$2:$E3200,$C$2:$C3200,C3200,$D$2:$D3200,"*Package*"))</f>
        <v/>
      </c>
      <c r="G3200" t="str">
        <f t="shared" si="83"/>
        <v/>
      </c>
      <c r="H3200" s="33">
        <f>IF(ISNUMBER(SEARCH("Group",D3200)),IF(G3200="",E3200,IFERROR(E3200/COUNTIF($G2:$G6000,G3200),E3200)),E3200)</f>
        <v>0</v>
      </c>
      <c r="I3200" s="1" t="str">
        <f>IFERROR(VLOOKUP(C3200,'Clients List'!A:F,6,FALSE),"")</f>
        <v/>
      </c>
    </row>
    <row r="3201" spans="4:9" x14ac:dyDescent="0.45">
      <c r="D3201" t="str">
        <f>IFERROR(VLOOKUP(C3201,'Clients List'!$A:$F,2,FALSE),"")</f>
        <v/>
      </c>
      <c r="F3201" s="1" t="str">
        <f>IF(OR(C3201="",NOT(ISNUMBER(SEARCH("Package",D3201)))),"",VLOOKUP(C3201,'Clients List'!$A:$F,4,FALSE)-SUMIFS($E$2:$E3201,$C$2:$C3201,C3201,$D$2:$D3201,"*Package*"))</f>
        <v/>
      </c>
      <c r="G3201" t="str">
        <f t="shared" si="83"/>
        <v/>
      </c>
      <c r="H3201" s="33">
        <f>IF(ISNUMBER(SEARCH("Group",D3201)),IF(G3201="",E3201,IFERROR(E3201/COUNTIF($G2:$G6000,G3201),E3201)),E3201)</f>
        <v>0</v>
      </c>
      <c r="I3201" s="1" t="str">
        <f>IFERROR(VLOOKUP(C3201,'Clients List'!A:F,6,FALSE),"")</f>
        <v/>
      </c>
    </row>
    <row r="3202" spans="4:9" x14ac:dyDescent="0.45">
      <c r="D3202" t="str">
        <f>IFERROR(VLOOKUP(C3202,'Clients List'!$A:$F,2,FALSE),"")</f>
        <v/>
      </c>
      <c r="F3202" s="1" t="str">
        <f>IF(OR(C3202="",NOT(ISNUMBER(SEARCH("Package",D3202)))),"",VLOOKUP(C3202,'Clients List'!$A:$F,4,FALSE)-SUMIFS($E$2:$E3202,$C$2:$C3202,C3202,$D$2:$D3202,"*Package*"))</f>
        <v/>
      </c>
      <c r="G3202" t="str">
        <f t="shared" si="83"/>
        <v/>
      </c>
      <c r="H3202" s="33">
        <f>IF(ISNUMBER(SEARCH("Group",D3202)),IF(G3202="",E3202,IFERROR(E3202/COUNTIF($G2:$G6000,G3202),E3202)),E3202)</f>
        <v>0</v>
      </c>
      <c r="I3202" s="1" t="str">
        <f>IFERROR(VLOOKUP(C3202,'Clients List'!A:F,6,FALSE),"")</f>
        <v/>
      </c>
    </row>
    <row r="3203" spans="4:9" x14ac:dyDescent="0.45">
      <c r="D3203" t="str">
        <f>IFERROR(VLOOKUP(C3203,'Clients List'!$A:$F,2,FALSE),"")</f>
        <v/>
      </c>
      <c r="F3203" s="1" t="str">
        <f>IF(OR(C3203="",NOT(ISNUMBER(SEARCH("Package",D3203)))),"",VLOOKUP(C3203,'Clients List'!$A:$F,4,FALSE)-SUMIFS($E$2:$E3203,$C$2:$C3203,C3203,$D$2:$D3203,"*Package*"))</f>
        <v/>
      </c>
      <c r="G3203" t="str">
        <f t="shared" si="83"/>
        <v/>
      </c>
      <c r="H3203" s="33">
        <f>IF(ISNUMBER(SEARCH("Group",D3203)),IF(G3203="",E3203,IFERROR(E3203/COUNTIF($G2:$G6000,G3203),E3203)),E3203)</f>
        <v>0</v>
      </c>
      <c r="I3203" s="1" t="str">
        <f>IFERROR(VLOOKUP(C3203,'Clients List'!A:F,6,FALSE),"")</f>
        <v/>
      </c>
    </row>
    <row r="3204" spans="4:9" x14ac:dyDescent="0.45">
      <c r="D3204" t="str">
        <f>IFERROR(VLOOKUP(C3204,'Clients List'!$A:$F,2,FALSE),"")</f>
        <v/>
      </c>
      <c r="F3204" s="1" t="str">
        <f>IF(OR(C3204="",NOT(ISNUMBER(SEARCH("Package",D3204)))),"",VLOOKUP(C3204,'Clients List'!$A:$F,4,FALSE)-SUMIFS($E$2:$E3204,$C$2:$C3204,C3204,$D$2:$D3204,"*Package*"))</f>
        <v/>
      </c>
      <c r="G3204" t="str">
        <f t="shared" si="83"/>
        <v/>
      </c>
      <c r="H3204" s="33">
        <f>IF(ISNUMBER(SEARCH("Group",D3204)),IF(G3204="",E3204,IFERROR(E3204/COUNTIF($G2:$G6000,G3204),E3204)),E3204)</f>
        <v>0</v>
      </c>
      <c r="I3204" s="1" t="str">
        <f>IFERROR(VLOOKUP(C3204,'Clients List'!A:F,6,FALSE),"")</f>
        <v/>
      </c>
    </row>
    <row r="3205" spans="4:9" x14ac:dyDescent="0.45">
      <c r="D3205" t="str">
        <f>IFERROR(VLOOKUP(C3205,'Clients List'!$A:$F,2,FALSE),"")</f>
        <v/>
      </c>
      <c r="F3205" s="1" t="str">
        <f>IF(OR(C3205="",NOT(ISNUMBER(SEARCH("Package",D3205)))),"",VLOOKUP(C3205,'Clients List'!$A:$F,4,FALSE)-SUMIFS($E$2:$E3205,$C$2:$C3205,C3205,$D$2:$D3205,"*Package*"))</f>
        <v/>
      </c>
      <c r="G3205" t="str">
        <f t="shared" si="83"/>
        <v/>
      </c>
      <c r="H3205" s="33">
        <f>IF(ISNUMBER(SEARCH("Group",D3205)),IF(G3205="",E3205,IFERROR(E3205/COUNTIF($G2:$G6000,G3205),E3205)),E3205)</f>
        <v>0</v>
      </c>
      <c r="I3205" s="1" t="str">
        <f>IFERROR(VLOOKUP(C3205,'Clients List'!A:F,6,FALSE),"")</f>
        <v/>
      </c>
    </row>
    <row r="3206" spans="4:9" x14ac:dyDescent="0.45">
      <c r="D3206" t="str">
        <f>IFERROR(VLOOKUP(C3206,'Clients List'!$A:$F,2,FALSE),"")</f>
        <v/>
      </c>
      <c r="F3206" s="1" t="str">
        <f>IF(OR(C3206="",NOT(ISNUMBER(SEARCH("Package",D3206)))),"",VLOOKUP(C3206,'Clients List'!$A:$F,4,FALSE)-SUMIFS($E$2:$E3206,$C$2:$C3206,C3206,$D$2:$D3206,"*Package*"))</f>
        <v/>
      </c>
      <c r="G3206" t="str">
        <f t="shared" si="83"/>
        <v/>
      </c>
      <c r="H3206" s="33">
        <f>IF(ISNUMBER(SEARCH("Group",D3206)),IF(G3206="",E3206,IFERROR(E3206/COUNTIF($G2:$G6000,G3206),E3206)),E3206)</f>
        <v>0</v>
      </c>
      <c r="I3206" s="1" t="str">
        <f>IFERROR(VLOOKUP(C3206,'Clients List'!A:F,6,FALSE),"")</f>
        <v/>
      </c>
    </row>
    <row r="3207" spans="4:9" x14ac:dyDescent="0.45">
      <c r="D3207" t="str">
        <f>IFERROR(VLOOKUP(C3207,'Clients List'!$A:$F,2,FALSE),"")</f>
        <v/>
      </c>
      <c r="F3207" s="1" t="str">
        <f>IF(OR(C3207="",NOT(ISNUMBER(SEARCH("Package",D3207)))),"",VLOOKUP(C3207,'Clients List'!$A:$F,4,FALSE)-SUMIFS($E$2:$E3207,$C$2:$C3207,C3207,$D$2:$D3207,"*Package*"))</f>
        <v/>
      </c>
      <c r="G3207" t="str">
        <f t="shared" si="83"/>
        <v/>
      </c>
      <c r="H3207" s="33">
        <f>IF(ISNUMBER(SEARCH("Group",D3207)),IF(G3207="",E3207,IFERROR(E3207/COUNTIF($G2:$G6000,G3207),E3207)),E3207)</f>
        <v>0</v>
      </c>
      <c r="I3207" s="1" t="str">
        <f>IFERROR(VLOOKUP(C3207,'Clients List'!A:F,6,FALSE),"")</f>
        <v/>
      </c>
    </row>
    <row r="3208" spans="4:9" x14ac:dyDescent="0.45">
      <c r="D3208" t="str">
        <f>IFERROR(VLOOKUP(C3208,'Clients List'!$A:$F,2,FALSE),"")</f>
        <v/>
      </c>
      <c r="F3208" s="1" t="str">
        <f>IF(OR(C3208="",NOT(ISNUMBER(SEARCH("Package",D3208)))),"",VLOOKUP(C3208,'Clients List'!$A:$F,4,FALSE)-SUMIFS($E$2:$E3208,$C$2:$C3208,C3208,$D$2:$D3208,"*Package*"))</f>
        <v/>
      </c>
      <c r="G3208" t="str">
        <f t="shared" si="83"/>
        <v/>
      </c>
      <c r="H3208" s="33">
        <f>IF(ISNUMBER(SEARCH("Group",D3208)),IF(G3208="",E3208,IFERROR(E3208/COUNTIF($G2:$G6000,G3208),E3208)),E3208)</f>
        <v>0</v>
      </c>
      <c r="I3208" s="1" t="str">
        <f>IFERROR(VLOOKUP(C3208,'Clients List'!A:F,6,FALSE),"")</f>
        <v/>
      </c>
    </row>
    <row r="3209" spans="4:9" x14ac:dyDescent="0.45">
      <c r="D3209" t="str">
        <f>IFERROR(VLOOKUP(C3209,'Clients List'!$A:$F,2,FALSE),"")</f>
        <v/>
      </c>
      <c r="F3209" s="1" t="str">
        <f>IF(OR(C3209="",NOT(ISNUMBER(SEARCH("Package",D3209)))),"",VLOOKUP(C3209,'Clients List'!$A:$F,4,FALSE)-SUMIFS($E$2:$E3209,$C$2:$C3209,C3209,$D$2:$D3209,"*Package*"))</f>
        <v/>
      </c>
      <c r="G3209" t="str">
        <f t="shared" si="83"/>
        <v/>
      </c>
      <c r="H3209" s="33">
        <f>IF(ISNUMBER(SEARCH("Group",D3209)),IF(G3209="",E3209,IFERROR(E3209/COUNTIF($G2:$G6000,G3209),E3209)),E3209)</f>
        <v>0</v>
      </c>
      <c r="I3209" s="1" t="str">
        <f>IFERROR(VLOOKUP(C3209,'Clients List'!A:F,6,FALSE),"")</f>
        <v/>
      </c>
    </row>
    <row r="3210" spans="4:9" x14ac:dyDescent="0.45">
      <c r="D3210" t="str">
        <f>IFERROR(VLOOKUP(C3210,'Clients List'!$A:$F,2,FALSE),"")</f>
        <v/>
      </c>
      <c r="F3210" s="1" t="str">
        <f>IF(OR(C3210="",NOT(ISNUMBER(SEARCH("Package",D3210)))),"",VLOOKUP(C3210,'Clients List'!$A:$F,4,FALSE)-SUMIFS($E$2:$E3210,$C$2:$C3210,C3210,$D$2:$D3210,"*Package*"))</f>
        <v/>
      </c>
      <c r="G3210" t="str">
        <f t="shared" si="83"/>
        <v/>
      </c>
      <c r="H3210" s="33">
        <f>IF(ISNUMBER(SEARCH("Group",D3210)),IF(G3210="",E3210,IFERROR(E3210/COUNTIF($G2:$G6000,G3210),E3210)),E3210)</f>
        <v>0</v>
      </c>
      <c r="I3210" s="1" t="str">
        <f>IFERROR(VLOOKUP(C3210,'Clients List'!A:F,6,FALSE),"")</f>
        <v/>
      </c>
    </row>
    <row r="3211" spans="4:9" x14ac:dyDescent="0.45">
      <c r="D3211" t="str">
        <f>IFERROR(VLOOKUP(C3211,'Clients List'!$A:$F,2,FALSE),"")</f>
        <v/>
      </c>
      <c r="F3211" s="1" t="str">
        <f>IF(OR(C3211="",NOT(ISNUMBER(SEARCH("Package",D3211)))),"",VLOOKUP(C3211,'Clients List'!$A:$F,4,FALSE)-SUMIFS($E$2:$E3211,$C$2:$C3211,C3211,$D$2:$D3211,"*Package*"))</f>
        <v/>
      </c>
      <c r="G3211" t="str">
        <f t="shared" si="83"/>
        <v/>
      </c>
      <c r="H3211" s="33">
        <f>IF(ISNUMBER(SEARCH("Group",D3211)),IF(G3211="",E3211,IFERROR(E3211/COUNTIF($G2:$G6000,G3211),E3211)),E3211)</f>
        <v>0</v>
      </c>
      <c r="I3211" s="1" t="str">
        <f>IFERROR(VLOOKUP(C3211,'Clients List'!A:F,6,FALSE),"")</f>
        <v/>
      </c>
    </row>
    <row r="3212" spans="4:9" x14ac:dyDescent="0.45">
      <c r="D3212" t="str">
        <f>IFERROR(VLOOKUP(C3212,'Clients List'!$A:$F,2,FALSE),"")</f>
        <v/>
      </c>
      <c r="F3212" s="1" t="str">
        <f>IF(OR(C3212="",NOT(ISNUMBER(SEARCH("Package",D3212)))),"",VLOOKUP(C3212,'Clients List'!$A:$F,4,FALSE)-SUMIFS($E$2:$E3212,$C$2:$C3212,C3212,$D$2:$D3212,"*Package*"))</f>
        <v/>
      </c>
      <c r="G3212" t="str">
        <f t="shared" si="83"/>
        <v/>
      </c>
      <c r="H3212" s="33">
        <f>IF(ISNUMBER(SEARCH("Group",D3212)),IF(G3212="",E3212,IFERROR(E3212/COUNTIF($G2:$G6000,G3212),E3212)),E3212)</f>
        <v>0</v>
      </c>
      <c r="I3212" s="1" t="str">
        <f>IFERROR(VLOOKUP(C3212,'Clients List'!A:F,6,FALSE),"")</f>
        <v/>
      </c>
    </row>
    <row r="3213" spans="4:9" x14ac:dyDescent="0.45">
      <c r="D3213" t="str">
        <f>IFERROR(VLOOKUP(C3213,'Clients List'!$A:$F,2,FALSE),"")</f>
        <v/>
      </c>
      <c r="F3213" s="1" t="str">
        <f>IF(OR(C3213="",NOT(ISNUMBER(SEARCH("Package",D3213)))),"",VLOOKUP(C3213,'Clients List'!$A:$F,4,FALSE)-SUMIFS($E$2:$E3213,$C$2:$C3213,C3213,$D$2:$D3213,"*Package*"))</f>
        <v/>
      </c>
      <c r="G3213" t="str">
        <f t="shared" si="83"/>
        <v/>
      </c>
      <c r="H3213" s="33">
        <f>IF(ISNUMBER(SEARCH("Group",D3213)),IF(G3213="",E3213,IFERROR(E3213/COUNTIF($G2:$G6000,G3213),E3213)),E3213)</f>
        <v>0</v>
      </c>
      <c r="I3213" s="1" t="str">
        <f>IFERROR(VLOOKUP(C3213,'Clients List'!A:F,6,FALSE),"")</f>
        <v/>
      </c>
    </row>
    <row r="3214" spans="4:9" x14ac:dyDescent="0.45">
      <c r="D3214" t="str">
        <f>IFERROR(VLOOKUP(C3214,'Clients List'!$A:$F,2,FALSE),"")</f>
        <v/>
      </c>
      <c r="F3214" s="1" t="str">
        <f>IF(OR(C3214="",NOT(ISNUMBER(SEARCH("Package",D3214)))),"",VLOOKUP(C3214,'Clients List'!$A:$F,4,FALSE)-SUMIFS($E$2:$E3214,$C$2:$C3214,C3214,$D$2:$D3214,"*Package*"))</f>
        <v/>
      </c>
      <c r="G3214" t="str">
        <f t="shared" si="83"/>
        <v/>
      </c>
      <c r="H3214" s="33">
        <f>IF(ISNUMBER(SEARCH("Group",D3214)),IF(G3214="",E3214,IFERROR(E3214/COUNTIF($G2:$G6000,G3214),E3214)),E3214)</f>
        <v>0</v>
      </c>
      <c r="I3214" s="1" t="str">
        <f>IFERROR(VLOOKUP(C3214,'Clients List'!A:F,6,FALSE),"")</f>
        <v/>
      </c>
    </row>
    <row r="3215" spans="4:9" x14ac:dyDescent="0.45">
      <c r="D3215" t="str">
        <f>IFERROR(VLOOKUP(C3215,'Clients List'!$A:$F,2,FALSE),"")</f>
        <v/>
      </c>
      <c r="F3215" s="1" t="str">
        <f>IF(OR(C3215="",NOT(ISNUMBER(SEARCH("Package",D3215)))),"",VLOOKUP(C3215,'Clients List'!$A:$F,4,FALSE)-SUMIFS($E$2:$E3215,$C$2:$C3215,C3215,$D$2:$D3215,"*Package*"))</f>
        <v/>
      </c>
      <c r="G3215" t="str">
        <f t="shared" si="83"/>
        <v/>
      </c>
      <c r="H3215" s="33">
        <f>IF(ISNUMBER(SEARCH("Group",D3215)),IF(G3215="",E3215,IFERROR(E3215/COUNTIF($G2:$G6000,G3215),E3215)),E3215)</f>
        <v>0</v>
      </c>
      <c r="I3215" s="1" t="str">
        <f>IFERROR(VLOOKUP(C3215,'Clients List'!A:F,6,FALSE),"")</f>
        <v/>
      </c>
    </row>
    <row r="3216" spans="4:9" x14ac:dyDescent="0.45">
      <c r="D3216" t="str">
        <f>IFERROR(VLOOKUP(C3216,'Clients List'!$A:$F,2,FALSE),"")</f>
        <v/>
      </c>
      <c r="F3216" s="1" t="str">
        <f>IF(OR(C3216="",NOT(ISNUMBER(SEARCH("Package",D3216)))),"",VLOOKUP(C3216,'Clients List'!$A:$F,4,FALSE)-SUMIFS($E$2:$E3216,$C$2:$C3216,C3216,$D$2:$D3216,"*Package*"))</f>
        <v/>
      </c>
      <c r="G3216" t="str">
        <f t="shared" si="83"/>
        <v/>
      </c>
      <c r="H3216" s="33">
        <f>IF(ISNUMBER(SEARCH("Group",D3216)),IF(G3216="",E3216,IFERROR(E3216/COUNTIF($G2:$G6000,G3216),E3216)),E3216)</f>
        <v>0</v>
      </c>
      <c r="I3216" s="1" t="str">
        <f>IFERROR(VLOOKUP(C3216,'Clients List'!A:F,6,FALSE),"")</f>
        <v/>
      </c>
    </row>
    <row r="3217" spans="4:9" x14ac:dyDescent="0.45">
      <c r="D3217" t="str">
        <f>IFERROR(VLOOKUP(C3217,'Clients List'!$A:$F,2,FALSE),"")</f>
        <v/>
      </c>
      <c r="F3217" s="1" t="str">
        <f>IF(OR(C3217="",NOT(ISNUMBER(SEARCH("Package",D3217)))),"",VLOOKUP(C3217,'Clients List'!$A:$F,4,FALSE)-SUMIFS($E$2:$E3217,$C$2:$C3217,C3217,$D$2:$D3217,"*Package*"))</f>
        <v/>
      </c>
      <c r="G3217" t="str">
        <f t="shared" si="83"/>
        <v/>
      </c>
      <c r="H3217" s="33">
        <f>IF(ISNUMBER(SEARCH("Group",D3217)),IF(G3217="",E3217,IFERROR(E3217/COUNTIF($G2:$G6000,G3217),E3217)),E3217)</f>
        <v>0</v>
      </c>
      <c r="I3217" s="1" t="str">
        <f>IFERROR(VLOOKUP(C3217,'Clients List'!A:F,6,FALSE),"")</f>
        <v/>
      </c>
    </row>
    <row r="3218" spans="4:9" x14ac:dyDescent="0.45">
      <c r="D3218" t="str">
        <f>IFERROR(VLOOKUP(C3218,'Clients List'!$A:$F,2,FALSE),"")</f>
        <v/>
      </c>
      <c r="F3218" s="1" t="str">
        <f>IF(OR(C3218="",NOT(ISNUMBER(SEARCH("Package",D3218)))),"",VLOOKUP(C3218,'Clients List'!$A:$F,4,FALSE)-SUMIFS($E$2:$E3218,$C$2:$C3218,C3218,$D$2:$D3218,"*Package*"))</f>
        <v/>
      </c>
      <c r="G3218" t="str">
        <f t="shared" si="83"/>
        <v/>
      </c>
      <c r="H3218" s="33">
        <f>IF(ISNUMBER(SEARCH("Group",D3218)),IF(G3218="",E3218,IFERROR(E3218/COUNTIF($G2:$G6000,G3218),E3218)),E3218)</f>
        <v>0</v>
      </c>
      <c r="I3218" s="1" t="str">
        <f>IFERROR(VLOOKUP(C3218,'Clients List'!A:F,6,FALSE),"")</f>
        <v/>
      </c>
    </row>
    <row r="3219" spans="4:9" x14ac:dyDescent="0.45">
      <c r="D3219" t="str">
        <f>IFERROR(VLOOKUP(C3219,'Clients List'!$A:$F,2,FALSE),"")</f>
        <v/>
      </c>
      <c r="F3219" s="1" t="str">
        <f>IF(OR(C3219="",NOT(ISNUMBER(SEARCH("Package",D3219)))),"",VLOOKUP(C3219,'Clients List'!$A:$F,4,FALSE)-SUMIFS($E$2:$E3219,$C$2:$C3219,C3219,$D$2:$D3219,"*Package*"))</f>
        <v/>
      </c>
      <c r="G3219" t="str">
        <f t="shared" si="83"/>
        <v/>
      </c>
      <c r="H3219" s="33">
        <f>IF(ISNUMBER(SEARCH("Group",D3219)),IF(G3219="",E3219,IFERROR(E3219/COUNTIF($G2:$G6000,G3219),E3219)),E3219)</f>
        <v>0</v>
      </c>
      <c r="I3219" s="1" t="str">
        <f>IFERROR(VLOOKUP(C3219,'Clients List'!A:F,6,FALSE),"")</f>
        <v/>
      </c>
    </row>
    <row r="3220" spans="4:9" x14ac:dyDescent="0.45">
      <c r="D3220" t="str">
        <f>IFERROR(VLOOKUP(C3220,'Clients List'!$A:$F,2,FALSE),"")</f>
        <v/>
      </c>
      <c r="F3220" s="1" t="str">
        <f>IF(OR(C3220="",NOT(ISNUMBER(SEARCH("Package",D3220)))),"",VLOOKUP(C3220,'Clients List'!$A:$F,4,FALSE)-SUMIFS($E$2:$E3220,$C$2:$C3220,C3220,$D$2:$D3220,"*Package*"))</f>
        <v/>
      </c>
      <c r="G3220" t="str">
        <f t="shared" si="83"/>
        <v/>
      </c>
      <c r="H3220" s="33">
        <f>IF(ISNUMBER(SEARCH("Group",D3220)),IF(G3220="",E3220,IFERROR(E3220/COUNTIF($G2:$G6000,G3220),E3220)),E3220)</f>
        <v>0</v>
      </c>
      <c r="I3220" s="1" t="str">
        <f>IFERROR(VLOOKUP(C3220,'Clients List'!A:F,6,FALSE),"")</f>
        <v/>
      </c>
    </row>
    <row r="3221" spans="4:9" x14ac:dyDescent="0.45">
      <c r="D3221" t="str">
        <f>IFERROR(VLOOKUP(C3221,'Clients List'!$A:$F,2,FALSE),"")</f>
        <v/>
      </c>
      <c r="F3221" s="1" t="str">
        <f>IF(OR(C3221="",NOT(ISNUMBER(SEARCH("Package",D3221)))),"",VLOOKUP(C3221,'Clients List'!$A:$F,4,FALSE)-SUMIFS($E$2:$E3221,$C$2:$C3221,C3221,$D$2:$D3221,"*Package*"))</f>
        <v/>
      </c>
      <c r="G3221" t="str">
        <f t="shared" si="83"/>
        <v/>
      </c>
      <c r="H3221" s="33">
        <f>IF(ISNUMBER(SEARCH("Group",D3221)),IF(G3221="",E3221,IFERROR(E3221/COUNTIF($G2:$G6000,G3221),E3221)),E3221)</f>
        <v>0</v>
      </c>
      <c r="I3221" s="1" t="str">
        <f>IFERROR(VLOOKUP(C3221,'Clients List'!A:F,6,FALSE),"")</f>
        <v/>
      </c>
    </row>
    <row r="3222" spans="4:9" x14ac:dyDescent="0.45">
      <c r="D3222" t="str">
        <f>IFERROR(VLOOKUP(C3222,'Clients List'!$A:$F,2,FALSE),"")</f>
        <v/>
      </c>
      <c r="F3222" s="1" t="str">
        <f>IF(OR(C3222="",NOT(ISNUMBER(SEARCH("Package",D3222)))),"",VLOOKUP(C3222,'Clients List'!$A:$F,4,FALSE)-SUMIFS($E$2:$E3222,$C$2:$C3222,C3222,$D$2:$D3222,"*Package*"))</f>
        <v/>
      </c>
      <c r="G3222" t="str">
        <f t="shared" si="83"/>
        <v/>
      </c>
      <c r="H3222" s="33">
        <f>IF(ISNUMBER(SEARCH("Group",D3222)),IF(G3222="",E3222,IFERROR(E3222/COUNTIF($G2:$G6000,G3222),E3222)),E3222)</f>
        <v>0</v>
      </c>
      <c r="I3222" s="1" t="str">
        <f>IFERROR(VLOOKUP(C3222,'Clients List'!A:F,6,FALSE),"")</f>
        <v/>
      </c>
    </row>
    <row r="3223" spans="4:9" x14ac:dyDescent="0.45">
      <c r="D3223" t="str">
        <f>IFERROR(VLOOKUP(C3223,'Clients List'!$A:$F,2,FALSE),"")</f>
        <v/>
      </c>
      <c r="F3223" s="1" t="str">
        <f>IF(OR(C3223="",NOT(ISNUMBER(SEARCH("Package",D3223)))),"",VLOOKUP(C3223,'Clients List'!$A:$F,4,FALSE)-SUMIFS($E$2:$E3223,$C$2:$C3223,C3223,$D$2:$D3223,"*Package*"))</f>
        <v/>
      </c>
      <c r="G3223" t="str">
        <f t="shared" si="83"/>
        <v/>
      </c>
      <c r="H3223" s="33">
        <f>IF(ISNUMBER(SEARCH("Group",D3223)),IF(G3223="",E3223,IFERROR(E3223/COUNTIF($G2:$G6000,G3223),E3223)),E3223)</f>
        <v>0</v>
      </c>
      <c r="I3223" s="1" t="str">
        <f>IFERROR(VLOOKUP(C3223,'Clients List'!A:F,6,FALSE),"")</f>
        <v/>
      </c>
    </row>
    <row r="3224" spans="4:9" x14ac:dyDescent="0.45">
      <c r="D3224" t="str">
        <f>IFERROR(VLOOKUP(C3224,'Clients List'!$A:$F,2,FALSE),"")</f>
        <v/>
      </c>
      <c r="F3224" s="1" t="str">
        <f>IF(OR(C3224="",NOT(ISNUMBER(SEARCH("Package",D3224)))),"",VLOOKUP(C3224,'Clients List'!$A:$F,4,FALSE)-SUMIFS($E$2:$E3224,$C$2:$C3224,C3224,$D$2:$D3224,"*Package*"))</f>
        <v/>
      </c>
      <c r="G3224" t="str">
        <f t="shared" si="83"/>
        <v/>
      </c>
      <c r="H3224" s="33">
        <f>IF(ISNUMBER(SEARCH("Group",D3224)),IF(G3224="",E3224,IFERROR(E3224/COUNTIF($G2:$G6000,G3224),E3224)),E3224)</f>
        <v>0</v>
      </c>
      <c r="I3224" s="1" t="str">
        <f>IFERROR(VLOOKUP(C3224,'Clients List'!A:F,6,FALSE),"")</f>
        <v/>
      </c>
    </row>
    <row r="3225" spans="4:9" x14ac:dyDescent="0.45">
      <c r="D3225" t="str">
        <f>IFERROR(VLOOKUP(C3225,'Clients List'!$A:$F,2,FALSE),"")</f>
        <v/>
      </c>
      <c r="F3225" s="1" t="str">
        <f>IF(OR(C3225="",NOT(ISNUMBER(SEARCH("Package",D3225)))),"",VLOOKUP(C3225,'Clients List'!$A:$F,4,FALSE)-SUMIFS($E$2:$E3225,$C$2:$C3225,C3225,$D$2:$D3225,"*Package*"))</f>
        <v/>
      </c>
      <c r="G3225" t="str">
        <f t="shared" si="83"/>
        <v/>
      </c>
      <c r="H3225" s="33">
        <f>IF(ISNUMBER(SEARCH("Group",D3225)),IF(G3225="",E3225,IFERROR(E3225/COUNTIF($G2:$G6000,G3225),E3225)),E3225)</f>
        <v>0</v>
      </c>
      <c r="I3225" s="1" t="str">
        <f>IFERROR(VLOOKUP(C3225,'Clients List'!A:F,6,FALSE),"")</f>
        <v/>
      </c>
    </row>
    <row r="3226" spans="4:9" x14ac:dyDescent="0.45">
      <c r="D3226" t="str">
        <f>IFERROR(VLOOKUP(C3226,'Clients List'!$A:$F,2,FALSE),"")</f>
        <v/>
      </c>
      <c r="F3226" s="1" t="str">
        <f>IF(OR(C3226="",NOT(ISNUMBER(SEARCH("Package",D3226)))),"",VLOOKUP(C3226,'Clients List'!$A:$F,4,FALSE)-SUMIFS($E$2:$E3226,$C$2:$C3226,C3226,$D$2:$D3226,"*Package*"))</f>
        <v/>
      </c>
      <c r="G3226" t="str">
        <f t="shared" si="83"/>
        <v/>
      </c>
      <c r="H3226" s="33">
        <f>IF(ISNUMBER(SEARCH("Group",D3226)),IF(G3226="",E3226,IFERROR(E3226/COUNTIF($G2:$G6000,G3226),E3226)),E3226)</f>
        <v>0</v>
      </c>
      <c r="I3226" s="1" t="str">
        <f>IFERROR(VLOOKUP(C3226,'Clients List'!A:F,6,FALSE),"")</f>
        <v/>
      </c>
    </row>
    <row r="3227" spans="4:9" x14ac:dyDescent="0.45">
      <c r="D3227" t="str">
        <f>IFERROR(VLOOKUP(C3227,'Clients List'!$A:$F,2,FALSE),"")</f>
        <v/>
      </c>
      <c r="F3227" s="1" t="str">
        <f>IF(OR(C3227="",NOT(ISNUMBER(SEARCH("Package",D3227)))),"",VLOOKUP(C3227,'Clients List'!$A:$F,4,FALSE)-SUMIFS($E$2:$E3227,$C$2:$C3227,C3227,$D$2:$D3227,"*Package*"))</f>
        <v/>
      </c>
      <c r="G3227" t="str">
        <f t="shared" si="83"/>
        <v/>
      </c>
      <c r="H3227" s="33">
        <f>IF(ISNUMBER(SEARCH("Group",D3227)),IF(G3227="",E3227,IFERROR(E3227/COUNTIF($G2:$G6000,G3227),E3227)),E3227)</f>
        <v>0</v>
      </c>
      <c r="I3227" s="1" t="str">
        <f>IFERROR(VLOOKUP(C3227,'Clients List'!A:F,6,FALSE),"")</f>
        <v/>
      </c>
    </row>
    <row r="3228" spans="4:9" x14ac:dyDescent="0.45">
      <c r="D3228" t="str">
        <f>IFERROR(VLOOKUP(C3228,'Clients List'!$A:$F,2,FALSE),"")</f>
        <v/>
      </c>
      <c r="F3228" s="1" t="str">
        <f>IF(OR(C3228="",NOT(ISNUMBER(SEARCH("Package",D3228)))),"",VLOOKUP(C3228,'Clients List'!$A:$F,4,FALSE)-SUMIFS($E$2:$E3228,$C$2:$C3228,C3228,$D$2:$D3228,"*Package*"))</f>
        <v/>
      </c>
      <c r="G3228" t="str">
        <f t="shared" si="83"/>
        <v/>
      </c>
      <c r="H3228" s="33">
        <f>IF(ISNUMBER(SEARCH("Group",D3228)),IF(G3228="",E3228,IFERROR(E3228/COUNTIF($G2:$G6000,G3228),E3228)),E3228)</f>
        <v>0</v>
      </c>
      <c r="I3228" s="1" t="str">
        <f>IFERROR(VLOOKUP(C3228,'Clients List'!A:F,6,FALSE),"")</f>
        <v/>
      </c>
    </row>
    <row r="3229" spans="4:9" x14ac:dyDescent="0.45">
      <c r="D3229" t="str">
        <f>IFERROR(VLOOKUP(C3229,'Clients List'!$A:$F,2,FALSE),"")</f>
        <v/>
      </c>
      <c r="F3229" s="1" t="str">
        <f>IF(OR(C3229="",NOT(ISNUMBER(SEARCH("Package",D3229)))),"",VLOOKUP(C3229,'Clients List'!$A:$F,4,FALSE)-SUMIFS($E$2:$E3229,$C$2:$C3229,C3229,$D$2:$D3229,"*Package*"))</f>
        <v/>
      </c>
      <c r="G3229" t="str">
        <f t="shared" si="83"/>
        <v/>
      </c>
      <c r="H3229" s="33">
        <f>IF(ISNUMBER(SEARCH("Group",D3229)),IF(G3229="",E3229,IFERROR(E3229/COUNTIF($G2:$G6000,G3229),E3229)),E3229)</f>
        <v>0</v>
      </c>
      <c r="I3229" s="1" t="str">
        <f>IFERROR(VLOOKUP(C3229,'Clients List'!A:F,6,FALSE),"")</f>
        <v/>
      </c>
    </row>
    <row r="3230" spans="4:9" x14ac:dyDescent="0.45">
      <c r="D3230" t="str">
        <f>IFERROR(VLOOKUP(C3230,'Clients List'!$A:$F,2,FALSE),"")</f>
        <v/>
      </c>
      <c r="F3230" s="1" t="str">
        <f>IF(OR(C3230="",NOT(ISNUMBER(SEARCH("Package",D3230)))),"",VLOOKUP(C3230,'Clients List'!$A:$F,4,FALSE)-SUMIFS($E$2:$E3230,$C$2:$C3230,C3230,$D$2:$D3230,"*Package*"))</f>
        <v/>
      </c>
      <c r="G3230" t="str">
        <f t="shared" si="83"/>
        <v/>
      </c>
      <c r="H3230" s="33">
        <f>IF(ISNUMBER(SEARCH("Group",D3230)),IF(G3230="",E3230,IFERROR(E3230/COUNTIF($G2:$G6000,G3230),E3230)),E3230)</f>
        <v>0</v>
      </c>
      <c r="I3230" s="1" t="str">
        <f>IFERROR(VLOOKUP(C3230,'Clients List'!A:F,6,FALSE),"")</f>
        <v/>
      </c>
    </row>
    <row r="3231" spans="4:9" x14ac:dyDescent="0.45">
      <c r="D3231" t="str">
        <f>IFERROR(VLOOKUP(C3231,'Clients List'!$A:$F,2,FALSE),"")</f>
        <v/>
      </c>
      <c r="F3231" s="1" t="str">
        <f>IF(OR(C3231="",NOT(ISNUMBER(SEARCH("Package",D3231)))),"",VLOOKUP(C3231,'Clients List'!$A:$F,4,FALSE)-SUMIFS($E$2:$E3231,$C$2:$C3231,C3231,$D$2:$D3231,"*Package*"))</f>
        <v/>
      </c>
      <c r="G3231" t="str">
        <f t="shared" si="83"/>
        <v/>
      </c>
      <c r="H3231" s="33">
        <f>IF(ISNUMBER(SEARCH("Group",D3231)),IF(G3231="",E3231,IFERROR(E3231/COUNTIF($G2:$G6000,G3231),E3231)),E3231)</f>
        <v>0</v>
      </c>
      <c r="I3231" s="1" t="str">
        <f>IFERROR(VLOOKUP(C3231,'Clients List'!A:F,6,FALSE),"")</f>
        <v/>
      </c>
    </row>
    <row r="3232" spans="4:9" x14ac:dyDescent="0.45">
      <c r="D3232" t="str">
        <f>IFERROR(VLOOKUP(C3232,'Clients List'!$A:$F,2,FALSE),"")</f>
        <v/>
      </c>
      <c r="F3232" s="1" t="str">
        <f>IF(OR(C3232="",NOT(ISNUMBER(SEARCH("Package",D3232)))),"",VLOOKUP(C3232,'Clients List'!$A:$F,4,FALSE)-SUMIFS($E$2:$E3232,$C$2:$C3232,C3232,$D$2:$D3232,"*Package*"))</f>
        <v/>
      </c>
      <c r="G3232" t="str">
        <f t="shared" si="83"/>
        <v/>
      </c>
      <c r="H3232" s="33">
        <f>IF(ISNUMBER(SEARCH("Group",D3232)),IF(G3232="",E3232,IFERROR(E3232/COUNTIF($G2:$G6000,G3232),E3232)),E3232)</f>
        <v>0</v>
      </c>
      <c r="I3232" s="1" t="str">
        <f>IFERROR(VLOOKUP(C3232,'Clients List'!A:F,6,FALSE),"")</f>
        <v/>
      </c>
    </row>
    <row r="3233" spans="4:9" x14ac:dyDescent="0.45">
      <c r="D3233" t="str">
        <f>IFERROR(VLOOKUP(C3233,'Clients List'!$A:$F,2,FALSE),"")</f>
        <v/>
      </c>
      <c r="F3233" s="1" t="str">
        <f>IF(OR(C3233="",NOT(ISNUMBER(SEARCH("Package",D3233)))),"",VLOOKUP(C3233,'Clients List'!$A:$F,4,FALSE)-SUMIFS($E$2:$E3233,$C$2:$C3233,C3233,$D$2:$D3233,"*Package*"))</f>
        <v/>
      </c>
      <c r="G3233" t="str">
        <f t="shared" si="83"/>
        <v/>
      </c>
      <c r="H3233" s="33">
        <f>IF(ISNUMBER(SEARCH("Group",D3233)),IF(G3233="",E3233,IFERROR(E3233/COUNTIF($G2:$G6000,G3233),E3233)),E3233)</f>
        <v>0</v>
      </c>
      <c r="I3233" s="1" t="str">
        <f>IFERROR(VLOOKUP(C3233,'Clients List'!A:F,6,FALSE),"")</f>
        <v/>
      </c>
    </row>
    <row r="3234" spans="4:9" x14ac:dyDescent="0.45">
      <c r="D3234" t="str">
        <f>IFERROR(VLOOKUP(C3234,'Clients List'!$A:$F,2,FALSE),"")</f>
        <v/>
      </c>
      <c r="F3234" s="1" t="str">
        <f>IF(OR(C3234="",NOT(ISNUMBER(SEARCH("Package",D3234)))),"",VLOOKUP(C3234,'Clients List'!$A:$F,4,FALSE)-SUMIFS($E$2:$E3234,$C$2:$C3234,C3234,$D$2:$D3234,"*Package*"))</f>
        <v/>
      </c>
      <c r="G3234" t="str">
        <f t="shared" si="83"/>
        <v/>
      </c>
      <c r="H3234" s="33">
        <f>IF(ISNUMBER(SEARCH("Group",D3234)),IF(G3234="",E3234,IFERROR(E3234/COUNTIF($G2:$G6000,G3234),E3234)),E3234)</f>
        <v>0</v>
      </c>
      <c r="I3234" s="1" t="str">
        <f>IFERROR(VLOOKUP(C3234,'Clients List'!A:F,6,FALSE),"")</f>
        <v/>
      </c>
    </row>
    <row r="3235" spans="4:9" x14ac:dyDescent="0.45">
      <c r="D3235" t="str">
        <f>IFERROR(VLOOKUP(C3235,'Clients List'!$A:$F,2,FALSE),"")</f>
        <v/>
      </c>
      <c r="F3235" s="1" t="str">
        <f>IF(OR(C3235="",NOT(ISNUMBER(SEARCH("Package",D3235)))),"",VLOOKUP(C3235,'Clients List'!$A:$F,4,FALSE)-SUMIFS($E$2:$E3235,$C$2:$C3235,C3235,$D$2:$D3235,"*Package*"))</f>
        <v/>
      </c>
      <c r="G3235" t="str">
        <f t="shared" si="83"/>
        <v/>
      </c>
      <c r="H3235" s="33">
        <f>IF(ISNUMBER(SEARCH("Group",D3235)),IF(G3235="",E3235,IFERROR(E3235/COUNTIF($G2:$G6000,G3235),E3235)),E3235)</f>
        <v>0</v>
      </c>
      <c r="I3235" s="1" t="str">
        <f>IFERROR(VLOOKUP(C3235,'Clients List'!A:F,6,FALSE),"")</f>
        <v/>
      </c>
    </row>
    <row r="3236" spans="4:9" x14ac:dyDescent="0.45">
      <c r="D3236" t="str">
        <f>IFERROR(VLOOKUP(C3236,'Clients List'!$A:$F,2,FALSE),"")</f>
        <v/>
      </c>
      <c r="F3236" s="1" t="str">
        <f>IF(OR(C3236="",NOT(ISNUMBER(SEARCH("Package",D3236)))),"",VLOOKUP(C3236,'Clients List'!$A:$F,4,FALSE)-SUMIFS($E$2:$E3236,$C$2:$C3236,C3236,$D$2:$D3236,"*Package*"))</f>
        <v/>
      </c>
      <c r="G3236" t="str">
        <f t="shared" si="83"/>
        <v/>
      </c>
      <c r="H3236" s="33">
        <f>IF(ISNUMBER(SEARCH("Group",D3236)),IF(G3236="",E3236,IFERROR(E3236/COUNTIF($G2:$G6000,G3236),E3236)),E3236)</f>
        <v>0</v>
      </c>
      <c r="I3236" s="1" t="str">
        <f>IFERROR(VLOOKUP(C3236,'Clients List'!A:F,6,FALSE),"")</f>
        <v/>
      </c>
    </row>
    <row r="3237" spans="4:9" x14ac:dyDescent="0.45">
      <c r="D3237" t="str">
        <f>IFERROR(VLOOKUP(C3237,'Clients List'!$A:$F,2,FALSE),"")</f>
        <v/>
      </c>
      <c r="F3237" s="1" t="str">
        <f>IF(OR(C3237="",NOT(ISNUMBER(SEARCH("Package",D3237)))),"",VLOOKUP(C3237,'Clients List'!$A:$F,4,FALSE)-SUMIFS($E$2:$E3237,$C$2:$C3237,C3237,$D$2:$D3237,"*Package*"))</f>
        <v/>
      </c>
      <c r="G3237" t="str">
        <f t="shared" si="83"/>
        <v/>
      </c>
      <c r="H3237" s="33">
        <f>IF(ISNUMBER(SEARCH("Group",D3237)),IF(G3237="",E3237,IFERROR(E3237/COUNTIF($G2:$G6000,G3237),E3237)),E3237)</f>
        <v>0</v>
      </c>
      <c r="I3237" s="1" t="str">
        <f>IFERROR(VLOOKUP(C3237,'Clients List'!A:F,6,FALSE),"")</f>
        <v/>
      </c>
    </row>
    <row r="3238" spans="4:9" x14ac:dyDescent="0.45">
      <c r="D3238" t="str">
        <f>IFERROR(VLOOKUP(C3238,'Clients List'!$A:$F,2,FALSE),"")</f>
        <v/>
      </c>
      <c r="F3238" s="1" t="str">
        <f>IF(OR(C3238="",NOT(ISNUMBER(SEARCH("Package",D3238)))),"",VLOOKUP(C3238,'Clients List'!$A:$F,4,FALSE)-SUMIFS($E$2:$E3238,$C$2:$C3238,C3238,$D$2:$D3238,"*Package*"))</f>
        <v/>
      </c>
      <c r="G3238" t="str">
        <f t="shared" si="83"/>
        <v/>
      </c>
      <c r="H3238" s="33">
        <f>IF(ISNUMBER(SEARCH("Group",D3238)),IF(G3238="",E3238,IFERROR(E3238/COUNTIF($G2:$G6000,G3238),E3238)),E3238)</f>
        <v>0</v>
      </c>
      <c r="I3238" s="1" t="str">
        <f>IFERROR(VLOOKUP(C3238,'Clients List'!A:F,6,FALSE),"")</f>
        <v/>
      </c>
    </row>
    <row r="3239" spans="4:9" x14ac:dyDescent="0.45">
      <c r="D3239" t="str">
        <f>IFERROR(VLOOKUP(C3239,'Clients List'!$A:$F,2,FALSE),"")</f>
        <v/>
      </c>
      <c r="F3239" s="1" t="str">
        <f>IF(OR(C3239="",NOT(ISNUMBER(SEARCH("Package",D3239)))),"",VLOOKUP(C3239,'Clients List'!$A:$F,4,FALSE)-SUMIFS($E$2:$E3239,$C$2:$C3239,C3239,$D$2:$D3239,"*Package*"))</f>
        <v/>
      </c>
      <c r="G3239" t="str">
        <f t="shared" si="83"/>
        <v/>
      </c>
      <c r="H3239" s="33">
        <f>IF(ISNUMBER(SEARCH("Group",D3239)),IF(G3239="",E3239,IFERROR(E3239/COUNTIF($G2:$G6000,G3239),E3239)),E3239)</f>
        <v>0</v>
      </c>
      <c r="I3239" s="1" t="str">
        <f>IFERROR(VLOOKUP(C3239,'Clients List'!A:F,6,FALSE),"")</f>
        <v/>
      </c>
    </row>
    <row r="3240" spans="4:9" x14ac:dyDescent="0.45">
      <c r="D3240" t="str">
        <f>IFERROR(VLOOKUP(C3240,'Clients List'!$A:$F,2,FALSE),"")</f>
        <v/>
      </c>
      <c r="F3240" s="1" t="str">
        <f>IF(OR(C3240="",NOT(ISNUMBER(SEARCH("Package",D3240)))),"",VLOOKUP(C3240,'Clients List'!$A:$F,4,FALSE)-SUMIFS($E$2:$E3240,$C$2:$C3240,C3240,$D$2:$D3240,"*Package*"))</f>
        <v/>
      </c>
      <c r="G3240" t="str">
        <f t="shared" si="83"/>
        <v/>
      </c>
      <c r="H3240" s="33">
        <f>IF(ISNUMBER(SEARCH("Group",D3240)),IF(G3240="",E3240,IFERROR(E3240/COUNTIF($G2:$G6000,G3240),E3240)),E3240)</f>
        <v>0</v>
      </c>
      <c r="I3240" s="1" t="str">
        <f>IFERROR(VLOOKUP(C3240,'Clients List'!A:F,6,FALSE),"")</f>
        <v/>
      </c>
    </row>
    <row r="3241" spans="4:9" x14ac:dyDescent="0.45">
      <c r="D3241" t="str">
        <f>IFERROR(VLOOKUP(C3241,'Clients List'!$A:$F,2,FALSE),"")</f>
        <v/>
      </c>
      <c r="F3241" s="1" t="str">
        <f>IF(OR(C3241="",NOT(ISNUMBER(SEARCH("Package",D3241)))),"",VLOOKUP(C3241,'Clients List'!$A:$F,4,FALSE)-SUMIFS($E$2:$E3241,$C$2:$C3241,C3241,$D$2:$D3241,"*Package*"))</f>
        <v/>
      </c>
      <c r="G3241" t="str">
        <f t="shared" si="83"/>
        <v/>
      </c>
      <c r="H3241" s="33">
        <f>IF(ISNUMBER(SEARCH("Group",D3241)),IF(G3241="",E3241,IFERROR(E3241/COUNTIF($G2:$G6000,G3241),E3241)),E3241)</f>
        <v>0</v>
      </c>
      <c r="I3241" s="1" t="str">
        <f>IFERROR(VLOOKUP(C3241,'Clients List'!A:F,6,FALSE),"")</f>
        <v/>
      </c>
    </row>
    <row r="3242" spans="4:9" x14ac:dyDescent="0.45">
      <c r="D3242" t="str">
        <f>IFERROR(VLOOKUP(C3242,'Clients List'!$A:$F,2,FALSE),"")</f>
        <v/>
      </c>
      <c r="F3242" s="1" t="str">
        <f>IF(OR(C3242="",NOT(ISNUMBER(SEARCH("Package",D3242)))),"",VLOOKUP(C3242,'Clients List'!$A:$F,4,FALSE)-SUMIFS($E$2:$E3242,$C$2:$C3242,C3242,$D$2:$D3242,"*Package*"))</f>
        <v/>
      </c>
      <c r="G3242" t="str">
        <f t="shared" si="83"/>
        <v/>
      </c>
      <c r="H3242" s="33">
        <f>IF(ISNUMBER(SEARCH("Group",D3242)),IF(G3242="",E3242,IFERROR(E3242/COUNTIF($G2:$G6000,G3242),E3242)),E3242)</f>
        <v>0</v>
      </c>
      <c r="I3242" s="1" t="str">
        <f>IFERROR(VLOOKUP(C3242,'Clients List'!A:F,6,FALSE),"")</f>
        <v/>
      </c>
    </row>
    <row r="3243" spans="4:9" x14ac:dyDescent="0.45">
      <c r="D3243" t="str">
        <f>IFERROR(VLOOKUP(C3243,'Clients List'!$A:$F,2,FALSE),"")</f>
        <v/>
      </c>
      <c r="F3243" s="1" t="str">
        <f>IF(OR(C3243="",NOT(ISNUMBER(SEARCH("Package",D3243)))),"",VLOOKUP(C3243,'Clients List'!$A:$F,4,FALSE)-SUMIFS($E$2:$E3243,$C$2:$C3243,C3243,$D$2:$D3243,"*Package*"))</f>
        <v/>
      </c>
      <c r="G3243" t="str">
        <f t="shared" si="83"/>
        <v/>
      </c>
      <c r="H3243" s="33">
        <f>IF(ISNUMBER(SEARCH("Group",D3243)),IF(G3243="",E3243,IFERROR(E3243/COUNTIF($G2:$G6000,G3243),E3243)),E3243)</f>
        <v>0</v>
      </c>
      <c r="I3243" s="1" t="str">
        <f>IFERROR(VLOOKUP(C3243,'Clients List'!A:F,6,FALSE),"")</f>
        <v/>
      </c>
    </row>
    <row r="3244" spans="4:9" x14ac:dyDescent="0.45">
      <c r="D3244" t="str">
        <f>IFERROR(VLOOKUP(C3244,'Clients List'!$A:$F,2,FALSE),"")</f>
        <v/>
      </c>
      <c r="F3244" s="1" t="str">
        <f>IF(OR(C3244="",NOT(ISNUMBER(SEARCH("Package",D3244)))),"",VLOOKUP(C3244,'Clients List'!$A:$F,4,FALSE)-SUMIFS($E$2:$E3244,$C$2:$C3244,C3244,$D$2:$D3244,"*Package*"))</f>
        <v/>
      </c>
      <c r="G3244" t="str">
        <f t="shared" si="83"/>
        <v/>
      </c>
      <c r="H3244" s="33">
        <f>IF(ISNUMBER(SEARCH("Group",D3244)),IF(G3244="",E3244,IFERROR(E3244/COUNTIF($G2:$G6000,G3244),E3244)),E3244)</f>
        <v>0</v>
      </c>
      <c r="I3244" s="1" t="str">
        <f>IFERROR(VLOOKUP(C3244,'Clients List'!A:F,6,FALSE),"")</f>
        <v/>
      </c>
    </row>
    <row r="3245" spans="4:9" x14ac:dyDescent="0.45">
      <c r="D3245" t="str">
        <f>IFERROR(VLOOKUP(C3245,'Clients List'!$A:$F,2,FALSE),"")</f>
        <v/>
      </c>
      <c r="F3245" s="1" t="str">
        <f>IF(OR(C3245="",NOT(ISNUMBER(SEARCH("Package",D3245)))),"",VLOOKUP(C3245,'Clients List'!$A:$F,4,FALSE)-SUMIFS($E$2:$E3245,$C$2:$C3245,C3245,$D$2:$D3245,"*Package*"))</f>
        <v/>
      </c>
      <c r="G3245" t="str">
        <f t="shared" si="83"/>
        <v/>
      </c>
      <c r="H3245" s="33">
        <f>IF(ISNUMBER(SEARCH("Group",D3245)),IF(G3245="",E3245,IFERROR(E3245/COUNTIF($G2:$G6000,G3245),E3245)),E3245)</f>
        <v>0</v>
      </c>
      <c r="I3245" s="1" t="str">
        <f>IFERROR(VLOOKUP(C3245,'Clients List'!A:F,6,FALSE),"")</f>
        <v/>
      </c>
    </row>
    <row r="3246" spans="4:9" x14ac:dyDescent="0.45">
      <c r="D3246" t="str">
        <f>IFERROR(VLOOKUP(C3246,'Clients List'!$A:$F,2,FALSE),"")</f>
        <v/>
      </c>
      <c r="F3246" s="1" t="str">
        <f>IF(OR(C3246="",NOT(ISNUMBER(SEARCH("Package",D3246)))),"",VLOOKUP(C3246,'Clients List'!$A:$F,4,FALSE)-SUMIFS($E$2:$E3246,$C$2:$C3246,C3246,$D$2:$D3246,"*Package*"))</f>
        <v/>
      </c>
      <c r="G3246" t="str">
        <f t="shared" si="83"/>
        <v/>
      </c>
      <c r="H3246" s="33">
        <f>IF(ISNUMBER(SEARCH("Group",D3246)),IF(G3246="",E3246,IFERROR(E3246/COUNTIF($G2:$G6000,G3246),E3246)),E3246)</f>
        <v>0</v>
      </c>
      <c r="I3246" s="1" t="str">
        <f>IFERROR(VLOOKUP(C3246,'Clients List'!A:F,6,FALSE),"")</f>
        <v/>
      </c>
    </row>
    <row r="3247" spans="4:9" x14ac:dyDescent="0.45">
      <c r="D3247" t="str">
        <f>IFERROR(VLOOKUP(C3247,'Clients List'!$A:$F,2,FALSE),"")</f>
        <v/>
      </c>
      <c r="F3247" s="1" t="str">
        <f>IF(OR(C3247="",NOT(ISNUMBER(SEARCH("Package",D3247)))),"",VLOOKUP(C3247,'Clients List'!$A:$F,4,FALSE)-SUMIFS($E$2:$E3247,$C$2:$C3247,C3247,$D$2:$D3247,"*Package*"))</f>
        <v/>
      </c>
      <c r="G3247" t="str">
        <f t="shared" si="83"/>
        <v/>
      </c>
      <c r="H3247" s="33">
        <f>IF(ISNUMBER(SEARCH("Group",D3247)),IF(G3247="",E3247,IFERROR(E3247/COUNTIF($G2:$G6000,G3247),E3247)),E3247)</f>
        <v>0</v>
      </c>
      <c r="I3247" s="1" t="str">
        <f>IFERROR(VLOOKUP(C3247,'Clients List'!A:F,6,FALSE),"")</f>
        <v/>
      </c>
    </row>
    <row r="3248" spans="4:9" x14ac:dyDescent="0.45">
      <c r="D3248" t="str">
        <f>IFERROR(VLOOKUP(C3248,'Clients List'!$A:$F,2,FALSE),"")</f>
        <v/>
      </c>
      <c r="F3248" s="1" t="str">
        <f>IF(OR(C3248="",NOT(ISNUMBER(SEARCH("Package",D3248)))),"",VLOOKUP(C3248,'Clients List'!$A:$F,4,FALSE)-SUMIFS($E$2:$E3248,$C$2:$C3248,C3248,$D$2:$D3248,"*Package*"))</f>
        <v/>
      </c>
      <c r="G3248" t="str">
        <f t="shared" si="83"/>
        <v/>
      </c>
      <c r="H3248" s="33">
        <f>IF(ISNUMBER(SEARCH("Group",D3248)),IF(G3248="",E3248,IFERROR(E3248/COUNTIF($G2:$G6000,G3248),E3248)),E3248)</f>
        <v>0</v>
      </c>
      <c r="I3248" s="1" t="str">
        <f>IFERROR(VLOOKUP(C3248,'Clients List'!A:F,6,FALSE),"")</f>
        <v/>
      </c>
    </row>
    <row r="3249" spans="4:9" x14ac:dyDescent="0.45">
      <c r="D3249" t="str">
        <f>IFERROR(VLOOKUP(C3249,'Clients List'!$A:$F,2,FALSE),"")</f>
        <v/>
      </c>
      <c r="F3249" s="1" t="str">
        <f>IF(OR(C3249="",NOT(ISNUMBER(SEARCH("Package",D3249)))),"",VLOOKUP(C3249,'Clients List'!$A:$F,4,FALSE)-SUMIFS($E$2:$E3249,$C$2:$C3249,C3249,$D$2:$D3249,"*Package*"))</f>
        <v/>
      </c>
      <c r="G3249" t="str">
        <f t="shared" si="83"/>
        <v/>
      </c>
      <c r="H3249" s="33">
        <f>IF(ISNUMBER(SEARCH("Group",D3249)),IF(G3249="",E3249,IFERROR(E3249/COUNTIF($G2:$G6000,G3249),E3249)),E3249)</f>
        <v>0</v>
      </c>
      <c r="I3249" s="1" t="str">
        <f>IFERROR(VLOOKUP(C3249,'Clients List'!A:F,6,FALSE),"")</f>
        <v/>
      </c>
    </row>
    <row r="3250" spans="4:9" x14ac:dyDescent="0.45">
      <c r="D3250" t="str">
        <f>IFERROR(VLOOKUP(C3250,'Clients List'!$A:$F,2,FALSE),"")</f>
        <v/>
      </c>
      <c r="F3250" s="1" t="str">
        <f>IF(OR(C3250="",NOT(ISNUMBER(SEARCH("Package",D3250)))),"",VLOOKUP(C3250,'Clients List'!$A:$F,4,FALSE)-SUMIFS($E$2:$E3250,$C$2:$C3250,C3250,$D$2:$D3250,"*Package*"))</f>
        <v/>
      </c>
      <c r="G3250" t="str">
        <f t="shared" si="83"/>
        <v/>
      </c>
      <c r="H3250" s="33">
        <f>IF(ISNUMBER(SEARCH("Group",D3250)),IF(G3250="",E3250,IFERROR(E3250/COUNTIF($G2:$G6000,G3250),E3250)),E3250)</f>
        <v>0</v>
      </c>
      <c r="I3250" s="1" t="str">
        <f>IFERROR(VLOOKUP(C3250,'Clients List'!A:F,6,FALSE),"")</f>
        <v/>
      </c>
    </row>
    <row r="3251" spans="4:9" x14ac:dyDescent="0.45">
      <c r="D3251" t="str">
        <f>IFERROR(VLOOKUP(C3251,'Clients List'!$A:$F,2,FALSE),"")</f>
        <v/>
      </c>
      <c r="F3251" s="1" t="str">
        <f>IF(OR(C3251="",NOT(ISNUMBER(SEARCH("Package",D3251)))),"",VLOOKUP(C3251,'Clients List'!$A:$F,4,FALSE)-SUMIFS($E$2:$E3251,$C$2:$C3251,C3251,$D$2:$D3251,"*Package*"))</f>
        <v/>
      </c>
      <c r="G3251" t="str">
        <f t="shared" si="83"/>
        <v/>
      </c>
      <c r="H3251" s="33">
        <f>IF(ISNUMBER(SEARCH("Group",D3251)),IF(G3251="",E3251,IFERROR(E3251/COUNTIF($G2:$G6000,G3251),E3251)),E3251)</f>
        <v>0</v>
      </c>
      <c r="I3251" s="1" t="str">
        <f>IFERROR(VLOOKUP(C3251,'Clients List'!A:F,6,FALSE),"")</f>
        <v/>
      </c>
    </row>
    <row r="3252" spans="4:9" x14ac:dyDescent="0.45">
      <c r="D3252" t="str">
        <f>IFERROR(VLOOKUP(C3252,'Clients List'!$A:$F,2,FALSE),"")</f>
        <v/>
      </c>
      <c r="F3252" s="1" t="str">
        <f>IF(OR(C3252="",NOT(ISNUMBER(SEARCH("Package",D3252)))),"",VLOOKUP(C3252,'Clients List'!$A:$F,4,FALSE)-SUMIFS($E$2:$E3252,$C$2:$C3252,C3252,$D$2:$D3252,"*Package*"))</f>
        <v/>
      </c>
      <c r="G3252" t="str">
        <f t="shared" si="83"/>
        <v/>
      </c>
      <c r="H3252" s="33">
        <f>IF(ISNUMBER(SEARCH("Group",D3252)),IF(G3252="",E3252,IFERROR(E3252/COUNTIF($G2:$G6000,G3252),E3252)),E3252)</f>
        <v>0</v>
      </c>
      <c r="I3252" s="1" t="str">
        <f>IFERROR(VLOOKUP(C3252,'Clients List'!A:F,6,FALSE),"")</f>
        <v/>
      </c>
    </row>
    <row r="3253" spans="4:9" x14ac:dyDescent="0.45">
      <c r="D3253" t="str">
        <f>IFERROR(VLOOKUP(C3253,'Clients List'!$A:$F,2,FALSE),"")</f>
        <v/>
      </c>
      <c r="F3253" s="1" t="str">
        <f>IF(OR(C3253="",NOT(ISNUMBER(SEARCH("Package",D3253)))),"",VLOOKUP(C3253,'Clients List'!$A:$F,4,FALSE)-SUMIFS($E$2:$E3253,$C$2:$C3253,C3253,$D$2:$D3253,"*Package*"))</f>
        <v/>
      </c>
      <c r="G3253" t="str">
        <f t="shared" ref="G3253:G3316" si="84">IF(ISNUMBER(SEARCH("Group",D3253)),IFERROR("GRP-"&amp;TEXT(IF(ISNUMBER(A3253),A3253,DATEVALUE(A3253)),"yyyymmdd"),""),"" )</f>
        <v/>
      </c>
      <c r="H3253" s="33">
        <f>IF(ISNUMBER(SEARCH("Group",D3253)),IF(G3253="",E3253,IFERROR(E3253/COUNTIF($G2:$G6000,G3253),E3253)),E3253)</f>
        <v>0</v>
      </c>
      <c r="I3253" s="1" t="str">
        <f>IFERROR(VLOOKUP(C3253,'Clients List'!A:F,6,FALSE),"")</f>
        <v/>
      </c>
    </row>
    <row r="3254" spans="4:9" x14ac:dyDescent="0.45">
      <c r="D3254" t="str">
        <f>IFERROR(VLOOKUP(C3254,'Clients List'!$A:$F,2,FALSE),"")</f>
        <v/>
      </c>
      <c r="F3254" s="1" t="str">
        <f>IF(OR(C3254="",NOT(ISNUMBER(SEARCH("Package",D3254)))),"",VLOOKUP(C3254,'Clients List'!$A:$F,4,FALSE)-SUMIFS($E$2:$E3254,$C$2:$C3254,C3254,$D$2:$D3254,"*Package*"))</f>
        <v/>
      </c>
      <c r="G3254" t="str">
        <f t="shared" si="84"/>
        <v/>
      </c>
      <c r="H3254" s="33">
        <f>IF(ISNUMBER(SEARCH("Group",D3254)),IF(G3254="",E3254,IFERROR(E3254/COUNTIF($G2:$G6000,G3254),E3254)),E3254)</f>
        <v>0</v>
      </c>
      <c r="I3254" s="1" t="str">
        <f>IFERROR(VLOOKUP(C3254,'Clients List'!A:F,6,FALSE),"")</f>
        <v/>
      </c>
    </row>
    <row r="3255" spans="4:9" x14ac:dyDescent="0.45">
      <c r="D3255" t="str">
        <f>IFERROR(VLOOKUP(C3255,'Clients List'!$A:$F,2,FALSE),"")</f>
        <v/>
      </c>
      <c r="F3255" s="1" t="str">
        <f>IF(OR(C3255="",NOT(ISNUMBER(SEARCH("Package",D3255)))),"",VLOOKUP(C3255,'Clients List'!$A:$F,4,FALSE)-SUMIFS($E$2:$E3255,$C$2:$C3255,C3255,$D$2:$D3255,"*Package*"))</f>
        <v/>
      </c>
      <c r="G3255" t="str">
        <f t="shared" si="84"/>
        <v/>
      </c>
      <c r="H3255" s="33">
        <f>IF(ISNUMBER(SEARCH("Group",D3255)),IF(G3255="",E3255,IFERROR(E3255/COUNTIF($G2:$G6000,G3255),E3255)),E3255)</f>
        <v>0</v>
      </c>
      <c r="I3255" s="1" t="str">
        <f>IFERROR(VLOOKUP(C3255,'Clients List'!A:F,6,FALSE),"")</f>
        <v/>
      </c>
    </row>
    <row r="3256" spans="4:9" x14ac:dyDescent="0.45">
      <c r="D3256" t="str">
        <f>IFERROR(VLOOKUP(C3256,'Clients List'!$A:$F,2,FALSE),"")</f>
        <v/>
      </c>
      <c r="F3256" s="1" t="str">
        <f>IF(OR(C3256="",NOT(ISNUMBER(SEARCH("Package",D3256)))),"",VLOOKUP(C3256,'Clients List'!$A:$F,4,FALSE)-SUMIFS($E$2:$E3256,$C$2:$C3256,C3256,$D$2:$D3256,"*Package*"))</f>
        <v/>
      </c>
      <c r="G3256" t="str">
        <f t="shared" si="84"/>
        <v/>
      </c>
      <c r="H3256" s="33">
        <f>IF(ISNUMBER(SEARCH("Group",D3256)),IF(G3256="",E3256,IFERROR(E3256/COUNTIF($G2:$G6000,G3256),E3256)),E3256)</f>
        <v>0</v>
      </c>
      <c r="I3256" s="1" t="str">
        <f>IFERROR(VLOOKUP(C3256,'Clients List'!A:F,6,FALSE),"")</f>
        <v/>
      </c>
    </row>
    <row r="3257" spans="4:9" x14ac:dyDescent="0.45">
      <c r="D3257" t="str">
        <f>IFERROR(VLOOKUP(C3257,'Clients List'!$A:$F,2,FALSE),"")</f>
        <v/>
      </c>
      <c r="F3257" s="1" t="str">
        <f>IF(OR(C3257="",NOT(ISNUMBER(SEARCH("Package",D3257)))),"",VLOOKUP(C3257,'Clients List'!$A:$F,4,FALSE)-SUMIFS($E$2:$E3257,$C$2:$C3257,C3257,$D$2:$D3257,"*Package*"))</f>
        <v/>
      </c>
      <c r="G3257" t="str">
        <f t="shared" si="84"/>
        <v/>
      </c>
      <c r="H3257" s="33">
        <f>IF(ISNUMBER(SEARCH("Group",D3257)),IF(G3257="",E3257,IFERROR(E3257/COUNTIF($G2:$G6000,G3257),E3257)),E3257)</f>
        <v>0</v>
      </c>
      <c r="I3257" s="1" t="str">
        <f>IFERROR(VLOOKUP(C3257,'Clients List'!A:F,6,FALSE),"")</f>
        <v/>
      </c>
    </row>
    <row r="3258" spans="4:9" x14ac:dyDescent="0.45">
      <c r="D3258" t="str">
        <f>IFERROR(VLOOKUP(C3258,'Clients List'!$A:$F,2,FALSE),"")</f>
        <v/>
      </c>
      <c r="F3258" s="1" t="str">
        <f>IF(OR(C3258="",NOT(ISNUMBER(SEARCH("Package",D3258)))),"",VLOOKUP(C3258,'Clients List'!$A:$F,4,FALSE)-SUMIFS($E$2:$E3258,$C$2:$C3258,C3258,$D$2:$D3258,"*Package*"))</f>
        <v/>
      </c>
      <c r="G3258" t="str">
        <f t="shared" si="84"/>
        <v/>
      </c>
      <c r="H3258" s="33">
        <f>IF(ISNUMBER(SEARCH("Group",D3258)),IF(G3258="",E3258,IFERROR(E3258/COUNTIF($G2:$G6000,G3258),E3258)),E3258)</f>
        <v>0</v>
      </c>
      <c r="I3258" s="1" t="str">
        <f>IFERROR(VLOOKUP(C3258,'Clients List'!A:F,6,FALSE),"")</f>
        <v/>
      </c>
    </row>
    <row r="3259" spans="4:9" x14ac:dyDescent="0.45">
      <c r="D3259" t="str">
        <f>IFERROR(VLOOKUP(C3259,'Clients List'!$A:$F,2,FALSE),"")</f>
        <v/>
      </c>
      <c r="F3259" s="1" t="str">
        <f>IF(OR(C3259="",NOT(ISNUMBER(SEARCH("Package",D3259)))),"",VLOOKUP(C3259,'Clients List'!$A:$F,4,FALSE)-SUMIFS($E$2:$E3259,$C$2:$C3259,C3259,$D$2:$D3259,"*Package*"))</f>
        <v/>
      </c>
      <c r="G3259" t="str">
        <f t="shared" si="84"/>
        <v/>
      </c>
      <c r="H3259" s="33">
        <f>IF(ISNUMBER(SEARCH("Group",D3259)),IF(G3259="",E3259,IFERROR(E3259/COUNTIF($G2:$G6000,G3259),E3259)),E3259)</f>
        <v>0</v>
      </c>
      <c r="I3259" s="1" t="str">
        <f>IFERROR(VLOOKUP(C3259,'Clients List'!A:F,6,FALSE),"")</f>
        <v/>
      </c>
    </row>
    <row r="3260" spans="4:9" x14ac:dyDescent="0.45">
      <c r="D3260" t="str">
        <f>IFERROR(VLOOKUP(C3260,'Clients List'!$A:$F,2,FALSE),"")</f>
        <v/>
      </c>
      <c r="F3260" s="1" t="str">
        <f>IF(OR(C3260="",NOT(ISNUMBER(SEARCH("Package",D3260)))),"",VLOOKUP(C3260,'Clients List'!$A:$F,4,FALSE)-SUMIFS($E$2:$E3260,$C$2:$C3260,C3260,$D$2:$D3260,"*Package*"))</f>
        <v/>
      </c>
      <c r="G3260" t="str">
        <f t="shared" si="84"/>
        <v/>
      </c>
      <c r="H3260" s="33">
        <f>IF(ISNUMBER(SEARCH("Group",D3260)),IF(G3260="",E3260,IFERROR(E3260/COUNTIF($G2:$G6000,G3260),E3260)),E3260)</f>
        <v>0</v>
      </c>
      <c r="I3260" s="1" t="str">
        <f>IFERROR(VLOOKUP(C3260,'Clients List'!A:F,6,FALSE),"")</f>
        <v/>
      </c>
    </row>
    <row r="3261" spans="4:9" x14ac:dyDescent="0.45">
      <c r="D3261" t="str">
        <f>IFERROR(VLOOKUP(C3261,'Clients List'!$A:$F,2,FALSE),"")</f>
        <v/>
      </c>
      <c r="F3261" s="1" t="str">
        <f>IF(OR(C3261="",NOT(ISNUMBER(SEARCH("Package",D3261)))),"",VLOOKUP(C3261,'Clients List'!$A:$F,4,FALSE)-SUMIFS($E$2:$E3261,$C$2:$C3261,C3261,$D$2:$D3261,"*Package*"))</f>
        <v/>
      </c>
      <c r="G3261" t="str">
        <f t="shared" si="84"/>
        <v/>
      </c>
      <c r="H3261" s="33">
        <f>IF(ISNUMBER(SEARCH("Group",D3261)),IF(G3261="",E3261,IFERROR(E3261/COUNTIF($G2:$G6000,G3261),E3261)),E3261)</f>
        <v>0</v>
      </c>
      <c r="I3261" s="1" t="str">
        <f>IFERROR(VLOOKUP(C3261,'Clients List'!A:F,6,FALSE),"")</f>
        <v/>
      </c>
    </row>
    <row r="3262" spans="4:9" x14ac:dyDescent="0.45">
      <c r="D3262" t="str">
        <f>IFERROR(VLOOKUP(C3262,'Clients List'!$A:$F,2,FALSE),"")</f>
        <v/>
      </c>
      <c r="F3262" s="1" t="str">
        <f>IF(OR(C3262="",NOT(ISNUMBER(SEARCH("Package",D3262)))),"",VLOOKUP(C3262,'Clients List'!$A:$F,4,FALSE)-SUMIFS($E$2:$E3262,$C$2:$C3262,C3262,$D$2:$D3262,"*Package*"))</f>
        <v/>
      </c>
      <c r="G3262" t="str">
        <f t="shared" si="84"/>
        <v/>
      </c>
      <c r="H3262" s="33">
        <f>IF(ISNUMBER(SEARCH("Group",D3262)),IF(G3262="",E3262,IFERROR(E3262/COUNTIF($G2:$G6000,G3262),E3262)),E3262)</f>
        <v>0</v>
      </c>
      <c r="I3262" s="1" t="str">
        <f>IFERROR(VLOOKUP(C3262,'Clients List'!A:F,6,FALSE),"")</f>
        <v/>
      </c>
    </row>
    <row r="3263" spans="4:9" x14ac:dyDescent="0.45">
      <c r="D3263" t="str">
        <f>IFERROR(VLOOKUP(C3263,'Clients List'!$A:$F,2,FALSE),"")</f>
        <v/>
      </c>
      <c r="F3263" s="1" t="str">
        <f>IF(OR(C3263="",NOT(ISNUMBER(SEARCH("Package",D3263)))),"",VLOOKUP(C3263,'Clients List'!$A:$F,4,FALSE)-SUMIFS($E$2:$E3263,$C$2:$C3263,C3263,$D$2:$D3263,"*Package*"))</f>
        <v/>
      </c>
      <c r="G3263" t="str">
        <f t="shared" si="84"/>
        <v/>
      </c>
      <c r="H3263" s="33">
        <f>IF(ISNUMBER(SEARCH("Group",D3263)),IF(G3263="",E3263,IFERROR(E3263/COUNTIF($G2:$G6000,G3263),E3263)),E3263)</f>
        <v>0</v>
      </c>
      <c r="I3263" s="1" t="str">
        <f>IFERROR(VLOOKUP(C3263,'Clients List'!A:F,6,FALSE),"")</f>
        <v/>
      </c>
    </row>
    <row r="3264" spans="4:9" x14ac:dyDescent="0.45">
      <c r="D3264" t="str">
        <f>IFERROR(VLOOKUP(C3264,'Clients List'!$A:$F,2,FALSE),"")</f>
        <v/>
      </c>
      <c r="F3264" s="1" t="str">
        <f>IF(OR(C3264="",NOT(ISNUMBER(SEARCH("Package",D3264)))),"",VLOOKUP(C3264,'Clients List'!$A:$F,4,FALSE)-SUMIFS($E$2:$E3264,$C$2:$C3264,C3264,$D$2:$D3264,"*Package*"))</f>
        <v/>
      </c>
      <c r="G3264" t="str">
        <f t="shared" si="84"/>
        <v/>
      </c>
      <c r="H3264" s="33">
        <f>IF(ISNUMBER(SEARCH("Group",D3264)),IF(G3264="",E3264,IFERROR(E3264/COUNTIF($G2:$G6000,G3264),E3264)),E3264)</f>
        <v>0</v>
      </c>
      <c r="I3264" s="1" t="str">
        <f>IFERROR(VLOOKUP(C3264,'Clients List'!A:F,6,FALSE),"")</f>
        <v/>
      </c>
    </row>
    <row r="3265" spans="4:9" x14ac:dyDescent="0.45">
      <c r="D3265" t="str">
        <f>IFERROR(VLOOKUP(C3265,'Clients List'!$A:$F,2,FALSE),"")</f>
        <v/>
      </c>
      <c r="F3265" s="1" t="str">
        <f>IF(OR(C3265="",NOT(ISNUMBER(SEARCH("Package",D3265)))),"",VLOOKUP(C3265,'Clients List'!$A:$F,4,FALSE)-SUMIFS($E$2:$E3265,$C$2:$C3265,C3265,$D$2:$D3265,"*Package*"))</f>
        <v/>
      </c>
      <c r="G3265" t="str">
        <f t="shared" si="84"/>
        <v/>
      </c>
      <c r="H3265" s="33">
        <f>IF(ISNUMBER(SEARCH("Group",D3265)),IF(G3265="",E3265,IFERROR(E3265/COUNTIF($G2:$G6000,G3265),E3265)),E3265)</f>
        <v>0</v>
      </c>
      <c r="I3265" s="1" t="str">
        <f>IFERROR(VLOOKUP(C3265,'Clients List'!A:F,6,FALSE),"")</f>
        <v/>
      </c>
    </row>
    <row r="3266" spans="4:9" x14ac:dyDescent="0.45">
      <c r="D3266" t="str">
        <f>IFERROR(VLOOKUP(C3266,'Clients List'!$A:$F,2,FALSE),"")</f>
        <v/>
      </c>
      <c r="F3266" s="1" t="str">
        <f>IF(OR(C3266="",NOT(ISNUMBER(SEARCH("Package",D3266)))),"",VLOOKUP(C3266,'Clients List'!$A:$F,4,FALSE)-SUMIFS($E$2:$E3266,$C$2:$C3266,C3266,$D$2:$D3266,"*Package*"))</f>
        <v/>
      </c>
      <c r="G3266" t="str">
        <f t="shared" si="84"/>
        <v/>
      </c>
      <c r="H3266" s="33">
        <f>IF(ISNUMBER(SEARCH("Group",D3266)),IF(G3266="",E3266,IFERROR(E3266/COUNTIF($G2:$G6000,G3266),E3266)),E3266)</f>
        <v>0</v>
      </c>
      <c r="I3266" s="1" t="str">
        <f>IFERROR(VLOOKUP(C3266,'Clients List'!A:F,6,FALSE),"")</f>
        <v/>
      </c>
    </row>
    <row r="3267" spans="4:9" x14ac:dyDescent="0.45">
      <c r="D3267" t="str">
        <f>IFERROR(VLOOKUP(C3267,'Clients List'!$A:$F,2,FALSE),"")</f>
        <v/>
      </c>
      <c r="F3267" s="1" t="str">
        <f>IF(OR(C3267="",NOT(ISNUMBER(SEARCH("Package",D3267)))),"",VLOOKUP(C3267,'Clients List'!$A:$F,4,FALSE)-SUMIFS($E$2:$E3267,$C$2:$C3267,C3267,$D$2:$D3267,"*Package*"))</f>
        <v/>
      </c>
      <c r="G3267" t="str">
        <f t="shared" si="84"/>
        <v/>
      </c>
      <c r="H3267" s="33">
        <f>IF(ISNUMBER(SEARCH("Group",D3267)),IF(G3267="",E3267,IFERROR(E3267/COUNTIF($G2:$G6000,G3267),E3267)),E3267)</f>
        <v>0</v>
      </c>
      <c r="I3267" s="1" t="str">
        <f>IFERROR(VLOOKUP(C3267,'Clients List'!A:F,6,FALSE),"")</f>
        <v/>
      </c>
    </row>
    <row r="3268" spans="4:9" x14ac:dyDescent="0.45">
      <c r="D3268" t="str">
        <f>IFERROR(VLOOKUP(C3268,'Clients List'!$A:$F,2,FALSE),"")</f>
        <v/>
      </c>
      <c r="F3268" s="1" t="str">
        <f>IF(OR(C3268="",NOT(ISNUMBER(SEARCH("Package",D3268)))),"",VLOOKUP(C3268,'Clients List'!$A:$F,4,FALSE)-SUMIFS($E$2:$E3268,$C$2:$C3268,C3268,$D$2:$D3268,"*Package*"))</f>
        <v/>
      </c>
      <c r="G3268" t="str">
        <f t="shared" si="84"/>
        <v/>
      </c>
      <c r="H3268" s="33">
        <f>IF(ISNUMBER(SEARCH("Group",D3268)),IF(G3268="",E3268,IFERROR(E3268/COUNTIF($G2:$G6000,G3268),E3268)),E3268)</f>
        <v>0</v>
      </c>
      <c r="I3268" s="1" t="str">
        <f>IFERROR(VLOOKUP(C3268,'Clients List'!A:F,6,FALSE),"")</f>
        <v/>
      </c>
    </row>
    <row r="3269" spans="4:9" x14ac:dyDescent="0.45">
      <c r="D3269" t="str">
        <f>IFERROR(VLOOKUP(C3269,'Clients List'!$A:$F,2,FALSE),"")</f>
        <v/>
      </c>
      <c r="F3269" s="1" t="str">
        <f>IF(OR(C3269="",NOT(ISNUMBER(SEARCH("Package",D3269)))),"",VLOOKUP(C3269,'Clients List'!$A:$F,4,FALSE)-SUMIFS($E$2:$E3269,$C$2:$C3269,C3269,$D$2:$D3269,"*Package*"))</f>
        <v/>
      </c>
      <c r="G3269" t="str">
        <f t="shared" si="84"/>
        <v/>
      </c>
      <c r="H3269" s="33">
        <f>IF(ISNUMBER(SEARCH("Group",D3269)),IF(G3269="",E3269,IFERROR(E3269/COUNTIF($G2:$G6000,G3269),E3269)),E3269)</f>
        <v>0</v>
      </c>
      <c r="I3269" s="1" t="str">
        <f>IFERROR(VLOOKUP(C3269,'Clients List'!A:F,6,FALSE),"")</f>
        <v/>
      </c>
    </row>
    <row r="3270" spans="4:9" x14ac:dyDescent="0.45">
      <c r="D3270" t="str">
        <f>IFERROR(VLOOKUP(C3270,'Clients List'!$A:$F,2,FALSE),"")</f>
        <v/>
      </c>
      <c r="F3270" s="1" t="str">
        <f>IF(OR(C3270="",NOT(ISNUMBER(SEARCH("Package",D3270)))),"",VLOOKUP(C3270,'Clients List'!$A:$F,4,FALSE)-SUMIFS($E$2:$E3270,$C$2:$C3270,C3270,$D$2:$D3270,"*Package*"))</f>
        <v/>
      </c>
      <c r="G3270" t="str">
        <f t="shared" si="84"/>
        <v/>
      </c>
      <c r="H3270" s="33">
        <f>IF(ISNUMBER(SEARCH("Group",D3270)),IF(G3270="",E3270,IFERROR(E3270/COUNTIF($G2:$G6000,G3270),E3270)),E3270)</f>
        <v>0</v>
      </c>
      <c r="I3270" s="1" t="str">
        <f>IFERROR(VLOOKUP(C3270,'Clients List'!A:F,6,FALSE),"")</f>
        <v/>
      </c>
    </row>
    <row r="3271" spans="4:9" x14ac:dyDescent="0.45">
      <c r="D3271" t="str">
        <f>IFERROR(VLOOKUP(C3271,'Clients List'!$A:$F,2,FALSE),"")</f>
        <v/>
      </c>
      <c r="F3271" s="1" t="str">
        <f>IF(OR(C3271="",NOT(ISNUMBER(SEARCH("Package",D3271)))),"",VLOOKUP(C3271,'Clients List'!$A:$F,4,FALSE)-SUMIFS($E$2:$E3271,$C$2:$C3271,C3271,$D$2:$D3271,"*Package*"))</f>
        <v/>
      </c>
      <c r="G3271" t="str">
        <f t="shared" si="84"/>
        <v/>
      </c>
      <c r="H3271" s="33">
        <f>IF(ISNUMBER(SEARCH("Group",D3271)),IF(G3271="",E3271,IFERROR(E3271/COUNTIF($G2:$G6000,G3271),E3271)),E3271)</f>
        <v>0</v>
      </c>
      <c r="I3271" s="1" t="str">
        <f>IFERROR(VLOOKUP(C3271,'Clients List'!A:F,6,FALSE),"")</f>
        <v/>
      </c>
    </row>
    <row r="3272" spans="4:9" x14ac:dyDescent="0.45">
      <c r="D3272" t="str">
        <f>IFERROR(VLOOKUP(C3272,'Clients List'!$A:$F,2,FALSE),"")</f>
        <v/>
      </c>
      <c r="F3272" s="1" t="str">
        <f>IF(OR(C3272="",NOT(ISNUMBER(SEARCH("Package",D3272)))),"",VLOOKUP(C3272,'Clients List'!$A:$F,4,FALSE)-SUMIFS($E$2:$E3272,$C$2:$C3272,C3272,$D$2:$D3272,"*Package*"))</f>
        <v/>
      </c>
      <c r="G3272" t="str">
        <f t="shared" si="84"/>
        <v/>
      </c>
      <c r="H3272" s="33">
        <f>IF(ISNUMBER(SEARCH("Group",D3272)),IF(G3272="",E3272,IFERROR(E3272/COUNTIF($G2:$G6000,G3272),E3272)),E3272)</f>
        <v>0</v>
      </c>
      <c r="I3272" s="1" t="str">
        <f>IFERROR(VLOOKUP(C3272,'Clients List'!A:F,6,FALSE),"")</f>
        <v/>
      </c>
    </row>
    <row r="3273" spans="4:9" x14ac:dyDescent="0.45">
      <c r="D3273" t="str">
        <f>IFERROR(VLOOKUP(C3273,'Clients List'!$A:$F,2,FALSE),"")</f>
        <v/>
      </c>
      <c r="F3273" s="1" t="str">
        <f>IF(OR(C3273="",NOT(ISNUMBER(SEARCH("Package",D3273)))),"",VLOOKUP(C3273,'Clients List'!$A:$F,4,FALSE)-SUMIFS($E$2:$E3273,$C$2:$C3273,C3273,$D$2:$D3273,"*Package*"))</f>
        <v/>
      </c>
      <c r="G3273" t="str">
        <f t="shared" si="84"/>
        <v/>
      </c>
      <c r="H3273" s="33">
        <f>IF(ISNUMBER(SEARCH("Group",D3273)),IF(G3273="",E3273,IFERROR(E3273/COUNTIF($G2:$G6000,G3273),E3273)),E3273)</f>
        <v>0</v>
      </c>
      <c r="I3273" s="1" t="str">
        <f>IFERROR(VLOOKUP(C3273,'Clients List'!A:F,6,FALSE),"")</f>
        <v/>
      </c>
    </row>
    <row r="3274" spans="4:9" x14ac:dyDescent="0.45">
      <c r="D3274" t="str">
        <f>IFERROR(VLOOKUP(C3274,'Clients List'!$A:$F,2,FALSE),"")</f>
        <v/>
      </c>
      <c r="F3274" s="1" t="str">
        <f>IF(OR(C3274="",NOT(ISNUMBER(SEARCH("Package",D3274)))),"",VLOOKUP(C3274,'Clients List'!$A:$F,4,FALSE)-SUMIFS($E$2:$E3274,$C$2:$C3274,C3274,$D$2:$D3274,"*Package*"))</f>
        <v/>
      </c>
      <c r="G3274" t="str">
        <f t="shared" si="84"/>
        <v/>
      </c>
      <c r="H3274" s="33">
        <f>IF(ISNUMBER(SEARCH("Group",D3274)),IF(G3274="",E3274,IFERROR(E3274/COUNTIF($G2:$G6000,G3274),E3274)),E3274)</f>
        <v>0</v>
      </c>
      <c r="I3274" s="1" t="str">
        <f>IFERROR(VLOOKUP(C3274,'Clients List'!A:F,6,FALSE),"")</f>
        <v/>
      </c>
    </row>
    <row r="3275" spans="4:9" x14ac:dyDescent="0.45">
      <c r="D3275" t="str">
        <f>IFERROR(VLOOKUP(C3275,'Clients List'!$A:$F,2,FALSE),"")</f>
        <v/>
      </c>
      <c r="F3275" s="1" t="str">
        <f>IF(OR(C3275="",NOT(ISNUMBER(SEARCH("Package",D3275)))),"",VLOOKUP(C3275,'Clients List'!$A:$F,4,FALSE)-SUMIFS($E$2:$E3275,$C$2:$C3275,C3275,$D$2:$D3275,"*Package*"))</f>
        <v/>
      </c>
      <c r="G3275" t="str">
        <f t="shared" si="84"/>
        <v/>
      </c>
      <c r="H3275" s="33">
        <f>IF(ISNUMBER(SEARCH("Group",D3275)),IF(G3275="",E3275,IFERROR(E3275/COUNTIF($G2:$G6000,G3275),E3275)),E3275)</f>
        <v>0</v>
      </c>
      <c r="I3275" s="1" t="str">
        <f>IFERROR(VLOOKUP(C3275,'Clients List'!A:F,6,FALSE),"")</f>
        <v/>
      </c>
    </row>
    <row r="3276" spans="4:9" x14ac:dyDescent="0.45">
      <c r="D3276" t="str">
        <f>IFERROR(VLOOKUP(C3276,'Clients List'!$A:$F,2,FALSE),"")</f>
        <v/>
      </c>
      <c r="F3276" s="1" t="str">
        <f>IF(OR(C3276="",NOT(ISNUMBER(SEARCH("Package",D3276)))),"",VLOOKUP(C3276,'Clients List'!$A:$F,4,FALSE)-SUMIFS($E$2:$E3276,$C$2:$C3276,C3276,$D$2:$D3276,"*Package*"))</f>
        <v/>
      </c>
      <c r="G3276" t="str">
        <f t="shared" si="84"/>
        <v/>
      </c>
      <c r="H3276" s="33">
        <f>IF(ISNUMBER(SEARCH("Group",D3276)),IF(G3276="",E3276,IFERROR(E3276/COUNTIF($G2:$G6000,G3276),E3276)),E3276)</f>
        <v>0</v>
      </c>
      <c r="I3276" s="1" t="str">
        <f>IFERROR(VLOOKUP(C3276,'Clients List'!A:F,6,FALSE),"")</f>
        <v/>
      </c>
    </row>
    <row r="3277" spans="4:9" x14ac:dyDescent="0.45">
      <c r="D3277" t="str">
        <f>IFERROR(VLOOKUP(C3277,'Clients List'!$A:$F,2,FALSE),"")</f>
        <v/>
      </c>
      <c r="F3277" s="1" t="str">
        <f>IF(OR(C3277="",NOT(ISNUMBER(SEARCH("Package",D3277)))),"",VLOOKUP(C3277,'Clients List'!$A:$F,4,FALSE)-SUMIFS($E$2:$E3277,$C$2:$C3277,C3277,$D$2:$D3277,"*Package*"))</f>
        <v/>
      </c>
      <c r="G3277" t="str">
        <f t="shared" si="84"/>
        <v/>
      </c>
      <c r="H3277" s="33">
        <f>IF(ISNUMBER(SEARCH("Group",D3277)),IF(G3277="",E3277,IFERROR(E3277/COUNTIF($G2:$G6000,G3277),E3277)),E3277)</f>
        <v>0</v>
      </c>
      <c r="I3277" s="1" t="str">
        <f>IFERROR(VLOOKUP(C3277,'Clients List'!A:F,6,FALSE),"")</f>
        <v/>
      </c>
    </row>
    <row r="3278" spans="4:9" x14ac:dyDescent="0.45">
      <c r="D3278" t="str">
        <f>IFERROR(VLOOKUP(C3278,'Clients List'!$A:$F,2,FALSE),"")</f>
        <v/>
      </c>
      <c r="F3278" s="1" t="str">
        <f>IF(OR(C3278="",NOT(ISNUMBER(SEARCH("Package",D3278)))),"",VLOOKUP(C3278,'Clients List'!$A:$F,4,FALSE)-SUMIFS($E$2:$E3278,$C$2:$C3278,C3278,$D$2:$D3278,"*Package*"))</f>
        <v/>
      </c>
      <c r="G3278" t="str">
        <f t="shared" si="84"/>
        <v/>
      </c>
      <c r="H3278" s="33">
        <f>IF(ISNUMBER(SEARCH("Group",D3278)),IF(G3278="",E3278,IFERROR(E3278/COUNTIF($G2:$G6000,G3278),E3278)),E3278)</f>
        <v>0</v>
      </c>
      <c r="I3278" s="1" t="str">
        <f>IFERROR(VLOOKUP(C3278,'Clients List'!A:F,6,FALSE),"")</f>
        <v/>
      </c>
    </row>
    <row r="3279" spans="4:9" x14ac:dyDescent="0.45">
      <c r="D3279" t="str">
        <f>IFERROR(VLOOKUP(C3279,'Clients List'!$A:$F,2,FALSE),"")</f>
        <v/>
      </c>
      <c r="F3279" s="1" t="str">
        <f>IF(OR(C3279="",NOT(ISNUMBER(SEARCH("Package",D3279)))),"",VLOOKUP(C3279,'Clients List'!$A:$F,4,FALSE)-SUMIFS($E$2:$E3279,$C$2:$C3279,C3279,$D$2:$D3279,"*Package*"))</f>
        <v/>
      </c>
      <c r="G3279" t="str">
        <f t="shared" si="84"/>
        <v/>
      </c>
      <c r="H3279" s="33">
        <f>IF(ISNUMBER(SEARCH("Group",D3279)),IF(G3279="",E3279,IFERROR(E3279/COUNTIF($G2:$G6000,G3279),E3279)),E3279)</f>
        <v>0</v>
      </c>
      <c r="I3279" s="1" t="str">
        <f>IFERROR(VLOOKUP(C3279,'Clients List'!A:F,6,FALSE),"")</f>
        <v/>
      </c>
    </row>
    <row r="3280" spans="4:9" x14ac:dyDescent="0.45">
      <c r="D3280" t="str">
        <f>IFERROR(VLOOKUP(C3280,'Clients List'!$A:$F,2,FALSE),"")</f>
        <v/>
      </c>
      <c r="F3280" s="1" t="str">
        <f>IF(OR(C3280="",NOT(ISNUMBER(SEARCH("Package",D3280)))),"",VLOOKUP(C3280,'Clients List'!$A:$F,4,FALSE)-SUMIFS($E$2:$E3280,$C$2:$C3280,C3280,$D$2:$D3280,"*Package*"))</f>
        <v/>
      </c>
      <c r="G3280" t="str">
        <f t="shared" si="84"/>
        <v/>
      </c>
      <c r="H3280" s="33">
        <f>IF(ISNUMBER(SEARCH("Group",D3280)),IF(G3280="",E3280,IFERROR(E3280/COUNTIF($G2:$G6000,G3280),E3280)),E3280)</f>
        <v>0</v>
      </c>
      <c r="I3280" s="1" t="str">
        <f>IFERROR(VLOOKUP(C3280,'Clients List'!A:F,6,FALSE),"")</f>
        <v/>
      </c>
    </row>
    <row r="3281" spans="4:9" x14ac:dyDescent="0.45">
      <c r="D3281" t="str">
        <f>IFERROR(VLOOKUP(C3281,'Clients List'!$A:$F,2,FALSE),"")</f>
        <v/>
      </c>
      <c r="F3281" s="1" t="str">
        <f>IF(OR(C3281="",NOT(ISNUMBER(SEARCH("Package",D3281)))),"",VLOOKUP(C3281,'Clients List'!$A:$F,4,FALSE)-SUMIFS($E$2:$E3281,$C$2:$C3281,C3281,$D$2:$D3281,"*Package*"))</f>
        <v/>
      </c>
      <c r="G3281" t="str">
        <f t="shared" si="84"/>
        <v/>
      </c>
      <c r="H3281" s="33">
        <f>IF(ISNUMBER(SEARCH("Group",D3281)),IF(G3281="",E3281,IFERROR(E3281/COUNTIF($G2:$G6000,G3281),E3281)),E3281)</f>
        <v>0</v>
      </c>
      <c r="I3281" s="1" t="str">
        <f>IFERROR(VLOOKUP(C3281,'Clients List'!A:F,6,FALSE),"")</f>
        <v/>
      </c>
    </row>
    <row r="3282" spans="4:9" x14ac:dyDescent="0.45">
      <c r="D3282" t="str">
        <f>IFERROR(VLOOKUP(C3282,'Clients List'!$A:$F,2,FALSE),"")</f>
        <v/>
      </c>
      <c r="F3282" s="1" t="str">
        <f>IF(OR(C3282="",NOT(ISNUMBER(SEARCH("Package",D3282)))),"",VLOOKUP(C3282,'Clients List'!$A:$F,4,FALSE)-SUMIFS($E$2:$E3282,$C$2:$C3282,C3282,$D$2:$D3282,"*Package*"))</f>
        <v/>
      </c>
      <c r="G3282" t="str">
        <f t="shared" si="84"/>
        <v/>
      </c>
      <c r="H3282" s="33">
        <f>IF(ISNUMBER(SEARCH("Group",D3282)),IF(G3282="",E3282,IFERROR(E3282/COUNTIF($G2:$G6000,G3282),E3282)),E3282)</f>
        <v>0</v>
      </c>
      <c r="I3282" s="1" t="str">
        <f>IFERROR(VLOOKUP(C3282,'Clients List'!A:F,6,FALSE),"")</f>
        <v/>
      </c>
    </row>
    <row r="3283" spans="4:9" x14ac:dyDescent="0.45">
      <c r="D3283" t="str">
        <f>IFERROR(VLOOKUP(C3283,'Clients List'!$A:$F,2,FALSE),"")</f>
        <v/>
      </c>
      <c r="F3283" s="1" t="str">
        <f>IF(OR(C3283="",NOT(ISNUMBER(SEARCH("Package",D3283)))),"",VLOOKUP(C3283,'Clients List'!$A:$F,4,FALSE)-SUMIFS($E$2:$E3283,$C$2:$C3283,C3283,$D$2:$D3283,"*Package*"))</f>
        <v/>
      </c>
      <c r="G3283" t="str">
        <f t="shared" si="84"/>
        <v/>
      </c>
      <c r="H3283" s="33">
        <f>IF(ISNUMBER(SEARCH("Group",D3283)),IF(G3283="",E3283,IFERROR(E3283/COUNTIF($G2:$G6000,G3283),E3283)),E3283)</f>
        <v>0</v>
      </c>
      <c r="I3283" s="1" t="str">
        <f>IFERROR(VLOOKUP(C3283,'Clients List'!A:F,6,FALSE),"")</f>
        <v/>
      </c>
    </row>
    <row r="3284" spans="4:9" x14ac:dyDescent="0.45">
      <c r="D3284" t="str">
        <f>IFERROR(VLOOKUP(C3284,'Clients List'!$A:$F,2,FALSE),"")</f>
        <v/>
      </c>
      <c r="F3284" s="1" t="str">
        <f>IF(OR(C3284="",NOT(ISNUMBER(SEARCH("Package",D3284)))),"",VLOOKUP(C3284,'Clients List'!$A:$F,4,FALSE)-SUMIFS($E$2:$E3284,$C$2:$C3284,C3284,$D$2:$D3284,"*Package*"))</f>
        <v/>
      </c>
      <c r="G3284" t="str">
        <f t="shared" si="84"/>
        <v/>
      </c>
      <c r="H3284" s="33">
        <f>IF(ISNUMBER(SEARCH("Group",D3284)),IF(G3284="",E3284,IFERROR(E3284/COUNTIF($G2:$G6000,G3284),E3284)),E3284)</f>
        <v>0</v>
      </c>
      <c r="I3284" s="1" t="str">
        <f>IFERROR(VLOOKUP(C3284,'Clients List'!A:F,6,FALSE),"")</f>
        <v/>
      </c>
    </row>
    <row r="3285" spans="4:9" x14ac:dyDescent="0.45">
      <c r="D3285" t="str">
        <f>IFERROR(VLOOKUP(C3285,'Clients List'!$A:$F,2,FALSE),"")</f>
        <v/>
      </c>
      <c r="F3285" s="1" t="str">
        <f>IF(OR(C3285="",NOT(ISNUMBER(SEARCH("Package",D3285)))),"",VLOOKUP(C3285,'Clients List'!$A:$F,4,FALSE)-SUMIFS($E$2:$E3285,$C$2:$C3285,C3285,$D$2:$D3285,"*Package*"))</f>
        <v/>
      </c>
      <c r="G3285" t="str">
        <f t="shared" si="84"/>
        <v/>
      </c>
      <c r="H3285" s="33">
        <f>IF(ISNUMBER(SEARCH("Group",D3285)),IF(G3285="",E3285,IFERROR(E3285/COUNTIF($G2:$G6000,G3285),E3285)),E3285)</f>
        <v>0</v>
      </c>
      <c r="I3285" s="1" t="str">
        <f>IFERROR(VLOOKUP(C3285,'Clients List'!A:F,6,FALSE),"")</f>
        <v/>
      </c>
    </row>
    <row r="3286" spans="4:9" x14ac:dyDescent="0.45">
      <c r="D3286" t="str">
        <f>IFERROR(VLOOKUP(C3286,'Clients List'!$A:$F,2,FALSE),"")</f>
        <v/>
      </c>
      <c r="F3286" s="1" t="str">
        <f>IF(OR(C3286="",NOT(ISNUMBER(SEARCH("Package",D3286)))),"",VLOOKUP(C3286,'Clients List'!$A:$F,4,FALSE)-SUMIFS($E$2:$E3286,$C$2:$C3286,C3286,$D$2:$D3286,"*Package*"))</f>
        <v/>
      </c>
      <c r="G3286" t="str">
        <f t="shared" si="84"/>
        <v/>
      </c>
      <c r="H3286" s="33">
        <f>IF(ISNUMBER(SEARCH("Group",D3286)),IF(G3286="",E3286,IFERROR(E3286/COUNTIF($G2:$G6000,G3286),E3286)),E3286)</f>
        <v>0</v>
      </c>
      <c r="I3286" s="1" t="str">
        <f>IFERROR(VLOOKUP(C3286,'Clients List'!A:F,6,FALSE),"")</f>
        <v/>
      </c>
    </row>
    <row r="3287" spans="4:9" x14ac:dyDescent="0.45">
      <c r="D3287" t="str">
        <f>IFERROR(VLOOKUP(C3287,'Clients List'!$A:$F,2,FALSE),"")</f>
        <v/>
      </c>
      <c r="F3287" s="1" t="str">
        <f>IF(OR(C3287="",NOT(ISNUMBER(SEARCH("Package",D3287)))),"",VLOOKUP(C3287,'Clients List'!$A:$F,4,FALSE)-SUMIFS($E$2:$E3287,$C$2:$C3287,C3287,$D$2:$D3287,"*Package*"))</f>
        <v/>
      </c>
      <c r="G3287" t="str">
        <f t="shared" si="84"/>
        <v/>
      </c>
      <c r="H3287" s="33">
        <f>IF(ISNUMBER(SEARCH("Group",D3287)),IF(G3287="",E3287,IFERROR(E3287/COUNTIF($G2:$G6000,G3287),E3287)),E3287)</f>
        <v>0</v>
      </c>
      <c r="I3287" s="1" t="str">
        <f>IFERROR(VLOOKUP(C3287,'Clients List'!A:F,6,FALSE),"")</f>
        <v/>
      </c>
    </row>
    <row r="3288" spans="4:9" x14ac:dyDescent="0.45">
      <c r="D3288" t="str">
        <f>IFERROR(VLOOKUP(C3288,'Clients List'!$A:$F,2,FALSE),"")</f>
        <v/>
      </c>
      <c r="F3288" s="1" t="str">
        <f>IF(OR(C3288="",NOT(ISNUMBER(SEARCH("Package",D3288)))),"",VLOOKUP(C3288,'Clients List'!$A:$F,4,FALSE)-SUMIFS($E$2:$E3288,$C$2:$C3288,C3288,$D$2:$D3288,"*Package*"))</f>
        <v/>
      </c>
      <c r="G3288" t="str">
        <f t="shared" si="84"/>
        <v/>
      </c>
      <c r="H3288" s="33">
        <f>IF(ISNUMBER(SEARCH("Group",D3288)),IF(G3288="",E3288,IFERROR(E3288/COUNTIF($G2:$G6000,G3288),E3288)),E3288)</f>
        <v>0</v>
      </c>
      <c r="I3288" s="1" t="str">
        <f>IFERROR(VLOOKUP(C3288,'Clients List'!A:F,6,FALSE),"")</f>
        <v/>
      </c>
    </row>
    <row r="3289" spans="4:9" x14ac:dyDescent="0.45">
      <c r="D3289" t="str">
        <f>IFERROR(VLOOKUP(C3289,'Clients List'!$A:$F,2,FALSE),"")</f>
        <v/>
      </c>
      <c r="F3289" s="1" t="str">
        <f>IF(OR(C3289="",NOT(ISNUMBER(SEARCH("Package",D3289)))),"",VLOOKUP(C3289,'Clients List'!$A:$F,4,FALSE)-SUMIFS($E$2:$E3289,$C$2:$C3289,C3289,$D$2:$D3289,"*Package*"))</f>
        <v/>
      </c>
      <c r="G3289" t="str">
        <f t="shared" si="84"/>
        <v/>
      </c>
      <c r="H3289" s="33">
        <f>IF(ISNUMBER(SEARCH("Group",D3289)),IF(G3289="",E3289,IFERROR(E3289/COUNTIF($G2:$G6000,G3289),E3289)),E3289)</f>
        <v>0</v>
      </c>
      <c r="I3289" s="1" t="str">
        <f>IFERROR(VLOOKUP(C3289,'Clients List'!A:F,6,FALSE),"")</f>
        <v/>
      </c>
    </row>
    <row r="3290" spans="4:9" x14ac:dyDescent="0.45">
      <c r="D3290" t="str">
        <f>IFERROR(VLOOKUP(C3290,'Clients List'!$A:$F,2,FALSE),"")</f>
        <v/>
      </c>
      <c r="F3290" s="1" t="str">
        <f>IF(OR(C3290="",NOT(ISNUMBER(SEARCH("Package",D3290)))),"",VLOOKUP(C3290,'Clients List'!$A:$F,4,FALSE)-SUMIFS($E$2:$E3290,$C$2:$C3290,C3290,$D$2:$D3290,"*Package*"))</f>
        <v/>
      </c>
      <c r="G3290" t="str">
        <f t="shared" si="84"/>
        <v/>
      </c>
      <c r="H3290" s="33">
        <f>IF(ISNUMBER(SEARCH("Group",D3290)),IF(G3290="",E3290,IFERROR(E3290/COUNTIF($G2:$G6000,G3290),E3290)),E3290)</f>
        <v>0</v>
      </c>
      <c r="I3290" s="1" t="str">
        <f>IFERROR(VLOOKUP(C3290,'Clients List'!A:F,6,FALSE),"")</f>
        <v/>
      </c>
    </row>
    <row r="3291" spans="4:9" x14ac:dyDescent="0.45">
      <c r="D3291" t="str">
        <f>IFERROR(VLOOKUP(C3291,'Clients List'!$A:$F,2,FALSE),"")</f>
        <v/>
      </c>
      <c r="F3291" s="1" t="str">
        <f>IF(OR(C3291="",NOT(ISNUMBER(SEARCH("Package",D3291)))),"",VLOOKUP(C3291,'Clients List'!$A:$F,4,FALSE)-SUMIFS($E$2:$E3291,$C$2:$C3291,C3291,$D$2:$D3291,"*Package*"))</f>
        <v/>
      </c>
      <c r="G3291" t="str">
        <f t="shared" si="84"/>
        <v/>
      </c>
      <c r="H3291" s="33">
        <f>IF(ISNUMBER(SEARCH("Group",D3291)),IF(G3291="",E3291,IFERROR(E3291/COUNTIF($G2:$G6000,G3291),E3291)),E3291)</f>
        <v>0</v>
      </c>
      <c r="I3291" s="1" t="str">
        <f>IFERROR(VLOOKUP(C3291,'Clients List'!A:F,6,FALSE),"")</f>
        <v/>
      </c>
    </row>
    <row r="3292" spans="4:9" x14ac:dyDescent="0.45">
      <c r="D3292" t="str">
        <f>IFERROR(VLOOKUP(C3292,'Clients List'!$A:$F,2,FALSE),"")</f>
        <v/>
      </c>
      <c r="F3292" s="1" t="str">
        <f>IF(OR(C3292="",NOT(ISNUMBER(SEARCH("Package",D3292)))),"",VLOOKUP(C3292,'Clients List'!$A:$F,4,FALSE)-SUMIFS($E$2:$E3292,$C$2:$C3292,C3292,$D$2:$D3292,"*Package*"))</f>
        <v/>
      </c>
      <c r="G3292" t="str">
        <f t="shared" si="84"/>
        <v/>
      </c>
      <c r="H3292" s="33">
        <f>IF(ISNUMBER(SEARCH("Group",D3292)),IF(G3292="",E3292,IFERROR(E3292/COUNTIF($G2:$G6000,G3292),E3292)),E3292)</f>
        <v>0</v>
      </c>
      <c r="I3292" s="1" t="str">
        <f>IFERROR(VLOOKUP(C3292,'Clients List'!A:F,6,FALSE),"")</f>
        <v/>
      </c>
    </row>
    <row r="3293" spans="4:9" x14ac:dyDescent="0.45">
      <c r="D3293" t="str">
        <f>IFERROR(VLOOKUP(C3293,'Clients List'!$A:$F,2,FALSE),"")</f>
        <v/>
      </c>
      <c r="F3293" s="1" t="str">
        <f>IF(OR(C3293="",NOT(ISNUMBER(SEARCH("Package",D3293)))),"",VLOOKUP(C3293,'Clients List'!$A:$F,4,FALSE)-SUMIFS($E$2:$E3293,$C$2:$C3293,C3293,$D$2:$D3293,"*Package*"))</f>
        <v/>
      </c>
      <c r="G3293" t="str">
        <f t="shared" si="84"/>
        <v/>
      </c>
      <c r="H3293" s="33">
        <f>IF(ISNUMBER(SEARCH("Group",D3293)),IF(G3293="",E3293,IFERROR(E3293/COUNTIF($G2:$G6000,G3293),E3293)),E3293)</f>
        <v>0</v>
      </c>
      <c r="I3293" s="1" t="str">
        <f>IFERROR(VLOOKUP(C3293,'Clients List'!A:F,6,FALSE),"")</f>
        <v/>
      </c>
    </row>
    <row r="3294" spans="4:9" x14ac:dyDescent="0.45">
      <c r="D3294" t="str">
        <f>IFERROR(VLOOKUP(C3294,'Clients List'!$A:$F,2,FALSE),"")</f>
        <v/>
      </c>
      <c r="F3294" s="1" t="str">
        <f>IF(OR(C3294="",NOT(ISNUMBER(SEARCH("Package",D3294)))),"",VLOOKUP(C3294,'Clients List'!$A:$F,4,FALSE)-SUMIFS($E$2:$E3294,$C$2:$C3294,C3294,$D$2:$D3294,"*Package*"))</f>
        <v/>
      </c>
      <c r="G3294" t="str">
        <f t="shared" si="84"/>
        <v/>
      </c>
      <c r="H3294" s="33">
        <f>IF(ISNUMBER(SEARCH("Group",D3294)),IF(G3294="",E3294,IFERROR(E3294/COUNTIF($G2:$G6000,G3294),E3294)),E3294)</f>
        <v>0</v>
      </c>
      <c r="I3294" s="1" t="str">
        <f>IFERROR(VLOOKUP(C3294,'Clients List'!A:F,6,FALSE),"")</f>
        <v/>
      </c>
    </row>
    <row r="3295" spans="4:9" x14ac:dyDescent="0.45">
      <c r="D3295" t="str">
        <f>IFERROR(VLOOKUP(C3295,'Clients List'!$A:$F,2,FALSE),"")</f>
        <v/>
      </c>
      <c r="F3295" s="1" t="str">
        <f>IF(OR(C3295="",NOT(ISNUMBER(SEARCH("Package",D3295)))),"",VLOOKUP(C3295,'Clients List'!$A:$F,4,FALSE)-SUMIFS($E$2:$E3295,$C$2:$C3295,C3295,$D$2:$D3295,"*Package*"))</f>
        <v/>
      </c>
      <c r="G3295" t="str">
        <f t="shared" si="84"/>
        <v/>
      </c>
      <c r="H3295" s="33">
        <f>IF(ISNUMBER(SEARCH("Group",D3295)),IF(G3295="",E3295,IFERROR(E3295/COUNTIF($G2:$G6000,G3295),E3295)),E3295)</f>
        <v>0</v>
      </c>
      <c r="I3295" s="1" t="str">
        <f>IFERROR(VLOOKUP(C3295,'Clients List'!A:F,6,FALSE),"")</f>
        <v/>
      </c>
    </row>
    <row r="3296" spans="4:9" x14ac:dyDescent="0.45">
      <c r="D3296" t="str">
        <f>IFERROR(VLOOKUP(C3296,'Clients List'!$A:$F,2,FALSE),"")</f>
        <v/>
      </c>
      <c r="F3296" s="1" t="str">
        <f>IF(OR(C3296="",NOT(ISNUMBER(SEARCH("Package",D3296)))),"",VLOOKUP(C3296,'Clients List'!$A:$F,4,FALSE)-SUMIFS($E$2:$E3296,$C$2:$C3296,C3296,$D$2:$D3296,"*Package*"))</f>
        <v/>
      </c>
      <c r="G3296" t="str">
        <f t="shared" si="84"/>
        <v/>
      </c>
      <c r="H3296" s="33">
        <f>IF(ISNUMBER(SEARCH("Group",D3296)),IF(G3296="",E3296,IFERROR(E3296/COUNTIF($G2:$G6000,G3296),E3296)),E3296)</f>
        <v>0</v>
      </c>
      <c r="I3296" s="1" t="str">
        <f>IFERROR(VLOOKUP(C3296,'Clients List'!A:F,6,FALSE),"")</f>
        <v/>
      </c>
    </row>
    <row r="3297" spans="4:9" x14ac:dyDescent="0.45">
      <c r="D3297" t="str">
        <f>IFERROR(VLOOKUP(C3297,'Clients List'!$A:$F,2,FALSE),"")</f>
        <v/>
      </c>
      <c r="F3297" s="1" t="str">
        <f>IF(OR(C3297="",NOT(ISNUMBER(SEARCH("Package",D3297)))),"",VLOOKUP(C3297,'Clients List'!$A:$F,4,FALSE)-SUMIFS($E$2:$E3297,$C$2:$C3297,C3297,$D$2:$D3297,"*Package*"))</f>
        <v/>
      </c>
      <c r="G3297" t="str">
        <f t="shared" si="84"/>
        <v/>
      </c>
      <c r="H3297" s="33">
        <f>IF(ISNUMBER(SEARCH("Group",D3297)),IF(G3297="",E3297,IFERROR(E3297/COUNTIF($G2:$G6000,G3297),E3297)),E3297)</f>
        <v>0</v>
      </c>
      <c r="I3297" s="1" t="str">
        <f>IFERROR(VLOOKUP(C3297,'Clients List'!A:F,6,FALSE),"")</f>
        <v/>
      </c>
    </row>
    <row r="3298" spans="4:9" x14ac:dyDescent="0.45">
      <c r="D3298" t="str">
        <f>IFERROR(VLOOKUP(C3298,'Clients List'!$A:$F,2,FALSE),"")</f>
        <v/>
      </c>
      <c r="F3298" s="1" t="str">
        <f>IF(OR(C3298="",NOT(ISNUMBER(SEARCH("Package",D3298)))),"",VLOOKUP(C3298,'Clients List'!$A:$F,4,FALSE)-SUMIFS($E$2:$E3298,$C$2:$C3298,C3298,$D$2:$D3298,"*Package*"))</f>
        <v/>
      </c>
      <c r="G3298" t="str">
        <f t="shared" si="84"/>
        <v/>
      </c>
      <c r="H3298" s="33">
        <f>IF(ISNUMBER(SEARCH("Group",D3298)),IF(G3298="",E3298,IFERROR(E3298/COUNTIF($G2:$G6000,G3298),E3298)),E3298)</f>
        <v>0</v>
      </c>
      <c r="I3298" s="1" t="str">
        <f>IFERROR(VLOOKUP(C3298,'Clients List'!A:F,6,FALSE),"")</f>
        <v/>
      </c>
    </row>
    <row r="3299" spans="4:9" x14ac:dyDescent="0.45">
      <c r="D3299" t="str">
        <f>IFERROR(VLOOKUP(C3299,'Clients List'!$A:$F,2,FALSE),"")</f>
        <v/>
      </c>
      <c r="F3299" s="1" t="str">
        <f>IF(OR(C3299="",NOT(ISNUMBER(SEARCH("Package",D3299)))),"",VLOOKUP(C3299,'Clients List'!$A:$F,4,FALSE)-SUMIFS($E$2:$E3299,$C$2:$C3299,C3299,$D$2:$D3299,"*Package*"))</f>
        <v/>
      </c>
      <c r="G3299" t="str">
        <f t="shared" si="84"/>
        <v/>
      </c>
      <c r="H3299" s="33">
        <f>IF(ISNUMBER(SEARCH("Group",D3299)),IF(G3299="",E3299,IFERROR(E3299/COUNTIF($G2:$G6000,G3299),E3299)),E3299)</f>
        <v>0</v>
      </c>
      <c r="I3299" s="1" t="str">
        <f>IFERROR(VLOOKUP(C3299,'Clients List'!A:F,6,FALSE),"")</f>
        <v/>
      </c>
    </row>
    <row r="3300" spans="4:9" x14ac:dyDescent="0.45">
      <c r="D3300" t="str">
        <f>IFERROR(VLOOKUP(C3300,'Clients List'!$A:$F,2,FALSE),"")</f>
        <v/>
      </c>
      <c r="F3300" s="1" t="str">
        <f>IF(OR(C3300="",NOT(ISNUMBER(SEARCH("Package",D3300)))),"",VLOOKUP(C3300,'Clients List'!$A:$F,4,FALSE)-SUMIFS($E$2:$E3300,$C$2:$C3300,C3300,$D$2:$D3300,"*Package*"))</f>
        <v/>
      </c>
      <c r="G3300" t="str">
        <f t="shared" si="84"/>
        <v/>
      </c>
      <c r="H3300" s="33">
        <f>IF(ISNUMBER(SEARCH("Group",D3300)),IF(G3300="",E3300,IFERROR(E3300/COUNTIF($G2:$G6000,G3300),E3300)),E3300)</f>
        <v>0</v>
      </c>
      <c r="I3300" s="1" t="str">
        <f>IFERROR(VLOOKUP(C3300,'Clients List'!A:F,6,FALSE),"")</f>
        <v/>
      </c>
    </row>
    <row r="3301" spans="4:9" x14ac:dyDescent="0.45">
      <c r="D3301" t="str">
        <f>IFERROR(VLOOKUP(C3301,'Clients List'!$A:$F,2,FALSE),"")</f>
        <v/>
      </c>
      <c r="F3301" s="1" t="str">
        <f>IF(OR(C3301="",NOT(ISNUMBER(SEARCH("Package",D3301)))),"",VLOOKUP(C3301,'Clients List'!$A:$F,4,FALSE)-SUMIFS($E$2:$E3301,$C$2:$C3301,C3301,$D$2:$D3301,"*Package*"))</f>
        <v/>
      </c>
      <c r="G3301" t="str">
        <f t="shared" si="84"/>
        <v/>
      </c>
      <c r="H3301" s="33">
        <f>IF(ISNUMBER(SEARCH("Group",D3301)),IF(G3301="",E3301,IFERROR(E3301/COUNTIF($G2:$G6000,G3301),E3301)),E3301)</f>
        <v>0</v>
      </c>
      <c r="I3301" s="1" t="str">
        <f>IFERROR(VLOOKUP(C3301,'Clients List'!A:F,6,FALSE),"")</f>
        <v/>
      </c>
    </row>
    <row r="3302" spans="4:9" x14ac:dyDescent="0.45">
      <c r="D3302" t="str">
        <f>IFERROR(VLOOKUP(C3302,'Clients List'!$A:$F,2,FALSE),"")</f>
        <v/>
      </c>
      <c r="F3302" s="1" t="str">
        <f>IF(OR(C3302="",NOT(ISNUMBER(SEARCH("Package",D3302)))),"",VLOOKUP(C3302,'Clients List'!$A:$F,4,FALSE)-SUMIFS($E$2:$E3302,$C$2:$C3302,C3302,$D$2:$D3302,"*Package*"))</f>
        <v/>
      </c>
      <c r="G3302" t="str">
        <f t="shared" si="84"/>
        <v/>
      </c>
      <c r="H3302" s="33">
        <f>IF(ISNUMBER(SEARCH("Group",D3302)),IF(G3302="",E3302,IFERROR(E3302/COUNTIF($G2:$G6000,G3302),E3302)),E3302)</f>
        <v>0</v>
      </c>
      <c r="I3302" s="1" t="str">
        <f>IFERROR(VLOOKUP(C3302,'Clients List'!A:F,6,FALSE),"")</f>
        <v/>
      </c>
    </row>
    <row r="3303" spans="4:9" x14ac:dyDescent="0.45">
      <c r="D3303" t="str">
        <f>IFERROR(VLOOKUP(C3303,'Clients List'!$A:$F,2,FALSE),"")</f>
        <v/>
      </c>
      <c r="F3303" s="1" t="str">
        <f>IF(OR(C3303="",NOT(ISNUMBER(SEARCH("Package",D3303)))),"",VLOOKUP(C3303,'Clients List'!$A:$F,4,FALSE)-SUMIFS($E$2:$E3303,$C$2:$C3303,C3303,$D$2:$D3303,"*Package*"))</f>
        <v/>
      </c>
      <c r="G3303" t="str">
        <f t="shared" si="84"/>
        <v/>
      </c>
      <c r="H3303" s="33">
        <f>IF(ISNUMBER(SEARCH("Group",D3303)),IF(G3303="",E3303,IFERROR(E3303/COUNTIF($G2:$G6000,G3303),E3303)),E3303)</f>
        <v>0</v>
      </c>
      <c r="I3303" s="1" t="str">
        <f>IFERROR(VLOOKUP(C3303,'Clients List'!A:F,6,FALSE),"")</f>
        <v/>
      </c>
    </row>
    <row r="3304" spans="4:9" x14ac:dyDescent="0.45">
      <c r="D3304" t="str">
        <f>IFERROR(VLOOKUP(C3304,'Clients List'!$A:$F,2,FALSE),"")</f>
        <v/>
      </c>
      <c r="F3304" s="1" t="str">
        <f>IF(OR(C3304="",NOT(ISNUMBER(SEARCH("Package",D3304)))),"",VLOOKUP(C3304,'Clients List'!$A:$F,4,FALSE)-SUMIFS($E$2:$E3304,$C$2:$C3304,C3304,$D$2:$D3304,"*Package*"))</f>
        <v/>
      </c>
      <c r="G3304" t="str">
        <f t="shared" si="84"/>
        <v/>
      </c>
      <c r="H3304" s="33">
        <f>IF(ISNUMBER(SEARCH("Group",D3304)),IF(G3304="",E3304,IFERROR(E3304/COUNTIF($G2:$G6000,G3304),E3304)),E3304)</f>
        <v>0</v>
      </c>
      <c r="I3304" s="1" t="str">
        <f>IFERROR(VLOOKUP(C3304,'Clients List'!A:F,6,FALSE),"")</f>
        <v/>
      </c>
    </row>
    <row r="3305" spans="4:9" x14ac:dyDescent="0.45">
      <c r="D3305" t="str">
        <f>IFERROR(VLOOKUP(C3305,'Clients List'!$A:$F,2,FALSE),"")</f>
        <v/>
      </c>
      <c r="F3305" s="1" t="str">
        <f>IF(OR(C3305="",NOT(ISNUMBER(SEARCH("Package",D3305)))),"",VLOOKUP(C3305,'Clients List'!$A:$F,4,FALSE)-SUMIFS($E$2:$E3305,$C$2:$C3305,C3305,$D$2:$D3305,"*Package*"))</f>
        <v/>
      </c>
      <c r="G3305" t="str">
        <f t="shared" si="84"/>
        <v/>
      </c>
      <c r="H3305" s="33">
        <f>IF(ISNUMBER(SEARCH("Group",D3305)),IF(G3305="",E3305,IFERROR(E3305/COUNTIF($G2:$G6000,G3305),E3305)),E3305)</f>
        <v>0</v>
      </c>
      <c r="I3305" s="1" t="str">
        <f>IFERROR(VLOOKUP(C3305,'Clients List'!A:F,6,FALSE),"")</f>
        <v/>
      </c>
    </row>
    <row r="3306" spans="4:9" x14ac:dyDescent="0.45">
      <c r="D3306" t="str">
        <f>IFERROR(VLOOKUP(C3306,'Clients List'!$A:$F,2,FALSE),"")</f>
        <v/>
      </c>
      <c r="F3306" s="1" t="str">
        <f>IF(OR(C3306="",NOT(ISNUMBER(SEARCH("Package",D3306)))),"",VLOOKUP(C3306,'Clients List'!$A:$F,4,FALSE)-SUMIFS($E$2:$E3306,$C$2:$C3306,C3306,$D$2:$D3306,"*Package*"))</f>
        <v/>
      </c>
      <c r="G3306" t="str">
        <f t="shared" si="84"/>
        <v/>
      </c>
      <c r="H3306" s="33">
        <f>IF(ISNUMBER(SEARCH("Group",D3306)),IF(G3306="",E3306,IFERROR(E3306/COUNTIF($G2:$G6000,G3306),E3306)),E3306)</f>
        <v>0</v>
      </c>
      <c r="I3306" s="1" t="str">
        <f>IFERROR(VLOOKUP(C3306,'Clients List'!A:F,6,FALSE),"")</f>
        <v/>
      </c>
    </row>
    <row r="3307" spans="4:9" x14ac:dyDescent="0.45">
      <c r="D3307" t="str">
        <f>IFERROR(VLOOKUP(C3307,'Clients List'!$A:$F,2,FALSE),"")</f>
        <v/>
      </c>
      <c r="F3307" s="1" t="str">
        <f>IF(OR(C3307="",NOT(ISNUMBER(SEARCH("Package",D3307)))),"",VLOOKUP(C3307,'Clients List'!$A:$F,4,FALSE)-SUMIFS($E$2:$E3307,$C$2:$C3307,C3307,$D$2:$D3307,"*Package*"))</f>
        <v/>
      </c>
      <c r="G3307" t="str">
        <f t="shared" si="84"/>
        <v/>
      </c>
      <c r="H3307" s="33">
        <f>IF(ISNUMBER(SEARCH("Group",D3307)),IF(G3307="",E3307,IFERROR(E3307/COUNTIF($G2:$G6000,G3307),E3307)),E3307)</f>
        <v>0</v>
      </c>
      <c r="I3307" s="1" t="str">
        <f>IFERROR(VLOOKUP(C3307,'Clients List'!A:F,6,FALSE),"")</f>
        <v/>
      </c>
    </row>
    <row r="3308" spans="4:9" x14ac:dyDescent="0.45">
      <c r="D3308" t="str">
        <f>IFERROR(VLOOKUP(C3308,'Clients List'!$A:$F,2,FALSE),"")</f>
        <v/>
      </c>
      <c r="F3308" s="1" t="str">
        <f>IF(OR(C3308="",NOT(ISNUMBER(SEARCH("Package",D3308)))),"",VLOOKUP(C3308,'Clients List'!$A:$F,4,FALSE)-SUMIFS($E$2:$E3308,$C$2:$C3308,C3308,$D$2:$D3308,"*Package*"))</f>
        <v/>
      </c>
      <c r="G3308" t="str">
        <f t="shared" si="84"/>
        <v/>
      </c>
      <c r="H3308" s="33">
        <f>IF(ISNUMBER(SEARCH("Group",D3308)),IF(G3308="",E3308,IFERROR(E3308/COUNTIF($G2:$G6000,G3308),E3308)),E3308)</f>
        <v>0</v>
      </c>
      <c r="I3308" s="1" t="str">
        <f>IFERROR(VLOOKUP(C3308,'Clients List'!A:F,6,FALSE),"")</f>
        <v/>
      </c>
    </row>
    <row r="3309" spans="4:9" x14ac:dyDescent="0.45">
      <c r="D3309" t="str">
        <f>IFERROR(VLOOKUP(C3309,'Clients List'!$A:$F,2,FALSE),"")</f>
        <v/>
      </c>
      <c r="F3309" s="1" t="str">
        <f>IF(OR(C3309="",NOT(ISNUMBER(SEARCH("Package",D3309)))),"",VLOOKUP(C3309,'Clients List'!$A:$F,4,FALSE)-SUMIFS($E$2:$E3309,$C$2:$C3309,C3309,$D$2:$D3309,"*Package*"))</f>
        <v/>
      </c>
      <c r="G3309" t="str">
        <f t="shared" si="84"/>
        <v/>
      </c>
      <c r="H3309" s="33">
        <f>IF(ISNUMBER(SEARCH("Group",D3309)),IF(G3309="",E3309,IFERROR(E3309/COUNTIF($G2:$G6000,G3309),E3309)),E3309)</f>
        <v>0</v>
      </c>
      <c r="I3309" s="1" t="str">
        <f>IFERROR(VLOOKUP(C3309,'Clients List'!A:F,6,FALSE),"")</f>
        <v/>
      </c>
    </row>
    <row r="3310" spans="4:9" x14ac:dyDescent="0.45">
      <c r="D3310" t="str">
        <f>IFERROR(VLOOKUP(C3310,'Clients List'!$A:$F,2,FALSE),"")</f>
        <v/>
      </c>
      <c r="F3310" s="1" t="str">
        <f>IF(OR(C3310="",NOT(ISNUMBER(SEARCH("Package",D3310)))),"",VLOOKUP(C3310,'Clients List'!$A:$F,4,FALSE)-SUMIFS($E$2:$E3310,$C$2:$C3310,C3310,$D$2:$D3310,"*Package*"))</f>
        <v/>
      </c>
      <c r="G3310" t="str">
        <f t="shared" si="84"/>
        <v/>
      </c>
      <c r="H3310" s="33">
        <f>IF(ISNUMBER(SEARCH("Group",D3310)),IF(G3310="",E3310,IFERROR(E3310/COUNTIF($G2:$G6000,G3310),E3310)),E3310)</f>
        <v>0</v>
      </c>
      <c r="I3310" s="1" t="str">
        <f>IFERROR(VLOOKUP(C3310,'Clients List'!A:F,6,FALSE),"")</f>
        <v/>
      </c>
    </row>
    <row r="3311" spans="4:9" x14ac:dyDescent="0.45">
      <c r="D3311" t="str">
        <f>IFERROR(VLOOKUP(C3311,'Clients List'!$A:$F,2,FALSE),"")</f>
        <v/>
      </c>
      <c r="F3311" s="1" t="str">
        <f>IF(OR(C3311="",NOT(ISNUMBER(SEARCH("Package",D3311)))),"",VLOOKUP(C3311,'Clients List'!$A:$F,4,FALSE)-SUMIFS($E$2:$E3311,$C$2:$C3311,C3311,$D$2:$D3311,"*Package*"))</f>
        <v/>
      </c>
      <c r="G3311" t="str">
        <f t="shared" si="84"/>
        <v/>
      </c>
      <c r="H3311" s="33">
        <f>IF(ISNUMBER(SEARCH("Group",D3311)),IF(G3311="",E3311,IFERROR(E3311/COUNTIF($G2:$G6000,G3311),E3311)),E3311)</f>
        <v>0</v>
      </c>
      <c r="I3311" s="1" t="str">
        <f>IFERROR(VLOOKUP(C3311,'Clients List'!A:F,6,FALSE),"")</f>
        <v/>
      </c>
    </row>
    <row r="3312" spans="4:9" x14ac:dyDescent="0.45">
      <c r="D3312" t="str">
        <f>IFERROR(VLOOKUP(C3312,'Clients List'!$A:$F,2,FALSE),"")</f>
        <v/>
      </c>
      <c r="F3312" s="1" t="str">
        <f>IF(OR(C3312="",NOT(ISNUMBER(SEARCH("Package",D3312)))),"",VLOOKUP(C3312,'Clients List'!$A:$F,4,FALSE)-SUMIFS($E$2:$E3312,$C$2:$C3312,C3312,$D$2:$D3312,"*Package*"))</f>
        <v/>
      </c>
      <c r="G3312" t="str">
        <f t="shared" si="84"/>
        <v/>
      </c>
      <c r="H3312" s="33">
        <f>IF(ISNUMBER(SEARCH("Group",D3312)),IF(G3312="",E3312,IFERROR(E3312/COUNTIF($G2:$G6000,G3312),E3312)),E3312)</f>
        <v>0</v>
      </c>
      <c r="I3312" s="1" t="str">
        <f>IFERROR(VLOOKUP(C3312,'Clients List'!A:F,6,FALSE),"")</f>
        <v/>
      </c>
    </row>
    <row r="3313" spans="4:9" x14ac:dyDescent="0.45">
      <c r="D3313" t="str">
        <f>IFERROR(VLOOKUP(C3313,'Clients List'!$A:$F,2,FALSE),"")</f>
        <v/>
      </c>
      <c r="F3313" s="1" t="str">
        <f>IF(OR(C3313="",NOT(ISNUMBER(SEARCH("Package",D3313)))),"",VLOOKUP(C3313,'Clients List'!$A:$F,4,FALSE)-SUMIFS($E$2:$E3313,$C$2:$C3313,C3313,$D$2:$D3313,"*Package*"))</f>
        <v/>
      </c>
      <c r="G3313" t="str">
        <f t="shared" si="84"/>
        <v/>
      </c>
      <c r="H3313" s="33">
        <f>IF(ISNUMBER(SEARCH("Group",D3313)),IF(G3313="",E3313,IFERROR(E3313/COUNTIF($G2:$G6000,G3313),E3313)),E3313)</f>
        <v>0</v>
      </c>
      <c r="I3313" s="1" t="str">
        <f>IFERROR(VLOOKUP(C3313,'Clients List'!A:F,6,FALSE),"")</f>
        <v/>
      </c>
    </row>
    <row r="3314" spans="4:9" x14ac:dyDescent="0.45">
      <c r="D3314" t="str">
        <f>IFERROR(VLOOKUP(C3314,'Clients List'!$A:$F,2,FALSE),"")</f>
        <v/>
      </c>
      <c r="F3314" s="1" t="str">
        <f>IF(OR(C3314="",NOT(ISNUMBER(SEARCH("Package",D3314)))),"",VLOOKUP(C3314,'Clients List'!$A:$F,4,FALSE)-SUMIFS($E$2:$E3314,$C$2:$C3314,C3314,$D$2:$D3314,"*Package*"))</f>
        <v/>
      </c>
      <c r="G3314" t="str">
        <f t="shared" si="84"/>
        <v/>
      </c>
      <c r="H3314" s="33">
        <f>IF(ISNUMBER(SEARCH("Group",D3314)),IF(G3314="",E3314,IFERROR(E3314/COUNTIF($G2:$G6000,G3314),E3314)),E3314)</f>
        <v>0</v>
      </c>
      <c r="I3314" s="1" t="str">
        <f>IFERROR(VLOOKUP(C3314,'Clients List'!A:F,6,FALSE),"")</f>
        <v/>
      </c>
    </row>
    <row r="3315" spans="4:9" x14ac:dyDescent="0.45">
      <c r="D3315" t="str">
        <f>IFERROR(VLOOKUP(C3315,'Clients List'!$A:$F,2,FALSE),"")</f>
        <v/>
      </c>
      <c r="F3315" s="1" t="str">
        <f>IF(OR(C3315="",NOT(ISNUMBER(SEARCH("Package",D3315)))),"",VLOOKUP(C3315,'Clients List'!$A:$F,4,FALSE)-SUMIFS($E$2:$E3315,$C$2:$C3315,C3315,$D$2:$D3315,"*Package*"))</f>
        <v/>
      </c>
      <c r="G3315" t="str">
        <f t="shared" si="84"/>
        <v/>
      </c>
      <c r="H3315" s="33">
        <f>IF(ISNUMBER(SEARCH("Group",D3315)),IF(G3315="",E3315,IFERROR(E3315/COUNTIF($G2:$G6000,G3315),E3315)),E3315)</f>
        <v>0</v>
      </c>
      <c r="I3315" s="1" t="str">
        <f>IFERROR(VLOOKUP(C3315,'Clients List'!A:F,6,FALSE),"")</f>
        <v/>
      </c>
    </row>
    <row r="3316" spans="4:9" x14ac:dyDescent="0.45">
      <c r="D3316" t="str">
        <f>IFERROR(VLOOKUP(C3316,'Clients List'!$A:$F,2,FALSE),"")</f>
        <v/>
      </c>
      <c r="F3316" s="1" t="str">
        <f>IF(OR(C3316="",NOT(ISNUMBER(SEARCH("Package",D3316)))),"",VLOOKUP(C3316,'Clients List'!$A:$F,4,FALSE)-SUMIFS($E$2:$E3316,$C$2:$C3316,C3316,$D$2:$D3316,"*Package*"))</f>
        <v/>
      </c>
      <c r="G3316" t="str">
        <f t="shared" si="84"/>
        <v/>
      </c>
      <c r="H3316" s="33">
        <f>IF(ISNUMBER(SEARCH("Group",D3316)),IF(G3316="",E3316,IFERROR(E3316/COUNTIF($G2:$G6000,G3316),E3316)),E3316)</f>
        <v>0</v>
      </c>
      <c r="I3316" s="1" t="str">
        <f>IFERROR(VLOOKUP(C3316,'Clients List'!A:F,6,FALSE),"")</f>
        <v/>
      </c>
    </row>
    <row r="3317" spans="4:9" x14ac:dyDescent="0.45">
      <c r="D3317" t="str">
        <f>IFERROR(VLOOKUP(C3317,'Clients List'!$A:$F,2,FALSE),"")</f>
        <v/>
      </c>
      <c r="F3317" s="1" t="str">
        <f>IF(OR(C3317="",NOT(ISNUMBER(SEARCH("Package",D3317)))),"",VLOOKUP(C3317,'Clients List'!$A:$F,4,FALSE)-SUMIFS($E$2:$E3317,$C$2:$C3317,C3317,$D$2:$D3317,"*Package*"))</f>
        <v/>
      </c>
      <c r="G3317" t="str">
        <f t="shared" ref="G3317:G3380" si="85">IF(ISNUMBER(SEARCH("Group",D3317)),IFERROR("GRP-"&amp;TEXT(IF(ISNUMBER(A3317),A3317,DATEVALUE(A3317)),"yyyymmdd"),""),"" )</f>
        <v/>
      </c>
      <c r="H3317" s="33">
        <f>IF(ISNUMBER(SEARCH("Group",D3317)),IF(G3317="",E3317,IFERROR(E3317/COUNTIF($G2:$G6000,G3317),E3317)),E3317)</f>
        <v>0</v>
      </c>
      <c r="I3317" s="1" t="str">
        <f>IFERROR(VLOOKUP(C3317,'Clients List'!A:F,6,FALSE),"")</f>
        <v/>
      </c>
    </row>
    <row r="3318" spans="4:9" x14ac:dyDescent="0.45">
      <c r="D3318" t="str">
        <f>IFERROR(VLOOKUP(C3318,'Clients List'!$A:$F,2,FALSE),"")</f>
        <v/>
      </c>
      <c r="F3318" s="1" t="str">
        <f>IF(OR(C3318="",NOT(ISNUMBER(SEARCH("Package",D3318)))),"",VLOOKUP(C3318,'Clients List'!$A:$F,4,FALSE)-SUMIFS($E$2:$E3318,$C$2:$C3318,C3318,$D$2:$D3318,"*Package*"))</f>
        <v/>
      </c>
      <c r="G3318" t="str">
        <f t="shared" si="85"/>
        <v/>
      </c>
      <c r="H3318" s="33">
        <f>IF(ISNUMBER(SEARCH("Group",D3318)),IF(G3318="",E3318,IFERROR(E3318/COUNTIF($G2:$G6000,G3318),E3318)),E3318)</f>
        <v>0</v>
      </c>
      <c r="I3318" s="1" t="str">
        <f>IFERROR(VLOOKUP(C3318,'Clients List'!A:F,6,FALSE),"")</f>
        <v/>
      </c>
    </row>
    <row r="3319" spans="4:9" x14ac:dyDescent="0.45">
      <c r="D3319" t="str">
        <f>IFERROR(VLOOKUP(C3319,'Clients List'!$A:$F,2,FALSE),"")</f>
        <v/>
      </c>
      <c r="F3319" s="1" t="str">
        <f>IF(OR(C3319="",NOT(ISNUMBER(SEARCH("Package",D3319)))),"",VLOOKUP(C3319,'Clients List'!$A:$F,4,FALSE)-SUMIFS($E$2:$E3319,$C$2:$C3319,C3319,$D$2:$D3319,"*Package*"))</f>
        <v/>
      </c>
      <c r="G3319" t="str">
        <f t="shared" si="85"/>
        <v/>
      </c>
      <c r="H3319" s="33">
        <f>IF(ISNUMBER(SEARCH("Group",D3319)),IF(G3319="",E3319,IFERROR(E3319/COUNTIF($G2:$G6000,G3319),E3319)),E3319)</f>
        <v>0</v>
      </c>
      <c r="I3319" s="1" t="str">
        <f>IFERROR(VLOOKUP(C3319,'Clients List'!A:F,6,FALSE),"")</f>
        <v/>
      </c>
    </row>
    <row r="3320" spans="4:9" x14ac:dyDescent="0.45">
      <c r="D3320" t="str">
        <f>IFERROR(VLOOKUP(C3320,'Clients List'!$A:$F,2,FALSE),"")</f>
        <v/>
      </c>
      <c r="F3320" s="1" t="str">
        <f>IF(OR(C3320="",NOT(ISNUMBER(SEARCH("Package",D3320)))),"",VLOOKUP(C3320,'Clients List'!$A:$F,4,FALSE)-SUMIFS($E$2:$E3320,$C$2:$C3320,C3320,$D$2:$D3320,"*Package*"))</f>
        <v/>
      </c>
      <c r="G3320" t="str">
        <f t="shared" si="85"/>
        <v/>
      </c>
      <c r="H3320" s="33">
        <f>IF(ISNUMBER(SEARCH("Group",D3320)),IF(G3320="",E3320,IFERROR(E3320/COUNTIF($G2:$G6000,G3320),E3320)),E3320)</f>
        <v>0</v>
      </c>
      <c r="I3320" s="1" t="str">
        <f>IFERROR(VLOOKUP(C3320,'Clients List'!A:F,6,FALSE),"")</f>
        <v/>
      </c>
    </row>
    <row r="3321" spans="4:9" x14ac:dyDescent="0.45">
      <c r="D3321" t="str">
        <f>IFERROR(VLOOKUP(C3321,'Clients List'!$A:$F,2,FALSE),"")</f>
        <v/>
      </c>
      <c r="F3321" s="1" t="str">
        <f>IF(OR(C3321="",NOT(ISNUMBER(SEARCH("Package",D3321)))),"",VLOOKUP(C3321,'Clients List'!$A:$F,4,FALSE)-SUMIFS($E$2:$E3321,$C$2:$C3321,C3321,$D$2:$D3321,"*Package*"))</f>
        <v/>
      </c>
      <c r="G3321" t="str">
        <f t="shared" si="85"/>
        <v/>
      </c>
      <c r="H3321" s="33">
        <f>IF(ISNUMBER(SEARCH("Group",D3321)),IF(G3321="",E3321,IFERROR(E3321/COUNTIF($G2:$G6000,G3321),E3321)),E3321)</f>
        <v>0</v>
      </c>
      <c r="I3321" s="1" t="str">
        <f>IFERROR(VLOOKUP(C3321,'Clients List'!A:F,6,FALSE),"")</f>
        <v/>
      </c>
    </row>
    <row r="3322" spans="4:9" x14ac:dyDescent="0.45">
      <c r="D3322" t="str">
        <f>IFERROR(VLOOKUP(C3322,'Clients List'!$A:$F,2,FALSE),"")</f>
        <v/>
      </c>
      <c r="F3322" s="1" t="str">
        <f>IF(OR(C3322="",NOT(ISNUMBER(SEARCH("Package",D3322)))),"",VLOOKUP(C3322,'Clients List'!$A:$F,4,FALSE)-SUMIFS($E$2:$E3322,$C$2:$C3322,C3322,$D$2:$D3322,"*Package*"))</f>
        <v/>
      </c>
      <c r="G3322" t="str">
        <f t="shared" si="85"/>
        <v/>
      </c>
      <c r="H3322" s="33">
        <f>IF(ISNUMBER(SEARCH("Group",D3322)),IF(G3322="",E3322,IFERROR(E3322/COUNTIF($G2:$G6000,G3322),E3322)),E3322)</f>
        <v>0</v>
      </c>
      <c r="I3322" s="1" t="str">
        <f>IFERROR(VLOOKUP(C3322,'Clients List'!A:F,6,FALSE),"")</f>
        <v/>
      </c>
    </row>
    <row r="3323" spans="4:9" x14ac:dyDescent="0.45">
      <c r="D3323" t="str">
        <f>IFERROR(VLOOKUP(C3323,'Clients List'!$A:$F,2,FALSE),"")</f>
        <v/>
      </c>
      <c r="F3323" s="1" t="str">
        <f>IF(OR(C3323="",NOT(ISNUMBER(SEARCH("Package",D3323)))),"",VLOOKUP(C3323,'Clients List'!$A:$F,4,FALSE)-SUMIFS($E$2:$E3323,$C$2:$C3323,C3323,$D$2:$D3323,"*Package*"))</f>
        <v/>
      </c>
      <c r="G3323" t="str">
        <f t="shared" si="85"/>
        <v/>
      </c>
      <c r="H3323" s="33">
        <f>IF(ISNUMBER(SEARCH("Group",D3323)),IF(G3323="",E3323,IFERROR(E3323/COUNTIF($G2:$G6000,G3323),E3323)),E3323)</f>
        <v>0</v>
      </c>
      <c r="I3323" s="1" t="str">
        <f>IFERROR(VLOOKUP(C3323,'Clients List'!A:F,6,FALSE),"")</f>
        <v/>
      </c>
    </row>
    <row r="3324" spans="4:9" x14ac:dyDescent="0.45">
      <c r="D3324" t="str">
        <f>IFERROR(VLOOKUP(C3324,'Clients List'!$A:$F,2,FALSE),"")</f>
        <v/>
      </c>
      <c r="F3324" s="1" t="str">
        <f>IF(OR(C3324="",NOT(ISNUMBER(SEARCH("Package",D3324)))),"",VLOOKUP(C3324,'Clients List'!$A:$F,4,FALSE)-SUMIFS($E$2:$E3324,$C$2:$C3324,C3324,$D$2:$D3324,"*Package*"))</f>
        <v/>
      </c>
      <c r="G3324" t="str">
        <f t="shared" si="85"/>
        <v/>
      </c>
      <c r="H3324" s="33">
        <f>IF(ISNUMBER(SEARCH("Group",D3324)),IF(G3324="",E3324,IFERROR(E3324/COUNTIF($G2:$G6000,G3324),E3324)),E3324)</f>
        <v>0</v>
      </c>
      <c r="I3324" s="1" t="str">
        <f>IFERROR(VLOOKUP(C3324,'Clients List'!A:F,6,FALSE),"")</f>
        <v/>
      </c>
    </row>
    <row r="3325" spans="4:9" x14ac:dyDescent="0.45">
      <c r="D3325" t="str">
        <f>IFERROR(VLOOKUP(C3325,'Clients List'!$A:$F,2,FALSE),"")</f>
        <v/>
      </c>
      <c r="F3325" s="1" t="str">
        <f>IF(OR(C3325="",NOT(ISNUMBER(SEARCH("Package",D3325)))),"",VLOOKUP(C3325,'Clients List'!$A:$F,4,FALSE)-SUMIFS($E$2:$E3325,$C$2:$C3325,C3325,$D$2:$D3325,"*Package*"))</f>
        <v/>
      </c>
      <c r="G3325" t="str">
        <f t="shared" si="85"/>
        <v/>
      </c>
      <c r="H3325" s="33">
        <f>IF(ISNUMBER(SEARCH("Group",D3325)),IF(G3325="",E3325,IFERROR(E3325/COUNTIF($G2:$G6000,G3325),E3325)),E3325)</f>
        <v>0</v>
      </c>
      <c r="I3325" s="1" t="str">
        <f>IFERROR(VLOOKUP(C3325,'Clients List'!A:F,6,FALSE),"")</f>
        <v/>
      </c>
    </row>
    <row r="3326" spans="4:9" x14ac:dyDescent="0.45">
      <c r="D3326" t="str">
        <f>IFERROR(VLOOKUP(C3326,'Clients List'!$A:$F,2,FALSE),"")</f>
        <v/>
      </c>
      <c r="F3326" s="1" t="str">
        <f>IF(OR(C3326="",NOT(ISNUMBER(SEARCH("Package",D3326)))),"",VLOOKUP(C3326,'Clients List'!$A:$F,4,FALSE)-SUMIFS($E$2:$E3326,$C$2:$C3326,C3326,$D$2:$D3326,"*Package*"))</f>
        <v/>
      </c>
      <c r="G3326" t="str">
        <f t="shared" si="85"/>
        <v/>
      </c>
      <c r="H3326" s="33">
        <f>IF(ISNUMBER(SEARCH("Group",D3326)),IF(G3326="",E3326,IFERROR(E3326/COUNTIF($G2:$G6000,G3326),E3326)),E3326)</f>
        <v>0</v>
      </c>
      <c r="I3326" s="1" t="str">
        <f>IFERROR(VLOOKUP(C3326,'Clients List'!A:F,6,FALSE),"")</f>
        <v/>
      </c>
    </row>
    <row r="3327" spans="4:9" x14ac:dyDescent="0.45">
      <c r="D3327" t="str">
        <f>IFERROR(VLOOKUP(C3327,'Clients List'!$A:$F,2,FALSE),"")</f>
        <v/>
      </c>
      <c r="F3327" s="1" t="str">
        <f>IF(OR(C3327="",NOT(ISNUMBER(SEARCH("Package",D3327)))),"",VLOOKUP(C3327,'Clients List'!$A:$F,4,FALSE)-SUMIFS($E$2:$E3327,$C$2:$C3327,C3327,$D$2:$D3327,"*Package*"))</f>
        <v/>
      </c>
      <c r="G3327" t="str">
        <f t="shared" si="85"/>
        <v/>
      </c>
      <c r="H3327" s="33">
        <f>IF(ISNUMBER(SEARCH("Group",D3327)),IF(G3327="",E3327,IFERROR(E3327/COUNTIF($G2:$G6000,G3327),E3327)),E3327)</f>
        <v>0</v>
      </c>
      <c r="I3327" s="1" t="str">
        <f>IFERROR(VLOOKUP(C3327,'Clients List'!A:F,6,FALSE),"")</f>
        <v/>
      </c>
    </row>
    <row r="3328" spans="4:9" x14ac:dyDescent="0.45">
      <c r="D3328" t="str">
        <f>IFERROR(VLOOKUP(C3328,'Clients List'!$A:$F,2,FALSE),"")</f>
        <v/>
      </c>
      <c r="F3328" s="1" t="str">
        <f>IF(OR(C3328="",NOT(ISNUMBER(SEARCH("Package",D3328)))),"",VLOOKUP(C3328,'Clients List'!$A:$F,4,FALSE)-SUMIFS($E$2:$E3328,$C$2:$C3328,C3328,$D$2:$D3328,"*Package*"))</f>
        <v/>
      </c>
      <c r="G3328" t="str">
        <f t="shared" si="85"/>
        <v/>
      </c>
      <c r="H3328" s="33">
        <f>IF(ISNUMBER(SEARCH("Group",D3328)),IF(G3328="",E3328,IFERROR(E3328/COUNTIF($G2:$G6000,G3328),E3328)),E3328)</f>
        <v>0</v>
      </c>
      <c r="I3328" s="1" t="str">
        <f>IFERROR(VLOOKUP(C3328,'Clients List'!A:F,6,FALSE),"")</f>
        <v/>
      </c>
    </row>
    <row r="3329" spans="4:9" x14ac:dyDescent="0.45">
      <c r="D3329" t="str">
        <f>IFERROR(VLOOKUP(C3329,'Clients List'!$A:$F,2,FALSE),"")</f>
        <v/>
      </c>
      <c r="F3329" s="1" t="str">
        <f>IF(OR(C3329="",NOT(ISNUMBER(SEARCH("Package",D3329)))),"",VLOOKUP(C3329,'Clients List'!$A:$F,4,FALSE)-SUMIFS($E$2:$E3329,$C$2:$C3329,C3329,$D$2:$D3329,"*Package*"))</f>
        <v/>
      </c>
      <c r="G3329" t="str">
        <f t="shared" si="85"/>
        <v/>
      </c>
      <c r="H3329" s="33">
        <f>IF(ISNUMBER(SEARCH("Group",D3329)),IF(G3329="",E3329,IFERROR(E3329/COUNTIF($G2:$G6000,G3329),E3329)),E3329)</f>
        <v>0</v>
      </c>
      <c r="I3329" s="1" t="str">
        <f>IFERROR(VLOOKUP(C3329,'Clients List'!A:F,6,FALSE),"")</f>
        <v/>
      </c>
    </row>
    <row r="3330" spans="4:9" x14ac:dyDescent="0.45">
      <c r="D3330" t="str">
        <f>IFERROR(VLOOKUP(C3330,'Clients List'!$A:$F,2,FALSE),"")</f>
        <v/>
      </c>
      <c r="F3330" s="1" t="str">
        <f>IF(OR(C3330="",NOT(ISNUMBER(SEARCH("Package",D3330)))),"",VLOOKUP(C3330,'Clients List'!$A:$F,4,FALSE)-SUMIFS($E$2:$E3330,$C$2:$C3330,C3330,$D$2:$D3330,"*Package*"))</f>
        <v/>
      </c>
      <c r="G3330" t="str">
        <f t="shared" si="85"/>
        <v/>
      </c>
      <c r="H3330" s="33">
        <f>IF(ISNUMBER(SEARCH("Group",D3330)),IF(G3330="",E3330,IFERROR(E3330/COUNTIF($G2:$G6000,G3330),E3330)),E3330)</f>
        <v>0</v>
      </c>
      <c r="I3330" s="1" t="str">
        <f>IFERROR(VLOOKUP(C3330,'Clients List'!A:F,6,FALSE),"")</f>
        <v/>
      </c>
    </row>
    <row r="3331" spans="4:9" x14ac:dyDescent="0.45">
      <c r="D3331" t="str">
        <f>IFERROR(VLOOKUP(C3331,'Clients List'!$A:$F,2,FALSE),"")</f>
        <v/>
      </c>
      <c r="F3331" s="1" t="str">
        <f>IF(OR(C3331="",NOT(ISNUMBER(SEARCH("Package",D3331)))),"",VLOOKUP(C3331,'Clients List'!$A:$F,4,FALSE)-SUMIFS($E$2:$E3331,$C$2:$C3331,C3331,$D$2:$D3331,"*Package*"))</f>
        <v/>
      </c>
      <c r="G3331" t="str">
        <f t="shared" si="85"/>
        <v/>
      </c>
      <c r="H3331" s="33">
        <f>IF(ISNUMBER(SEARCH("Group",D3331)),IF(G3331="",E3331,IFERROR(E3331/COUNTIF($G2:$G6000,G3331),E3331)),E3331)</f>
        <v>0</v>
      </c>
      <c r="I3331" s="1" t="str">
        <f>IFERROR(VLOOKUP(C3331,'Clients List'!A:F,6,FALSE),"")</f>
        <v/>
      </c>
    </row>
    <row r="3332" spans="4:9" x14ac:dyDescent="0.45">
      <c r="D3332" t="str">
        <f>IFERROR(VLOOKUP(C3332,'Clients List'!$A:$F,2,FALSE),"")</f>
        <v/>
      </c>
      <c r="F3332" s="1" t="str">
        <f>IF(OR(C3332="",NOT(ISNUMBER(SEARCH("Package",D3332)))),"",VLOOKUP(C3332,'Clients List'!$A:$F,4,FALSE)-SUMIFS($E$2:$E3332,$C$2:$C3332,C3332,$D$2:$D3332,"*Package*"))</f>
        <v/>
      </c>
      <c r="G3332" t="str">
        <f t="shared" si="85"/>
        <v/>
      </c>
      <c r="H3332" s="33">
        <f>IF(ISNUMBER(SEARCH("Group",D3332)),IF(G3332="",E3332,IFERROR(E3332/COUNTIF($G2:$G6000,G3332),E3332)),E3332)</f>
        <v>0</v>
      </c>
      <c r="I3332" s="1" t="str">
        <f>IFERROR(VLOOKUP(C3332,'Clients List'!A:F,6,FALSE),"")</f>
        <v/>
      </c>
    </row>
    <row r="3333" spans="4:9" x14ac:dyDescent="0.45">
      <c r="D3333" t="str">
        <f>IFERROR(VLOOKUP(C3333,'Clients List'!$A:$F,2,FALSE),"")</f>
        <v/>
      </c>
      <c r="F3333" s="1" t="str">
        <f>IF(OR(C3333="",NOT(ISNUMBER(SEARCH("Package",D3333)))),"",VLOOKUP(C3333,'Clients List'!$A:$F,4,FALSE)-SUMIFS($E$2:$E3333,$C$2:$C3333,C3333,$D$2:$D3333,"*Package*"))</f>
        <v/>
      </c>
      <c r="G3333" t="str">
        <f t="shared" si="85"/>
        <v/>
      </c>
      <c r="H3333" s="33">
        <f>IF(ISNUMBER(SEARCH("Group",D3333)),IF(G3333="",E3333,IFERROR(E3333/COUNTIF($G2:$G6000,G3333),E3333)),E3333)</f>
        <v>0</v>
      </c>
      <c r="I3333" s="1" t="str">
        <f>IFERROR(VLOOKUP(C3333,'Clients List'!A:F,6,FALSE),"")</f>
        <v/>
      </c>
    </row>
    <row r="3334" spans="4:9" x14ac:dyDescent="0.45">
      <c r="D3334" t="str">
        <f>IFERROR(VLOOKUP(C3334,'Clients List'!$A:$F,2,FALSE),"")</f>
        <v/>
      </c>
      <c r="F3334" s="1" t="str">
        <f>IF(OR(C3334="",NOT(ISNUMBER(SEARCH("Package",D3334)))),"",VLOOKUP(C3334,'Clients List'!$A:$F,4,FALSE)-SUMIFS($E$2:$E3334,$C$2:$C3334,C3334,$D$2:$D3334,"*Package*"))</f>
        <v/>
      </c>
      <c r="G3334" t="str">
        <f t="shared" si="85"/>
        <v/>
      </c>
      <c r="H3334" s="33">
        <f>IF(ISNUMBER(SEARCH("Group",D3334)),IF(G3334="",E3334,IFERROR(E3334/COUNTIF($G2:$G6000,G3334),E3334)),E3334)</f>
        <v>0</v>
      </c>
      <c r="I3334" s="1" t="str">
        <f>IFERROR(VLOOKUP(C3334,'Clients List'!A:F,6,FALSE),"")</f>
        <v/>
      </c>
    </row>
    <row r="3335" spans="4:9" x14ac:dyDescent="0.45">
      <c r="D3335" t="str">
        <f>IFERROR(VLOOKUP(C3335,'Clients List'!$A:$F,2,FALSE),"")</f>
        <v/>
      </c>
      <c r="F3335" s="1" t="str">
        <f>IF(OR(C3335="",NOT(ISNUMBER(SEARCH("Package",D3335)))),"",VLOOKUP(C3335,'Clients List'!$A:$F,4,FALSE)-SUMIFS($E$2:$E3335,$C$2:$C3335,C3335,$D$2:$D3335,"*Package*"))</f>
        <v/>
      </c>
      <c r="G3335" t="str">
        <f t="shared" si="85"/>
        <v/>
      </c>
      <c r="H3335" s="33">
        <f>IF(ISNUMBER(SEARCH("Group",D3335)),IF(G3335="",E3335,IFERROR(E3335/COUNTIF($G2:$G6000,G3335),E3335)),E3335)</f>
        <v>0</v>
      </c>
      <c r="I3335" s="1" t="str">
        <f>IFERROR(VLOOKUP(C3335,'Clients List'!A:F,6,FALSE),"")</f>
        <v/>
      </c>
    </row>
    <row r="3336" spans="4:9" x14ac:dyDescent="0.45">
      <c r="D3336" t="str">
        <f>IFERROR(VLOOKUP(C3336,'Clients List'!$A:$F,2,FALSE),"")</f>
        <v/>
      </c>
      <c r="F3336" s="1" t="str">
        <f>IF(OR(C3336="",NOT(ISNUMBER(SEARCH("Package",D3336)))),"",VLOOKUP(C3336,'Clients List'!$A:$F,4,FALSE)-SUMIFS($E$2:$E3336,$C$2:$C3336,C3336,$D$2:$D3336,"*Package*"))</f>
        <v/>
      </c>
      <c r="G3336" t="str">
        <f t="shared" si="85"/>
        <v/>
      </c>
      <c r="H3336" s="33">
        <f>IF(ISNUMBER(SEARCH("Group",D3336)),IF(G3336="",E3336,IFERROR(E3336/COUNTIF($G2:$G6000,G3336),E3336)),E3336)</f>
        <v>0</v>
      </c>
      <c r="I3336" s="1" t="str">
        <f>IFERROR(VLOOKUP(C3336,'Clients List'!A:F,6,FALSE),"")</f>
        <v/>
      </c>
    </row>
    <row r="3337" spans="4:9" x14ac:dyDescent="0.45">
      <c r="D3337" t="str">
        <f>IFERROR(VLOOKUP(C3337,'Clients List'!$A:$F,2,FALSE),"")</f>
        <v/>
      </c>
      <c r="F3337" s="1" t="str">
        <f>IF(OR(C3337="",NOT(ISNUMBER(SEARCH("Package",D3337)))),"",VLOOKUP(C3337,'Clients List'!$A:$F,4,FALSE)-SUMIFS($E$2:$E3337,$C$2:$C3337,C3337,$D$2:$D3337,"*Package*"))</f>
        <v/>
      </c>
      <c r="G3337" t="str">
        <f t="shared" si="85"/>
        <v/>
      </c>
      <c r="H3337" s="33">
        <f>IF(ISNUMBER(SEARCH("Group",D3337)),IF(G3337="",E3337,IFERROR(E3337/COUNTIF($G2:$G6000,G3337),E3337)),E3337)</f>
        <v>0</v>
      </c>
      <c r="I3337" s="1" t="str">
        <f>IFERROR(VLOOKUP(C3337,'Clients List'!A:F,6,FALSE),"")</f>
        <v/>
      </c>
    </row>
    <row r="3338" spans="4:9" x14ac:dyDescent="0.45">
      <c r="D3338" t="str">
        <f>IFERROR(VLOOKUP(C3338,'Clients List'!$A:$F,2,FALSE),"")</f>
        <v/>
      </c>
      <c r="F3338" s="1" t="str">
        <f>IF(OR(C3338="",NOT(ISNUMBER(SEARCH("Package",D3338)))),"",VLOOKUP(C3338,'Clients List'!$A:$F,4,FALSE)-SUMIFS($E$2:$E3338,$C$2:$C3338,C3338,$D$2:$D3338,"*Package*"))</f>
        <v/>
      </c>
      <c r="G3338" t="str">
        <f t="shared" si="85"/>
        <v/>
      </c>
      <c r="H3338" s="33">
        <f>IF(ISNUMBER(SEARCH("Group",D3338)),IF(G3338="",E3338,IFERROR(E3338/COUNTIF($G2:$G6000,G3338),E3338)),E3338)</f>
        <v>0</v>
      </c>
      <c r="I3338" s="1" t="str">
        <f>IFERROR(VLOOKUP(C3338,'Clients List'!A:F,6,FALSE),"")</f>
        <v/>
      </c>
    </row>
    <row r="3339" spans="4:9" x14ac:dyDescent="0.45">
      <c r="D3339" t="str">
        <f>IFERROR(VLOOKUP(C3339,'Clients List'!$A:$F,2,FALSE),"")</f>
        <v/>
      </c>
      <c r="F3339" s="1" t="str">
        <f>IF(OR(C3339="",NOT(ISNUMBER(SEARCH("Package",D3339)))),"",VLOOKUP(C3339,'Clients List'!$A:$F,4,FALSE)-SUMIFS($E$2:$E3339,$C$2:$C3339,C3339,$D$2:$D3339,"*Package*"))</f>
        <v/>
      </c>
      <c r="G3339" t="str">
        <f t="shared" si="85"/>
        <v/>
      </c>
      <c r="H3339" s="33">
        <f>IF(ISNUMBER(SEARCH("Group",D3339)),IF(G3339="",E3339,IFERROR(E3339/COUNTIF($G2:$G6000,G3339),E3339)),E3339)</f>
        <v>0</v>
      </c>
      <c r="I3339" s="1" t="str">
        <f>IFERROR(VLOOKUP(C3339,'Clients List'!A:F,6,FALSE),"")</f>
        <v/>
      </c>
    </row>
    <row r="3340" spans="4:9" x14ac:dyDescent="0.45">
      <c r="D3340" t="str">
        <f>IFERROR(VLOOKUP(C3340,'Clients List'!$A:$F,2,FALSE),"")</f>
        <v/>
      </c>
      <c r="F3340" s="1" t="str">
        <f>IF(OR(C3340="",NOT(ISNUMBER(SEARCH("Package",D3340)))),"",VLOOKUP(C3340,'Clients List'!$A:$F,4,FALSE)-SUMIFS($E$2:$E3340,$C$2:$C3340,C3340,$D$2:$D3340,"*Package*"))</f>
        <v/>
      </c>
      <c r="G3340" t="str">
        <f t="shared" si="85"/>
        <v/>
      </c>
      <c r="H3340" s="33">
        <f>IF(ISNUMBER(SEARCH("Group",D3340)),IF(G3340="",E3340,IFERROR(E3340/COUNTIF($G2:$G6000,G3340),E3340)),E3340)</f>
        <v>0</v>
      </c>
      <c r="I3340" s="1" t="str">
        <f>IFERROR(VLOOKUP(C3340,'Clients List'!A:F,6,FALSE),"")</f>
        <v/>
      </c>
    </row>
    <row r="3341" spans="4:9" x14ac:dyDescent="0.45">
      <c r="D3341" t="str">
        <f>IFERROR(VLOOKUP(C3341,'Clients List'!$A:$F,2,FALSE),"")</f>
        <v/>
      </c>
      <c r="F3341" s="1" t="str">
        <f>IF(OR(C3341="",NOT(ISNUMBER(SEARCH("Package",D3341)))),"",VLOOKUP(C3341,'Clients List'!$A:$F,4,FALSE)-SUMIFS($E$2:$E3341,$C$2:$C3341,C3341,$D$2:$D3341,"*Package*"))</f>
        <v/>
      </c>
      <c r="G3341" t="str">
        <f t="shared" si="85"/>
        <v/>
      </c>
      <c r="H3341" s="33">
        <f>IF(ISNUMBER(SEARCH("Group",D3341)),IF(G3341="",E3341,IFERROR(E3341/COUNTIF($G2:$G6000,G3341),E3341)),E3341)</f>
        <v>0</v>
      </c>
      <c r="I3341" s="1" t="str">
        <f>IFERROR(VLOOKUP(C3341,'Clients List'!A:F,6,FALSE),"")</f>
        <v/>
      </c>
    </row>
    <row r="3342" spans="4:9" x14ac:dyDescent="0.45">
      <c r="D3342" t="str">
        <f>IFERROR(VLOOKUP(C3342,'Clients List'!$A:$F,2,FALSE),"")</f>
        <v/>
      </c>
      <c r="F3342" s="1" t="str">
        <f>IF(OR(C3342="",NOT(ISNUMBER(SEARCH("Package",D3342)))),"",VLOOKUP(C3342,'Clients List'!$A:$F,4,FALSE)-SUMIFS($E$2:$E3342,$C$2:$C3342,C3342,$D$2:$D3342,"*Package*"))</f>
        <v/>
      </c>
      <c r="G3342" t="str">
        <f t="shared" si="85"/>
        <v/>
      </c>
      <c r="H3342" s="33">
        <f>IF(ISNUMBER(SEARCH("Group",D3342)),IF(G3342="",E3342,IFERROR(E3342/COUNTIF($G2:$G6000,G3342),E3342)),E3342)</f>
        <v>0</v>
      </c>
      <c r="I3342" s="1" t="str">
        <f>IFERROR(VLOOKUP(C3342,'Clients List'!A:F,6,FALSE),"")</f>
        <v/>
      </c>
    </row>
    <row r="3343" spans="4:9" x14ac:dyDescent="0.45">
      <c r="D3343" t="str">
        <f>IFERROR(VLOOKUP(C3343,'Clients List'!$A:$F,2,FALSE),"")</f>
        <v/>
      </c>
      <c r="F3343" s="1" t="str">
        <f>IF(OR(C3343="",NOT(ISNUMBER(SEARCH("Package",D3343)))),"",VLOOKUP(C3343,'Clients List'!$A:$F,4,FALSE)-SUMIFS($E$2:$E3343,$C$2:$C3343,C3343,$D$2:$D3343,"*Package*"))</f>
        <v/>
      </c>
      <c r="G3343" t="str">
        <f t="shared" si="85"/>
        <v/>
      </c>
      <c r="H3343" s="33">
        <f>IF(ISNUMBER(SEARCH("Group",D3343)),IF(G3343="",E3343,IFERROR(E3343/COUNTIF($G2:$G6000,G3343),E3343)),E3343)</f>
        <v>0</v>
      </c>
      <c r="I3343" s="1" t="str">
        <f>IFERROR(VLOOKUP(C3343,'Clients List'!A:F,6,FALSE),"")</f>
        <v/>
      </c>
    </row>
    <row r="3344" spans="4:9" x14ac:dyDescent="0.45">
      <c r="D3344" t="str">
        <f>IFERROR(VLOOKUP(C3344,'Clients List'!$A:$F,2,FALSE),"")</f>
        <v/>
      </c>
      <c r="F3344" s="1" t="str">
        <f>IF(OR(C3344="",NOT(ISNUMBER(SEARCH("Package",D3344)))),"",VLOOKUP(C3344,'Clients List'!$A:$F,4,FALSE)-SUMIFS($E$2:$E3344,$C$2:$C3344,C3344,$D$2:$D3344,"*Package*"))</f>
        <v/>
      </c>
      <c r="G3344" t="str">
        <f t="shared" si="85"/>
        <v/>
      </c>
      <c r="H3344" s="33">
        <f>IF(ISNUMBER(SEARCH("Group",D3344)),IF(G3344="",E3344,IFERROR(E3344/COUNTIF($G2:$G6000,G3344),E3344)),E3344)</f>
        <v>0</v>
      </c>
      <c r="I3344" s="1" t="str">
        <f>IFERROR(VLOOKUP(C3344,'Clients List'!A:F,6,FALSE),"")</f>
        <v/>
      </c>
    </row>
    <row r="3345" spans="4:9" x14ac:dyDescent="0.45">
      <c r="D3345" t="str">
        <f>IFERROR(VLOOKUP(C3345,'Clients List'!$A:$F,2,FALSE),"")</f>
        <v/>
      </c>
      <c r="F3345" s="1" t="str">
        <f>IF(OR(C3345="",NOT(ISNUMBER(SEARCH("Package",D3345)))),"",VLOOKUP(C3345,'Clients List'!$A:$F,4,FALSE)-SUMIFS($E$2:$E3345,$C$2:$C3345,C3345,$D$2:$D3345,"*Package*"))</f>
        <v/>
      </c>
      <c r="G3345" t="str">
        <f t="shared" si="85"/>
        <v/>
      </c>
      <c r="H3345" s="33">
        <f>IF(ISNUMBER(SEARCH("Group",D3345)),IF(G3345="",E3345,IFERROR(E3345/COUNTIF($G2:$G6000,G3345),E3345)),E3345)</f>
        <v>0</v>
      </c>
      <c r="I3345" s="1" t="str">
        <f>IFERROR(VLOOKUP(C3345,'Clients List'!A:F,6,FALSE),"")</f>
        <v/>
      </c>
    </row>
    <row r="3346" spans="4:9" x14ac:dyDescent="0.45">
      <c r="D3346" t="str">
        <f>IFERROR(VLOOKUP(C3346,'Clients List'!$A:$F,2,FALSE),"")</f>
        <v/>
      </c>
      <c r="F3346" s="1" t="str">
        <f>IF(OR(C3346="",NOT(ISNUMBER(SEARCH("Package",D3346)))),"",VLOOKUP(C3346,'Clients List'!$A:$F,4,FALSE)-SUMIFS($E$2:$E3346,$C$2:$C3346,C3346,$D$2:$D3346,"*Package*"))</f>
        <v/>
      </c>
      <c r="G3346" t="str">
        <f t="shared" si="85"/>
        <v/>
      </c>
      <c r="H3346" s="33">
        <f>IF(ISNUMBER(SEARCH("Group",D3346)),IF(G3346="",E3346,IFERROR(E3346/COUNTIF($G2:$G6000,G3346),E3346)),E3346)</f>
        <v>0</v>
      </c>
      <c r="I3346" s="1" t="str">
        <f>IFERROR(VLOOKUP(C3346,'Clients List'!A:F,6,FALSE),"")</f>
        <v/>
      </c>
    </row>
    <row r="3347" spans="4:9" x14ac:dyDescent="0.45">
      <c r="D3347" t="str">
        <f>IFERROR(VLOOKUP(C3347,'Clients List'!$A:$F,2,FALSE),"")</f>
        <v/>
      </c>
      <c r="F3347" s="1" t="str">
        <f>IF(OR(C3347="",NOT(ISNUMBER(SEARCH("Package",D3347)))),"",VLOOKUP(C3347,'Clients List'!$A:$F,4,FALSE)-SUMIFS($E$2:$E3347,$C$2:$C3347,C3347,$D$2:$D3347,"*Package*"))</f>
        <v/>
      </c>
      <c r="G3347" t="str">
        <f t="shared" si="85"/>
        <v/>
      </c>
      <c r="H3347" s="33">
        <f>IF(ISNUMBER(SEARCH("Group",D3347)),IF(G3347="",E3347,IFERROR(E3347/COUNTIF($G2:$G6000,G3347),E3347)),E3347)</f>
        <v>0</v>
      </c>
      <c r="I3347" s="1" t="str">
        <f>IFERROR(VLOOKUP(C3347,'Clients List'!A:F,6,FALSE),"")</f>
        <v/>
      </c>
    </row>
    <row r="3348" spans="4:9" x14ac:dyDescent="0.45">
      <c r="D3348" t="str">
        <f>IFERROR(VLOOKUP(C3348,'Clients List'!$A:$F,2,FALSE),"")</f>
        <v/>
      </c>
      <c r="F3348" s="1" t="str">
        <f>IF(OR(C3348="",NOT(ISNUMBER(SEARCH("Package",D3348)))),"",VLOOKUP(C3348,'Clients List'!$A:$F,4,FALSE)-SUMIFS($E$2:$E3348,$C$2:$C3348,C3348,$D$2:$D3348,"*Package*"))</f>
        <v/>
      </c>
      <c r="G3348" t="str">
        <f t="shared" si="85"/>
        <v/>
      </c>
      <c r="H3348" s="33">
        <f>IF(ISNUMBER(SEARCH("Group",D3348)),IF(G3348="",E3348,IFERROR(E3348/COUNTIF($G2:$G6000,G3348),E3348)),E3348)</f>
        <v>0</v>
      </c>
      <c r="I3348" s="1" t="str">
        <f>IFERROR(VLOOKUP(C3348,'Clients List'!A:F,6,FALSE),"")</f>
        <v/>
      </c>
    </row>
    <row r="3349" spans="4:9" x14ac:dyDescent="0.45">
      <c r="D3349" t="str">
        <f>IFERROR(VLOOKUP(C3349,'Clients List'!$A:$F,2,FALSE),"")</f>
        <v/>
      </c>
      <c r="F3349" s="1" t="str">
        <f>IF(OR(C3349="",NOT(ISNUMBER(SEARCH("Package",D3349)))),"",VLOOKUP(C3349,'Clients List'!$A:$F,4,FALSE)-SUMIFS($E$2:$E3349,$C$2:$C3349,C3349,$D$2:$D3349,"*Package*"))</f>
        <v/>
      </c>
      <c r="G3349" t="str">
        <f t="shared" si="85"/>
        <v/>
      </c>
      <c r="H3349" s="33">
        <f>IF(ISNUMBER(SEARCH("Group",D3349)),IF(G3349="",E3349,IFERROR(E3349/COUNTIF($G2:$G6000,G3349),E3349)),E3349)</f>
        <v>0</v>
      </c>
      <c r="I3349" s="1" t="str">
        <f>IFERROR(VLOOKUP(C3349,'Clients List'!A:F,6,FALSE),"")</f>
        <v/>
      </c>
    </row>
    <row r="3350" spans="4:9" x14ac:dyDescent="0.45">
      <c r="D3350" t="str">
        <f>IFERROR(VLOOKUP(C3350,'Clients List'!$A:$F,2,FALSE),"")</f>
        <v/>
      </c>
      <c r="F3350" s="1" t="str">
        <f>IF(OR(C3350="",NOT(ISNUMBER(SEARCH("Package",D3350)))),"",VLOOKUP(C3350,'Clients List'!$A:$F,4,FALSE)-SUMIFS($E$2:$E3350,$C$2:$C3350,C3350,$D$2:$D3350,"*Package*"))</f>
        <v/>
      </c>
      <c r="G3350" t="str">
        <f t="shared" si="85"/>
        <v/>
      </c>
      <c r="H3350" s="33">
        <f>IF(ISNUMBER(SEARCH("Group",D3350)),IF(G3350="",E3350,IFERROR(E3350/COUNTIF($G2:$G6000,G3350),E3350)),E3350)</f>
        <v>0</v>
      </c>
      <c r="I3350" s="1" t="str">
        <f>IFERROR(VLOOKUP(C3350,'Clients List'!A:F,6,FALSE),"")</f>
        <v/>
      </c>
    </row>
    <row r="3351" spans="4:9" x14ac:dyDescent="0.45">
      <c r="D3351" t="str">
        <f>IFERROR(VLOOKUP(C3351,'Clients List'!$A:$F,2,FALSE),"")</f>
        <v/>
      </c>
      <c r="F3351" s="1" t="str">
        <f>IF(OR(C3351="",NOT(ISNUMBER(SEARCH("Package",D3351)))),"",VLOOKUP(C3351,'Clients List'!$A:$F,4,FALSE)-SUMIFS($E$2:$E3351,$C$2:$C3351,C3351,$D$2:$D3351,"*Package*"))</f>
        <v/>
      </c>
      <c r="G3351" t="str">
        <f t="shared" si="85"/>
        <v/>
      </c>
      <c r="H3351" s="33">
        <f>IF(ISNUMBER(SEARCH("Group",D3351)),IF(G3351="",E3351,IFERROR(E3351/COUNTIF($G2:$G6000,G3351),E3351)),E3351)</f>
        <v>0</v>
      </c>
      <c r="I3351" s="1" t="str">
        <f>IFERROR(VLOOKUP(C3351,'Clients List'!A:F,6,FALSE),"")</f>
        <v/>
      </c>
    </row>
    <row r="3352" spans="4:9" x14ac:dyDescent="0.45">
      <c r="D3352" t="str">
        <f>IFERROR(VLOOKUP(C3352,'Clients List'!$A:$F,2,FALSE),"")</f>
        <v/>
      </c>
      <c r="F3352" s="1" t="str">
        <f>IF(OR(C3352="",NOT(ISNUMBER(SEARCH("Package",D3352)))),"",VLOOKUP(C3352,'Clients List'!$A:$F,4,FALSE)-SUMIFS($E$2:$E3352,$C$2:$C3352,C3352,$D$2:$D3352,"*Package*"))</f>
        <v/>
      </c>
      <c r="G3352" t="str">
        <f t="shared" si="85"/>
        <v/>
      </c>
      <c r="H3352" s="33">
        <f>IF(ISNUMBER(SEARCH("Group",D3352)),IF(G3352="",E3352,IFERROR(E3352/COUNTIF($G2:$G6000,G3352),E3352)),E3352)</f>
        <v>0</v>
      </c>
      <c r="I3352" s="1" t="str">
        <f>IFERROR(VLOOKUP(C3352,'Clients List'!A:F,6,FALSE),"")</f>
        <v/>
      </c>
    </row>
    <row r="3353" spans="4:9" x14ac:dyDescent="0.45">
      <c r="D3353" t="str">
        <f>IFERROR(VLOOKUP(C3353,'Clients List'!$A:$F,2,FALSE),"")</f>
        <v/>
      </c>
      <c r="F3353" s="1" t="str">
        <f>IF(OR(C3353="",NOT(ISNUMBER(SEARCH("Package",D3353)))),"",VLOOKUP(C3353,'Clients List'!$A:$F,4,FALSE)-SUMIFS($E$2:$E3353,$C$2:$C3353,C3353,$D$2:$D3353,"*Package*"))</f>
        <v/>
      </c>
      <c r="G3353" t="str">
        <f t="shared" si="85"/>
        <v/>
      </c>
      <c r="H3353" s="33">
        <f>IF(ISNUMBER(SEARCH("Group",D3353)),IF(G3353="",E3353,IFERROR(E3353/COUNTIF($G2:$G6000,G3353),E3353)),E3353)</f>
        <v>0</v>
      </c>
      <c r="I3353" s="1" t="str">
        <f>IFERROR(VLOOKUP(C3353,'Clients List'!A:F,6,FALSE),"")</f>
        <v/>
      </c>
    </row>
    <row r="3354" spans="4:9" x14ac:dyDescent="0.45">
      <c r="D3354" t="str">
        <f>IFERROR(VLOOKUP(C3354,'Clients List'!$A:$F,2,FALSE),"")</f>
        <v/>
      </c>
      <c r="F3354" s="1" t="str">
        <f>IF(OR(C3354="",NOT(ISNUMBER(SEARCH("Package",D3354)))),"",VLOOKUP(C3354,'Clients List'!$A:$F,4,FALSE)-SUMIFS($E$2:$E3354,$C$2:$C3354,C3354,$D$2:$D3354,"*Package*"))</f>
        <v/>
      </c>
      <c r="G3354" t="str">
        <f t="shared" si="85"/>
        <v/>
      </c>
      <c r="H3354" s="33">
        <f>IF(ISNUMBER(SEARCH("Group",D3354)),IF(G3354="",E3354,IFERROR(E3354/COUNTIF($G2:$G6000,G3354),E3354)),E3354)</f>
        <v>0</v>
      </c>
      <c r="I3354" s="1" t="str">
        <f>IFERROR(VLOOKUP(C3354,'Clients List'!A:F,6,FALSE),"")</f>
        <v/>
      </c>
    </row>
    <row r="3355" spans="4:9" x14ac:dyDescent="0.45">
      <c r="D3355" t="str">
        <f>IFERROR(VLOOKUP(C3355,'Clients List'!$A:$F,2,FALSE),"")</f>
        <v/>
      </c>
      <c r="F3355" s="1" t="str">
        <f>IF(OR(C3355="",NOT(ISNUMBER(SEARCH("Package",D3355)))),"",VLOOKUP(C3355,'Clients List'!$A:$F,4,FALSE)-SUMIFS($E$2:$E3355,$C$2:$C3355,C3355,$D$2:$D3355,"*Package*"))</f>
        <v/>
      </c>
      <c r="G3355" t="str">
        <f t="shared" si="85"/>
        <v/>
      </c>
      <c r="H3355" s="33">
        <f>IF(ISNUMBER(SEARCH("Group",D3355)),IF(G3355="",E3355,IFERROR(E3355/COUNTIF($G2:$G6000,G3355),E3355)),E3355)</f>
        <v>0</v>
      </c>
      <c r="I3355" s="1" t="str">
        <f>IFERROR(VLOOKUP(C3355,'Clients List'!A:F,6,FALSE),"")</f>
        <v/>
      </c>
    </row>
    <row r="3356" spans="4:9" x14ac:dyDescent="0.45">
      <c r="D3356" t="str">
        <f>IFERROR(VLOOKUP(C3356,'Clients List'!$A:$F,2,FALSE),"")</f>
        <v/>
      </c>
      <c r="F3356" s="1" t="str">
        <f>IF(OR(C3356="",NOT(ISNUMBER(SEARCH("Package",D3356)))),"",VLOOKUP(C3356,'Clients List'!$A:$F,4,FALSE)-SUMIFS($E$2:$E3356,$C$2:$C3356,C3356,$D$2:$D3356,"*Package*"))</f>
        <v/>
      </c>
      <c r="G3356" t="str">
        <f t="shared" si="85"/>
        <v/>
      </c>
      <c r="H3356" s="33">
        <f>IF(ISNUMBER(SEARCH("Group",D3356)),IF(G3356="",E3356,IFERROR(E3356/COUNTIF($G2:$G6000,G3356),E3356)),E3356)</f>
        <v>0</v>
      </c>
      <c r="I3356" s="1" t="str">
        <f>IFERROR(VLOOKUP(C3356,'Clients List'!A:F,6,FALSE),"")</f>
        <v/>
      </c>
    </row>
    <row r="3357" spans="4:9" x14ac:dyDescent="0.45">
      <c r="D3357" t="str">
        <f>IFERROR(VLOOKUP(C3357,'Clients List'!$A:$F,2,FALSE),"")</f>
        <v/>
      </c>
      <c r="F3357" s="1" t="str">
        <f>IF(OR(C3357="",NOT(ISNUMBER(SEARCH("Package",D3357)))),"",VLOOKUP(C3357,'Clients List'!$A:$F,4,FALSE)-SUMIFS($E$2:$E3357,$C$2:$C3357,C3357,$D$2:$D3357,"*Package*"))</f>
        <v/>
      </c>
      <c r="G3357" t="str">
        <f t="shared" si="85"/>
        <v/>
      </c>
      <c r="H3357" s="33">
        <f>IF(ISNUMBER(SEARCH("Group",D3357)),IF(G3357="",E3357,IFERROR(E3357/COUNTIF($G2:$G6000,G3357),E3357)),E3357)</f>
        <v>0</v>
      </c>
      <c r="I3357" s="1" t="str">
        <f>IFERROR(VLOOKUP(C3357,'Clients List'!A:F,6,FALSE),"")</f>
        <v/>
      </c>
    </row>
    <row r="3358" spans="4:9" x14ac:dyDescent="0.45">
      <c r="D3358" t="str">
        <f>IFERROR(VLOOKUP(C3358,'Clients List'!$A:$F,2,FALSE),"")</f>
        <v/>
      </c>
      <c r="F3358" s="1" t="str">
        <f>IF(OR(C3358="",NOT(ISNUMBER(SEARCH("Package",D3358)))),"",VLOOKUP(C3358,'Clients List'!$A:$F,4,FALSE)-SUMIFS($E$2:$E3358,$C$2:$C3358,C3358,$D$2:$D3358,"*Package*"))</f>
        <v/>
      </c>
      <c r="G3358" t="str">
        <f t="shared" si="85"/>
        <v/>
      </c>
      <c r="H3358" s="33">
        <f>IF(ISNUMBER(SEARCH("Group",D3358)),IF(G3358="",E3358,IFERROR(E3358/COUNTIF($G2:$G6000,G3358),E3358)),E3358)</f>
        <v>0</v>
      </c>
      <c r="I3358" s="1" t="str">
        <f>IFERROR(VLOOKUP(C3358,'Clients List'!A:F,6,FALSE),"")</f>
        <v/>
      </c>
    </row>
    <row r="3359" spans="4:9" x14ac:dyDescent="0.45">
      <c r="D3359" t="str">
        <f>IFERROR(VLOOKUP(C3359,'Clients List'!$A:$F,2,FALSE),"")</f>
        <v/>
      </c>
      <c r="F3359" s="1" t="str">
        <f>IF(OR(C3359="",NOT(ISNUMBER(SEARCH("Package",D3359)))),"",VLOOKUP(C3359,'Clients List'!$A:$F,4,FALSE)-SUMIFS($E$2:$E3359,$C$2:$C3359,C3359,$D$2:$D3359,"*Package*"))</f>
        <v/>
      </c>
      <c r="G3359" t="str">
        <f t="shared" si="85"/>
        <v/>
      </c>
      <c r="H3359" s="33">
        <f>IF(ISNUMBER(SEARCH("Group",D3359)),IF(G3359="",E3359,IFERROR(E3359/COUNTIF($G2:$G6000,G3359),E3359)),E3359)</f>
        <v>0</v>
      </c>
      <c r="I3359" s="1" t="str">
        <f>IFERROR(VLOOKUP(C3359,'Clients List'!A:F,6,FALSE),"")</f>
        <v/>
      </c>
    </row>
    <row r="3360" spans="4:9" x14ac:dyDescent="0.45">
      <c r="D3360" t="str">
        <f>IFERROR(VLOOKUP(C3360,'Clients List'!$A:$F,2,FALSE),"")</f>
        <v/>
      </c>
      <c r="F3360" s="1" t="str">
        <f>IF(OR(C3360="",NOT(ISNUMBER(SEARCH("Package",D3360)))),"",VLOOKUP(C3360,'Clients List'!$A:$F,4,FALSE)-SUMIFS($E$2:$E3360,$C$2:$C3360,C3360,$D$2:$D3360,"*Package*"))</f>
        <v/>
      </c>
      <c r="G3360" t="str">
        <f t="shared" si="85"/>
        <v/>
      </c>
      <c r="H3360" s="33">
        <f>IF(ISNUMBER(SEARCH("Group",D3360)),IF(G3360="",E3360,IFERROR(E3360/COUNTIF($G2:$G6000,G3360),E3360)),E3360)</f>
        <v>0</v>
      </c>
      <c r="I3360" s="1" t="str">
        <f>IFERROR(VLOOKUP(C3360,'Clients List'!A:F,6,FALSE),"")</f>
        <v/>
      </c>
    </row>
    <row r="3361" spans="4:9" x14ac:dyDescent="0.45">
      <c r="D3361" t="str">
        <f>IFERROR(VLOOKUP(C3361,'Clients List'!$A:$F,2,FALSE),"")</f>
        <v/>
      </c>
      <c r="F3361" s="1" t="str">
        <f>IF(OR(C3361="",NOT(ISNUMBER(SEARCH("Package",D3361)))),"",VLOOKUP(C3361,'Clients List'!$A:$F,4,FALSE)-SUMIFS($E$2:$E3361,$C$2:$C3361,C3361,$D$2:$D3361,"*Package*"))</f>
        <v/>
      </c>
      <c r="G3361" t="str">
        <f t="shared" si="85"/>
        <v/>
      </c>
      <c r="H3361" s="33">
        <f>IF(ISNUMBER(SEARCH("Group",D3361)),IF(G3361="",E3361,IFERROR(E3361/COUNTIF($G2:$G6000,G3361),E3361)),E3361)</f>
        <v>0</v>
      </c>
      <c r="I3361" s="1" t="str">
        <f>IFERROR(VLOOKUP(C3361,'Clients List'!A:F,6,FALSE),"")</f>
        <v/>
      </c>
    </row>
    <row r="3362" spans="4:9" x14ac:dyDescent="0.45">
      <c r="D3362" t="str">
        <f>IFERROR(VLOOKUP(C3362,'Clients List'!$A:$F,2,FALSE),"")</f>
        <v/>
      </c>
      <c r="F3362" s="1" t="str">
        <f>IF(OR(C3362="",NOT(ISNUMBER(SEARCH("Package",D3362)))),"",VLOOKUP(C3362,'Clients List'!$A:$F,4,FALSE)-SUMIFS($E$2:$E3362,$C$2:$C3362,C3362,$D$2:$D3362,"*Package*"))</f>
        <v/>
      </c>
      <c r="G3362" t="str">
        <f t="shared" si="85"/>
        <v/>
      </c>
      <c r="H3362" s="33">
        <f>IF(ISNUMBER(SEARCH("Group",D3362)),IF(G3362="",E3362,IFERROR(E3362/COUNTIF($G2:$G6000,G3362),E3362)),E3362)</f>
        <v>0</v>
      </c>
      <c r="I3362" s="1" t="str">
        <f>IFERROR(VLOOKUP(C3362,'Clients List'!A:F,6,FALSE),"")</f>
        <v/>
      </c>
    </row>
    <row r="3363" spans="4:9" x14ac:dyDescent="0.45">
      <c r="D3363" t="str">
        <f>IFERROR(VLOOKUP(C3363,'Clients List'!$A:$F,2,FALSE),"")</f>
        <v/>
      </c>
      <c r="F3363" s="1" t="str">
        <f>IF(OR(C3363="",NOT(ISNUMBER(SEARCH("Package",D3363)))),"",VLOOKUP(C3363,'Clients List'!$A:$F,4,FALSE)-SUMIFS($E$2:$E3363,$C$2:$C3363,C3363,$D$2:$D3363,"*Package*"))</f>
        <v/>
      </c>
      <c r="G3363" t="str">
        <f t="shared" si="85"/>
        <v/>
      </c>
      <c r="H3363" s="33">
        <f>IF(ISNUMBER(SEARCH("Group",D3363)),IF(G3363="",E3363,IFERROR(E3363/COUNTIF($G2:$G6000,G3363),E3363)),E3363)</f>
        <v>0</v>
      </c>
      <c r="I3363" s="1" t="str">
        <f>IFERROR(VLOOKUP(C3363,'Clients List'!A:F,6,FALSE),"")</f>
        <v/>
      </c>
    </row>
    <row r="3364" spans="4:9" x14ac:dyDescent="0.45">
      <c r="D3364" t="str">
        <f>IFERROR(VLOOKUP(C3364,'Clients List'!$A:$F,2,FALSE),"")</f>
        <v/>
      </c>
      <c r="F3364" s="1" t="str">
        <f>IF(OR(C3364="",NOT(ISNUMBER(SEARCH("Package",D3364)))),"",VLOOKUP(C3364,'Clients List'!$A:$F,4,FALSE)-SUMIFS($E$2:$E3364,$C$2:$C3364,C3364,$D$2:$D3364,"*Package*"))</f>
        <v/>
      </c>
      <c r="G3364" t="str">
        <f t="shared" si="85"/>
        <v/>
      </c>
      <c r="H3364" s="33">
        <f>IF(ISNUMBER(SEARCH("Group",D3364)),IF(G3364="",E3364,IFERROR(E3364/COUNTIF($G2:$G6000,G3364),E3364)),E3364)</f>
        <v>0</v>
      </c>
      <c r="I3364" s="1" t="str">
        <f>IFERROR(VLOOKUP(C3364,'Clients List'!A:F,6,FALSE),"")</f>
        <v/>
      </c>
    </row>
    <row r="3365" spans="4:9" x14ac:dyDescent="0.45">
      <c r="D3365" t="str">
        <f>IFERROR(VLOOKUP(C3365,'Clients List'!$A:$F,2,FALSE),"")</f>
        <v/>
      </c>
      <c r="F3365" s="1" t="str">
        <f>IF(OR(C3365="",NOT(ISNUMBER(SEARCH("Package",D3365)))),"",VLOOKUP(C3365,'Clients List'!$A:$F,4,FALSE)-SUMIFS($E$2:$E3365,$C$2:$C3365,C3365,$D$2:$D3365,"*Package*"))</f>
        <v/>
      </c>
      <c r="G3365" t="str">
        <f t="shared" si="85"/>
        <v/>
      </c>
      <c r="H3365" s="33">
        <f>IF(ISNUMBER(SEARCH("Group",D3365)),IF(G3365="",E3365,IFERROR(E3365/COUNTIF($G2:$G6000,G3365),E3365)),E3365)</f>
        <v>0</v>
      </c>
      <c r="I3365" s="1" t="str">
        <f>IFERROR(VLOOKUP(C3365,'Clients List'!A:F,6,FALSE),"")</f>
        <v/>
      </c>
    </row>
    <row r="3366" spans="4:9" x14ac:dyDescent="0.45">
      <c r="D3366" t="str">
        <f>IFERROR(VLOOKUP(C3366,'Clients List'!$A:$F,2,FALSE),"")</f>
        <v/>
      </c>
      <c r="F3366" s="1" t="str">
        <f>IF(OR(C3366="",NOT(ISNUMBER(SEARCH("Package",D3366)))),"",VLOOKUP(C3366,'Clients List'!$A:$F,4,FALSE)-SUMIFS($E$2:$E3366,$C$2:$C3366,C3366,$D$2:$D3366,"*Package*"))</f>
        <v/>
      </c>
      <c r="G3366" t="str">
        <f t="shared" si="85"/>
        <v/>
      </c>
      <c r="H3366" s="33">
        <f>IF(ISNUMBER(SEARCH("Group",D3366)),IF(G3366="",E3366,IFERROR(E3366/COUNTIF($G2:$G6000,G3366),E3366)),E3366)</f>
        <v>0</v>
      </c>
      <c r="I3366" s="1" t="str">
        <f>IFERROR(VLOOKUP(C3366,'Clients List'!A:F,6,FALSE),"")</f>
        <v/>
      </c>
    </row>
    <row r="3367" spans="4:9" x14ac:dyDescent="0.45">
      <c r="D3367" t="str">
        <f>IFERROR(VLOOKUP(C3367,'Clients List'!$A:$F,2,FALSE),"")</f>
        <v/>
      </c>
      <c r="F3367" s="1" t="str">
        <f>IF(OR(C3367="",NOT(ISNUMBER(SEARCH("Package",D3367)))),"",VLOOKUP(C3367,'Clients List'!$A:$F,4,FALSE)-SUMIFS($E$2:$E3367,$C$2:$C3367,C3367,$D$2:$D3367,"*Package*"))</f>
        <v/>
      </c>
      <c r="G3367" t="str">
        <f t="shared" si="85"/>
        <v/>
      </c>
      <c r="H3367" s="33">
        <f>IF(ISNUMBER(SEARCH("Group",D3367)),IF(G3367="",E3367,IFERROR(E3367/COUNTIF($G2:$G6000,G3367),E3367)),E3367)</f>
        <v>0</v>
      </c>
      <c r="I3367" s="1" t="str">
        <f>IFERROR(VLOOKUP(C3367,'Clients List'!A:F,6,FALSE),"")</f>
        <v/>
      </c>
    </row>
    <row r="3368" spans="4:9" x14ac:dyDescent="0.45">
      <c r="D3368" t="str">
        <f>IFERROR(VLOOKUP(C3368,'Clients List'!$A:$F,2,FALSE),"")</f>
        <v/>
      </c>
      <c r="F3368" s="1" t="str">
        <f>IF(OR(C3368="",NOT(ISNUMBER(SEARCH("Package",D3368)))),"",VLOOKUP(C3368,'Clients List'!$A:$F,4,FALSE)-SUMIFS($E$2:$E3368,$C$2:$C3368,C3368,$D$2:$D3368,"*Package*"))</f>
        <v/>
      </c>
      <c r="G3368" t="str">
        <f t="shared" si="85"/>
        <v/>
      </c>
      <c r="H3368" s="33">
        <f>IF(ISNUMBER(SEARCH("Group",D3368)),IF(G3368="",E3368,IFERROR(E3368/COUNTIF($G2:$G6000,G3368),E3368)),E3368)</f>
        <v>0</v>
      </c>
      <c r="I3368" s="1" t="str">
        <f>IFERROR(VLOOKUP(C3368,'Clients List'!A:F,6,FALSE),"")</f>
        <v/>
      </c>
    </row>
    <row r="3369" spans="4:9" x14ac:dyDescent="0.45">
      <c r="D3369" t="str">
        <f>IFERROR(VLOOKUP(C3369,'Clients List'!$A:$F,2,FALSE),"")</f>
        <v/>
      </c>
      <c r="F3369" s="1" t="str">
        <f>IF(OR(C3369="",NOT(ISNUMBER(SEARCH("Package",D3369)))),"",VLOOKUP(C3369,'Clients List'!$A:$F,4,FALSE)-SUMIFS($E$2:$E3369,$C$2:$C3369,C3369,$D$2:$D3369,"*Package*"))</f>
        <v/>
      </c>
      <c r="G3369" t="str">
        <f t="shared" si="85"/>
        <v/>
      </c>
      <c r="H3369" s="33">
        <f>IF(ISNUMBER(SEARCH("Group",D3369)),IF(G3369="",E3369,IFERROR(E3369/COUNTIF($G2:$G6000,G3369),E3369)),E3369)</f>
        <v>0</v>
      </c>
      <c r="I3369" s="1" t="str">
        <f>IFERROR(VLOOKUP(C3369,'Clients List'!A:F,6,FALSE),"")</f>
        <v/>
      </c>
    </row>
    <row r="3370" spans="4:9" x14ac:dyDescent="0.45">
      <c r="D3370" t="str">
        <f>IFERROR(VLOOKUP(C3370,'Clients List'!$A:$F,2,FALSE),"")</f>
        <v/>
      </c>
      <c r="F3370" s="1" t="str">
        <f>IF(OR(C3370="",NOT(ISNUMBER(SEARCH("Package",D3370)))),"",VLOOKUP(C3370,'Clients List'!$A:$F,4,FALSE)-SUMIFS($E$2:$E3370,$C$2:$C3370,C3370,$D$2:$D3370,"*Package*"))</f>
        <v/>
      </c>
      <c r="G3370" t="str">
        <f t="shared" si="85"/>
        <v/>
      </c>
      <c r="H3370" s="33">
        <f>IF(ISNUMBER(SEARCH("Group",D3370)),IF(G3370="",E3370,IFERROR(E3370/COUNTIF($G2:$G6000,G3370),E3370)),E3370)</f>
        <v>0</v>
      </c>
      <c r="I3370" s="1" t="str">
        <f>IFERROR(VLOOKUP(C3370,'Clients List'!A:F,6,FALSE),"")</f>
        <v/>
      </c>
    </row>
    <row r="3371" spans="4:9" x14ac:dyDescent="0.45">
      <c r="D3371" t="str">
        <f>IFERROR(VLOOKUP(C3371,'Clients List'!$A:$F,2,FALSE),"")</f>
        <v/>
      </c>
      <c r="F3371" s="1" t="str">
        <f>IF(OR(C3371="",NOT(ISNUMBER(SEARCH("Package",D3371)))),"",VLOOKUP(C3371,'Clients List'!$A:$F,4,FALSE)-SUMIFS($E$2:$E3371,$C$2:$C3371,C3371,$D$2:$D3371,"*Package*"))</f>
        <v/>
      </c>
      <c r="G3371" t="str">
        <f t="shared" si="85"/>
        <v/>
      </c>
      <c r="H3371" s="33">
        <f>IF(ISNUMBER(SEARCH("Group",D3371)),IF(G3371="",E3371,IFERROR(E3371/COUNTIF($G2:$G6000,G3371),E3371)),E3371)</f>
        <v>0</v>
      </c>
      <c r="I3371" s="1" t="str">
        <f>IFERROR(VLOOKUP(C3371,'Clients List'!A:F,6,FALSE),"")</f>
        <v/>
      </c>
    </row>
    <row r="3372" spans="4:9" x14ac:dyDescent="0.45">
      <c r="D3372" t="str">
        <f>IFERROR(VLOOKUP(C3372,'Clients List'!$A:$F,2,FALSE),"")</f>
        <v/>
      </c>
      <c r="F3372" s="1" t="str">
        <f>IF(OR(C3372="",NOT(ISNUMBER(SEARCH("Package",D3372)))),"",VLOOKUP(C3372,'Clients List'!$A:$F,4,FALSE)-SUMIFS($E$2:$E3372,$C$2:$C3372,C3372,$D$2:$D3372,"*Package*"))</f>
        <v/>
      </c>
      <c r="G3372" t="str">
        <f t="shared" si="85"/>
        <v/>
      </c>
      <c r="H3372" s="33">
        <f>IF(ISNUMBER(SEARCH("Group",D3372)),IF(G3372="",E3372,IFERROR(E3372/COUNTIF($G2:$G6000,G3372),E3372)),E3372)</f>
        <v>0</v>
      </c>
      <c r="I3372" s="1" t="str">
        <f>IFERROR(VLOOKUP(C3372,'Clients List'!A:F,6,FALSE),"")</f>
        <v/>
      </c>
    </row>
    <row r="3373" spans="4:9" x14ac:dyDescent="0.45">
      <c r="D3373" t="str">
        <f>IFERROR(VLOOKUP(C3373,'Clients List'!$A:$F,2,FALSE),"")</f>
        <v/>
      </c>
      <c r="F3373" s="1" t="str">
        <f>IF(OR(C3373="",NOT(ISNUMBER(SEARCH("Package",D3373)))),"",VLOOKUP(C3373,'Clients List'!$A:$F,4,FALSE)-SUMIFS($E$2:$E3373,$C$2:$C3373,C3373,$D$2:$D3373,"*Package*"))</f>
        <v/>
      </c>
      <c r="G3373" t="str">
        <f t="shared" si="85"/>
        <v/>
      </c>
      <c r="H3373" s="33">
        <f>IF(ISNUMBER(SEARCH("Group",D3373)),IF(G3373="",E3373,IFERROR(E3373/COUNTIF($G2:$G6000,G3373),E3373)),E3373)</f>
        <v>0</v>
      </c>
      <c r="I3373" s="1" t="str">
        <f>IFERROR(VLOOKUP(C3373,'Clients List'!A:F,6,FALSE),"")</f>
        <v/>
      </c>
    </row>
    <row r="3374" spans="4:9" x14ac:dyDescent="0.45">
      <c r="D3374" t="str">
        <f>IFERROR(VLOOKUP(C3374,'Clients List'!$A:$F,2,FALSE),"")</f>
        <v/>
      </c>
      <c r="F3374" s="1" t="str">
        <f>IF(OR(C3374="",NOT(ISNUMBER(SEARCH("Package",D3374)))),"",VLOOKUP(C3374,'Clients List'!$A:$F,4,FALSE)-SUMIFS($E$2:$E3374,$C$2:$C3374,C3374,$D$2:$D3374,"*Package*"))</f>
        <v/>
      </c>
      <c r="G3374" t="str">
        <f t="shared" si="85"/>
        <v/>
      </c>
      <c r="H3374" s="33">
        <f>IF(ISNUMBER(SEARCH("Group",D3374)),IF(G3374="",E3374,IFERROR(E3374/COUNTIF($G2:$G6000,G3374),E3374)),E3374)</f>
        <v>0</v>
      </c>
      <c r="I3374" s="1" t="str">
        <f>IFERROR(VLOOKUP(C3374,'Clients List'!A:F,6,FALSE),"")</f>
        <v/>
      </c>
    </row>
    <row r="3375" spans="4:9" x14ac:dyDescent="0.45">
      <c r="D3375" t="str">
        <f>IFERROR(VLOOKUP(C3375,'Clients List'!$A:$F,2,FALSE),"")</f>
        <v/>
      </c>
      <c r="F3375" s="1" t="str">
        <f>IF(OR(C3375="",NOT(ISNUMBER(SEARCH("Package",D3375)))),"",VLOOKUP(C3375,'Clients List'!$A:$F,4,FALSE)-SUMIFS($E$2:$E3375,$C$2:$C3375,C3375,$D$2:$D3375,"*Package*"))</f>
        <v/>
      </c>
      <c r="G3375" t="str">
        <f t="shared" si="85"/>
        <v/>
      </c>
      <c r="H3375" s="33">
        <f>IF(ISNUMBER(SEARCH("Group",D3375)),IF(G3375="",E3375,IFERROR(E3375/COUNTIF($G2:$G6000,G3375),E3375)),E3375)</f>
        <v>0</v>
      </c>
      <c r="I3375" s="1" t="str">
        <f>IFERROR(VLOOKUP(C3375,'Clients List'!A:F,6,FALSE),"")</f>
        <v/>
      </c>
    </row>
    <row r="3376" spans="4:9" x14ac:dyDescent="0.45">
      <c r="D3376" t="str">
        <f>IFERROR(VLOOKUP(C3376,'Clients List'!$A:$F,2,FALSE),"")</f>
        <v/>
      </c>
      <c r="F3376" s="1" t="str">
        <f>IF(OR(C3376="",NOT(ISNUMBER(SEARCH("Package",D3376)))),"",VLOOKUP(C3376,'Clients List'!$A:$F,4,FALSE)-SUMIFS($E$2:$E3376,$C$2:$C3376,C3376,$D$2:$D3376,"*Package*"))</f>
        <v/>
      </c>
      <c r="G3376" t="str">
        <f t="shared" si="85"/>
        <v/>
      </c>
      <c r="H3376" s="33">
        <f>IF(ISNUMBER(SEARCH("Group",D3376)),IF(G3376="",E3376,IFERROR(E3376/COUNTIF($G2:$G6000,G3376),E3376)),E3376)</f>
        <v>0</v>
      </c>
      <c r="I3376" s="1" t="str">
        <f>IFERROR(VLOOKUP(C3376,'Clients List'!A:F,6,FALSE),"")</f>
        <v/>
      </c>
    </row>
    <row r="3377" spans="4:9" x14ac:dyDescent="0.45">
      <c r="D3377" t="str">
        <f>IFERROR(VLOOKUP(C3377,'Clients List'!$A:$F,2,FALSE),"")</f>
        <v/>
      </c>
      <c r="F3377" s="1" t="str">
        <f>IF(OR(C3377="",NOT(ISNUMBER(SEARCH("Package",D3377)))),"",VLOOKUP(C3377,'Clients List'!$A:$F,4,FALSE)-SUMIFS($E$2:$E3377,$C$2:$C3377,C3377,$D$2:$D3377,"*Package*"))</f>
        <v/>
      </c>
      <c r="G3377" t="str">
        <f t="shared" si="85"/>
        <v/>
      </c>
      <c r="H3377" s="33">
        <f>IF(ISNUMBER(SEARCH("Group",D3377)),IF(G3377="",E3377,IFERROR(E3377/COUNTIF($G2:$G6000,G3377),E3377)),E3377)</f>
        <v>0</v>
      </c>
      <c r="I3377" s="1" t="str">
        <f>IFERROR(VLOOKUP(C3377,'Clients List'!A:F,6,FALSE),"")</f>
        <v/>
      </c>
    </row>
    <row r="3378" spans="4:9" x14ac:dyDescent="0.45">
      <c r="D3378" t="str">
        <f>IFERROR(VLOOKUP(C3378,'Clients List'!$A:$F,2,FALSE),"")</f>
        <v/>
      </c>
      <c r="F3378" s="1" t="str">
        <f>IF(OR(C3378="",NOT(ISNUMBER(SEARCH("Package",D3378)))),"",VLOOKUP(C3378,'Clients List'!$A:$F,4,FALSE)-SUMIFS($E$2:$E3378,$C$2:$C3378,C3378,$D$2:$D3378,"*Package*"))</f>
        <v/>
      </c>
      <c r="G3378" t="str">
        <f t="shared" si="85"/>
        <v/>
      </c>
      <c r="H3378" s="33">
        <f>IF(ISNUMBER(SEARCH("Group",D3378)),IF(G3378="",E3378,IFERROR(E3378/COUNTIF($G2:$G6000,G3378),E3378)),E3378)</f>
        <v>0</v>
      </c>
      <c r="I3378" s="1" t="str">
        <f>IFERROR(VLOOKUP(C3378,'Clients List'!A:F,6,FALSE),"")</f>
        <v/>
      </c>
    </row>
    <row r="3379" spans="4:9" x14ac:dyDescent="0.45">
      <c r="D3379" t="str">
        <f>IFERROR(VLOOKUP(C3379,'Clients List'!$A:$F,2,FALSE),"")</f>
        <v/>
      </c>
      <c r="F3379" s="1" t="str">
        <f>IF(OR(C3379="",NOT(ISNUMBER(SEARCH("Package",D3379)))),"",VLOOKUP(C3379,'Clients List'!$A:$F,4,FALSE)-SUMIFS($E$2:$E3379,$C$2:$C3379,C3379,$D$2:$D3379,"*Package*"))</f>
        <v/>
      </c>
      <c r="G3379" t="str">
        <f t="shared" si="85"/>
        <v/>
      </c>
      <c r="H3379" s="33">
        <f>IF(ISNUMBER(SEARCH("Group",D3379)),IF(G3379="",E3379,IFERROR(E3379/COUNTIF($G2:$G6000,G3379),E3379)),E3379)</f>
        <v>0</v>
      </c>
      <c r="I3379" s="1" t="str">
        <f>IFERROR(VLOOKUP(C3379,'Clients List'!A:F,6,FALSE),"")</f>
        <v/>
      </c>
    </row>
    <row r="3380" spans="4:9" x14ac:dyDescent="0.45">
      <c r="D3380" t="str">
        <f>IFERROR(VLOOKUP(C3380,'Clients List'!$A:$F,2,FALSE),"")</f>
        <v/>
      </c>
      <c r="F3380" s="1" t="str">
        <f>IF(OR(C3380="",NOT(ISNUMBER(SEARCH("Package",D3380)))),"",VLOOKUP(C3380,'Clients List'!$A:$F,4,FALSE)-SUMIFS($E$2:$E3380,$C$2:$C3380,C3380,$D$2:$D3380,"*Package*"))</f>
        <v/>
      </c>
      <c r="G3380" t="str">
        <f t="shared" si="85"/>
        <v/>
      </c>
      <c r="H3380" s="33">
        <f>IF(ISNUMBER(SEARCH("Group",D3380)),IF(G3380="",E3380,IFERROR(E3380/COUNTIF($G2:$G6000,G3380),E3380)),E3380)</f>
        <v>0</v>
      </c>
      <c r="I3380" s="1" t="str">
        <f>IFERROR(VLOOKUP(C3380,'Clients List'!A:F,6,FALSE),"")</f>
        <v/>
      </c>
    </row>
    <row r="3381" spans="4:9" x14ac:dyDescent="0.45">
      <c r="D3381" t="str">
        <f>IFERROR(VLOOKUP(C3381,'Clients List'!$A:$F,2,FALSE),"")</f>
        <v/>
      </c>
      <c r="F3381" s="1" t="str">
        <f>IF(OR(C3381="",NOT(ISNUMBER(SEARCH("Package",D3381)))),"",VLOOKUP(C3381,'Clients List'!$A:$F,4,FALSE)-SUMIFS($E$2:$E3381,$C$2:$C3381,C3381,$D$2:$D3381,"*Package*"))</f>
        <v/>
      </c>
      <c r="G3381" t="str">
        <f t="shared" ref="G3381:G3444" si="86">IF(ISNUMBER(SEARCH("Group",D3381)),IFERROR("GRP-"&amp;TEXT(IF(ISNUMBER(A3381),A3381,DATEVALUE(A3381)),"yyyymmdd"),""),"" )</f>
        <v/>
      </c>
      <c r="H3381" s="33">
        <f>IF(ISNUMBER(SEARCH("Group",D3381)),IF(G3381="",E3381,IFERROR(E3381/COUNTIF($G2:$G6000,G3381),E3381)),E3381)</f>
        <v>0</v>
      </c>
      <c r="I3381" s="1" t="str">
        <f>IFERROR(VLOOKUP(C3381,'Clients List'!A:F,6,FALSE),"")</f>
        <v/>
      </c>
    </row>
    <row r="3382" spans="4:9" x14ac:dyDescent="0.45">
      <c r="D3382" t="str">
        <f>IFERROR(VLOOKUP(C3382,'Clients List'!$A:$F,2,FALSE),"")</f>
        <v/>
      </c>
      <c r="F3382" s="1" t="str">
        <f>IF(OR(C3382="",NOT(ISNUMBER(SEARCH("Package",D3382)))),"",VLOOKUP(C3382,'Clients List'!$A:$F,4,FALSE)-SUMIFS($E$2:$E3382,$C$2:$C3382,C3382,$D$2:$D3382,"*Package*"))</f>
        <v/>
      </c>
      <c r="G3382" t="str">
        <f t="shared" si="86"/>
        <v/>
      </c>
      <c r="H3382" s="33">
        <f>IF(ISNUMBER(SEARCH("Group",D3382)),IF(G3382="",E3382,IFERROR(E3382/COUNTIF($G2:$G6000,G3382),E3382)),E3382)</f>
        <v>0</v>
      </c>
      <c r="I3382" s="1" t="str">
        <f>IFERROR(VLOOKUP(C3382,'Clients List'!A:F,6,FALSE),"")</f>
        <v/>
      </c>
    </row>
    <row r="3383" spans="4:9" x14ac:dyDescent="0.45">
      <c r="D3383" t="str">
        <f>IFERROR(VLOOKUP(C3383,'Clients List'!$A:$F,2,FALSE),"")</f>
        <v/>
      </c>
      <c r="F3383" s="1" t="str">
        <f>IF(OR(C3383="",NOT(ISNUMBER(SEARCH("Package",D3383)))),"",VLOOKUP(C3383,'Clients List'!$A:$F,4,FALSE)-SUMIFS($E$2:$E3383,$C$2:$C3383,C3383,$D$2:$D3383,"*Package*"))</f>
        <v/>
      </c>
      <c r="G3383" t="str">
        <f t="shared" si="86"/>
        <v/>
      </c>
      <c r="H3383" s="33">
        <f>IF(ISNUMBER(SEARCH("Group",D3383)),IF(G3383="",E3383,IFERROR(E3383/COUNTIF($G2:$G6000,G3383),E3383)),E3383)</f>
        <v>0</v>
      </c>
      <c r="I3383" s="1" t="str">
        <f>IFERROR(VLOOKUP(C3383,'Clients List'!A:F,6,FALSE),"")</f>
        <v/>
      </c>
    </row>
    <row r="3384" spans="4:9" x14ac:dyDescent="0.45">
      <c r="D3384" t="str">
        <f>IFERROR(VLOOKUP(C3384,'Clients List'!$A:$F,2,FALSE),"")</f>
        <v/>
      </c>
      <c r="F3384" s="1" t="str">
        <f>IF(OR(C3384="",NOT(ISNUMBER(SEARCH("Package",D3384)))),"",VLOOKUP(C3384,'Clients List'!$A:$F,4,FALSE)-SUMIFS($E$2:$E3384,$C$2:$C3384,C3384,$D$2:$D3384,"*Package*"))</f>
        <v/>
      </c>
      <c r="G3384" t="str">
        <f t="shared" si="86"/>
        <v/>
      </c>
      <c r="H3384" s="33">
        <f>IF(ISNUMBER(SEARCH("Group",D3384)),IF(G3384="",E3384,IFERROR(E3384/COUNTIF($G2:$G6000,G3384),E3384)),E3384)</f>
        <v>0</v>
      </c>
      <c r="I3384" s="1" t="str">
        <f>IFERROR(VLOOKUP(C3384,'Clients List'!A:F,6,FALSE),"")</f>
        <v/>
      </c>
    </row>
    <row r="3385" spans="4:9" x14ac:dyDescent="0.45">
      <c r="D3385" t="str">
        <f>IFERROR(VLOOKUP(C3385,'Clients List'!$A:$F,2,FALSE),"")</f>
        <v/>
      </c>
      <c r="F3385" s="1" t="str">
        <f>IF(OR(C3385="",NOT(ISNUMBER(SEARCH("Package",D3385)))),"",VLOOKUP(C3385,'Clients List'!$A:$F,4,FALSE)-SUMIFS($E$2:$E3385,$C$2:$C3385,C3385,$D$2:$D3385,"*Package*"))</f>
        <v/>
      </c>
      <c r="G3385" t="str">
        <f t="shared" si="86"/>
        <v/>
      </c>
      <c r="H3385" s="33">
        <f>IF(ISNUMBER(SEARCH("Group",D3385)),IF(G3385="",E3385,IFERROR(E3385/COUNTIF($G2:$G6000,G3385),E3385)),E3385)</f>
        <v>0</v>
      </c>
      <c r="I3385" s="1" t="str">
        <f>IFERROR(VLOOKUP(C3385,'Clients List'!A:F,6,FALSE),"")</f>
        <v/>
      </c>
    </row>
    <row r="3386" spans="4:9" x14ac:dyDescent="0.45">
      <c r="D3386" t="str">
        <f>IFERROR(VLOOKUP(C3386,'Clients List'!$A:$F,2,FALSE),"")</f>
        <v/>
      </c>
      <c r="F3386" s="1" t="str">
        <f>IF(OR(C3386="",NOT(ISNUMBER(SEARCH("Package",D3386)))),"",VLOOKUP(C3386,'Clients List'!$A:$F,4,FALSE)-SUMIFS($E$2:$E3386,$C$2:$C3386,C3386,$D$2:$D3386,"*Package*"))</f>
        <v/>
      </c>
      <c r="G3386" t="str">
        <f t="shared" si="86"/>
        <v/>
      </c>
      <c r="H3386" s="33">
        <f>IF(ISNUMBER(SEARCH("Group",D3386)),IF(G3386="",E3386,IFERROR(E3386/COUNTIF($G2:$G6000,G3386),E3386)),E3386)</f>
        <v>0</v>
      </c>
      <c r="I3386" s="1" t="str">
        <f>IFERROR(VLOOKUP(C3386,'Clients List'!A:F,6,FALSE),"")</f>
        <v/>
      </c>
    </row>
    <row r="3387" spans="4:9" x14ac:dyDescent="0.45">
      <c r="D3387" t="str">
        <f>IFERROR(VLOOKUP(C3387,'Clients List'!$A:$F,2,FALSE),"")</f>
        <v/>
      </c>
      <c r="F3387" s="1" t="str">
        <f>IF(OR(C3387="",NOT(ISNUMBER(SEARCH("Package",D3387)))),"",VLOOKUP(C3387,'Clients List'!$A:$F,4,FALSE)-SUMIFS($E$2:$E3387,$C$2:$C3387,C3387,$D$2:$D3387,"*Package*"))</f>
        <v/>
      </c>
      <c r="G3387" t="str">
        <f t="shared" si="86"/>
        <v/>
      </c>
      <c r="H3387" s="33">
        <f>IF(ISNUMBER(SEARCH("Group",D3387)),IF(G3387="",E3387,IFERROR(E3387/COUNTIF($G2:$G6000,G3387),E3387)),E3387)</f>
        <v>0</v>
      </c>
      <c r="I3387" s="1" t="str">
        <f>IFERROR(VLOOKUP(C3387,'Clients List'!A:F,6,FALSE),"")</f>
        <v/>
      </c>
    </row>
    <row r="3388" spans="4:9" x14ac:dyDescent="0.45">
      <c r="D3388" t="str">
        <f>IFERROR(VLOOKUP(C3388,'Clients List'!$A:$F,2,FALSE),"")</f>
        <v/>
      </c>
      <c r="F3388" s="1" t="str">
        <f>IF(OR(C3388="",NOT(ISNUMBER(SEARCH("Package",D3388)))),"",VLOOKUP(C3388,'Clients List'!$A:$F,4,FALSE)-SUMIFS($E$2:$E3388,$C$2:$C3388,C3388,$D$2:$D3388,"*Package*"))</f>
        <v/>
      </c>
      <c r="G3388" t="str">
        <f t="shared" si="86"/>
        <v/>
      </c>
      <c r="H3388" s="33">
        <f>IF(ISNUMBER(SEARCH("Group",D3388)),IF(G3388="",E3388,IFERROR(E3388/COUNTIF($G2:$G6000,G3388),E3388)),E3388)</f>
        <v>0</v>
      </c>
      <c r="I3388" s="1" t="str">
        <f>IFERROR(VLOOKUP(C3388,'Clients List'!A:F,6,FALSE),"")</f>
        <v/>
      </c>
    </row>
    <row r="3389" spans="4:9" x14ac:dyDescent="0.45">
      <c r="D3389" t="str">
        <f>IFERROR(VLOOKUP(C3389,'Clients List'!$A:$F,2,FALSE),"")</f>
        <v/>
      </c>
      <c r="F3389" s="1" t="str">
        <f>IF(OR(C3389="",NOT(ISNUMBER(SEARCH("Package",D3389)))),"",VLOOKUP(C3389,'Clients List'!$A:$F,4,FALSE)-SUMIFS($E$2:$E3389,$C$2:$C3389,C3389,$D$2:$D3389,"*Package*"))</f>
        <v/>
      </c>
      <c r="G3389" t="str">
        <f t="shared" si="86"/>
        <v/>
      </c>
      <c r="H3389" s="33">
        <f>IF(ISNUMBER(SEARCH("Group",D3389)),IF(G3389="",E3389,IFERROR(E3389/COUNTIF($G2:$G6000,G3389),E3389)),E3389)</f>
        <v>0</v>
      </c>
      <c r="I3389" s="1" t="str">
        <f>IFERROR(VLOOKUP(C3389,'Clients List'!A:F,6,FALSE),"")</f>
        <v/>
      </c>
    </row>
    <row r="3390" spans="4:9" x14ac:dyDescent="0.45">
      <c r="D3390" t="str">
        <f>IFERROR(VLOOKUP(C3390,'Clients List'!$A:$F,2,FALSE),"")</f>
        <v/>
      </c>
      <c r="F3390" s="1" t="str">
        <f>IF(OR(C3390="",NOT(ISNUMBER(SEARCH("Package",D3390)))),"",VLOOKUP(C3390,'Clients List'!$A:$F,4,FALSE)-SUMIFS($E$2:$E3390,$C$2:$C3390,C3390,$D$2:$D3390,"*Package*"))</f>
        <v/>
      </c>
      <c r="G3390" t="str">
        <f t="shared" si="86"/>
        <v/>
      </c>
      <c r="H3390" s="33">
        <f>IF(ISNUMBER(SEARCH("Group",D3390)),IF(G3390="",E3390,IFERROR(E3390/COUNTIF($G2:$G6000,G3390),E3390)),E3390)</f>
        <v>0</v>
      </c>
      <c r="I3390" s="1" t="str">
        <f>IFERROR(VLOOKUP(C3390,'Clients List'!A:F,6,FALSE),"")</f>
        <v/>
      </c>
    </row>
    <row r="3391" spans="4:9" x14ac:dyDescent="0.45">
      <c r="D3391" t="str">
        <f>IFERROR(VLOOKUP(C3391,'Clients List'!$A:$F,2,FALSE),"")</f>
        <v/>
      </c>
      <c r="F3391" s="1" t="str">
        <f>IF(OR(C3391="",NOT(ISNUMBER(SEARCH("Package",D3391)))),"",VLOOKUP(C3391,'Clients List'!$A:$F,4,FALSE)-SUMIFS($E$2:$E3391,$C$2:$C3391,C3391,$D$2:$D3391,"*Package*"))</f>
        <v/>
      </c>
      <c r="G3391" t="str">
        <f t="shared" si="86"/>
        <v/>
      </c>
      <c r="H3391" s="33">
        <f>IF(ISNUMBER(SEARCH("Group",D3391)),IF(G3391="",E3391,IFERROR(E3391/COUNTIF($G2:$G6000,G3391),E3391)),E3391)</f>
        <v>0</v>
      </c>
      <c r="I3391" s="1" t="str">
        <f>IFERROR(VLOOKUP(C3391,'Clients List'!A:F,6,FALSE),"")</f>
        <v/>
      </c>
    </row>
    <row r="3392" spans="4:9" x14ac:dyDescent="0.45">
      <c r="D3392" t="str">
        <f>IFERROR(VLOOKUP(C3392,'Clients List'!$A:$F,2,FALSE),"")</f>
        <v/>
      </c>
      <c r="F3392" s="1" t="str">
        <f>IF(OR(C3392="",NOT(ISNUMBER(SEARCH("Package",D3392)))),"",VLOOKUP(C3392,'Clients List'!$A:$F,4,FALSE)-SUMIFS($E$2:$E3392,$C$2:$C3392,C3392,$D$2:$D3392,"*Package*"))</f>
        <v/>
      </c>
      <c r="G3392" t="str">
        <f t="shared" si="86"/>
        <v/>
      </c>
      <c r="H3392" s="33">
        <f>IF(ISNUMBER(SEARCH("Group",D3392)),IF(G3392="",E3392,IFERROR(E3392/COUNTIF($G2:$G6000,G3392),E3392)),E3392)</f>
        <v>0</v>
      </c>
      <c r="I3392" s="1" t="str">
        <f>IFERROR(VLOOKUP(C3392,'Clients List'!A:F,6,FALSE),"")</f>
        <v/>
      </c>
    </row>
    <row r="3393" spans="4:9" x14ac:dyDescent="0.45">
      <c r="D3393" t="str">
        <f>IFERROR(VLOOKUP(C3393,'Clients List'!$A:$F,2,FALSE),"")</f>
        <v/>
      </c>
      <c r="F3393" s="1" t="str">
        <f>IF(OR(C3393="",NOT(ISNUMBER(SEARCH("Package",D3393)))),"",VLOOKUP(C3393,'Clients List'!$A:$F,4,FALSE)-SUMIFS($E$2:$E3393,$C$2:$C3393,C3393,$D$2:$D3393,"*Package*"))</f>
        <v/>
      </c>
      <c r="G3393" t="str">
        <f t="shared" si="86"/>
        <v/>
      </c>
      <c r="H3393" s="33">
        <f>IF(ISNUMBER(SEARCH("Group",D3393)),IF(G3393="",E3393,IFERROR(E3393/COUNTIF($G2:$G6000,G3393),E3393)),E3393)</f>
        <v>0</v>
      </c>
      <c r="I3393" s="1" t="str">
        <f>IFERROR(VLOOKUP(C3393,'Clients List'!A:F,6,FALSE),"")</f>
        <v/>
      </c>
    </row>
    <row r="3394" spans="4:9" x14ac:dyDescent="0.45">
      <c r="D3394" t="str">
        <f>IFERROR(VLOOKUP(C3394,'Clients List'!$A:$F,2,FALSE),"")</f>
        <v/>
      </c>
      <c r="F3394" s="1" t="str">
        <f>IF(OR(C3394="",NOT(ISNUMBER(SEARCH("Package",D3394)))),"",VLOOKUP(C3394,'Clients List'!$A:$F,4,FALSE)-SUMIFS($E$2:$E3394,$C$2:$C3394,C3394,$D$2:$D3394,"*Package*"))</f>
        <v/>
      </c>
      <c r="G3394" t="str">
        <f t="shared" si="86"/>
        <v/>
      </c>
      <c r="H3394" s="33">
        <f>IF(ISNUMBER(SEARCH("Group",D3394)),IF(G3394="",E3394,IFERROR(E3394/COUNTIF($G2:$G6000,G3394),E3394)),E3394)</f>
        <v>0</v>
      </c>
      <c r="I3394" s="1" t="str">
        <f>IFERROR(VLOOKUP(C3394,'Clients List'!A:F,6,FALSE),"")</f>
        <v/>
      </c>
    </row>
    <row r="3395" spans="4:9" x14ac:dyDescent="0.45">
      <c r="D3395" t="str">
        <f>IFERROR(VLOOKUP(C3395,'Clients List'!$A:$F,2,FALSE),"")</f>
        <v/>
      </c>
      <c r="F3395" s="1" t="str">
        <f>IF(OR(C3395="",NOT(ISNUMBER(SEARCH("Package",D3395)))),"",VLOOKUP(C3395,'Clients List'!$A:$F,4,FALSE)-SUMIFS($E$2:$E3395,$C$2:$C3395,C3395,$D$2:$D3395,"*Package*"))</f>
        <v/>
      </c>
      <c r="G3395" t="str">
        <f t="shared" si="86"/>
        <v/>
      </c>
      <c r="H3395" s="33">
        <f>IF(ISNUMBER(SEARCH("Group",D3395)),IF(G3395="",E3395,IFERROR(E3395/COUNTIF($G2:$G6000,G3395),E3395)),E3395)</f>
        <v>0</v>
      </c>
      <c r="I3395" s="1" t="str">
        <f>IFERROR(VLOOKUP(C3395,'Clients List'!A:F,6,FALSE),"")</f>
        <v/>
      </c>
    </row>
    <row r="3396" spans="4:9" x14ac:dyDescent="0.45">
      <c r="D3396" t="str">
        <f>IFERROR(VLOOKUP(C3396,'Clients List'!$A:$F,2,FALSE),"")</f>
        <v/>
      </c>
      <c r="F3396" s="1" t="str">
        <f>IF(OR(C3396="",NOT(ISNUMBER(SEARCH("Package",D3396)))),"",VLOOKUP(C3396,'Clients List'!$A:$F,4,FALSE)-SUMIFS($E$2:$E3396,$C$2:$C3396,C3396,$D$2:$D3396,"*Package*"))</f>
        <v/>
      </c>
      <c r="G3396" t="str">
        <f t="shared" si="86"/>
        <v/>
      </c>
      <c r="H3396" s="33">
        <f>IF(ISNUMBER(SEARCH("Group",D3396)),IF(G3396="",E3396,IFERROR(E3396/COUNTIF($G2:$G6000,G3396),E3396)),E3396)</f>
        <v>0</v>
      </c>
      <c r="I3396" s="1" t="str">
        <f>IFERROR(VLOOKUP(C3396,'Clients List'!A:F,6,FALSE),"")</f>
        <v/>
      </c>
    </row>
    <row r="3397" spans="4:9" x14ac:dyDescent="0.45">
      <c r="D3397" t="str">
        <f>IFERROR(VLOOKUP(C3397,'Clients List'!$A:$F,2,FALSE),"")</f>
        <v/>
      </c>
      <c r="F3397" s="1" t="str">
        <f>IF(OR(C3397="",NOT(ISNUMBER(SEARCH("Package",D3397)))),"",VLOOKUP(C3397,'Clients List'!$A:$F,4,FALSE)-SUMIFS($E$2:$E3397,$C$2:$C3397,C3397,$D$2:$D3397,"*Package*"))</f>
        <v/>
      </c>
      <c r="G3397" t="str">
        <f t="shared" si="86"/>
        <v/>
      </c>
      <c r="H3397" s="33">
        <f>IF(ISNUMBER(SEARCH("Group",D3397)),IF(G3397="",E3397,IFERROR(E3397/COUNTIF($G2:$G6000,G3397),E3397)),E3397)</f>
        <v>0</v>
      </c>
      <c r="I3397" s="1" t="str">
        <f>IFERROR(VLOOKUP(C3397,'Clients List'!A:F,6,FALSE),"")</f>
        <v/>
      </c>
    </row>
    <row r="3398" spans="4:9" x14ac:dyDescent="0.45">
      <c r="D3398" t="str">
        <f>IFERROR(VLOOKUP(C3398,'Clients List'!$A:$F,2,FALSE),"")</f>
        <v/>
      </c>
      <c r="F3398" s="1" t="str">
        <f>IF(OR(C3398="",NOT(ISNUMBER(SEARCH("Package",D3398)))),"",VLOOKUP(C3398,'Clients List'!$A:$F,4,FALSE)-SUMIFS($E$2:$E3398,$C$2:$C3398,C3398,$D$2:$D3398,"*Package*"))</f>
        <v/>
      </c>
      <c r="G3398" t="str">
        <f t="shared" si="86"/>
        <v/>
      </c>
      <c r="H3398" s="33">
        <f>IF(ISNUMBER(SEARCH("Group",D3398)),IF(G3398="",E3398,IFERROR(E3398/COUNTIF($G2:$G6000,G3398),E3398)),E3398)</f>
        <v>0</v>
      </c>
      <c r="I3398" s="1" t="str">
        <f>IFERROR(VLOOKUP(C3398,'Clients List'!A:F,6,FALSE),"")</f>
        <v/>
      </c>
    </row>
    <row r="3399" spans="4:9" x14ac:dyDescent="0.45">
      <c r="D3399" t="str">
        <f>IFERROR(VLOOKUP(C3399,'Clients List'!$A:$F,2,FALSE),"")</f>
        <v/>
      </c>
      <c r="F3399" s="1" t="str">
        <f>IF(OR(C3399="",NOT(ISNUMBER(SEARCH("Package",D3399)))),"",VLOOKUP(C3399,'Clients List'!$A:$F,4,FALSE)-SUMIFS($E$2:$E3399,$C$2:$C3399,C3399,$D$2:$D3399,"*Package*"))</f>
        <v/>
      </c>
      <c r="G3399" t="str">
        <f t="shared" si="86"/>
        <v/>
      </c>
      <c r="H3399" s="33">
        <f>IF(ISNUMBER(SEARCH("Group",D3399)),IF(G3399="",E3399,IFERROR(E3399/COUNTIF($G2:$G6000,G3399),E3399)),E3399)</f>
        <v>0</v>
      </c>
      <c r="I3399" s="1" t="str">
        <f>IFERROR(VLOOKUP(C3399,'Clients List'!A:F,6,FALSE),"")</f>
        <v/>
      </c>
    </row>
    <row r="3400" spans="4:9" x14ac:dyDescent="0.45">
      <c r="D3400" t="str">
        <f>IFERROR(VLOOKUP(C3400,'Clients List'!$A:$F,2,FALSE),"")</f>
        <v/>
      </c>
      <c r="F3400" s="1" t="str">
        <f>IF(OR(C3400="",NOT(ISNUMBER(SEARCH("Package",D3400)))),"",VLOOKUP(C3400,'Clients List'!$A:$F,4,FALSE)-SUMIFS($E$2:$E3400,$C$2:$C3400,C3400,$D$2:$D3400,"*Package*"))</f>
        <v/>
      </c>
      <c r="G3400" t="str">
        <f t="shared" si="86"/>
        <v/>
      </c>
      <c r="H3400" s="33">
        <f>IF(ISNUMBER(SEARCH("Group",D3400)),IF(G3400="",E3400,IFERROR(E3400/COUNTIF($G2:$G6000,G3400),E3400)),E3400)</f>
        <v>0</v>
      </c>
      <c r="I3400" s="1" t="str">
        <f>IFERROR(VLOOKUP(C3400,'Clients List'!A:F,6,FALSE),"")</f>
        <v/>
      </c>
    </row>
    <row r="3401" spans="4:9" x14ac:dyDescent="0.45">
      <c r="D3401" t="str">
        <f>IFERROR(VLOOKUP(C3401,'Clients List'!$A:$F,2,FALSE),"")</f>
        <v/>
      </c>
      <c r="F3401" s="1" t="str">
        <f>IF(OR(C3401="",NOT(ISNUMBER(SEARCH("Package",D3401)))),"",VLOOKUP(C3401,'Clients List'!$A:$F,4,FALSE)-SUMIFS($E$2:$E3401,$C$2:$C3401,C3401,$D$2:$D3401,"*Package*"))</f>
        <v/>
      </c>
      <c r="G3401" t="str">
        <f t="shared" si="86"/>
        <v/>
      </c>
      <c r="H3401" s="33">
        <f>IF(ISNUMBER(SEARCH("Group",D3401)),IF(G3401="",E3401,IFERROR(E3401/COUNTIF($G2:$G6000,G3401),E3401)),E3401)</f>
        <v>0</v>
      </c>
      <c r="I3401" s="1" t="str">
        <f>IFERROR(VLOOKUP(C3401,'Clients List'!A:F,6,FALSE),"")</f>
        <v/>
      </c>
    </row>
    <row r="3402" spans="4:9" x14ac:dyDescent="0.45">
      <c r="D3402" t="str">
        <f>IFERROR(VLOOKUP(C3402,'Clients List'!$A:$F,2,FALSE),"")</f>
        <v/>
      </c>
      <c r="F3402" s="1" t="str">
        <f>IF(OR(C3402="",NOT(ISNUMBER(SEARCH("Package",D3402)))),"",VLOOKUP(C3402,'Clients List'!$A:$F,4,FALSE)-SUMIFS($E$2:$E3402,$C$2:$C3402,C3402,$D$2:$D3402,"*Package*"))</f>
        <v/>
      </c>
      <c r="G3402" t="str">
        <f t="shared" si="86"/>
        <v/>
      </c>
      <c r="H3402" s="33">
        <f>IF(ISNUMBER(SEARCH("Group",D3402)),IF(G3402="",E3402,IFERROR(E3402/COUNTIF($G2:$G6000,G3402),E3402)),E3402)</f>
        <v>0</v>
      </c>
      <c r="I3402" s="1" t="str">
        <f>IFERROR(VLOOKUP(C3402,'Clients List'!A:F,6,FALSE),"")</f>
        <v/>
      </c>
    </row>
    <row r="3403" spans="4:9" x14ac:dyDescent="0.45">
      <c r="D3403" t="str">
        <f>IFERROR(VLOOKUP(C3403,'Clients List'!$A:$F,2,FALSE),"")</f>
        <v/>
      </c>
      <c r="F3403" s="1" t="str">
        <f>IF(OR(C3403="",NOT(ISNUMBER(SEARCH("Package",D3403)))),"",VLOOKUP(C3403,'Clients List'!$A:$F,4,FALSE)-SUMIFS($E$2:$E3403,$C$2:$C3403,C3403,$D$2:$D3403,"*Package*"))</f>
        <v/>
      </c>
      <c r="G3403" t="str">
        <f t="shared" si="86"/>
        <v/>
      </c>
      <c r="H3403" s="33">
        <f>IF(ISNUMBER(SEARCH("Group",D3403)),IF(G3403="",E3403,IFERROR(E3403/COUNTIF($G2:$G6000,G3403),E3403)),E3403)</f>
        <v>0</v>
      </c>
      <c r="I3403" s="1" t="str">
        <f>IFERROR(VLOOKUP(C3403,'Clients List'!A:F,6,FALSE),"")</f>
        <v/>
      </c>
    </row>
    <row r="3404" spans="4:9" x14ac:dyDescent="0.45">
      <c r="D3404" t="str">
        <f>IFERROR(VLOOKUP(C3404,'Clients List'!$A:$F,2,FALSE),"")</f>
        <v/>
      </c>
      <c r="F3404" s="1" t="str">
        <f>IF(OR(C3404="",NOT(ISNUMBER(SEARCH("Package",D3404)))),"",VLOOKUP(C3404,'Clients List'!$A:$F,4,FALSE)-SUMIFS($E$2:$E3404,$C$2:$C3404,C3404,$D$2:$D3404,"*Package*"))</f>
        <v/>
      </c>
      <c r="G3404" t="str">
        <f t="shared" si="86"/>
        <v/>
      </c>
      <c r="H3404" s="33">
        <f>IF(ISNUMBER(SEARCH("Group",D3404)),IF(G3404="",E3404,IFERROR(E3404/COUNTIF($G2:$G6000,G3404),E3404)),E3404)</f>
        <v>0</v>
      </c>
      <c r="I3404" s="1" t="str">
        <f>IFERROR(VLOOKUP(C3404,'Clients List'!A:F,6,FALSE),"")</f>
        <v/>
      </c>
    </row>
    <row r="3405" spans="4:9" x14ac:dyDescent="0.45">
      <c r="D3405" t="str">
        <f>IFERROR(VLOOKUP(C3405,'Clients List'!$A:$F,2,FALSE),"")</f>
        <v/>
      </c>
      <c r="F3405" s="1" t="str">
        <f>IF(OR(C3405="",NOT(ISNUMBER(SEARCH("Package",D3405)))),"",VLOOKUP(C3405,'Clients List'!$A:$F,4,FALSE)-SUMIFS($E$2:$E3405,$C$2:$C3405,C3405,$D$2:$D3405,"*Package*"))</f>
        <v/>
      </c>
      <c r="G3405" t="str">
        <f t="shared" si="86"/>
        <v/>
      </c>
      <c r="H3405" s="33">
        <f>IF(ISNUMBER(SEARCH("Group",D3405)),IF(G3405="",E3405,IFERROR(E3405/COUNTIF($G2:$G6000,G3405),E3405)),E3405)</f>
        <v>0</v>
      </c>
      <c r="I3405" s="1" t="str">
        <f>IFERROR(VLOOKUP(C3405,'Clients List'!A:F,6,FALSE),"")</f>
        <v/>
      </c>
    </row>
    <row r="3406" spans="4:9" x14ac:dyDescent="0.45">
      <c r="D3406" t="str">
        <f>IFERROR(VLOOKUP(C3406,'Clients List'!$A:$F,2,FALSE),"")</f>
        <v/>
      </c>
      <c r="F3406" s="1" t="str">
        <f>IF(OR(C3406="",NOT(ISNUMBER(SEARCH("Package",D3406)))),"",VLOOKUP(C3406,'Clients List'!$A:$F,4,FALSE)-SUMIFS($E$2:$E3406,$C$2:$C3406,C3406,$D$2:$D3406,"*Package*"))</f>
        <v/>
      </c>
      <c r="G3406" t="str">
        <f t="shared" si="86"/>
        <v/>
      </c>
      <c r="H3406" s="33">
        <f>IF(ISNUMBER(SEARCH("Group",D3406)),IF(G3406="",E3406,IFERROR(E3406/COUNTIF($G2:$G6000,G3406),E3406)),E3406)</f>
        <v>0</v>
      </c>
      <c r="I3406" s="1" t="str">
        <f>IFERROR(VLOOKUP(C3406,'Clients List'!A:F,6,FALSE),"")</f>
        <v/>
      </c>
    </row>
    <row r="3407" spans="4:9" x14ac:dyDescent="0.45">
      <c r="D3407" t="str">
        <f>IFERROR(VLOOKUP(C3407,'Clients List'!$A:$F,2,FALSE),"")</f>
        <v/>
      </c>
      <c r="F3407" s="1" t="str">
        <f>IF(OR(C3407="",NOT(ISNUMBER(SEARCH("Package",D3407)))),"",VLOOKUP(C3407,'Clients List'!$A:$F,4,FALSE)-SUMIFS($E$2:$E3407,$C$2:$C3407,C3407,$D$2:$D3407,"*Package*"))</f>
        <v/>
      </c>
      <c r="G3407" t="str">
        <f t="shared" si="86"/>
        <v/>
      </c>
      <c r="H3407" s="33">
        <f>IF(ISNUMBER(SEARCH("Group",D3407)),IF(G3407="",E3407,IFERROR(E3407/COUNTIF($G2:$G6000,G3407),E3407)),E3407)</f>
        <v>0</v>
      </c>
      <c r="I3407" s="1" t="str">
        <f>IFERROR(VLOOKUP(C3407,'Clients List'!A:F,6,FALSE),"")</f>
        <v/>
      </c>
    </row>
    <row r="3408" spans="4:9" x14ac:dyDescent="0.45">
      <c r="D3408" t="str">
        <f>IFERROR(VLOOKUP(C3408,'Clients List'!$A:$F,2,FALSE),"")</f>
        <v/>
      </c>
      <c r="F3408" s="1" t="str">
        <f>IF(OR(C3408="",NOT(ISNUMBER(SEARCH("Package",D3408)))),"",VLOOKUP(C3408,'Clients List'!$A:$F,4,FALSE)-SUMIFS($E$2:$E3408,$C$2:$C3408,C3408,$D$2:$D3408,"*Package*"))</f>
        <v/>
      </c>
      <c r="G3408" t="str">
        <f t="shared" si="86"/>
        <v/>
      </c>
      <c r="H3408" s="33">
        <f>IF(ISNUMBER(SEARCH("Group",D3408)),IF(G3408="",E3408,IFERROR(E3408/COUNTIF($G2:$G6000,G3408),E3408)),E3408)</f>
        <v>0</v>
      </c>
      <c r="I3408" s="1" t="str">
        <f>IFERROR(VLOOKUP(C3408,'Clients List'!A:F,6,FALSE),"")</f>
        <v/>
      </c>
    </row>
    <row r="3409" spans="4:9" x14ac:dyDescent="0.45">
      <c r="D3409" t="str">
        <f>IFERROR(VLOOKUP(C3409,'Clients List'!$A:$F,2,FALSE),"")</f>
        <v/>
      </c>
      <c r="F3409" s="1" t="str">
        <f>IF(OR(C3409="",NOT(ISNUMBER(SEARCH("Package",D3409)))),"",VLOOKUP(C3409,'Clients List'!$A:$F,4,FALSE)-SUMIFS($E$2:$E3409,$C$2:$C3409,C3409,$D$2:$D3409,"*Package*"))</f>
        <v/>
      </c>
      <c r="G3409" t="str">
        <f t="shared" si="86"/>
        <v/>
      </c>
      <c r="H3409" s="33">
        <f>IF(ISNUMBER(SEARCH("Group",D3409)),IF(G3409="",E3409,IFERROR(E3409/COUNTIF($G2:$G6000,G3409),E3409)),E3409)</f>
        <v>0</v>
      </c>
      <c r="I3409" s="1" t="str">
        <f>IFERROR(VLOOKUP(C3409,'Clients List'!A:F,6,FALSE),"")</f>
        <v/>
      </c>
    </row>
    <row r="3410" spans="4:9" x14ac:dyDescent="0.45">
      <c r="D3410" t="str">
        <f>IFERROR(VLOOKUP(C3410,'Clients List'!$A:$F,2,FALSE),"")</f>
        <v/>
      </c>
      <c r="F3410" s="1" t="str">
        <f>IF(OR(C3410="",NOT(ISNUMBER(SEARCH("Package",D3410)))),"",VLOOKUP(C3410,'Clients List'!$A:$F,4,FALSE)-SUMIFS($E$2:$E3410,$C$2:$C3410,C3410,$D$2:$D3410,"*Package*"))</f>
        <v/>
      </c>
      <c r="G3410" t="str">
        <f t="shared" si="86"/>
        <v/>
      </c>
      <c r="H3410" s="33">
        <f>IF(ISNUMBER(SEARCH("Group",D3410)),IF(G3410="",E3410,IFERROR(E3410/COUNTIF($G2:$G6000,G3410),E3410)),E3410)</f>
        <v>0</v>
      </c>
      <c r="I3410" s="1" t="str">
        <f>IFERROR(VLOOKUP(C3410,'Clients List'!A:F,6,FALSE),"")</f>
        <v/>
      </c>
    </row>
    <row r="3411" spans="4:9" x14ac:dyDescent="0.45">
      <c r="D3411" t="str">
        <f>IFERROR(VLOOKUP(C3411,'Clients List'!$A:$F,2,FALSE),"")</f>
        <v/>
      </c>
      <c r="F3411" s="1" t="str">
        <f>IF(OR(C3411="",NOT(ISNUMBER(SEARCH("Package",D3411)))),"",VLOOKUP(C3411,'Clients List'!$A:$F,4,FALSE)-SUMIFS($E$2:$E3411,$C$2:$C3411,C3411,$D$2:$D3411,"*Package*"))</f>
        <v/>
      </c>
      <c r="G3411" t="str">
        <f t="shared" si="86"/>
        <v/>
      </c>
      <c r="H3411" s="33">
        <f>IF(ISNUMBER(SEARCH("Group",D3411)),IF(G3411="",E3411,IFERROR(E3411/COUNTIF($G2:$G6000,G3411),E3411)),E3411)</f>
        <v>0</v>
      </c>
      <c r="I3411" s="1" t="str">
        <f>IFERROR(VLOOKUP(C3411,'Clients List'!A:F,6,FALSE),"")</f>
        <v/>
      </c>
    </row>
    <row r="3412" spans="4:9" x14ac:dyDescent="0.45">
      <c r="D3412" t="str">
        <f>IFERROR(VLOOKUP(C3412,'Clients List'!$A:$F,2,FALSE),"")</f>
        <v/>
      </c>
      <c r="F3412" s="1" t="str">
        <f>IF(OR(C3412="",NOT(ISNUMBER(SEARCH("Package",D3412)))),"",VLOOKUP(C3412,'Clients List'!$A:$F,4,FALSE)-SUMIFS($E$2:$E3412,$C$2:$C3412,C3412,$D$2:$D3412,"*Package*"))</f>
        <v/>
      </c>
      <c r="G3412" t="str">
        <f t="shared" si="86"/>
        <v/>
      </c>
      <c r="H3412" s="33">
        <f>IF(ISNUMBER(SEARCH("Group",D3412)),IF(G3412="",E3412,IFERROR(E3412/COUNTIF($G2:$G6000,G3412),E3412)),E3412)</f>
        <v>0</v>
      </c>
      <c r="I3412" s="1" t="str">
        <f>IFERROR(VLOOKUP(C3412,'Clients List'!A:F,6,FALSE),"")</f>
        <v/>
      </c>
    </row>
    <row r="3413" spans="4:9" x14ac:dyDescent="0.45">
      <c r="D3413" t="str">
        <f>IFERROR(VLOOKUP(C3413,'Clients List'!$A:$F,2,FALSE),"")</f>
        <v/>
      </c>
      <c r="F3413" s="1" t="str">
        <f>IF(OR(C3413="",NOT(ISNUMBER(SEARCH("Package",D3413)))),"",VLOOKUP(C3413,'Clients List'!$A:$F,4,FALSE)-SUMIFS($E$2:$E3413,$C$2:$C3413,C3413,$D$2:$D3413,"*Package*"))</f>
        <v/>
      </c>
      <c r="G3413" t="str">
        <f t="shared" si="86"/>
        <v/>
      </c>
      <c r="H3413" s="33">
        <f>IF(ISNUMBER(SEARCH("Group",D3413)),IF(G3413="",E3413,IFERROR(E3413/COUNTIF($G2:$G6000,G3413),E3413)),E3413)</f>
        <v>0</v>
      </c>
      <c r="I3413" s="1" t="str">
        <f>IFERROR(VLOOKUP(C3413,'Clients List'!A:F,6,FALSE),"")</f>
        <v/>
      </c>
    </row>
    <row r="3414" spans="4:9" x14ac:dyDescent="0.45">
      <c r="D3414" t="str">
        <f>IFERROR(VLOOKUP(C3414,'Clients List'!$A:$F,2,FALSE),"")</f>
        <v/>
      </c>
      <c r="F3414" s="1" t="str">
        <f>IF(OR(C3414="",NOT(ISNUMBER(SEARCH("Package",D3414)))),"",VLOOKUP(C3414,'Clients List'!$A:$F,4,FALSE)-SUMIFS($E$2:$E3414,$C$2:$C3414,C3414,$D$2:$D3414,"*Package*"))</f>
        <v/>
      </c>
      <c r="G3414" t="str">
        <f t="shared" si="86"/>
        <v/>
      </c>
      <c r="H3414" s="33">
        <f>IF(ISNUMBER(SEARCH("Group",D3414)),IF(G3414="",E3414,IFERROR(E3414/COUNTIF($G2:$G6000,G3414),E3414)),E3414)</f>
        <v>0</v>
      </c>
      <c r="I3414" s="1" t="str">
        <f>IFERROR(VLOOKUP(C3414,'Clients List'!A:F,6,FALSE),"")</f>
        <v/>
      </c>
    </row>
    <row r="3415" spans="4:9" x14ac:dyDescent="0.45">
      <c r="D3415" t="str">
        <f>IFERROR(VLOOKUP(C3415,'Clients List'!$A:$F,2,FALSE),"")</f>
        <v/>
      </c>
      <c r="F3415" s="1" t="str">
        <f>IF(OR(C3415="",NOT(ISNUMBER(SEARCH("Package",D3415)))),"",VLOOKUP(C3415,'Clients List'!$A:$F,4,FALSE)-SUMIFS($E$2:$E3415,$C$2:$C3415,C3415,$D$2:$D3415,"*Package*"))</f>
        <v/>
      </c>
      <c r="G3415" t="str">
        <f t="shared" si="86"/>
        <v/>
      </c>
      <c r="H3415" s="33">
        <f>IF(ISNUMBER(SEARCH("Group",D3415)),IF(G3415="",E3415,IFERROR(E3415/COUNTIF($G2:$G6000,G3415),E3415)),E3415)</f>
        <v>0</v>
      </c>
      <c r="I3415" s="1" t="str">
        <f>IFERROR(VLOOKUP(C3415,'Clients List'!A:F,6,FALSE),"")</f>
        <v/>
      </c>
    </row>
    <row r="3416" spans="4:9" x14ac:dyDescent="0.45">
      <c r="D3416" t="str">
        <f>IFERROR(VLOOKUP(C3416,'Clients List'!$A:$F,2,FALSE),"")</f>
        <v/>
      </c>
      <c r="F3416" s="1" t="str">
        <f>IF(OR(C3416="",NOT(ISNUMBER(SEARCH("Package",D3416)))),"",VLOOKUP(C3416,'Clients List'!$A:$F,4,FALSE)-SUMIFS($E$2:$E3416,$C$2:$C3416,C3416,$D$2:$D3416,"*Package*"))</f>
        <v/>
      </c>
      <c r="G3416" t="str">
        <f t="shared" si="86"/>
        <v/>
      </c>
      <c r="H3416" s="33">
        <f>IF(ISNUMBER(SEARCH("Group",D3416)),IF(G3416="",E3416,IFERROR(E3416/COUNTIF($G2:$G6000,G3416),E3416)),E3416)</f>
        <v>0</v>
      </c>
      <c r="I3416" s="1" t="str">
        <f>IFERROR(VLOOKUP(C3416,'Clients List'!A:F,6,FALSE),"")</f>
        <v/>
      </c>
    </row>
    <row r="3417" spans="4:9" x14ac:dyDescent="0.45">
      <c r="D3417" t="str">
        <f>IFERROR(VLOOKUP(C3417,'Clients List'!$A:$F,2,FALSE),"")</f>
        <v/>
      </c>
      <c r="F3417" s="1" t="str">
        <f>IF(OR(C3417="",NOT(ISNUMBER(SEARCH("Package",D3417)))),"",VLOOKUP(C3417,'Clients List'!$A:$F,4,FALSE)-SUMIFS($E$2:$E3417,$C$2:$C3417,C3417,$D$2:$D3417,"*Package*"))</f>
        <v/>
      </c>
      <c r="G3417" t="str">
        <f t="shared" si="86"/>
        <v/>
      </c>
      <c r="H3417" s="33">
        <f>IF(ISNUMBER(SEARCH("Group",D3417)),IF(G3417="",E3417,IFERROR(E3417/COUNTIF($G2:$G6000,G3417),E3417)),E3417)</f>
        <v>0</v>
      </c>
      <c r="I3417" s="1" t="str">
        <f>IFERROR(VLOOKUP(C3417,'Clients List'!A:F,6,FALSE),"")</f>
        <v/>
      </c>
    </row>
    <row r="3418" spans="4:9" x14ac:dyDescent="0.45">
      <c r="D3418" t="str">
        <f>IFERROR(VLOOKUP(C3418,'Clients List'!$A:$F,2,FALSE),"")</f>
        <v/>
      </c>
      <c r="F3418" s="1" t="str">
        <f>IF(OR(C3418="",NOT(ISNUMBER(SEARCH("Package",D3418)))),"",VLOOKUP(C3418,'Clients List'!$A:$F,4,FALSE)-SUMIFS($E$2:$E3418,$C$2:$C3418,C3418,$D$2:$D3418,"*Package*"))</f>
        <v/>
      </c>
      <c r="G3418" t="str">
        <f t="shared" si="86"/>
        <v/>
      </c>
      <c r="H3418" s="33">
        <f>IF(ISNUMBER(SEARCH("Group",D3418)),IF(G3418="",E3418,IFERROR(E3418/COUNTIF($G2:$G6000,G3418),E3418)),E3418)</f>
        <v>0</v>
      </c>
      <c r="I3418" s="1" t="str">
        <f>IFERROR(VLOOKUP(C3418,'Clients List'!A:F,6,FALSE),"")</f>
        <v/>
      </c>
    </row>
    <row r="3419" spans="4:9" x14ac:dyDescent="0.45">
      <c r="D3419" t="str">
        <f>IFERROR(VLOOKUP(C3419,'Clients List'!$A:$F,2,FALSE),"")</f>
        <v/>
      </c>
      <c r="F3419" s="1" t="str">
        <f>IF(OR(C3419="",NOT(ISNUMBER(SEARCH("Package",D3419)))),"",VLOOKUP(C3419,'Clients List'!$A:$F,4,FALSE)-SUMIFS($E$2:$E3419,$C$2:$C3419,C3419,$D$2:$D3419,"*Package*"))</f>
        <v/>
      </c>
      <c r="G3419" t="str">
        <f t="shared" si="86"/>
        <v/>
      </c>
      <c r="H3419" s="33">
        <f>IF(ISNUMBER(SEARCH("Group",D3419)),IF(G3419="",E3419,IFERROR(E3419/COUNTIF($G2:$G6000,G3419),E3419)),E3419)</f>
        <v>0</v>
      </c>
      <c r="I3419" s="1" t="str">
        <f>IFERROR(VLOOKUP(C3419,'Clients List'!A:F,6,FALSE),"")</f>
        <v/>
      </c>
    </row>
    <row r="3420" spans="4:9" x14ac:dyDescent="0.45">
      <c r="D3420" t="str">
        <f>IFERROR(VLOOKUP(C3420,'Clients List'!$A:$F,2,FALSE),"")</f>
        <v/>
      </c>
      <c r="F3420" s="1" t="str">
        <f>IF(OR(C3420="",NOT(ISNUMBER(SEARCH("Package",D3420)))),"",VLOOKUP(C3420,'Clients List'!$A:$F,4,FALSE)-SUMIFS($E$2:$E3420,$C$2:$C3420,C3420,$D$2:$D3420,"*Package*"))</f>
        <v/>
      </c>
      <c r="G3420" t="str">
        <f t="shared" si="86"/>
        <v/>
      </c>
      <c r="H3420" s="33">
        <f>IF(ISNUMBER(SEARCH("Group",D3420)),IF(G3420="",E3420,IFERROR(E3420/COUNTIF($G2:$G6000,G3420),E3420)),E3420)</f>
        <v>0</v>
      </c>
      <c r="I3420" s="1" t="str">
        <f>IFERROR(VLOOKUP(C3420,'Clients List'!A:F,6,FALSE),"")</f>
        <v/>
      </c>
    </row>
    <row r="3421" spans="4:9" x14ac:dyDescent="0.45">
      <c r="D3421" t="str">
        <f>IFERROR(VLOOKUP(C3421,'Clients List'!$A:$F,2,FALSE),"")</f>
        <v/>
      </c>
      <c r="F3421" s="1" t="str">
        <f>IF(OR(C3421="",NOT(ISNUMBER(SEARCH("Package",D3421)))),"",VLOOKUP(C3421,'Clients List'!$A:$F,4,FALSE)-SUMIFS($E$2:$E3421,$C$2:$C3421,C3421,$D$2:$D3421,"*Package*"))</f>
        <v/>
      </c>
      <c r="G3421" t="str">
        <f t="shared" si="86"/>
        <v/>
      </c>
      <c r="H3421" s="33">
        <f>IF(ISNUMBER(SEARCH("Group",D3421)),IF(G3421="",E3421,IFERROR(E3421/COUNTIF($G2:$G6000,G3421),E3421)),E3421)</f>
        <v>0</v>
      </c>
      <c r="I3421" s="1" t="str">
        <f>IFERROR(VLOOKUP(C3421,'Clients List'!A:F,6,FALSE),"")</f>
        <v/>
      </c>
    </row>
    <row r="3422" spans="4:9" x14ac:dyDescent="0.45">
      <c r="D3422" t="str">
        <f>IFERROR(VLOOKUP(C3422,'Clients List'!$A:$F,2,FALSE),"")</f>
        <v/>
      </c>
      <c r="F3422" s="1" t="str">
        <f>IF(OR(C3422="",NOT(ISNUMBER(SEARCH("Package",D3422)))),"",VLOOKUP(C3422,'Clients List'!$A:$F,4,FALSE)-SUMIFS($E$2:$E3422,$C$2:$C3422,C3422,$D$2:$D3422,"*Package*"))</f>
        <v/>
      </c>
      <c r="G3422" t="str">
        <f t="shared" si="86"/>
        <v/>
      </c>
      <c r="H3422" s="33">
        <f>IF(ISNUMBER(SEARCH("Group",D3422)),IF(G3422="",E3422,IFERROR(E3422/COUNTIF($G2:$G6000,G3422),E3422)),E3422)</f>
        <v>0</v>
      </c>
      <c r="I3422" s="1" t="str">
        <f>IFERROR(VLOOKUP(C3422,'Clients List'!A:F,6,FALSE),"")</f>
        <v/>
      </c>
    </row>
    <row r="3423" spans="4:9" x14ac:dyDescent="0.45">
      <c r="D3423" t="str">
        <f>IFERROR(VLOOKUP(C3423,'Clients List'!$A:$F,2,FALSE),"")</f>
        <v/>
      </c>
      <c r="F3423" s="1" t="str">
        <f>IF(OR(C3423="",NOT(ISNUMBER(SEARCH("Package",D3423)))),"",VLOOKUP(C3423,'Clients List'!$A:$F,4,FALSE)-SUMIFS($E$2:$E3423,$C$2:$C3423,C3423,$D$2:$D3423,"*Package*"))</f>
        <v/>
      </c>
      <c r="G3423" t="str">
        <f t="shared" si="86"/>
        <v/>
      </c>
      <c r="H3423" s="33">
        <f>IF(ISNUMBER(SEARCH("Group",D3423)),IF(G3423="",E3423,IFERROR(E3423/COUNTIF($G2:$G6000,G3423),E3423)),E3423)</f>
        <v>0</v>
      </c>
      <c r="I3423" s="1" t="str">
        <f>IFERROR(VLOOKUP(C3423,'Clients List'!A:F,6,FALSE),"")</f>
        <v/>
      </c>
    </row>
    <row r="3424" spans="4:9" x14ac:dyDescent="0.45">
      <c r="D3424" t="str">
        <f>IFERROR(VLOOKUP(C3424,'Clients List'!$A:$F,2,FALSE),"")</f>
        <v/>
      </c>
      <c r="F3424" s="1" t="str">
        <f>IF(OR(C3424="",NOT(ISNUMBER(SEARCH("Package",D3424)))),"",VLOOKUP(C3424,'Clients List'!$A:$F,4,FALSE)-SUMIFS($E$2:$E3424,$C$2:$C3424,C3424,$D$2:$D3424,"*Package*"))</f>
        <v/>
      </c>
      <c r="G3424" t="str">
        <f t="shared" si="86"/>
        <v/>
      </c>
      <c r="H3424" s="33">
        <f>IF(ISNUMBER(SEARCH("Group",D3424)),IF(G3424="",E3424,IFERROR(E3424/COUNTIF($G2:$G6000,G3424),E3424)),E3424)</f>
        <v>0</v>
      </c>
      <c r="I3424" s="1" t="str">
        <f>IFERROR(VLOOKUP(C3424,'Clients List'!A:F,6,FALSE),"")</f>
        <v/>
      </c>
    </row>
    <row r="3425" spans="4:9" x14ac:dyDescent="0.45">
      <c r="D3425" t="str">
        <f>IFERROR(VLOOKUP(C3425,'Clients List'!$A:$F,2,FALSE),"")</f>
        <v/>
      </c>
      <c r="F3425" s="1" t="str">
        <f>IF(OR(C3425="",NOT(ISNUMBER(SEARCH("Package",D3425)))),"",VLOOKUP(C3425,'Clients List'!$A:$F,4,FALSE)-SUMIFS($E$2:$E3425,$C$2:$C3425,C3425,$D$2:$D3425,"*Package*"))</f>
        <v/>
      </c>
      <c r="G3425" t="str">
        <f t="shared" si="86"/>
        <v/>
      </c>
      <c r="H3425" s="33">
        <f>IF(ISNUMBER(SEARCH("Group",D3425)),IF(G3425="",E3425,IFERROR(E3425/COUNTIF($G2:$G6000,G3425),E3425)),E3425)</f>
        <v>0</v>
      </c>
      <c r="I3425" s="1" t="str">
        <f>IFERROR(VLOOKUP(C3425,'Clients List'!A:F,6,FALSE),"")</f>
        <v/>
      </c>
    </row>
    <row r="3426" spans="4:9" x14ac:dyDescent="0.45">
      <c r="D3426" t="str">
        <f>IFERROR(VLOOKUP(C3426,'Clients List'!$A:$F,2,FALSE),"")</f>
        <v/>
      </c>
      <c r="F3426" s="1" t="str">
        <f>IF(OR(C3426="",NOT(ISNUMBER(SEARCH("Package",D3426)))),"",VLOOKUP(C3426,'Clients List'!$A:$F,4,FALSE)-SUMIFS($E$2:$E3426,$C$2:$C3426,C3426,$D$2:$D3426,"*Package*"))</f>
        <v/>
      </c>
      <c r="G3426" t="str">
        <f t="shared" si="86"/>
        <v/>
      </c>
      <c r="H3426" s="33">
        <f>IF(ISNUMBER(SEARCH("Group",D3426)),IF(G3426="",E3426,IFERROR(E3426/COUNTIF($G2:$G6000,G3426),E3426)),E3426)</f>
        <v>0</v>
      </c>
      <c r="I3426" s="1" t="str">
        <f>IFERROR(VLOOKUP(C3426,'Clients List'!A:F,6,FALSE),"")</f>
        <v/>
      </c>
    </row>
    <row r="3427" spans="4:9" x14ac:dyDescent="0.45">
      <c r="D3427" t="str">
        <f>IFERROR(VLOOKUP(C3427,'Clients List'!$A:$F,2,FALSE),"")</f>
        <v/>
      </c>
      <c r="F3427" s="1" t="str">
        <f>IF(OR(C3427="",NOT(ISNUMBER(SEARCH("Package",D3427)))),"",VLOOKUP(C3427,'Clients List'!$A:$F,4,FALSE)-SUMIFS($E$2:$E3427,$C$2:$C3427,C3427,$D$2:$D3427,"*Package*"))</f>
        <v/>
      </c>
      <c r="G3427" t="str">
        <f t="shared" si="86"/>
        <v/>
      </c>
      <c r="H3427" s="33">
        <f>IF(ISNUMBER(SEARCH("Group",D3427)),IF(G3427="",E3427,IFERROR(E3427/COUNTIF($G2:$G6000,G3427),E3427)),E3427)</f>
        <v>0</v>
      </c>
      <c r="I3427" s="1" t="str">
        <f>IFERROR(VLOOKUP(C3427,'Clients List'!A:F,6,FALSE),"")</f>
        <v/>
      </c>
    </row>
    <row r="3428" spans="4:9" x14ac:dyDescent="0.45">
      <c r="D3428" t="str">
        <f>IFERROR(VLOOKUP(C3428,'Clients List'!$A:$F,2,FALSE),"")</f>
        <v/>
      </c>
      <c r="F3428" s="1" t="str">
        <f>IF(OR(C3428="",NOT(ISNUMBER(SEARCH("Package",D3428)))),"",VLOOKUP(C3428,'Clients List'!$A:$F,4,FALSE)-SUMIFS($E$2:$E3428,$C$2:$C3428,C3428,$D$2:$D3428,"*Package*"))</f>
        <v/>
      </c>
      <c r="G3428" t="str">
        <f t="shared" si="86"/>
        <v/>
      </c>
      <c r="H3428" s="33">
        <f>IF(ISNUMBER(SEARCH("Group",D3428)),IF(G3428="",E3428,IFERROR(E3428/COUNTIF($G2:$G6000,G3428),E3428)),E3428)</f>
        <v>0</v>
      </c>
      <c r="I3428" s="1" t="str">
        <f>IFERROR(VLOOKUP(C3428,'Clients List'!A:F,6,FALSE),"")</f>
        <v/>
      </c>
    </row>
    <row r="3429" spans="4:9" x14ac:dyDescent="0.45">
      <c r="D3429" t="str">
        <f>IFERROR(VLOOKUP(C3429,'Clients List'!$A:$F,2,FALSE),"")</f>
        <v/>
      </c>
      <c r="F3429" s="1" t="str">
        <f>IF(OR(C3429="",NOT(ISNUMBER(SEARCH("Package",D3429)))),"",VLOOKUP(C3429,'Clients List'!$A:$F,4,FALSE)-SUMIFS($E$2:$E3429,$C$2:$C3429,C3429,$D$2:$D3429,"*Package*"))</f>
        <v/>
      </c>
      <c r="G3429" t="str">
        <f t="shared" si="86"/>
        <v/>
      </c>
      <c r="H3429" s="33">
        <f>IF(ISNUMBER(SEARCH("Group",D3429)),IF(G3429="",E3429,IFERROR(E3429/COUNTIF($G2:$G6000,G3429),E3429)),E3429)</f>
        <v>0</v>
      </c>
      <c r="I3429" s="1" t="str">
        <f>IFERROR(VLOOKUP(C3429,'Clients List'!A:F,6,FALSE),"")</f>
        <v/>
      </c>
    </row>
    <row r="3430" spans="4:9" x14ac:dyDescent="0.45">
      <c r="D3430" t="str">
        <f>IFERROR(VLOOKUP(C3430,'Clients List'!$A:$F,2,FALSE),"")</f>
        <v/>
      </c>
      <c r="F3430" s="1" t="str">
        <f>IF(OR(C3430="",NOT(ISNUMBER(SEARCH("Package",D3430)))),"",VLOOKUP(C3430,'Clients List'!$A:$F,4,FALSE)-SUMIFS($E$2:$E3430,$C$2:$C3430,C3430,$D$2:$D3430,"*Package*"))</f>
        <v/>
      </c>
      <c r="G3430" t="str">
        <f t="shared" si="86"/>
        <v/>
      </c>
      <c r="H3430" s="33">
        <f>IF(ISNUMBER(SEARCH("Group",D3430)),IF(G3430="",E3430,IFERROR(E3430/COUNTIF($G2:$G6000,G3430),E3430)),E3430)</f>
        <v>0</v>
      </c>
      <c r="I3430" s="1" t="str">
        <f>IFERROR(VLOOKUP(C3430,'Clients List'!A:F,6,FALSE),"")</f>
        <v/>
      </c>
    </row>
    <row r="3431" spans="4:9" x14ac:dyDescent="0.45">
      <c r="D3431" t="str">
        <f>IFERROR(VLOOKUP(C3431,'Clients List'!$A:$F,2,FALSE),"")</f>
        <v/>
      </c>
      <c r="F3431" s="1" t="str">
        <f>IF(OR(C3431="",NOT(ISNUMBER(SEARCH("Package",D3431)))),"",VLOOKUP(C3431,'Clients List'!$A:$F,4,FALSE)-SUMIFS($E$2:$E3431,$C$2:$C3431,C3431,$D$2:$D3431,"*Package*"))</f>
        <v/>
      </c>
      <c r="G3431" t="str">
        <f t="shared" si="86"/>
        <v/>
      </c>
      <c r="H3431" s="33">
        <f>IF(ISNUMBER(SEARCH("Group",D3431)),IF(G3431="",E3431,IFERROR(E3431/COUNTIF($G2:$G6000,G3431),E3431)),E3431)</f>
        <v>0</v>
      </c>
      <c r="I3431" s="1" t="str">
        <f>IFERROR(VLOOKUP(C3431,'Clients List'!A:F,6,FALSE),"")</f>
        <v/>
      </c>
    </row>
    <row r="3432" spans="4:9" x14ac:dyDescent="0.45">
      <c r="D3432" t="str">
        <f>IFERROR(VLOOKUP(C3432,'Clients List'!$A:$F,2,FALSE),"")</f>
        <v/>
      </c>
      <c r="F3432" s="1" t="str">
        <f>IF(OR(C3432="",NOT(ISNUMBER(SEARCH("Package",D3432)))),"",VLOOKUP(C3432,'Clients List'!$A:$F,4,FALSE)-SUMIFS($E$2:$E3432,$C$2:$C3432,C3432,$D$2:$D3432,"*Package*"))</f>
        <v/>
      </c>
      <c r="G3432" t="str">
        <f t="shared" si="86"/>
        <v/>
      </c>
      <c r="H3432" s="33">
        <f>IF(ISNUMBER(SEARCH("Group",D3432)),IF(G3432="",E3432,IFERROR(E3432/COUNTIF($G2:$G6000,G3432),E3432)),E3432)</f>
        <v>0</v>
      </c>
      <c r="I3432" s="1" t="str">
        <f>IFERROR(VLOOKUP(C3432,'Clients List'!A:F,6,FALSE),"")</f>
        <v/>
      </c>
    </row>
    <row r="3433" spans="4:9" x14ac:dyDescent="0.45">
      <c r="D3433" t="str">
        <f>IFERROR(VLOOKUP(C3433,'Clients List'!$A:$F,2,FALSE),"")</f>
        <v/>
      </c>
      <c r="F3433" s="1" t="str">
        <f>IF(OR(C3433="",NOT(ISNUMBER(SEARCH("Package",D3433)))),"",VLOOKUP(C3433,'Clients List'!$A:$F,4,FALSE)-SUMIFS($E$2:$E3433,$C$2:$C3433,C3433,$D$2:$D3433,"*Package*"))</f>
        <v/>
      </c>
      <c r="G3433" t="str">
        <f t="shared" si="86"/>
        <v/>
      </c>
      <c r="H3433" s="33">
        <f>IF(ISNUMBER(SEARCH("Group",D3433)),IF(G3433="",E3433,IFERROR(E3433/COUNTIF($G2:$G6000,G3433),E3433)),E3433)</f>
        <v>0</v>
      </c>
      <c r="I3433" s="1" t="str">
        <f>IFERROR(VLOOKUP(C3433,'Clients List'!A:F,6,FALSE),"")</f>
        <v/>
      </c>
    </row>
    <row r="3434" spans="4:9" x14ac:dyDescent="0.45">
      <c r="D3434" t="str">
        <f>IFERROR(VLOOKUP(C3434,'Clients List'!$A:$F,2,FALSE),"")</f>
        <v/>
      </c>
      <c r="F3434" s="1" t="str">
        <f>IF(OR(C3434="",NOT(ISNUMBER(SEARCH("Package",D3434)))),"",VLOOKUP(C3434,'Clients List'!$A:$F,4,FALSE)-SUMIFS($E$2:$E3434,$C$2:$C3434,C3434,$D$2:$D3434,"*Package*"))</f>
        <v/>
      </c>
      <c r="G3434" t="str">
        <f t="shared" si="86"/>
        <v/>
      </c>
      <c r="H3434" s="33">
        <f>IF(ISNUMBER(SEARCH("Group",D3434)),IF(G3434="",E3434,IFERROR(E3434/COUNTIF($G2:$G6000,G3434),E3434)),E3434)</f>
        <v>0</v>
      </c>
      <c r="I3434" s="1" t="str">
        <f>IFERROR(VLOOKUP(C3434,'Clients List'!A:F,6,FALSE),"")</f>
        <v/>
      </c>
    </row>
    <row r="3435" spans="4:9" x14ac:dyDescent="0.45">
      <c r="D3435" t="str">
        <f>IFERROR(VLOOKUP(C3435,'Clients List'!$A:$F,2,FALSE),"")</f>
        <v/>
      </c>
      <c r="F3435" s="1" t="str">
        <f>IF(OR(C3435="",NOT(ISNUMBER(SEARCH("Package",D3435)))),"",VLOOKUP(C3435,'Clients List'!$A:$F,4,FALSE)-SUMIFS($E$2:$E3435,$C$2:$C3435,C3435,$D$2:$D3435,"*Package*"))</f>
        <v/>
      </c>
      <c r="G3435" t="str">
        <f t="shared" si="86"/>
        <v/>
      </c>
      <c r="H3435" s="33">
        <f>IF(ISNUMBER(SEARCH("Group",D3435)),IF(G3435="",E3435,IFERROR(E3435/COUNTIF($G2:$G6000,G3435),E3435)),E3435)</f>
        <v>0</v>
      </c>
      <c r="I3435" s="1" t="str">
        <f>IFERROR(VLOOKUP(C3435,'Clients List'!A:F,6,FALSE),"")</f>
        <v/>
      </c>
    </row>
    <row r="3436" spans="4:9" x14ac:dyDescent="0.45">
      <c r="D3436" t="str">
        <f>IFERROR(VLOOKUP(C3436,'Clients List'!$A:$F,2,FALSE),"")</f>
        <v/>
      </c>
      <c r="F3436" s="1" t="str">
        <f>IF(OR(C3436="",NOT(ISNUMBER(SEARCH("Package",D3436)))),"",VLOOKUP(C3436,'Clients List'!$A:$F,4,FALSE)-SUMIFS($E$2:$E3436,$C$2:$C3436,C3436,$D$2:$D3436,"*Package*"))</f>
        <v/>
      </c>
      <c r="G3436" t="str">
        <f t="shared" si="86"/>
        <v/>
      </c>
      <c r="H3436" s="33">
        <f>IF(ISNUMBER(SEARCH("Group",D3436)),IF(G3436="",E3436,IFERROR(E3436/COUNTIF($G2:$G6000,G3436),E3436)),E3436)</f>
        <v>0</v>
      </c>
      <c r="I3436" s="1" t="str">
        <f>IFERROR(VLOOKUP(C3436,'Clients List'!A:F,6,FALSE),"")</f>
        <v/>
      </c>
    </row>
    <row r="3437" spans="4:9" x14ac:dyDescent="0.45">
      <c r="D3437" t="str">
        <f>IFERROR(VLOOKUP(C3437,'Clients List'!$A:$F,2,FALSE),"")</f>
        <v/>
      </c>
      <c r="F3437" s="1" t="str">
        <f>IF(OR(C3437="",NOT(ISNUMBER(SEARCH("Package",D3437)))),"",VLOOKUP(C3437,'Clients List'!$A:$F,4,FALSE)-SUMIFS($E$2:$E3437,$C$2:$C3437,C3437,$D$2:$D3437,"*Package*"))</f>
        <v/>
      </c>
      <c r="G3437" t="str">
        <f t="shared" si="86"/>
        <v/>
      </c>
      <c r="H3437" s="33">
        <f>IF(ISNUMBER(SEARCH("Group",D3437)),IF(G3437="",E3437,IFERROR(E3437/COUNTIF($G2:$G6000,G3437),E3437)),E3437)</f>
        <v>0</v>
      </c>
      <c r="I3437" s="1" t="str">
        <f>IFERROR(VLOOKUP(C3437,'Clients List'!A:F,6,FALSE),"")</f>
        <v/>
      </c>
    </row>
    <row r="3438" spans="4:9" x14ac:dyDescent="0.45">
      <c r="D3438" t="str">
        <f>IFERROR(VLOOKUP(C3438,'Clients List'!$A:$F,2,FALSE),"")</f>
        <v/>
      </c>
      <c r="F3438" s="1" t="str">
        <f>IF(OR(C3438="",NOT(ISNUMBER(SEARCH("Package",D3438)))),"",VLOOKUP(C3438,'Clients List'!$A:$F,4,FALSE)-SUMIFS($E$2:$E3438,$C$2:$C3438,C3438,$D$2:$D3438,"*Package*"))</f>
        <v/>
      </c>
      <c r="G3438" t="str">
        <f t="shared" si="86"/>
        <v/>
      </c>
      <c r="H3438" s="33">
        <f>IF(ISNUMBER(SEARCH("Group",D3438)),IF(G3438="",E3438,IFERROR(E3438/COUNTIF($G2:$G6000,G3438),E3438)),E3438)</f>
        <v>0</v>
      </c>
      <c r="I3438" s="1" t="str">
        <f>IFERROR(VLOOKUP(C3438,'Clients List'!A:F,6,FALSE),"")</f>
        <v/>
      </c>
    </row>
    <row r="3439" spans="4:9" x14ac:dyDescent="0.45">
      <c r="D3439" t="str">
        <f>IFERROR(VLOOKUP(C3439,'Clients List'!$A:$F,2,FALSE),"")</f>
        <v/>
      </c>
      <c r="F3439" s="1" t="str">
        <f>IF(OR(C3439="",NOT(ISNUMBER(SEARCH("Package",D3439)))),"",VLOOKUP(C3439,'Clients List'!$A:$F,4,FALSE)-SUMIFS($E$2:$E3439,$C$2:$C3439,C3439,$D$2:$D3439,"*Package*"))</f>
        <v/>
      </c>
      <c r="G3439" t="str">
        <f t="shared" si="86"/>
        <v/>
      </c>
      <c r="H3439" s="33">
        <f>IF(ISNUMBER(SEARCH("Group",D3439)),IF(G3439="",E3439,IFERROR(E3439/COUNTIF($G2:$G6000,G3439),E3439)),E3439)</f>
        <v>0</v>
      </c>
      <c r="I3439" s="1" t="str">
        <f>IFERROR(VLOOKUP(C3439,'Clients List'!A:F,6,FALSE),"")</f>
        <v/>
      </c>
    </row>
    <row r="3440" spans="4:9" x14ac:dyDescent="0.45">
      <c r="D3440" t="str">
        <f>IFERROR(VLOOKUP(C3440,'Clients List'!$A:$F,2,FALSE),"")</f>
        <v/>
      </c>
      <c r="F3440" s="1" t="str">
        <f>IF(OR(C3440="",NOT(ISNUMBER(SEARCH("Package",D3440)))),"",VLOOKUP(C3440,'Clients List'!$A:$F,4,FALSE)-SUMIFS($E$2:$E3440,$C$2:$C3440,C3440,$D$2:$D3440,"*Package*"))</f>
        <v/>
      </c>
      <c r="G3440" t="str">
        <f t="shared" si="86"/>
        <v/>
      </c>
      <c r="H3440" s="33">
        <f>IF(ISNUMBER(SEARCH("Group",D3440)),IF(G3440="",E3440,IFERROR(E3440/COUNTIF($G2:$G6000,G3440),E3440)),E3440)</f>
        <v>0</v>
      </c>
      <c r="I3440" s="1" t="str">
        <f>IFERROR(VLOOKUP(C3440,'Clients List'!A:F,6,FALSE),"")</f>
        <v/>
      </c>
    </row>
    <row r="3441" spans="4:9" x14ac:dyDescent="0.45">
      <c r="D3441" t="str">
        <f>IFERROR(VLOOKUP(C3441,'Clients List'!$A:$F,2,FALSE),"")</f>
        <v/>
      </c>
      <c r="F3441" s="1" t="str">
        <f>IF(OR(C3441="",NOT(ISNUMBER(SEARCH("Package",D3441)))),"",VLOOKUP(C3441,'Clients List'!$A:$F,4,FALSE)-SUMIFS($E$2:$E3441,$C$2:$C3441,C3441,$D$2:$D3441,"*Package*"))</f>
        <v/>
      </c>
      <c r="G3441" t="str">
        <f t="shared" si="86"/>
        <v/>
      </c>
      <c r="H3441" s="33">
        <f>IF(ISNUMBER(SEARCH("Group",D3441)),IF(G3441="",E3441,IFERROR(E3441/COUNTIF($G2:$G6000,G3441),E3441)),E3441)</f>
        <v>0</v>
      </c>
      <c r="I3441" s="1" t="str">
        <f>IFERROR(VLOOKUP(C3441,'Clients List'!A:F,6,FALSE),"")</f>
        <v/>
      </c>
    </row>
    <row r="3442" spans="4:9" x14ac:dyDescent="0.45">
      <c r="D3442" t="str">
        <f>IFERROR(VLOOKUP(C3442,'Clients List'!$A:$F,2,FALSE),"")</f>
        <v/>
      </c>
      <c r="F3442" s="1" t="str">
        <f>IF(OR(C3442="",NOT(ISNUMBER(SEARCH("Package",D3442)))),"",VLOOKUP(C3442,'Clients List'!$A:$F,4,FALSE)-SUMIFS($E$2:$E3442,$C$2:$C3442,C3442,$D$2:$D3442,"*Package*"))</f>
        <v/>
      </c>
      <c r="G3442" t="str">
        <f t="shared" si="86"/>
        <v/>
      </c>
      <c r="H3442" s="33">
        <f>IF(ISNUMBER(SEARCH("Group",D3442)),IF(G3442="",E3442,IFERROR(E3442/COUNTIF($G2:$G6000,G3442),E3442)),E3442)</f>
        <v>0</v>
      </c>
      <c r="I3442" s="1" t="str">
        <f>IFERROR(VLOOKUP(C3442,'Clients List'!A:F,6,FALSE),"")</f>
        <v/>
      </c>
    </row>
    <row r="3443" spans="4:9" x14ac:dyDescent="0.45">
      <c r="D3443" t="str">
        <f>IFERROR(VLOOKUP(C3443,'Clients List'!$A:$F,2,FALSE),"")</f>
        <v/>
      </c>
      <c r="F3443" s="1" t="str">
        <f>IF(OR(C3443="",NOT(ISNUMBER(SEARCH("Package",D3443)))),"",VLOOKUP(C3443,'Clients List'!$A:$F,4,FALSE)-SUMIFS($E$2:$E3443,$C$2:$C3443,C3443,$D$2:$D3443,"*Package*"))</f>
        <v/>
      </c>
      <c r="G3443" t="str">
        <f t="shared" si="86"/>
        <v/>
      </c>
      <c r="H3443" s="33">
        <f>IF(ISNUMBER(SEARCH("Group",D3443)),IF(G3443="",E3443,IFERROR(E3443/COUNTIF($G2:$G6000,G3443),E3443)),E3443)</f>
        <v>0</v>
      </c>
      <c r="I3443" s="1" t="str">
        <f>IFERROR(VLOOKUP(C3443,'Clients List'!A:F,6,FALSE),"")</f>
        <v/>
      </c>
    </row>
    <row r="3444" spans="4:9" x14ac:dyDescent="0.45">
      <c r="D3444" t="str">
        <f>IFERROR(VLOOKUP(C3444,'Clients List'!$A:$F,2,FALSE),"")</f>
        <v/>
      </c>
      <c r="F3444" s="1" t="str">
        <f>IF(OR(C3444="",NOT(ISNUMBER(SEARCH("Package",D3444)))),"",VLOOKUP(C3444,'Clients List'!$A:$F,4,FALSE)-SUMIFS($E$2:$E3444,$C$2:$C3444,C3444,$D$2:$D3444,"*Package*"))</f>
        <v/>
      </c>
      <c r="G3444" t="str">
        <f t="shared" si="86"/>
        <v/>
      </c>
      <c r="H3444" s="33">
        <f>IF(ISNUMBER(SEARCH("Group",D3444)),IF(G3444="",E3444,IFERROR(E3444/COUNTIF($G2:$G6000,G3444),E3444)),E3444)</f>
        <v>0</v>
      </c>
      <c r="I3444" s="1" t="str">
        <f>IFERROR(VLOOKUP(C3444,'Clients List'!A:F,6,FALSE),"")</f>
        <v/>
      </c>
    </row>
    <row r="3445" spans="4:9" x14ac:dyDescent="0.45">
      <c r="D3445" t="str">
        <f>IFERROR(VLOOKUP(C3445,'Clients List'!$A:$F,2,FALSE),"")</f>
        <v/>
      </c>
      <c r="F3445" s="1" t="str">
        <f>IF(OR(C3445="",NOT(ISNUMBER(SEARCH("Package",D3445)))),"",VLOOKUP(C3445,'Clients List'!$A:$F,4,FALSE)-SUMIFS($E$2:$E3445,$C$2:$C3445,C3445,$D$2:$D3445,"*Package*"))</f>
        <v/>
      </c>
      <c r="G3445" t="str">
        <f t="shared" ref="G3445:G3508" si="87">IF(ISNUMBER(SEARCH("Group",D3445)),IFERROR("GRP-"&amp;TEXT(IF(ISNUMBER(A3445),A3445,DATEVALUE(A3445)),"yyyymmdd"),""),"" )</f>
        <v/>
      </c>
      <c r="H3445" s="33">
        <f>IF(ISNUMBER(SEARCH("Group",D3445)),IF(G3445="",E3445,IFERROR(E3445/COUNTIF($G2:$G6000,G3445),E3445)),E3445)</f>
        <v>0</v>
      </c>
      <c r="I3445" s="1" t="str">
        <f>IFERROR(VLOOKUP(C3445,'Clients List'!A:F,6,FALSE),"")</f>
        <v/>
      </c>
    </row>
    <row r="3446" spans="4:9" x14ac:dyDescent="0.45">
      <c r="D3446" t="str">
        <f>IFERROR(VLOOKUP(C3446,'Clients List'!$A:$F,2,FALSE),"")</f>
        <v/>
      </c>
      <c r="F3446" s="1" t="str">
        <f>IF(OR(C3446="",NOT(ISNUMBER(SEARCH("Package",D3446)))),"",VLOOKUP(C3446,'Clients List'!$A:$F,4,FALSE)-SUMIFS($E$2:$E3446,$C$2:$C3446,C3446,$D$2:$D3446,"*Package*"))</f>
        <v/>
      </c>
      <c r="G3446" t="str">
        <f t="shared" si="87"/>
        <v/>
      </c>
      <c r="H3446" s="33">
        <f>IF(ISNUMBER(SEARCH("Group",D3446)),IF(G3446="",E3446,IFERROR(E3446/COUNTIF($G2:$G6000,G3446),E3446)),E3446)</f>
        <v>0</v>
      </c>
      <c r="I3446" s="1" t="str">
        <f>IFERROR(VLOOKUP(C3446,'Clients List'!A:F,6,FALSE),"")</f>
        <v/>
      </c>
    </row>
    <row r="3447" spans="4:9" x14ac:dyDescent="0.45">
      <c r="D3447" t="str">
        <f>IFERROR(VLOOKUP(C3447,'Clients List'!$A:$F,2,FALSE),"")</f>
        <v/>
      </c>
      <c r="F3447" s="1" t="str">
        <f>IF(OR(C3447="",NOT(ISNUMBER(SEARCH("Package",D3447)))),"",VLOOKUP(C3447,'Clients List'!$A:$F,4,FALSE)-SUMIFS($E$2:$E3447,$C$2:$C3447,C3447,$D$2:$D3447,"*Package*"))</f>
        <v/>
      </c>
      <c r="G3447" t="str">
        <f t="shared" si="87"/>
        <v/>
      </c>
      <c r="H3447" s="33">
        <f>IF(ISNUMBER(SEARCH("Group",D3447)),IF(G3447="",E3447,IFERROR(E3447/COUNTIF($G2:$G6000,G3447),E3447)),E3447)</f>
        <v>0</v>
      </c>
      <c r="I3447" s="1" t="str">
        <f>IFERROR(VLOOKUP(C3447,'Clients List'!A:F,6,FALSE),"")</f>
        <v/>
      </c>
    </row>
    <row r="3448" spans="4:9" x14ac:dyDescent="0.45">
      <c r="D3448" t="str">
        <f>IFERROR(VLOOKUP(C3448,'Clients List'!$A:$F,2,FALSE),"")</f>
        <v/>
      </c>
      <c r="F3448" s="1" t="str">
        <f>IF(OR(C3448="",NOT(ISNUMBER(SEARCH("Package",D3448)))),"",VLOOKUP(C3448,'Clients List'!$A:$F,4,FALSE)-SUMIFS($E$2:$E3448,$C$2:$C3448,C3448,$D$2:$D3448,"*Package*"))</f>
        <v/>
      </c>
      <c r="G3448" t="str">
        <f t="shared" si="87"/>
        <v/>
      </c>
      <c r="H3448" s="33">
        <f>IF(ISNUMBER(SEARCH("Group",D3448)),IF(G3448="",E3448,IFERROR(E3448/COUNTIF($G2:$G6000,G3448),E3448)),E3448)</f>
        <v>0</v>
      </c>
      <c r="I3448" s="1" t="str">
        <f>IFERROR(VLOOKUP(C3448,'Clients List'!A:F,6,FALSE),"")</f>
        <v/>
      </c>
    </row>
    <row r="3449" spans="4:9" x14ac:dyDescent="0.45">
      <c r="D3449" t="str">
        <f>IFERROR(VLOOKUP(C3449,'Clients List'!$A:$F,2,FALSE),"")</f>
        <v/>
      </c>
      <c r="F3449" s="1" t="str">
        <f>IF(OR(C3449="",NOT(ISNUMBER(SEARCH("Package",D3449)))),"",VLOOKUP(C3449,'Clients List'!$A:$F,4,FALSE)-SUMIFS($E$2:$E3449,$C$2:$C3449,C3449,$D$2:$D3449,"*Package*"))</f>
        <v/>
      </c>
      <c r="G3449" t="str">
        <f t="shared" si="87"/>
        <v/>
      </c>
      <c r="H3449" s="33">
        <f>IF(ISNUMBER(SEARCH("Group",D3449)),IF(G3449="",E3449,IFERROR(E3449/COUNTIF($G2:$G6000,G3449),E3449)),E3449)</f>
        <v>0</v>
      </c>
      <c r="I3449" s="1" t="str">
        <f>IFERROR(VLOOKUP(C3449,'Clients List'!A:F,6,FALSE),"")</f>
        <v/>
      </c>
    </row>
    <row r="3450" spans="4:9" x14ac:dyDescent="0.45">
      <c r="D3450" t="str">
        <f>IFERROR(VLOOKUP(C3450,'Clients List'!$A:$F,2,FALSE),"")</f>
        <v/>
      </c>
      <c r="F3450" s="1" t="str">
        <f>IF(OR(C3450="",NOT(ISNUMBER(SEARCH("Package",D3450)))),"",VLOOKUP(C3450,'Clients List'!$A:$F,4,FALSE)-SUMIFS($E$2:$E3450,$C$2:$C3450,C3450,$D$2:$D3450,"*Package*"))</f>
        <v/>
      </c>
      <c r="G3450" t="str">
        <f t="shared" si="87"/>
        <v/>
      </c>
      <c r="H3450" s="33">
        <f>IF(ISNUMBER(SEARCH("Group",D3450)),IF(G3450="",E3450,IFERROR(E3450/COUNTIF($G2:$G6000,G3450),E3450)),E3450)</f>
        <v>0</v>
      </c>
      <c r="I3450" s="1" t="str">
        <f>IFERROR(VLOOKUP(C3450,'Clients List'!A:F,6,FALSE),"")</f>
        <v/>
      </c>
    </row>
    <row r="3451" spans="4:9" x14ac:dyDescent="0.45">
      <c r="D3451" t="str">
        <f>IFERROR(VLOOKUP(C3451,'Clients List'!$A:$F,2,FALSE),"")</f>
        <v/>
      </c>
      <c r="F3451" s="1" t="str">
        <f>IF(OR(C3451="",NOT(ISNUMBER(SEARCH("Package",D3451)))),"",VLOOKUP(C3451,'Clients List'!$A:$F,4,FALSE)-SUMIFS($E$2:$E3451,$C$2:$C3451,C3451,$D$2:$D3451,"*Package*"))</f>
        <v/>
      </c>
      <c r="G3451" t="str">
        <f t="shared" si="87"/>
        <v/>
      </c>
      <c r="H3451" s="33">
        <f>IF(ISNUMBER(SEARCH("Group",D3451)),IF(G3451="",E3451,IFERROR(E3451/COUNTIF($G2:$G6000,G3451),E3451)),E3451)</f>
        <v>0</v>
      </c>
      <c r="I3451" s="1" t="str">
        <f>IFERROR(VLOOKUP(C3451,'Clients List'!A:F,6,FALSE),"")</f>
        <v/>
      </c>
    </row>
    <row r="3452" spans="4:9" x14ac:dyDescent="0.45">
      <c r="D3452" t="str">
        <f>IFERROR(VLOOKUP(C3452,'Clients List'!$A:$F,2,FALSE),"")</f>
        <v/>
      </c>
      <c r="F3452" s="1" t="str">
        <f>IF(OR(C3452="",NOT(ISNUMBER(SEARCH("Package",D3452)))),"",VLOOKUP(C3452,'Clients List'!$A:$F,4,FALSE)-SUMIFS($E$2:$E3452,$C$2:$C3452,C3452,$D$2:$D3452,"*Package*"))</f>
        <v/>
      </c>
      <c r="G3452" t="str">
        <f t="shared" si="87"/>
        <v/>
      </c>
      <c r="H3452" s="33">
        <f>IF(ISNUMBER(SEARCH("Group",D3452)),IF(G3452="",E3452,IFERROR(E3452/COUNTIF($G2:$G6000,G3452),E3452)),E3452)</f>
        <v>0</v>
      </c>
      <c r="I3452" s="1" t="str">
        <f>IFERROR(VLOOKUP(C3452,'Clients List'!A:F,6,FALSE),"")</f>
        <v/>
      </c>
    </row>
    <row r="3453" spans="4:9" x14ac:dyDescent="0.45">
      <c r="D3453" t="str">
        <f>IFERROR(VLOOKUP(C3453,'Clients List'!$A:$F,2,FALSE),"")</f>
        <v/>
      </c>
      <c r="F3453" s="1" t="str">
        <f>IF(OR(C3453="",NOT(ISNUMBER(SEARCH("Package",D3453)))),"",VLOOKUP(C3453,'Clients List'!$A:$F,4,FALSE)-SUMIFS($E$2:$E3453,$C$2:$C3453,C3453,$D$2:$D3453,"*Package*"))</f>
        <v/>
      </c>
      <c r="G3453" t="str">
        <f t="shared" si="87"/>
        <v/>
      </c>
      <c r="H3453" s="33">
        <f>IF(ISNUMBER(SEARCH("Group",D3453)),IF(G3453="",E3453,IFERROR(E3453/COUNTIF($G2:$G6000,G3453),E3453)),E3453)</f>
        <v>0</v>
      </c>
      <c r="I3453" s="1" t="str">
        <f>IFERROR(VLOOKUP(C3453,'Clients List'!A:F,6,FALSE),"")</f>
        <v/>
      </c>
    </row>
    <row r="3454" spans="4:9" x14ac:dyDescent="0.45">
      <c r="D3454" t="str">
        <f>IFERROR(VLOOKUP(C3454,'Clients List'!$A:$F,2,FALSE),"")</f>
        <v/>
      </c>
      <c r="F3454" s="1" t="str">
        <f>IF(OR(C3454="",NOT(ISNUMBER(SEARCH("Package",D3454)))),"",VLOOKUP(C3454,'Clients List'!$A:$F,4,FALSE)-SUMIFS($E$2:$E3454,$C$2:$C3454,C3454,$D$2:$D3454,"*Package*"))</f>
        <v/>
      </c>
      <c r="G3454" t="str">
        <f t="shared" si="87"/>
        <v/>
      </c>
      <c r="H3454" s="33">
        <f>IF(ISNUMBER(SEARCH("Group",D3454)),IF(G3454="",E3454,IFERROR(E3454/COUNTIF($G2:$G6000,G3454),E3454)),E3454)</f>
        <v>0</v>
      </c>
      <c r="I3454" s="1" t="str">
        <f>IFERROR(VLOOKUP(C3454,'Clients List'!A:F,6,FALSE),"")</f>
        <v/>
      </c>
    </row>
    <row r="3455" spans="4:9" x14ac:dyDescent="0.45">
      <c r="D3455" t="str">
        <f>IFERROR(VLOOKUP(C3455,'Clients List'!$A:$F,2,FALSE),"")</f>
        <v/>
      </c>
      <c r="F3455" s="1" t="str">
        <f>IF(OR(C3455="",NOT(ISNUMBER(SEARCH("Package",D3455)))),"",VLOOKUP(C3455,'Clients List'!$A:$F,4,FALSE)-SUMIFS($E$2:$E3455,$C$2:$C3455,C3455,$D$2:$D3455,"*Package*"))</f>
        <v/>
      </c>
      <c r="G3455" t="str">
        <f t="shared" si="87"/>
        <v/>
      </c>
      <c r="H3455" s="33">
        <f>IF(ISNUMBER(SEARCH("Group",D3455)),IF(G3455="",E3455,IFERROR(E3455/COUNTIF($G2:$G6000,G3455),E3455)),E3455)</f>
        <v>0</v>
      </c>
      <c r="I3455" s="1" t="str">
        <f>IFERROR(VLOOKUP(C3455,'Clients List'!A:F,6,FALSE),"")</f>
        <v/>
      </c>
    </row>
    <row r="3456" spans="4:9" x14ac:dyDescent="0.45">
      <c r="D3456" t="str">
        <f>IFERROR(VLOOKUP(C3456,'Clients List'!$A:$F,2,FALSE),"")</f>
        <v/>
      </c>
      <c r="F3456" s="1" t="str">
        <f>IF(OR(C3456="",NOT(ISNUMBER(SEARCH("Package",D3456)))),"",VLOOKUP(C3456,'Clients List'!$A:$F,4,FALSE)-SUMIFS($E$2:$E3456,$C$2:$C3456,C3456,$D$2:$D3456,"*Package*"))</f>
        <v/>
      </c>
      <c r="G3456" t="str">
        <f t="shared" si="87"/>
        <v/>
      </c>
      <c r="H3456" s="33">
        <f>IF(ISNUMBER(SEARCH("Group",D3456)),IF(G3456="",E3456,IFERROR(E3456/COUNTIF($G2:$G6000,G3456),E3456)),E3456)</f>
        <v>0</v>
      </c>
      <c r="I3456" s="1" t="str">
        <f>IFERROR(VLOOKUP(C3456,'Clients List'!A:F,6,FALSE),"")</f>
        <v/>
      </c>
    </row>
    <row r="3457" spans="4:9" x14ac:dyDescent="0.45">
      <c r="D3457" t="str">
        <f>IFERROR(VLOOKUP(C3457,'Clients List'!$A:$F,2,FALSE),"")</f>
        <v/>
      </c>
      <c r="F3457" s="1" t="str">
        <f>IF(OR(C3457="",NOT(ISNUMBER(SEARCH("Package",D3457)))),"",VLOOKUP(C3457,'Clients List'!$A:$F,4,FALSE)-SUMIFS($E$2:$E3457,$C$2:$C3457,C3457,$D$2:$D3457,"*Package*"))</f>
        <v/>
      </c>
      <c r="G3457" t="str">
        <f t="shared" si="87"/>
        <v/>
      </c>
      <c r="H3457" s="33">
        <f>IF(ISNUMBER(SEARCH("Group",D3457)),IF(G3457="",E3457,IFERROR(E3457/COUNTIF($G2:$G6000,G3457),E3457)),E3457)</f>
        <v>0</v>
      </c>
      <c r="I3457" s="1" t="str">
        <f>IFERROR(VLOOKUP(C3457,'Clients List'!A:F,6,FALSE),"")</f>
        <v/>
      </c>
    </row>
    <row r="3458" spans="4:9" x14ac:dyDescent="0.45">
      <c r="D3458" t="str">
        <f>IFERROR(VLOOKUP(C3458,'Clients List'!$A:$F,2,FALSE),"")</f>
        <v/>
      </c>
      <c r="F3458" s="1" t="str">
        <f>IF(OR(C3458="",NOT(ISNUMBER(SEARCH("Package",D3458)))),"",VLOOKUP(C3458,'Clients List'!$A:$F,4,FALSE)-SUMIFS($E$2:$E3458,$C$2:$C3458,C3458,$D$2:$D3458,"*Package*"))</f>
        <v/>
      </c>
      <c r="G3458" t="str">
        <f t="shared" si="87"/>
        <v/>
      </c>
      <c r="H3458" s="33">
        <f>IF(ISNUMBER(SEARCH("Group",D3458)),IF(G3458="",E3458,IFERROR(E3458/COUNTIF($G2:$G6000,G3458),E3458)),E3458)</f>
        <v>0</v>
      </c>
      <c r="I3458" s="1" t="str">
        <f>IFERROR(VLOOKUP(C3458,'Clients List'!A:F,6,FALSE),"")</f>
        <v/>
      </c>
    </row>
    <row r="3459" spans="4:9" x14ac:dyDescent="0.45">
      <c r="D3459" t="str">
        <f>IFERROR(VLOOKUP(C3459,'Clients List'!$A:$F,2,FALSE),"")</f>
        <v/>
      </c>
      <c r="F3459" s="1" t="str">
        <f>IF(OR(C3459="",NOT(ISNUMBER(SEARCH("Package",D3459)))),"",VLOOKUP(C3459,'Clients List'!$A:$F,4,FALSE)-SUMIFS($E$2:$E3459,$C$2:$C3459,C3459,$D$2:$D3459,"*Package*"))</f>
        <v/>
      </c>
      <c r="G3459" t="str">
        <f t="shared" si="87"/>
        <v/>
      </c>
      <c r="H3459" s="33">
        <f>IF(ISNUMBER(SEARCH("Group",D3459)),IF(G3459="",E3459,IFERROR(E3459/COUNTIF($G2:$G6000,G3459),E3459)),E3459)</f>
        <v>0</v>
      </c>
      <c r="I3459" s="1" t="str">
        <f>IFERROR(VLOOKUP(C3459,'Clients List'!A:F,6,FALSE),"")</f>
        <v/>
      </c>
    </row>
    <row r="3460" spans="4:9" x14ac:dyDescent="0.45">
      <c r="D3460" t="str">
        <f>IFERROR(VLOOKUP(C3460,'Clients List'!$A:$F,2,FALSE),"")</f>
        <v/>
      </c>
      <c r="F3460" s="1" t="str">
        <f>IF(OR(C3460="",NOT(ISNUMBER(SEARCH("Package",D3460)))),"",VLOOKUP(C3460,'Clients List'!$A:$F,4,FALSE)-SUMIFS($E$2:$E3460,$C$2:$C3460,C3460,$D$2:$D3460,"*Package*"))</f>
        <v/>
      </c>
      <c r="G3460" t="str">
        <f t="shared" si="87"/>
        <v/>
      </c>
      <c r="H3460" s="33">
        <f>IF(ISNUMBER(SEARCH("Group",D3460)),IF(G3460="",E3460,IFERROR(E3460/COUNTIF($G2:$G6000,G3460),E3460)),E3460)</f>
        <v>0</v>
      </c>
      <c r="I3460" s="1" t="str">
        <f>IFERROR(VLOOKUP(C3460,'Clients List'!A:F,6,FALSE),"")</f>
        <v/>
      </c>
    </row>
    <row r="3461" spans="4:9" x14ac:dyDescent="0.45">
      <c r="D3461" t="str">
        <f>IFERROR(VLOOKUP(C3461,'Clients List'!$A:$F,2,FALSE),"")</f>
        <v/>
      </c>
      <c r="F3461" s="1" t="str">
        <f>IF(OR(C3461="",NOT(ISNUMBER(SEARCH("Package",D3461)))),"",VLOOKUP(C3461,'Clients List'!$A:$F,4,FALSE)-SUMIFS($E$2:$E3461,$C$2:$C3461,C3461,$D$2:$D3461,"*Package*"))</f>
        <v/>
      </c>
      <c r="G3461" t="str">
        <f t="shared" si="87"/>
        <v/>
      </c>
      <c r="H3461" s="33">
        <f>IF(ISNUMBER(SEARCH("Group",D3461)),IF(G3461="",E3461,IFERROR(E3461/COUNTIF($G2:$G6000,G3461),E3461)),E3461)</f>
        <v>0</v>
      </c>
      <c r="I3461" s="1" t="str">
        <f>IFERROR(VLOOKUP(C3461,'Clients List'!A:F,6,FALSE),"")</f>
        <v/>
      </c>
    </row>
    <row r="3462" spans="4:9" x14ac:dyDescent="0.45">
      <c r="D3462" t="str">
        <f>IFERROR(VLOOKUP(C3462,'Clients List'!$A:$F,2,FALSE),"")</f>
        <v/>
      </c>
      <c r="F3462" s="1" t="str">
        <f>IF(OR(C3462="",NOT(ISNUMBER(SEARCH("Package",D3462)))),"",VLOOKUP(C3462,'Clients List'!$A:$F,4,FALSE)-SUMIFS($E$2:$E3462,$C$2:$C3462,C3462,$D$2:$D3462,"*Package*"))</f>
        <v/>
      </c>
      <c r="G3462" t="str">
        <f t="shared" si="87"/>
        <v/>
      </c>
      <c r="H3462" s="33">
        <f>IF(ISNUMBER(SEARCH("Group",D3462)),IF(G3462="",E3462,IFERROR(E3462/COUNTIF($G2:$G6000,G3462),E3462)),E3462)</f>
        <v>0</v>
      </c>
      <c r="I3462" s="1" t="str">
        <f>IFERROR(VLOOKUP(C3462,'Clients List'!A:F,6,FALSE),"")</f>
        <v/>
      </c>
    </row>
    <row r="3463" spans="4:9" x14ac:dyDescent="0.45">
      <c r="D3463" t="str">
        <f>IFERROR(VLOOKUP(C3463,'Clients List'!$A:$F,2,FALSE),"")</f>
        <v/>
      </c>
      <c r="F3463" s="1" t="str">
        <f>IF(OR(C3463="",NOT(ISNUMBER(SEARCH("Package",D3463)))),"",VLOOKUP(C3463,'Clients List'!$A:$F,4,FALSE)-SUMIFS($E$2:$E3463,$C$2:$C3463,C3463,$D$2:$D3463,"*Package*"))</f>
        <v/>
      </c>
      <c r="G3463" t="str">
        <f t="shared" si="87"/>
        <v/>
      </c>
      <c r="H3463" s="33">
        <f>IF(ISNUMBER(SEARCH("Group",D3463)),IF(G3463="",E3463,IFERROR(E3463/COUNTIF($G2:$G6000,G3463),E3463)),E3463)</f>
        <v>0</v>
      </c>
      <c r="I3463" s="1" t="str">
        <f>IFERROR(VLOOKUP(C3463,'Clients List'!A:F,6,FALSE),"")</f>
        <v/>
      </c>
    </row>
    <row r="3464" spans="4:9" x14ac:dyDescent="0.45">
      <c r="D3464" t="str">
        <f>IFERROR(VLOOKUP(C3464,'Clients List'!$A:$F,2,FALSE),"")</f>
        <v/>
      </c>
      <c r="F3464" s="1" t="str">
        <f>IF(OR(C3464="",NOT(ISNUMBER(SEARCH("Package",D3464)))),"",VLOOKUP(C3464,'Clients List'!$A:$F,4,FALSE)-SUMIFS($E$2:$E3464,$C$2:$C3464,C3464,$D$2:$D3464,"*Package*"))</f>
        <v/>
      </c>
      <c r="G3464" t="str">
        <f t="shared" si="87"/>
        <v/>
      </c>
      <c r="H3464" s="33">
        <f>IF(ISNUMBER(SEARCH("Group",D3464)),IF(G3464="",E3464,IFERROR(E3464/COUNTIF($G2:$G6000,G3464),E3464)),E3464)</f>
        <v>0</v>
      </c>
      <c r="I3464" s="1" t="str">
        <f>IFERROR(VLOOKUP(C3464,'Clients List'!A:F,6,FALSE),"")</f>
        <v/>
      </c>
    </row>
    <row r="3465" spans="4:9" x14ac:dyDescent="0.45">
      <c r="D3465" t="str">
        <f>IFERROR(VLOOKUP(C3465,'Clients List'!$A:$F,2,FALSE),"")</f>
        <v/>
      </c>
      <c r="F3465" s="1" t="str">
        <f>IF(OR(C3465="",NOT(ISNUMBER(SEARCH("Package",D3465)))),"",VLOOKUP(C3465,'Clients List'!$A:$F,4,FALSE)-SUMIFS($E$2:$E3465,$C$2:$C3465,C3465,$D$2:$D3465,"*Package*"))</f>
        <v/>
      </c>
      <c r="G3465" t="str">
        <f t="shared" si="87"/>
        <v/>
      </c>
      <c r="H3465" s="33">
        <f>IF(ISNUMBER(SEARCH("Group",D3465)),IF(G3465="",E3465,IFERROR(E3465/COUNTIF($G2:$G6000,G3465),E3465)),E3465)</f>
        <v>0</v>
      </c>
      <c r="I3465" s="1" t="str">
        <f>IFERROR(VLOOKUP(C3465,'Clients List'!A:F,6,FALSE),"")</f>
        <v/>
      </c>
    </row>
    <row r="3466" spans="4:9" x14ac:dyDescent="0.45">
      <c r="D3466" t="str">
        <f>IFERROR(VLOOKUP(C3466,'Clients List'!$A:$F,2,FALSE),"")</f>
        <v/>
      </c>
      <c r="F3466" s="1" t="str">
        <f>IF(OR(C3466="",NOT(ISNUMBER(SEARCH("Package",D3466)))),"",VLOOKUP(C3466,'Clients List'!$A:$F,4,FALSE)-SUMIFS($E$2:$E3466,$C$2:$C3466,C3466,$D$2:$D3466,"*Package*"))</f>
        <v/>
      </c>
      <c r="G3466" t="str">
        <f t="shared" si="87"/>
        <v/>
      </c>
      <c r="H3466" s="33">
        <f>IF(ISNUMBER(SEARCH("Group",D3466)),IF(G3466="",E3466,IFERROR(E3466/COUNTIF($G2:$G6000,G3466),E3466)),E3466)</f>
        <v>0</v>
      </c>
      <c r="I3466" s="1" t="str">
        <f>IFERROR(VLOOKUP(C3466,'Clients List'!A:F,6,FALSE),"")</f>
        <v/>
      </c>
    </row>
    <row r="3467" spans="4:9" x14ac:dyDescent="0.45">
      <c r="D3467" t="str">
        <f>IFERROR(VLOOKUP(C3467,'Clients List'!$A:$F,2,FALSE),"")</f>
        <v/>
      </c>
      <c r="F3467" s="1" t="str">
        <f>IF(OR(C3467="",NOT(ISNUMBER(SEARCH("Package",D3467)))),"",VLOOKUP(C3467,'Clients List'!$A:$F,4,FALSE)-SUMIFS($E$2:$E3467,$C$2:$C3467,C3467,$D$2:$D3467,"*Package*"))</f>
        <v/>
      </c>
      <c r="G3467" t="str">
        <f t="shared" si="87"/>
        <v/>
      </c>
      <c r="H3467" s="33">
        <f>IF(ISNUMBER(SEARCH("Group",D3467)),IF(G3467="",E3467,IFERROR(E3467/COUNTIF($G2:$G6000,G3467),E3467)),E3467)</f>
        <v>0</v>
      </c>
      <c r="I3467" s="1" t="str">
        <f>IFERROR(VLOOKUP(C3467,'Clients List'!A:F,6,FALSE),"")</f>
        <v/>
      </c>
    </row>
    <row r="3468" spans="4:9" x14ac:dyDescent="0.45">
      <c r="D3468" t="str">
        <f>IFERROR(VLOOKUP(C3468,'Clients List'!$A:$F,2,FALSE),"")</f>
        <v/>
      </c>
      <c r="F3468" s="1" t="str">
        <f>IF(OR(C3468="",NOT(ISNUMBER(SEARCH("Package",D3468)))),"",VLOOKUP(C3468,'Clients List'!$A:$F,4,FALSE)-SUMIFS($E$2:$E3468,$C$2:$C3468,C3468,$D$2:$D3468,"*Package*"))</f>
        <v/>
      </c>
      <c r="G3468" t="str">
        <f t="shared" si="87"/>
        <v/>
      </c>
      <c r="H3468" s="33">
        <f>IF(ISNUMBER(SEARCH("Group",D3468)),IF(G3468="",E3468,IFERROR(E3468/COUNTIF($G2:$G6000,G3468),E3468)),E3468)</f>
        <v>0</v>
      </c>
      <c r="I3468" s="1" t="str">
        <f>IFERROR(VLOOKUP(C3468,'Clients List'!A:F,6,FALSE),"")</f>
        <v/>
      </c>
    </row>
    <row r="3469" spans="4:9" x14ac:dyDescent="0.45">
      <c r="D3469" t="str">
        <f>IFERROR(VLOOKUP(C3469,'Clients List'!$A:$F,2,FALSE),"")</f>
        <v/>
      </c>
      <c r="F3469" s="1" t="str">
        <f>IF(OR(C3469="",NOT(ISNUMBER(SEARCH("Package",D3469)))),"",VLOOKUP(C3469,'Clients List'!$A:$F,4,FALSE)-SUMIFS($E$2:$E3469,$C$2:$C3469,C3469,$D$2:$D3469,"*Package*"))</f>
        <v/>
      </c>
      <c r="G3469" t="str">
        <f t="shared" si="87"/>
        <v/>
      </c>
      <c r="H3469" s="33">
        <f>IF(ISNUMBER(SEARCH("Group",D3469)),IF(G3469="",E3469,IFERROR(E3469/COUNTIF($G2:$G6000,G3469),E3469)),E3469)</f>
        <v>0</v>
      </c>
      <c r="I3469" s="1" t="str">
        <f>IFERROR(VLOOKUP(C3469,'Clients List'!A:F,6,FALSE),"")</f>
        <v/>
      </c>
    </row>
    <row r="3470" spans="4:9" x14ac:dyDescent="0.45">
      <c r="D3470" t="str">
        <f>IFERROR(VLOOKUP(C3470,'Clients List'!$A:$F,2,FALSE),"")</f>
        <v/>
      </c>
      <c r="F3470" s="1" t="str">
        <f>IF(OR(C3470="",NOT(ISNUMBER(SEARCH("Package",D3470)))),"",VLOOKUP(C3470,'Clients List'!$A:$F,4,FALSE)-SUMIFS($E$2:$E3470,$C$2:$C3470,C3470,$D$2:$D3470,"*Package*"))</f>
        <v/>
      </c>
      <c r="G3470" t="str">
        <f t="shared" si="87"/>
        <v/>
      </c>
      <c r="H3470" s="33">
        <f>IF(ISNUMBER(SEARCH("Group",D3470)),IF(G3470="",E3470,IFERROR(E3470/COUNTIF($G2:$G6000,G3470),E3470)),E3470)</f>
        <v>0</v>
      </c>
      <c r="I3470" s="1" t="str">
        <f>IFERROR(VLOOKUP(C3470,'Clients List'!A:F,6,FALSE),"")</f>
        <v/>
      </c>
    </row>
    <row r="3471" spans="4:9" x14ac:dyDescent="0.45">
      <c r="D3471" t="str">
        <f>IFERROR(VLOOKUP(C3471,'Clients List'!$A:$F,2,FALSE),"")</f>
        <v/>
      </c>
      <c r="F3471" s="1" t="str">
        <f>IF(OR(C3471="",NOT(ISNUMBER(SEARCH("Package",D3471)))),"",VLOOKUP(C3471,'Clients List'!$A:$F,4,FALSE)-SUMIFS($E$2:$E3471,$C$2:$C3471,C3471,$D$2:$D3471,"*Package*"))</f>
        <v/>
      </c>
      <c r="G3471" t="str">
        <f t="shared" si="87"/>
        <v/>
      </c>
      <c r="H3471" s="33">
        <f>IF(ISNUMBER(SEARCH("Group",D3471)),IF(G3471="",E3471,IFERROR(E3471/COUNTIF($G2:$G6000,G3471),E3471)),E3471)</f>
        <v>0</v>
      </c>
      <c r="I3471" s="1" t="str">
        <f>IFERROR(VLOOKUP(C3471,'Clients List'!A:F,6,FALSE),"")</f>
        <v/>
      </c>
    </row>
    <row r="3472" spans="4:9" x14ac:dyDescent="0.45">
      <c r="D3472" t="str">
        <f>IFERROR(VLOOKUP(C3472,'Clients List'!$A:$F,2,FALSE),"")</f>
        <v/>
      </c>
      <c r="F3472" s="1" t="str">
        <f>IF(OR(C3472="",NOT(ISNUMBER(SEARCH("Package",D3472)))),"",VLOOKUP(C3472,'Clients List'!$A:$F,4,FALSE)-SUMIFS($E$2:$E3472,$C$2:$C3472,C3472,$D$2:$D3472,"*Package*"))</f>
        <v/>
      </c>
      <c r="G3472" t="str">
        <f t="shared" si="87"/>
        <v/>
      </c>
      <c r="H3472" s="33">
        <f>IF(ISNUMBER(SEARCH("Group",D3472)),IF(G3472="",E3472,IFERROR(E3472/COUNTIF($G2:$G6000,G3472),E3472)),E3472)</f>
        <v>0</v>
      </c>
      <c r="I3472" s="1" t="str">
        <f>IFERROR(VLOOKUP(C3472,'Clients List'!A:F,6,FALSE),"")</f>
        <v/>
      </c>
    </row>
    <row r="3473" spans="4:9" x14ac:dyDescent="0.45">
      <c r="D3473" t="str">
        <f>IFERROR(VLOOKUP(C3473,'Clients List'!$A:$F,2,FALSE),"")</f>
        <v/>
      </c>
      <c r="F3473" s="1" t="str">
        <f>IF(OR(C3473="",NOT(ISNUMBER(SEARCH("Package",D3473)))),"",VLOOKUP(C3473,'Clients List'!$A:$F,4,FALSE)-SUMIFS($E$2:$E3473,$C$2:$C3473,C3473,$D$2:$D3473,"*Package*"))</f>
        <v/>
      </c>
      <c r="G3473" t="str">
        <f t="shared" si="87"/>
        <v/>
      </c>
      <c r="H3473" s="33">
        <f>IF(ISNUMBER(SEARCH("Group",D3473)),IF(G3473="",E3473,IFERROR(E3473/COUNTIF($G2:$G6000,G3473),E3473)),E3473)</f>
        <v>0</v>
      </c>
      <c r="I3473" s="1" t="str">
        <f>IFERROR(VLOOKUP(C3473,'Clients List'!A:F,6,FALSE),"")</f>
        <v/>
      </c>
    </row>
    <row r="3474" spans="4:9" x14ac:dyDescent="0.45">
      <c r="D3474" t="str">
        <f>IFERROR(VLOOKUP(C3474,'Clients List'!$A:$F,2,FALSE),"")</f>
        <v/>
      </c>
      <c r="F3474" s="1" t="str">
        <f>IF(OR(C3474="",NOT(ISNUMBER(SEARCH("Package",D3474)))),"",VLOOKUP(C3474,'Clients List'!$A:$F,4,FALSE)-SUMIFS($E$2:$E3474,$C$2:$C3474,C3474,$D$2:$D3474,"*Package*"))</f>
        <v/>
      </c>
      <c r="G3474" t="str">
        <f t="shared" si="87"/>
        <v/>
      </c>
      <c r="H3474" s="33">
        <f>IF(ISNUMBER(SEARCH("Group",D3474)),IF(G3474="",E3474,IFERROR(E3474/COUNTIF($G2:$G6000,G3474),E3474)),E3474)</f>
        <v>0</v>
      </c>
      <c r="I3474" s="1" t="str">
        <f>IFERROR(VLOOKUP(C3474,'Clients List'!A:F,6,FALSE),"")</f>
        <v/>
      </c>
    </row>
    <row r="3475" spans="4:9" x14ac:dyDescent="0.45">
      <c r="D3475" t="str">
        <f>IFERROR(VLOOKUP(C3475,'Clients List'!$A:$F,2,FALSE),"")</f>
        <v/>
      </c>
      <c r="F3475" s="1" t="str">
        <f>IF(OR(C3475="",NOT(ISNUMBER(SEARCH("Package",D3475)))),"",VLOOKUP(C3475,'Clients List'!$A:$F,4,FALSE)-SUMIFS($E$2:$E3475,$C$2:$C3475,C3475,$D$2:$D3475,"*Package*"))</f>
        <v/>
      </c>
      <c r="G3475" t="str">
        <f t="shared" si="87"/>
        <v/>
      </c>
      <c r="H3475" s="33">
        <f>IF(ISNUMBER(SEARCH("Group",D3475)),IF(G3475="",E3475,IFERROR(E3475/COUNTIF($G2:$G6000,G3475),E3475)),E3475)</f>
        <v>0</v>
      </c>
      <c r="I3475" s="1" t="str">
        <f>IFERROR(VLOOKUP(C3475,'Clients List'!A:F,6,FALSE),"")</f>
        <v/>
      </c>
    </row>
    <row r="3476" spans="4:9" x14ac:dyDescent="0.45">
      <c r="D3476" t="str">
        <f>IFERROR(VLOOKUP(C3476,'Clients List'!$A:$F,2,FALSE),"")</f>
        <v/>
      </c>
      <c r="F3476" s="1" t="str">
        <f>IF(OR(C3476="",NOT(ISNUMBER(SEARCH("Package",D3476)))),"",VLOOKUP(C3476,'Clients List'!$A:$F,4,FALSE)-SUMIFS($E$2:$E3476,$C$2:$C3476,C3476,$D$2:$D3476,"*Package*"))</f>
        <v/>
      </c>
      <c r="G3476" t="str">
        <f t="shared" si="87"/>
        <v/>
      </c>
      <c r="H3476" s="33">
        <f>IF(ISNUMBER(SEARCH("Group",D3476)),IF(G3476="",E3476,IFERROR(E3476/COUNTIF($G2:$G6000,G3476),E3476)),E3476)</f>
        <v>0</v>
      </c>
      <c r="I3476" s="1" t="str">
        <f>IFERROR(VLOOKUP(C3476,'Clients List'!A:F,6,FALSE),"")</f>
        <v/>
      </c>
    </row>
    <row r="3477" spans="4:9" x14ac:dyDescent="0.45">
      <c r="D3477" t="str">
        <f>IFERROR(VLOOKUP(C3477,'Clients List'!$A:$F,2,FALSE),"")</f>
        <v/>
      </c>
      <c r="F3477" s="1" t="str">
        <f>IF(OR(C3477="",NOT(ISNUMBER(SEARCH("Package",D3477)))),"",VLOOKUP(C3477,'Clients List'!$A:$F,4,FALSE)-SUMIFS($E$2:$E3477,$C$2:$C3477,C3477,$D$2:$D3477,"*Package*"))</f>
        <v/>
      </c>
      <c r="G3477" t="str">
        <f t="shared" si="87"/>
        <v/>
      </c>
      <c r="H3477" s="33">
        <f>IF(ISNUMBER(SEARCH("Group",D3477)),IF(G3477="",E3477,IFERROR(E3477/COUNTIF($G2:$G6000,G3477),E3477)),E3477)</f>
        <v>0</v>
      </c>
      <c r="I3477" s="1" t="str">
        <f>IFERROR(VLOOKUP(C3477,'Clients List'!A:F,6,FALSE),"")</f>
        <v/>
      </c>
    </row>
    <row r="3478" spans="4:9" x14ac:dyDescent="0.45">
      <c r="D3478" t="str">
        <f>IFERROR(VLOOKUP(C3478,'Clients List'!$A:$F,2,FALSE),"")</f>
        <v/>
      </c>
      <c r="F3478" s="1" t="str">
        <f>IF(OR(C3478="",NOT(ISNUMBER(SEARCH("Package",D3478)))),"",VLOOKUP(C3478,'Clients List'!$A:$F,4,FALSE)-SUMIFS($E$2:$E3478,$C$2:$C3478,C3478,$D$2:$D3478,"*Package*"))</f>
        <v/>
      </c>
      <c r="G3478" t="str">
        <f t="shared" si="87"/>
        <v/>
      </c>
      <c r="H3478" s="33">
        <f>IF(ISNUMBER(SEARCH("Group",D3478)),IF(G3478="",E3478,IFERROR(E3478/COUNTIF($G2:$G6000,G3478),E3478)),E3478)</f>
        <v>0</v>
      </c>
      <c r="I3478" s="1" t="str">
        <f>IFERROR(VLOOKUP(C3478,'Clients List'!A:F,6,FALSE),"")</f>
        <v/>
      </c>
    </row>
    <row r="3479" spans="4:9" x14ac:dyDescent="0.45">
      <c r="D3479" t="str">
        <f>IFERROR(VLOOKUP(C3479,'Clients List'!$A:$F,2,FALSE),"")</f>
        <v/>
      </c>
      <c r="F3479" s="1" t="str">
        <f>IF(OR(C3479="",NOT(ISNUMBER(SEARCH("Package",D3479)))),"",VLOOKUP(C3479,'Clients List'!$A:$F,4,FALSE)-SUMIFS($E$2:$E3479,$C$2:$C3479,C3479,$D$2:$D3479,"*Package*"))</f>
        <v/>
      </c>
      <c r="G3479" t="str">
        <f t="shared" si="87"/>
        <v/>
      </c>
      <c r="H3479" s="33">
        <f>IF(ISNUMBER(SEARCH("Group",D3479)),IF(G3479="",E3479,IFERROR(E3479/COUNTIF($G2:$G6000,G3479),E3479)),E3479)</f>
        <v>0</v>
      </c>
      <c r="I3479" s="1" t="str">
        <f>IFERROR(VLOOKUP(C3479,'Clients List'!A:F,6,FALSE),"")</f>
        <v/>
      </c>
    </row>
    <row r="3480" spans="4:9" x14ac:dyDescent="0.45">
      <c r="D3480" t="str">
        <f>IFERROR(VLOOKUP(C3480,'Clients List'!$A:$F,2,FALSE),"")</f>
        <v/>
      </c>
      <c r="F3480" s="1" t="str">
        <f>IF(OR(C3480="",NOT(ISNUMBER(SEARCH("Package",D3480)))),"",VLOOKUP(C3480,'Clients List'!$A:$F,4,FALSE)-SUMIFS($E$2:$E3480,$C$2:$C3480,C3480,$D$2:$D3480,"*Package*"))</f>
        <v/>
      </c>
      <c r="G3480" t="str">
        <f t="shared" si="87"/>
        <v/>
      </c>
      <c r="H3480" s="33">
        <f>IF(ISNUMBER(SEARCH("Group",D3480)),IF(G3480="",E3480,IFERROR(E3480/COUNTIF($G2:$G6000,G3480),E3480)),E3480)</f>
        <v>0</v>
      </c>
      <c r="I3480" s="1" t="str">
        <f>IFERROR(VLOOKUP(C3480,'Clients List'!A:F,6,FALSE),"")</f>
        <v/>
      </c>
    </row>
    <row r="3481" spans="4:9" x14ac:dyDescent="0.45">
      <c r="D3481" t="str">
        <f>IFERROR(VLOOKUP(C3481,'Clients List'!$A:$F,2,FALSE),"")</f>
        <v/>
      </c>
      <c r="F3481" s="1" t="str">
        <f>IF(OR(C3481="",NOT(ISNUMBER(SEARCH("Package",D3481)))),"",VLOOKUP(C3481,'Clients List'!$A:$F,4,FALSE)-SUMIFS($E$2:$E3481,$C$2:$C3481,C3481,$D$2:$D3481,"*Package*"))</f>
        <v/>
      </c>
      <c r="G3481" t="str">
        <f t="shared" si="87"/>
        <v/>
      </c>
      <c r="H3481" s="33">
        <f>IF(ISNUMBER(SEARCH("Group",D3481)),IF(G3481="",E3481,IFERROR(E3481/COUNTIF($G2:$G6000,G3481),E3481)),E3481)</f>
        <v>0</v>
      </c>
      <c r="I3481" s="1" t="str">
        <f>IFERROR(VLOOKUP(C3481,'Clients List'!A:F,6,FALSE),"")</f>
        <v/>
      </c>
    </row>
    <row r="3482" spans="4:9" x14ac:dyDescent="0.45">
      <c r="D3482" t="str">
        <f>IFERROR(VLOOKUP(C3482,'Clients List'!$A:$F,2,FALSE),"")</f>
        <v/>
      </c>
      <c r="F3482" s="1" t="str">
        <f>IF(OR(C3482="",NOT(ISNUMBER(SEARCH("Package",D3482)))),"",VLOOKUP(C3482,'Clients List'!$A:$F,4,FALSE)-SUMIFS($E$2:$E3482,$C$2:$C3482,C3482,$D$2:$D3482,"*Package*"))</f>
        <v/>
      </c>
      <c r="G3482" t="str">
        <f t="shared" si="87"/>
        <v/>
      </c>
      <c r="H3482" s="33">
        <f>IF(ISNUMBER(SEARCH("Group",D3482)),IF(G3482="",E3482,IFERROR(E3482/COUNTIF($G2:$G6000,G3482),E3482)),E3482)</f>
        <v>0</v>
      </c>
      <c r="I3482" s="1" t="str">
        <f>IFERROR(VLOOKUP(C3482,'Clients List'!A:F,6,FALSE),"")</f>
        <v/>
      </c>
    </row>
    <row r="3483" spans="4:9" x14ac:dyDescent="0.45">
      <c r="D3483" t="str">
        <f>IFERROR(VLOOKUP(C3483,'Clients List'!$A:$F,2,FALSE),"")</f>
        <v/>
      </c>
      <c r="F3483" s="1" t="str">
        <f>IF(OR(C3483="",NOT(ISNUMBER(SEARCH("Package",D3483)))),"",VLOOKUP(C3483,'Clients List'!$A:$F,4,FALSE)-SUMIFS($E$2:$E3483,$C$2:$C3483,C3483,$D$2:$D3483,"*Package*"))</f>
        <v/>
      </c>
      <c r="G3483" t="str">
        <f t="shared" si="87"/>
        <v/>
      </c>
      <c r="H3483" s="33">
        <f>IF(ISNUMBER(SEARCH("Group",D3483)),IF(G3483="",E3483,IFERROR(E3483/COUNTIF($G2:$G6000,G3483),E3483)),E3483)</f>
        <v>0</v>
      </c>
      <c r="I3483" s="1" t="str">
        <f>IFERROR(VLOOKUP(C3483,'Clients List'!A:F,6,FALSE),"")</f>
        <v/>
      </c>
    </row>
    <row r="3484" spans="4:9" x14ac:dyDescent="0.45">
      <c r="D3484" t="str">
        <f>IFERROR(VLOOKUP(C3484,'Clients List'!$A:$F,2,FALSE),"")</f>
        <v/>
      </c>
      <c r="F3484" s="1" t="str">
        <f>IF(OR(C3484="",NOT(ISNUMBER(SEARCH("Package",D3484)))),"",VLOOKUP(C3484,'Clients List'!$A:$F,4,FALSE)-SUMIFS($E$2:$E3484,$C$2:$C3484,C3484,$D$2:$D3484,"*Package*"))</f>
        <v/>
      </c>
      <c r="G3484" t="str">
        <f t="shared" si="87"/>
        <v/>
      </c>
      <c r="H3484" s="33">
        <f>IF(ISNUMBER(SEARCH("Group",D3484)),IF(G3484="",E3484,IFERROR(E3484/COUNTIF($G2:$G6000,G3484),E3484)),E3484)</f>
        <v>0</v>
      </c>
      <c r="I3484" s="1" t="str">
        <f>IFERROR(VLOOKUP(C3484,'Clients List'!A:F,6,FALSE),"")</f>
        <v/>
      </c>
    </row>
    <row r="3485" spans="4:9" x14ac:dyDescent="0.45">
      <c r="D3485" t="str">
        <f>IFERROR(VLOOKUP(C3485,'Clients List'!$A:$F,2,FALSE),"")</f>
        <v/>
      </c>
      <c r="F3485" s="1" t="str">
        <f>IF(OR(C3485="",NOT(ISNUMBER(SEARCH("Package",D3485)))),"",VLOOKUP(C3485,'Clients List'!$A:$F,4,FALSE)-SUMIFS($E$2:$E3485,$C$2:$C3485,C3485,$D$2:$D3485,"*Package*"))</f>
        <v/>
      </c>
      <c r="G3485" t="str">
        <f t="shared" si="87"/>
        <v/>
      </c>
      <c r="H3485" s="33">
        <f>IF(ISNUMBER(SEARCH("Group",D3485)),IF(G3485="",E3485,IFERROR(E3485/COUNTIF($G2:$G6000,G3485),E3485)),E3485)</f>
        <v>0</v>
      </c>
      <c r="I3485" s="1" t="str">
        <f>IFERROR(VLOOKUP(C3485,'Clients List'!A:F,6,FALSE),"")</f>
        <v/>
      </c>
    </row>
    <row r="3486" spans="4:9" x14ac:dyDescent="0.45">
      <c r="D3486" t="str">
        <f>IFERROR(VLOOKUP(C3486,'Clients List'!$A:$F,2,FALSE),"")</f>
        <v/>
      </c>
      <c r="F3486" s="1" t="str">
        <f>IF(OR(C3486="",NOT(ISNUMBER(SEARCH("Package",D3486)))),"",VLOOKUP(C3486,'Clients List'!$A:$F,4,FALSE)-SUMIFS($E$2:$E3486,$C$2:$C3486,C3486,$D$2:$D3486,"*Package*"))</f>
        <v/>
      </c>
      <c r="G3486" t="str">
        <f t="shared" si="87"/>
        <v/>
      </c>
      <c r="H3486" s="33">
        <f>IF(ISNUMBER(SEARCH("Group",D3486)),IF(G3486="",E3486,IFERROR(E3486/COUNTIF($G2:$G6000,G3486),E3486)),E3486)</f>
        <v>0</v>
      </c>
      <c r="I3486" s="1" t="str">
        <f>IFERROR(VLOOKUP(C3486,'Clients List'!A:F,6,FALSE),"")</f>
        <v/>
      </c>
    </row>
    <row r="3487" spans="4:9" x14ac:dyDescent="0.45">
      <c r="D3487" t="str">
        <f>IFERROR(VLOOKUP(C3487,'Clients List'!$A:$F,2,FALSE),"")</f>
        <v/>
      </c>
      <c r="F3487" s="1" t="str">
        <f>IF(OR(C3487="",NOT(ISNUMBER(SEARCH("Package",D3487)))),"",VLOOKUP(C3487,'Clients List'!$A:$F,4,FALSE)-SUMIFS($E$2:$E3487,$C$2:$C3487,C3487,$D$2:$D3487,"*Package*"))</f>
        <v/>
      </c>
      <c r="G3487" t="str">
        <f t="shared" si="87"/>
        <v/>
      </c>
      <c r="H3487" s="33">
        <f>IF(ISNUMBER(SEARCH("Group",D3487)),IF(G3487="",E3487,IFERROR(E3487/COUNTIF($G2:$G6000,G3487),E3487)),E3487)</f>
        <v>0</v>
      </c>
      <c r="I3487" s="1" t="str">
        <f>IFERROR(VLOOKUP(C3487,'Clients List'!A:F,6,FALSE),"")</f>
        <v/>
      </c>
    </row>
    <row r="3488" spans="4:9" x14ac:dyDescent="0.45">
      <c r="D3488" t="str">
        <f>IFERROR(VLOOKUP(C3488,'Clients List'!$A:$F,2,FALSE),"")</f>
        <v/>
      </c>
      <c r="F3488" s="1" t="str">
        <f>IF(OR(C3488="",NOT(ISNUMBER(SEARCH("Package",D3488)))),"",VLOOKUP(C3488,'Clients List'!$A:$F,4,FALSE)-SUMIFS($E$2:$E3488,$C$2:$C3488,C3488,$D$2:$D3488,"*Package*"))</f>
        <v/>
      </c>
      <c r="G3488" t="str">
        <f t="shared" si="87"/>
        <v/>
      </c>
      <c r="H3488" s="33">
        <f>IF(ISNUMBER(SEARCH("Group",D3488)),IF(G3488="",E3488,IFERROR(E3488/COUNTIF($G2:$G6000,G3488),E3488)),E3488)</f>
        <v>0</v>
      </c>
      <c r="I3488" s="1" t="str">
        <f>IFERROR(VLOOKUP(C3488,'Clients List'!A:F,6,FALSE),"")</f>
        <v/>
      </c>
    </row>
    <row r="3489" spans="4:9" x14ac:dyDescent="0.45">
      <c r="D3489" t="str">
        <f>IFERROR(VLOOKUP(C3489,'Clients List'!$A:$F,2,FALSE),"")</f>
        <v/>
      </c>
      <c r="F3489" s="1" t="str">
        <f>IF(OR(C3489="",NOT(ISNUMBER(SEARCH("Package",D3489)))),"",VLOOKUP(C3489,'Clients List'!$A:$F,4,FALSE)-SUMIFS($E$2:$E3489,$C$2:$C3489,C3489,$D$2:$D3489,"*Package*"))</f>
        <v/>
      </c>
      <c r="G3489" t="str">
        <f t="shared" si="87"/>
        <v/>
      </c>
      <c r="H3489" s="33">
        <f>IF(ISNUMBER(SEARCH("Group",D3489)),IF(G3489="",E3489,IFERROR(E3489/COUNTIF($G2:$G6000,G3489),E3489)),E3489)</f>
        <v>0</v>
      </c>
      <c r="I3489" s="1" t="str">
        <f>IFERROR(VLOOKUP(C3489,'Clients List'!A:F,6,FALSE),"")</f>
        <v/>
      </c>
    </row>
    <row r="3490" spans="4:9" x14ac:dyDescent="0.45">
      <c r="D3490" t="str">
        <f>IFERROR(VLOOKUP(C3490,'Clients List'!$A:$F,2,FALSE),"")</f>
        <v/>
      </c>
      <c r="F3490" s="1" t="str">
        <f>IF(OR(C3490="",NOT(ISNUMBER(SEARCH("Package",D3490)))),"",VLOOKUP(C3490,'Clients List'!$A:$F,4,FALSE)-SUMIFS($E$2:$E3490,$C$2:$C3490,C3490,$D$2:$D3490,"*Package*"))</f>
        <v/>
      </c>
      <c r="G3490" t="str">
        <f t="shared" si="87"/>
        <v/>
      </c>
      <c r="H3490" s="33">
        <f>IF(ISNUMBER(SEARCH("Group",D3490)),IF(G3490="",E3490,IFERROR(E3490/COUNTIF($G2:$G6000,G3490),E3490)),E3490)</f>
        <v>0</v>
      </c>
      <c r="I3490" s="1" t="str">
        <f>IFERROR(VLOOKUP(C3490,'Clients List'!A:F,6,FALSE),"")</f>
        <v/>
      </c>
    </row>
    <row r="3491" spans="4:9" x14ac:dyDescent="0.45">
      <c r="D3491" t="str">
        <f>IFERROR(VLOOKUP(C3491,'Clients List'!$A:$F,2,FALSE),"")</f>
        <v/>
      </c>
      <c r="F3491" s="1" t="str">
        <f>IF(OR(C3491="",NOT(ISNUMBER(SEARCH("Package",D3491)))),"",VLOOKUP(C3491,'Clients List'!$A:$F,4,FALSE)-SUMIFS($E$2:$E3491,$C$2:$C3491,C3491,$D$2:$D3491,"*Package*"))</f>
        <v/>
      </c>
      <c r="G3491" t="str">
        <f t="shared" si="87"/>
        <v/>
      </c>
      <c r="H3491" s="33">
        <f>IF(ISNUMBER(SEARCH("Group",D3491)),IF(G3491="",E3491,IFERROR(E3491/COUNTIF($G2:$G6000,G3491),E3491)),E3491)</f>
        <v>0</v>
      </c>
      <c r="I3491" s="1" t="str">
        <f>IFERROR(VLOOKUP(C3491,'Clients List'!A:F,6,FALSE),"")</f>
        <v/>
      </c>
    </row>
    <row r="3492" spans="4:9" x14ac:dyDescent="0.45">
      <c r="D3492" t="str">
        <f>IFERROR(VLOOKUP(C3492,'Clients List'!$A:$F,2,FALSE),"")</f>
        <v/>
      </c>
      <c r="F3492" s="1" t="str">
        <f>IF(OR(C3492="",NOT(ISNUMBER(SEARCH("Package",D3492)))),"",VLOOKUP(C3492,'Clients List'!$A:$F,4,FALSE)-SUMIFS($E$2:$E3492,$C$2:$C3492,C3492,$D$2:$D3492,"*Package*"))</f>
        <v/>
      </c>
      <c r="G3492" t="str">
        <f t="shared" si="87"/>
        <v/>
      </c>
      <c r="H3492" s="33">
        <f>IF(ISNUMBER(SEARCH("Group",D3492)),IF(G3492="",E3492,IFERROR(E3492/COUNTIF($G2:$G6000,G3492),E3492)),E3492)</f>
        <v>0</v>
      </c>
      <c r="I3492" s="1" t="str">
        <f>IFERROR(VLOOKUP(C3492,'Clients List'!A:F,6,FALSE),"")</f>
        <v/>
      </c>
    </row>
    <row r="3493" spans="4:9" x14ac:dyDescent="0.45">
      <c r="D3493" t="str">
        <f>IFERROR(VLOOKUP(C3493,'Clients List'!$A:$F,2,FALSE),"")</f>
        <v/>
      </c>
      <c r="F3493" s="1" t="str">
        <f>IF(OR(C3493="",NOT(ISNUMBER(SEARCH("Package",D3493)))),"",VLOOKUP(C3493,'Clients List'!$A:$F,4,FALSE)-SUMIFS($E$2:$E3493,$C$2:$C3493,C3493,$D$2:$D3493,"*Package*"))</f>
        <v/>
      </c>
      <c r="G3493" t="str">
        <f t="shared" si="87"/>
        <v/>
      </c>
      <c r="H3493" s="33">
        <f>IF(ISNUMBER(SEARCH("Group",D3493)),IF(G3493="",E3493,IFERROR(E3493/COUNTIF($G2:$G6000,G3493),E3493)),E3493)</f>
        <v>0</v>
      </c>
      <c r="I3493" s="1" t="str">
        <f>IFERROR(VLOOKUP(C3493,'Clients List'!A:F,6,FALSE),"")</f>
        <v/>
      </c>
    </row>
    <row r="3494" spans="4:9" x14ac:dyDescent="0.45">
      <c r="D3494" t="str">
        <f>IFERROR(VLOOKUP(C3494,'Clients List'!$A:$F,2,FALSE),"")</f>
        <v/>
      </c>
      <c r="F3494" s="1" t="str">
        <f>IF(OR(C3494="",NOT(ISNUMBER(SEARCH("Package",D3494)))),"",VLOOKUP(C3494,'Clients List'!$A:$F,4,FALSE)-SUMIFS($E$2:$E3494,$C$2:$C3494,C3494,$D$2:$D3494,"*Package*"))</f>
        <v/>
      </c>
      <c r="G3494" t="str">
        <f t="shared" si="87"/>
        <v/>
      </c>
      <c r="H3494" s="33">
        <f>IF(ISNUMBER(SEARCH("Group",D3494)),IF(G3494="",E3494,IFERROR(E3494/COUNTIF($G2:$G6000,G3494),E3494)),E3494)</f>
        <v>0</v>
      </c>
      <c r="I3494" s="1" t="str">
        <f>IFERROR(VLOOKUP(C3494,'Clients List'!A:F,6,FALSE),"")</f>
        <v/>
      </c>
    </row>
    <row r="3495" spans="4:9" x14ac:dyDescent="0.45">
      <c r="D3495" t="str">
        <f>IFERROR(VLOOKUP(C3495,'Clients List'!$A:$F,2,FALSE),"")</f>
        <v/>
      </c>
      <c r="F3495" s="1" t="str">
        <f>IF(OR(C3495="",NOT(ISNUMBER(SEARCH("Package",D3495)))),"",VLOOKUP(C3495,'Clients List'!$A:$F,4,FALSE)-SUMIFS($E$2:$E3495,$C$2:$C3495,C3495,$D$2:$D3495,"*Package*"))</f>
        <v/>
      </c>
      <c r="G3495" t="str">
        <f t="shared" si="87"/>
        <v/>
      </c>
      <c r="H3495" s="33">
        <f>IF(ISNUMBER(SEARCH("Group",D3495)),IF(G3495="",E3495,IFERROR(E3495/COUNTIF($G2:$G6000,G3495),E3495)),E3495)</f>
        <v>0</v>
      </c>
      <c r="I3495" s="1" t="str">
        <f>IFERROR(VLOOKUP(C3495,'Clients List'!A:F,6,FALSE),"")</f>
        <v/>
      </c>
    </row>
    <row r="3496" spans="4:9" x14ac:dyDescent="0.45">
      <c r="D3496" t="str">
        <f>IFERROR(VLOOKUP(C3496,'Clients List'!$A:$F,2,FALSE),"")</f>
        <v/>
      </c>
      <c r="F3496" s="1" t="str">
        <f>IF(OR(C3496="",NOT(ISNUMBER(SEARCH("Package",D3496)))),"",VLOOKUP(C3496,'Clients List'!$A:$F,4,FALSE)-SUMIFS($E$2:$E3496,$C$2:$C3496,C3496,$D$2:$D3496,"*Package*"))</f>
        <v/>
      </c>
      <c r="G3496" t="str">
        <f t="shared" si="87"/>
        <v/>
      </c>
      <c r="H3496" s="33">
        <f>IF(ISNUMBER(SEARCH("Group",D3496)),IF(G3496="",E3496,IFERROR(E3496/COUNTIF($G2:$G6000,G3496),E3496)),E3496)</f>
        <v>0</v>
      </c>
      <c r="I3496" s="1" t="str">
        <f>IFERROR(VLOOKUP(C3496,'Clients List'!A:F,6,FALSE),"")</f>
        <v/>
      </c>
    </row>
    <row r="3497" spans="4:9" x14ac:dyDescent="0.45">
      <c r="D3497" t="str">
        <f>IFERROR(VLOOKUP(C3497,'Clients List'!$A:$F,2,FALSE),"")</f>
        <v/>
      </c>
      <c r="F3497" s="1" t="str">
        <f>IF(OR(C3497="",NOT(ISNUMBER(SEARCH("Package",D3497)))),"",VLOOKUP(C3497,'Clients List'!$A:$F,4,FALSE)-SUMIFS($E$2:$E3497,$C$2:$C3497,C3497,$D$2:$D3497,"*Package*"))</f>
        <v/>
      </c>
      <c r="G3497" t="str">
        <f t="shared" si="87"/>
        <v/>
      </c>
      <c r="H3497" s="33">
        <f>IF(ISNUMBER(SEARCH("Group",D3497)),IF(G3497="",E3497,IFERROR(E3497/COUNTIF($G2:$G6000,G3497),E3497)),E3497)</f>
        <v>0</v>
      </c>
      <c r="I3497" s="1" t="str">
        <f>IFERROR(VLOOKUP(C3497,'Clients List'!A:F,6,FALSE),"")</f>
        <v/>
      </c>
    </row>
    <row r="3498" spans="4:9" x14ac:dyDescent="0.45">
      <c r="D3498" t="str">
        <f>IFERROR(VLOOKUP(C3498,'Clients List'!$A:$F,2,FALSE),"")</f>
        <v/>
      </c>
      <c r="F3498" s="1" t="str">
        <f>IF(OR(C3498="",NOT(ISNUMBER(SEARCH("Package",D3498)))),"",VLOOKUP(C3498,'Clients List'!$A:$F,4,FALSE)-SUMIFS($E$2:$E3498,$C$2:$C3498,C3498,$D$2:$D3498,"*Package*"))</f>
        <v/>
      </c>
      <c r="G3498" t="str">
        <f t="shared" si="87"/>
        <v/>
      </c>
      <c r="H3498" s="33">
        <f>IF(ISNUMBER(SEARCH("Group",D3498)),IF(G3498="",E3498,IFERROR(E3498/COUNTIF($G2:$G6000,G3498),E3498)),E3498)</f>
        <v>0</v>
      </c>
      <c r="I3498" s="1" t="str">
        <f>IFERROR(VLOOKUP(C3498,'Clients List'!A:F,6,FALSE),"")</f>
        <v/>
      </c>
    </row>
    <row r="3499" spans="4:9" x14ac:dyDescent="0.45">
      <c r="D3499" t="str">
        <f>IFERROR(VLOOKUP(C3499,'Clients List'!$A:$F,2,FALSE),"")</f>
        <v/>
      </c>
      <c r="F3499" s="1" t="str">
        <f>IF(OR(C3499="",NOT(ISNUMBER(SEARCH("Package",D3499)))),"",VLOOKUP(C3499,'Clients List'!$A:$F,4,FALSE)-SUMIFS($E$2:$E3499,$C$2:$C3499,C3499,$D$2:$D3499,"*Package*"))</f>
        <v/>
      </c>
      <c r="G3499" t="str">
        <f t="shared" si="87"/>
        <v/>
      </c>
      <c r="H3499" s="33">
        <f>IF(ISNUMBER(SEARCH("Group",D3499)),IF(G3499="",E3499,IFERROR(E3499/COUNTIF($G2:$G6000,G3499),E3499)),E3499)</f>
        <v>0</v>
      </c>
      <c r="I3499" s="1" t="str">
        <f>IFERROR(VLOOKUP(C3499,'Clients List'!A:F,6,FALSE),"")</f>
        <v/>
      </c>
    </row>
    <row r="3500" spans="4:9" x14ac:dyDescent="0.45">
      <c r="D3500" t="str">
        <f>IFERROR(VLOOKUP(C3500,'Clients List'!$A:$F,2,FALSE),"")</f>
        <v/>
      </c>
      <c r="F3500" s="1" t="str">
        <f>IF(OR(C3500="",NOT(ISNUMBER(SEARCH("Package",D3500)))),"",VLOOKUP(C3500,'Clients List'!$A:$F,4,FALSE)-SUMIFS($E$2:$E3500,$C$2:$C3500,C3500,$D$2:$D3500,"*Package*"))</f>
        <v/>
      </c>
      <c r="G3500" t="str">
        <f t="shared" si="87"/>
        <v/>
      </c>
      <c r="H3500" s="33">
        <f>IF(ISNUMBER(SEARCH("Group",D3500)),IF(G3500="",E3500,IFERROR(E3500/COUNTIF($G2:$G6000,G3500),E3500)),E3500)</f>
        <v>0</v>
      </c>
      <c r="I3500" s="1" t="str">
        <f>IFERROR(VLOOKUP(C3500,'Clients List'!A:F,6,FALSE),"")</f>
        <v/>
      </c>
    </row>
    <row r="3501" spans="4:9" x14ac:dyDescent="0.45">
      <c r="D3501" t="str">
        <f>IFERROR(VLOOKUP(C3501,'Clients List'!$A:$F,2,FALSE),"")</f>
        <v/>
      </c>
      <c r="F3501" s="1" t="str">
        <f>IF(OR(C3501="",NOT(ISNUMBER(SEARCH("Package",D3501)))),"",VLOOKUP(C3501,'Clients List'!$A:$F,4,FALSE)-SUMIFS($E$2:$E3501,$C$2:$C3501,C3501,$D$2:$D3501,"*Package*"))</f>
        <v/>
      </c>
      <c r="G3501" t="str">
        <f t="shared" si="87"/>
        <v/>
      </c>
      <c r="H3501" s="33">
        <f>IF(ISNUMBER(SEARCH("Group",D3501)),IF(G3501="",E3501,IFERROR(E3501/COUNTIF($G2:$G6000,G3501),E3501)),E3501)</f>
        <v>0</v>
      </c>
      <c r="I3501" s="1" t="str">
        <f>IFERROR(VLOOKUP(C3501,'Clients List'!A:F,6,FALSE),"")</f>
        <v/>
      </c>
    </row>
    <row r="3502" spans="4:9" x14ac:dyDescent="0.45">
      <c r="D3502" t="str">
        <f>IFERROR(VLOOKUP(C3502,'Clients List'!$A:$F,2,FALSE),"")</f>
        <v/>
      </c>
      <c r="F3502" s="1" t="str">
        <f>IF(OR(C3502="",NOT(ISNUMBER(SEARCH("Package",D3502)))),"",VLOOKUP(C3502,'Clients List'!$A:$F,4,FALSE)-SUMIFS($E$2:$E3502,$C$2:$C3502,C3502,$D$2:$D3502,"*Package*"))</f>
        <v/>
      </c>
      <c r="G3502" t="str">
        <f t="shared" si="87"/>
        <v/>
      </c>
      <c r="H3502" s="33">
        <f>IF(ISNUMBER(SEARCH("Group",D3502)),IF(G3502="",E3502,IFERROR(E3502/COUNTIF($G2:$G6000,G3502),E3502)),E3502)</f>
        <v>0</v>
      </c>
      <c r="I3502" s="1" t="str">
        <f>IFERROR(VLOOKUP(C3502,'Clients List'!A:F,6,FALSE),"")</f>
        <v/>
      </c>
    </row>
    <row r="3503" spans="4:9" x14ac:dyDescent="0.45">
      <c r="D3503" t="str">
        <f>IFERROR(VLOOKUP(C3503,'Clients List'!$A:$F,2,FALSE),"")</f>
        <v/>
      </c>
      <c r="F3503" s="1" t="str">
        <f>IF(OR(C3503="",NOT(ISNUMBER(SEARCH("Package",D3503)))),"",VLOOKUP(C3503,'Clients List'!$A:$F,4,FALSE)-SUMIFS($E$2:$E3503,$C$2:$C3503,C3503,$D$2:$D3503,"*Package*"))</f>
        <v/>
      </c>
      <c r="G3503" t="str">
        <f t="shared" si="87"/>
        <v/>
      </c>
      <c r="H3503" s="33">
        <f>IF(ISNUMBER(SEARCH("Group",D3503)),IF(G3503="",E3503,IFERROR(E3503/COUNTIF($G2:$G6000,G3503),E3503)),E3503)</f>
        <v>0</v>
      </c>
      <c r="I3503" s="1" t="str">
        <f>IFERROR(VLOOKUP(C3503,'Clients List'!A:F,6,FALSE),"")</f>
        <v/>
      </c>
    </row>
    <row r="3504" spans="4:9" x14ac:dyDescent="0.45">
      <c r="D3504" t="str">
        <f>IFERROR(VLOOKUP(C3504,'Clients List'!$A:$F,2,FALSE),"")</f>
        <v/>
      </c>
      <c r="F3504" s="1" t="str">
        <f>IF(OR(C3504="",NOT(ISNUMBER(SEARCH("Package",D3504)))),"",VLOOKUP(C3504,'Clients List'!$A:$F,4,FALSE)-SUMIFS($E$2:$E3504,$C$2:$C3504,C3504,$D$2:$D3504,"*Package*"))</f>
        <v/>
      </c>
      <c r="G3504" t="str">
        <f t="shared" si="87"/>
        <v/>
      </c>
      <c r="H3504" s="33">
        <f>IF(ISNUMBER(SEARCH("Group",D3504)),IF(G3504="",E3504,IFERROR(E3504/COUNTIF($G2:$G6000,G3504),E3504)),E3504)</f>
        <v>0</v>
      </c>
      <c r="I3504" s="1" t="str">
        <f>IFERROR(VLOOKUP(C3504,'Clients List'!A:F,6,FALSE),"")</f>
        <v/>
      </c>
    </row>
    <row r="3505" spans="4:9" x14ac:dyDescent="0.45">
      <c r="D3505" t="str">
        <f>IFERROR(VLOOKUP(C3505,'Clients List'!$A:$F,2,FALSE),"")</f>
        <v/>
      </c>
      <c r="F3505" s="1" t="str">
        <f>IF(OR(C3505="",NOT(ISNUMBER(SEARCH("Package",D3505)))),"",VLOOKUP(C3505,'Clients List'!$A:$F,4,FALSE)-SUMIFS($E$2:$E3505,$C$2:$C3505,C3505,$D$2:$D3505,"*Package*"))</f>
        <v/>
      </c>
      <c r="G3505" t="str">
        <f t="shared" si="87"/>
        <v/>
      </c>
      <c r="H3505" s="33">
        <f>IF(ISNUMBER(SEARCH("Group",D3505)),IF(G3505="",E3505,IFERROR(E3505/COUNTIF($G2:$G6000,G3505),E3505)),E3505)</f>
        <v>0</v>
      </c>
      <c r="I3505" s="1" t="str">
        <f>IFERROR(VLOOKUP(C3505,'Clients List'!A:F,6,FALSE),"")</f>
        <v/>
      </c>
    </row>
    <row r="3506" spans="4:9" x14ac:dyDescent="0.45">
      <c r="D3506" t="str">
        <f>IFERROR(VLOOKUP(C3506,'Clients List'!$A:$F,2,FALSE),"")</f>
        <v/>
      </c>
      <c r="F3506" s="1" t="str">
        <f>IF(OR(C3506="",NOT(ISNUMBER(SEARCH("Package",D3506)))),"",VLOOKUP(C3506,'Clients List'!$A:$F,4,FALSE)-SUMIFS($E$2:$E3506,$C$2:$C3506,C3506,$D$2:$D3506,"*Package*"))</f>
        <v/>
      </c>
      <c r="G3506" t="str">
        <f t="shared" si="87"/>
        <v/>
      </c>
      <c r="H3506" s="33">
        <f>IF(ISNUMBER(SEARCH("Group",D3506)),IF(G3506="",E3506,IFERROR(E3506/COUNTIF($G2:$G6000,G3506),E3506)),E3506)</f>
        <v>0</v>
      </c>
      <c r="I3506" s="1" t="str">
        <f>IFERROR(VLOOKUP(C3506,'Clients List'!A:F,6,FALSE),"")</f>
        <v/>
      </c>
    </row>
    <row r="3507" spans="4:9" x14ac:dyDescent="0.45">
      <c r="D3507" t="str">
        <f>IFERROR(VLOOKUP(C3507,'Clients List'!$A:$F,2,FALSE),"")</f>
        <v/>
      </c>
      <c r="F3507" s="1" t="str">
        <f>IF(OR(C3507="",NOT(ISNUMBER(SEARCH("Package",D3507)))),"",VLOOKUP(C3507,'Clients List'!$A:$F,4,FALSE)-SUMIFS($E$2:$E3507,$C$2:$C3507,C3507,$D$2:$D3507,"*Package*"))</f>
        <v/>
      </c>
      <c r="G3507" t="str">
        <f t="shared" si="87"/>
        <v/>
      </c>
      <c r="H3507" s="33">
        <f>IF(ISNUMBER(SEARCH("Group",D3507)),IF(G3507="",E3507,IFERROR(E3507/COUNTIF($G2:$G6000,G3507),E3507)),E3507)</f>
        <v>0</v>
      </c>
      <c r="I3507" s="1" t="str">
        <f>IFERROR(VLOOKUP(C3507,'Clients List'!A:F,6,FALSE),"")</f>
        <v/>
      </c>
    </row>
    <row r="3508" spans="4:9" x14ac:dyDescent="0.45">
      <c r="D3508" t="str">
        <f>IFERROR(VLOOKUP(C3508,'Clients List'!$A:$F,2,FALSE),"")</f>
        <v/>
      </c>
      <c r="F3508" s="1" t="str">
        <f>IF(OR(C3508="",NOT(ISNUMBER(SEARCH("Package",D3508)))),"",VLOOKUP(C3508,'Clients List'!$A:$F,4,FALSE)-SUMIFS($E$2:$E3508,$C$2:$C3508,C3508,$D$2:$D3508,"*Package*"))</f>
        <v/>
      </c>
      <c r="G3508" t="str">
        <f t="shared" si="87"/>
        <v/>
      </c>
      <c r="H3508" s="33">
        <f>IF(ISNUMBER(SEARCH("Group",D3508)),IF(G3508="",E3508,IFERROR(E3508/COUNTIF($G2:$G6000,G3508),E3508)),E3508)</f>
        <v>0</v>
      </c>
      <c r="I3508" s="1" t="str">
        <f>IFERROR(VLOOKUP(C3508,'Clients List'!A:F,6,FALSE),"")</f>
        <v/>
      </c>
    </row>
    <row r="3509" spans="4:9" x14ac:dyDescent="0.45">
      <c r="D3509" t="str">
        <f>IFERROR(VLOOKUP(C3509,'Clients List'!$A:$F,2,FALSE),"")</f>
        <v/>
      </c>
      <c r="F3509" s="1" t="str">
        <f>IF(OR(C3509="",NOT(ISNUMBER(SEARCH("Package",D3509)))),"",VLOOKUP(C3509,'Clients List'!$A:$F,4,FALSE)-SUMIFS($E$2:$E3509,$C$2:$C3509,C3509,$D$2:$D3509,"*Package*"))</f>
        <v/>
      </c>
      <c r="G3509" t="str">
        <f t="shared" ref="G3509:G3572" si="88">IF(ISNUMBER(SEARCH("Group",D3509)),IFERROR("GRP-"&amp;TEXT(IF(ISNUMBER(A3509),A3509,DATEVALUE(A3509)),"yyyymmdd"),""),"" )</f>
        <v/>
      </c>
      <c r="H3509" s="33">
        <f>IF(ISNUMBER(SEARCH("Group",D3509)),IF(G3509="",E3509,IFERROR(E3509/COUNTIF($G2:$G6000,G3509),E3509)),E3509)</f>
        <v>0</v>
      </c>
      <c r="I3509" s="1" t="str">
        <f>IFERROR(VLOOKUP(C3509,'Clients List'!A:F,6,FALSE),"")</f>
        <v/>
      </c>
    </row>
    <row r="3510" spans="4:9" x14ac:dyDescent="0.45">
      <c r="D3510" t="str">
        <f>IFERROR(VLOOKUP(C3510,'Clients List'!$A:$F,2,FALSE),"")</f>
        <v/>
      </c>
      <c r="F3510" s="1" t="str">
        <f>IF(OR(C3510="",NOT(ISNUMBER(SEARCH("Package",D3510)))),"",VLOOKUP(C3510,'Clients List'!$A:$F,4,FALSE)-SUMIFS($E$2:$E3510,$C$2:$C3510,C3510,$D$2:$D3510,"*Package*"))</f>
        <v/>
      </c>
      <c r="G3510" t="str">
        <f t="shared" si="88"/>
        <v/>
      </c>
      <c r="H3510" s="33">
        <f>IF(ISNUMBER(SEARCH("Group",D3510)),IF(G3510="",E3510,IFERROR(E3510/COUNTIF($G2:$G6000,G3510),E3510)),E3510)</f>
        <v>0</v>
      </c>
      <c r="I3510" s="1" t="str">
        <f>IFERROR(VLOOKUP(C3510,'Clients List'!A:F,6,FALSE),"")</f>
        <v/>
      </c>
    </row>
    <row r="3511" spans="4:9" x14ac:dyDescent="0.45">
      <c r="D3511" t="str">
        <f>IFERROR(VLOOKUP(C3511,'Clients List'!$A:$F,2,FALSE),"")</f>
        <v/>
      </c>
      <c r="F3511" s="1" t="str">
        <f>IF(OR(C3511="",NOT(ISNUMBER(SEARCH("Package",D3511)))),"",VLOOKUP(C3511,'Clients List'!$A:$F,4,FALSE)-SUMIFS($E$2:$E3511,$C$2:$C3511,C3511,$D$2:$D3511,"*Package*"))</f>
        <v/>
      </c>
      <c r="G3511" t="str">
        <f t="shared" si="88"/>
        <v/>
      </c>
      <c r="H3511" s="33">
        <f>IF(ISNUMBER(SEARCH("Group",D3511)),IF(G3511="",E3511,IFERROR(E3511/COUNTIF($G2:$G6000,G3511),E3511)),E3511)</f>
        <v>0</v>
      </c>
      <c r="I3511" s="1" t="str">
        <f>IFERROR(VLOOKUP(C3511,'Clients List'!A:F,6,FALSE),"")</f>
        <v/>
      </c>
    </row>
    <row r="3512" spans="4:9" x14ac:dyDescent="0.45">
      <c r="D3512" t="str">
        <f>IFERROR(VLOOKUP(C3512,'Clients List'!$A:$F,2,FALSE),"")</f>
        <v/>
      </c>
      <c r="F3512" s="1" t="str">
        <f>IF(OR(C3512="",NOT(ISNUMBER(SEARCH("Package",D3512)))),"",VLOOKUP(C3512,'Clients List'!$A:$F,4,FALSE)-SUMIFS($E$2:$E3512,$C$2:$C3512,C3512,$D$2:$D3512,"*Package*"))</f>
        <v/>
      </c>
      <c r="G3512" t="str">
        <f t="shared" si="88"/>
        <v/>
      </c>
      <c r="H3512" s="33">
        <f>IF(ISNUMBER(SEARCH("Group",D3512)),IF(G3512="",E3512,IFERROR(E3512/COUNTIF($G2:$G6000,G3512),E3512)),E3512)</f>
        <v>0</v>
      </c>
      <c r="I3512" s="1" t="str">
        <f>IFERROR(VLOOKUP(C3512,'Clients List'!A:F,6,FALSE),"")</f>
        <v/>
      </c>
    </row>
    <row r="3513" spans="4:9" x14ac:dyDescent="0.45">
      <c r="D3513" t="str">
        <f>IFERROR(VLOOKUP(C3513,'Clients List'!$A:$F,2,FALSE),"")</f>
        <v/>
      </c>
      <c r="F3513" s="1" t="str">
        <f>IF(OR(C3513="",NOT(ISNUMBER(SEARCH("Package",D3513)))),"",VLOOKUP(C3513,'Clients List'!$A:$F,4,FALSE)-SUMIFS($E$2:$E3513,$C$2:$C3513,C3513,$D$2:$D3513,"*Package*"))</f>
        <v/>
      </c>
      <c r="G3513" t="str">
        <f t="shared" si="88"/>
        <v/>
      </c>
      <c r="H3513" s="33">
        <f>IF(ISNUMBER(SEARCH("Group",D3513)),IF(G3513="",E3513,IFERROR(E3513/COUNTIF($G2:$G6000,G3513),E3513)),E3513)</f>
        <v>0</v>
      </c>
      <c r="I3513" s="1" t="str">
        <f>IFERROR(VLOOKUP(C3513,'Clients List'!A:F,6,FALSE),"")</f>
        <v/>
      </c>
    </row>
    <row r="3514" spans="4:9" x14ac:dyDescent="0.45">
      <c r="D3514" t="str">
        <f>IFERROR(VLOOKUP(C3514,'Clients List'!$A:$F,2,FALSE),"")</f>
        <v/>
      </c>
      <c r="F3514" s="1" t="str">
        <f>IF(OR(C3514="",NOT(ISNUMBER(SEARCH("Package",D3514)))),"",VLOOKUP(C3514,'Clients List'!$A:$F,4,FALSE)-SUMIFS($E$2:$E3514,$C$2:$C3514,C3514,$D$2:$D3514,"*Package*"))</f>
        <v/>
      </c>
      <c r="G3514" t="str">
        <f t="shared" si="88"/>
        <v/>
      </c>
      <c r="H3514" s="33">
        <f>IF(ISNUMBER(SEARCH("Group",D3514)),IF(G3514="",E3514,IFERROR(E3514/COUNTIF($G2:$G6000,G3514),E3514)),E3514)</f>
        <v>0</v>
      </c>
      <c r="I3514" s="1" t="str">
        <f>IFERROR(VLOOKUP(C3514,'Clients List'!A:F,6,FALSE),"")</f>
        <v/>
      </c>
    </row>
    <row r="3515" spans="4:9" x14ac:dyDescent="0.45">
      <c r="D3515" t="str">
        <f>IFERROR(VLOOKUP(C3515,'Clients List'!$A:$F,2,FALSE),"")</f>
        <v/>
      </c>
      <c r="F3515" s="1" t="str">
        <f>IF(OR(C3515="",NOT(ISNUMBER(SEARCH("Package",D3515)))),"",VLOOKUP(C3515,'Clients List'!$A:$F,4,FALSE)-SUMIFS($E$2:$E3515,$C$2:$C3515,C3515,$D$2:$D3515,"*Package*"))</f>
        <v/>
      </c>
      <c r="G3515" t="str">
        <f t="shared" si="88"/>
        <v/>
      </c>
      <c r="H3515" s="33">
        <f>IF(ISNUMBER(SEARCH("Group",D3515)),IF(G3515="",E3515,IFERROR(E3515/COUNTIF($G2:$G6000,G3515),E3515)),E3515)</f>
        <v>0</v>
      </c>
      <c r="I3515" s="1" t="str">
        <f>IFERROR(VLOOKUP(C3515,'Clients List'!A:F,6,FALSE),"")</f>
        <v/>
      </c>
    </row>
    <row r="3516" spans="4:9" x14ac:dyDescent="0.45">
      <c r="D3516" t="str">
        <f>IFERROR(VLOOKUP(C3516,'Clients List'!$A:$F,2,FALSE),"")</f>
        <v/>
      </c>
      <c r="F3516" s="1" t="str">
        <f>IF(OR(C3516="",NOT(ISNUMBER(SEARCH("Package",D3516)))),"",VLOOKUP(C3516,'Clients List'!$A:$F,4,FALSE)-SUMIFS($E$2:$E3516,$C$2:$C3516,C3516,$D$2:$D3516,"*Package*"))</f>
        <v/>
      </c>
      <c r="G3516" t="str">
        <f t="shared" si="88"/>
        <v/>
      </c>
      <c r="H3516" s="33">
        <f>IF(ISNUMBER(SEARCH("Group",D3516)),IF(G3516="",E3516,IFERROR(E3516/COUNTIF($G2:$G6000,G3516),E3516)),E3516)</f>
        <v>0</v>
      </c>
      <c r="I3516" s="1" t="str">
        <f>IFERROR(VLOOKUP(C3516,'Clients List'!A:F,6,FALSE),"")</f>
        <v/>
      </c>
    </row>
    <row r="3517" spans="4:9" x14ac:dyDescent="0.45">
      <c r="D3517" t="str">
        <f>IFERROR(VLOOKUP(C3517,'Clients List'!$A:$F,2,FALSE),"")</f>
        <v/>
      </c>
      <c r="F3517" s="1" t="str">
        <f>IF(OR(C3517="",NOT(ISNUMBER(SEARCH("Package",D3517)))),"",VLOOKUP(C3517,'Clients List'!$A:$F,4,FALSE)-SUMIFS($E$2:$E3517,$C$2:$C3517,C3517,$D$2:$D3517,"*Package*"))</f>
        <v/>
      </c>
      <c r="G3517" t="str">
        <f t="shared" si="88"/>
        <v/>
      </c>
      <c r="H3517" s="33">
        <f>IF(ISNUMBER(SEARCH("Group",D3517)),IF(G3517="",E3517,IFERROR(E3517/COUNTIF($G2:$G6000,G3517),E3517)),E3517)</f>
        <v>0</v>
      </c>
      <c r="I3517" s="1" t="str">
        <f>IFERROR(VLOOKUP(C3517,'Clients List'!A:F,6,FALSE),"")</f>
        <v/>
      </c>
    </row>
    <row r="3518" spans="4:9" x14ac:dyDescent="0.45">
      <c r="D3518" t="str">
        <f>IFERROR(VLOOKUP(C3518,'Clients List'!$A:$F,2,FALSE),"")</f>
        <v/>
      </c>
      <c r="F3518" s="1" t="str">
        <f>IF(OR(C3518="",NOT(ISNUMBER(SEARCH("Package",D3518)))),"",VLOOKUP(C3518,'Clients List'!$A:$F,4,FALSE)-SUMIFS($E$2:$E3518,$C$2:$C3518,C3518,$D$2:$D3518,"*Package*"))</f>
        <v/>
      </c>
      <c r="G3518" t="str">
        <f t="shared" si="88"/>
        <v/>
      </c>
      <c r="H3518" s="33">
        <f>IF(ISNUMBER(SEARCH("Group",D3518)),IF(G3518="",E3518,IFERROR(E3518/COUNTIF($G2:$G6000,G3518),E3518)),E3518)</f>
        <v>0</v>
      </c>
      <c r="I3518" s="1" t="str">
        <f>IFERROR(VLOOKUP(C3518,'Clients List'!A:F,6,FALSE),"")</f>
        <v/>
      </c>
    </row>
    <row r="3519" spans="4:9" x14ac:dyDescent="0.45">
      <c r="D3519" t="str">
        <f>IFERROR(VLOOKUP(C3519,'Clients List'!$A:$F,2,FALSE),"")</f>
        <v/>
      </c>
      <c r="F3519" s="1" t="str">
        <f>IF(OR(C3519="",NOT(ISNUMBER(SEARCH("Package",D3519)))),"",VLOOKUP(C3519,'Clients List'!$A:$F,4,FALSE)-SUMIFS($E$2:$E3519,$C$2:$C3519,C3519,$D$2:$D3519,"*Package*"))</f>
        <v/>
      </c>
      <c r="G3519" t="str">
        <f t="shared" si="88"/>
        <v/>
      </c>
      <c r="H3519" s="33">
        <f>IF(ISNUMBER(SEARCH("Group",D3519)),IF(G3519="",E3519,IFERROR(E3519/COUNTIF($G2:$G6000,G3519),E3519)),E3519)</f>
        <v>0</v>
      </c>
      <c r="I3519" s="1" t="str">
        <f>IFERROR(VLOOKUP(C3519,'Clients List'!A:F,6,FALSE),"")</f>
        <v/>
      </c>
    </row>
    <row r="3520" spans="4:9" x14ac:dyDescent="0.45">
      <c r="D3520" t="str">
        <f>IFERROR(VLOOKUP(C3520,'Clients List'!$A:$F,2,FALSE),"")</f>
        <v/>
      </c>
      <c r="F3520" s="1" t="str">
        <f>IF(OR(C3520="",NOT(ISNUMBER(SEARCH("Package",D3520)))),"",VLOOKUP(C3520,'Clients List'!$A:$F,4,FALSE)-SUMIFS($E$2:$E3520,$C$2:$C3520,C3520,$D$2:$D3520,"*Package*"))</f>
        <v/>
      </c>
      <c r="G3520" t="str">
        <f t="shared" si="88"/>
        <v/>
      </c>
      <c r="H3520" s="33">
        <f>IF(ISNUMBER(SEARCH("Group",D3520)),IF(G3520="",E3520,IFERROR(E3520/COUNTIF($G2:$G6000,G3520),E3520)),E3520)</f>
        <v>0</v>
      </c>
      <c r="I3520" s="1" t="str">
        <f>IFERROR(VLOOKUP(C3520,'Clients List'!A:F,6,FALSE),"")</f>
        <v/>
      </c>
    </row>
    <row r="3521" spans="4:9" x14ac:dyDescent="0.45">
      <c r="D3521" t="str">
        <f>IFERROR(VLOOKUP(C3521,'Clients List'!$A:$F,2,FALSE),"")</f>
        <v/>
      </c>
      <c r="F3521" s="1" t="str">
        <f>IF(OR(C3521="",NOT(ISNUMBER(SEARCH("Package",D3521)))),"",VLOOKUP(C3521,'Clients List'!$A:$F,4,FALSE)-SUMIFS($E$2:$E3521,$C$2:$C3521,C3521,$D$2:$D3521,"*Package*"))</f>
        <v/>
      </c>
      <c r="G3521" t="str">
        <f t="shared" si="88"/>
        <v/>
      </c>
      <c r="H3521" s="33">
        <f>IF(ISNUMBER(SEARCH("Group",D3521)),IF(G3521="",E3521,IFERROR(E3521/COUNTIF($G2:$G6000,G3521),E3521)),E3521)</f>
        <v>0</v>
      </c>
      <c r="I3521" s="1" t="str">
        <f>IFERROR(VLOOKUP(C3521,'Clients List'!A:F,6,FALSE),"")</f>
        <v/>
      </c>
    </row>
    <row r="3522" spans="4:9" x14ac:dyDescent="0.45">
      <c r="D3522" t="str">
        <f>IFERROR(VLOOKUP(C3522,'Clients List'!$A:$F,2,FALSE),"")</f>
        <v/>
      </c>
      <c r="F3522" s="1" t="str">
        <f>IF(OR(C3522="",NOT(ISNUMBER(SEARCH("Package",D3522)))),"",VLOOKUP(C3522,'Clients List'!$A:$F,4,FALSE)-SUMIFS($E$2:$E3522,$C$2:$C3522,C3522,$D$2:$D3522,"*Package*"))</f>
        <v/>
      </c>
      <c r="G3522" t="str">
        <f t="shared" si="88"/>
        <v/>
      </c>
      <c r="H3522" s="33">
        <f>IF(ISNUMBER(SEARCH("Group",D3522)),IF(G3522="",E3522,IFERROR(E3522/COUNTIF($G2:$G6000,G3522),E3522)),E3522)</f>
        <v>0</v>
      </c>
      <c r="I3522" s="1" t="str">
        <f>IFERROR(VLOOKUP(C3522,'Clients List'!A:F,6,FALSE),"")</f>
        <v/>
      </c>
    </row>
    <row r="3523" spans="4:9" x14ac:dyDescent="0.45">
      <c r="D3523" t="str">
        <f>IFERROR(VLOOKUP(C3523,'Clients List'!$A:$F,2,FALSE),"")</f>
        <v/>
      </c>
      <c r="F3523" s="1" t="str">
        <f>IF(OR(C3523="",NOT(ISNUMBER(SEARCH("Package",D3523)))),"",VLOOKUP(C3523,'Clients List'!$A:$F,4,FALSE)-SUMIFS($E$2:$E3523,$C$2:$C3523,C3523,$D$2:$D3523,"*Package*"))</f>
        <v/>
      </c>
      <c r="G3523" t="str">
        <f t="shared" si="88"/>
        <v/>
      </c>
      <c r="H3523" s="33">
        <f>IF(ISNUMBER(SEARCH("Group",D3523)),IF(G3523="",E3523,IFERROR(E3523/COUNTIF($G2:$G6000,G3523),E3523)),E3523)</f>
        <v>0</v>
      </c>
      <c r="I3523" s="1" t="str">
        <f>IFERROR(VLOOKUP(C3523,'Clients List'!A:F,6,FALSE),"")</f>
        <v/>
      </c>
    </row>
    <row r="3524" spans="4:9" x14ac:dyDescent="0.45">
      <c r="D3524" t="str">
        <f>IFERROR(VLOOKUP(C3524,'Clients List'!$A:$F,2,FALSE),"")</f>
        <v/>
      </c>
      <c r="F3524" s="1" t="str">
        <f>IF(OR(C3524="",NOT(ISNUMBER(SEARCH("Package",D3524)))),"",VLOOKUP(C3524,'Clients List'!$A:$F,4,FALSE)-SUMIFS($E$2:$E3524,$C$2:$C3524,C3524,$D$2:$D3524,"*Package*"))</f>
        <v/>
      </c>
      <c r="G3524" t="str">
        <f t="shared" si="88"/>
        <v/>
      </c>
      <c r="H3524" s="33">
        <f>IF(ISNUMBER(SEARCH("Group",D3524)),IF(G3524="",E3524,IFERROR(E3524/COUNTIF($G2:$G6000,G3524),E3524)),E3524)</f>
        <v>0</v>
      </c>
      <c r="I3524" s="1" t="str">
        <f>IFERROR(VLOOKUP(C3524,'Clients List'!A:F,6,FALSE),"")</f>
        <v/>
      </c>
    </row>
    <row r="3525" spans="4:9" x14ac:dyDescent="0.45">
      <c r="D3525" t="str">
        <f>IFERROR(VLOOKUP(C3525,'Clients List'!$A:$F,2,FALSE),"")</f>
        <v/>
      </c>
      <c r="F3525" s="1" t="str">
        <f>IF(OR(C3525="",NOT(ISNUMBER(SEARCH("Package",D3525)))),"",VLOOKUP(C3525,'Clients List'!$A:$F,4,FALSE)-SUMIFS($E$2:$E3525,$C$2:$C3525,C3525,$D$2:$D3525,"*Package*"))</f>
        <v/>
      </c>
      <c r="G3525" t="str">
        <f t="shared" si="88"/>
        <v/>
      </c>
      <c r="H3525" s="33">
        <f>IF(ISNUMBER(SEARCH("Group",D3525)),IF(G3525="",E3525,IFERROR(E3525/COUNTIF($G2:$G6000,G3525),E3525)),E3525)</f>
        <v>0</v>
      </c>
      <c r="I3525" s="1" t="str">
        <f>IFERROR(VLOOKUP(C3525,'Clients List'!A:F,6,FALSE),"")</f>
        <v/>
      </c>
    </row>
    <row r="3526" spans="4:9" x14ac:dyDescent="0.45">
      <c r="D3526" t="str">
        <f>IFERROR(VLOOKUP(C3526,'Clients List'!$A:$F,2,FALSE),"")</f>
        <v/>
      </c>
      <c r="F3526" s="1" t="str">
        <f>IF(OR(C3526="",NOT(ISNUMBER(SEARCH("Package",D3526)))),"",VLOOKUP(C3526,'Clients List'!$A:$F,4,FALSE)-SUMIFS($E$2:$E3526,$C$2:$C3526,C3526,$D$2:$D3526,"*Package*"))</f>
        <v/>
      </c>
      <c r="G3526" t="str">
        <f t="shared" si="88"/>
        <v/>
      </c>
      <c r="H3526" s="33">
        <f>IF(ISNUMBER(SEARCH("Group",D3526)),IF(G3526="",E3526,IFERROR(E3526/COUNTIF($G2:$G6000,G3526),E3526)),E3526)</f>
        <v>0</v>
      </c>
      <c r="I3526" s="1" t="str">
        <f>IFERROR(VLOOKUP(C3526,'Clients List'!A:F,6,FALSE),"")</f>
        <v/>
      </c>
    </row>
    <row r="3527" spans="4:9" x14ac:dyDescent="0.45">
      <c r="D3527" t="str">
        <f>IFERROR(VLOOKUP(C3527,'Clients List'!$A:$F,2,FALSE),"")</f>
        <v/>
      </c>
      <c r="F3527" s="1" t="str">
        <f>IF(OR(C3527="",NOT(ISNUMBER(SEARCH("Package",D3527)))),"",VLOOKUP(C3527,'Clients List'!$A:$F,4,FALSE)-SUMIFS($E$2:$E3527,$C$2:$C3527,C3527,$D$2:$D3527,"*Package*"))</f>
        <v/>
      </c>
      <c r="G3527" t="str">
        <f t="shared" si="88"/>
        <v/>
      </c>
      <c r="H3527" s="33">
        <f>IF(ISNUMBER(SEARCH("Group",D3527)),IF(G3527="",E3527,IFERROR(E3527/COUNTIF($G2:$G6000,G3527),E3527)),E3527)</f>
        <v>0</v>
      </c>
      <c r="I3527" s="1" t="str">
        <f>IFERROR(VLOOKUP(C3527,'Clients List'!A:F,6,FALSE),"")</f>
        <v/>
      </c>
    </row>
    <row r="3528" spans="4:9" x14ac:dyDescent="0.45">
      <c r="D3528" t="str">
        <f>IFERROR(VLOOKUP(C3528,'Clients List'!$A:$F,2,FALSE),"")</f>
        <v/>
      </c>
      <c r="F3528" s="1" t="str">
        <f>IF(OR(C3528="",NOT(ISNUMBER(SEARCH("Package",D3528)))),"",VLOOKUP(C3528,'Clients List'!$A:$F,4,FALSE)-SUMIFS($E$2:$E3528,$C$2:$C3528,C3528,$D$2:$D3528,"*Package*"))</f>
        <v/>
      </c>
      <c r="G3528" t="str">
        <f t="shared" si="88"/>
        <v/>
      </c>
      <c r="H3528" s="33">
        <f>IF(ISNUMBER(SEARCH("Group",D3528)),IF(G3528="",E3528,IFERROR(E3528/COUNTIF($G2:$G6000,G3528),E3528)),E3528)</f>
        <v>0</v>
      </c>
      <c r="I3528" s="1" t="str">
        <f>IFERROR(VLOOKUP(C3528,'Clients List'!A:F,6,FALSE),"")</f>
        <v/>
      </c>
    </row>
    <row r="3529" spans="4:9" x14ac:dyDescent="0.45">
      <c r="D3529" t="str">
        <f>IFERROR(VLOOKUP(C3529,'Clients List'!$A:$F,2,FALSE),"")</f>
        <v/>
      </c>
      <c r="F3529" s="1" t="str">
        <f>IF(OR(C3529="",NOT(ISNUMBER(SEARCH("Package",D3529)))),"",VLOOKUP(C3529,'Clients List'!$A:$F,4,FALSE)-SUMIFS($E$2:$E3529,$C$2:$C3529,C3529,$D$2:$D3529,"*Package*"))</f>
        <v/>
      </c>
      <c r="G3529" t="str">
        <f t="shared" si="88"/>
        <v/>
      </c>
      <c r="H3529" s="33">
        <f>IF(ISNUMBER(SEARCH("Group",D3529)),IF(G3529="",E3529,IFERROR(E3529/COUNTIF($G2:$G6000,G3529),E3529)),E3529)</f>
        <v>0</v>
      </c>
      <c r="I3529" s="1" t="str">
        <f>IFERROR(VLOOKUP(C3529,'Clients List'!A:F,6,FALSE),"")</f>
        <v/>
      </c>
    </row>
    <row r="3530" spans="4:9" x14ac:dyDescent="0.45">
      <c r="D3530" t="str">
        <f>IFERROR(VLOOKUP(C3530,'Clients List'!$A:$F,2,FALSE),"")</f>
        <v/>
      </c>
      <c r="F3530" s="1" t="str">
        <f>IF(OR(C3530="",NOT(ISNUMBER(SEARCH("Package",D3530)))),"",VLOOKUP(C3530,'Clients List'!$A:$F,4,FALSE)-SUMIFS($E$2:$E3530,$C$2:$C3530,C3530,$D$2:$D3530,"*Package*"))</f>
        <v/>
      </c>
      <c r="G3530" t="str">
        <f t="shared" si="88"/>
        <v/>
      </c>
      <c r="H3530" s="33">
        <f>IF(ISNUMBER(SEARCH("Group",D3530)),IF(G3530="",E3530,IFERROR(E3530/COUNTIF($G2:$G6000,G3530),E3530)),E3530)</f>
        <v>0</v>
      </c>
      <c r="I3530" s="1" t="str">
        <f>IFERROR(VLOOKUP(C3530,'Clients List'!A:F,6,FALSE),"")</f>
        <v/>
      </c>
    </row>
    <row r="3531" spans="4:9" x14ac:dyDescent="0.45">
      <c r="D3531" t="str">
        <f>IFERROR(VLOOKUP(C3531,'Clients List'!$A:$F,2,FALSE),"")</f>
        <v/>
      </c>
      <c r="F3531" s="1" t="str">
        <f>IF(OR(C3531="",NOT(ISNUMBER(SEARCH("Package",D3531)))),"",VLOOKUP(C3531,'Clients List'!$A:$F,4,FALSE)-SUMIFS($E$2:$E3531,$C$2:$C3531,C3531,$D$2:$D3531,"*Package*"))</f>
        <v/>
      </c>
      <c r="G3531" t="str">
        <f t="shared" si="88"/>
        <v/>
      </c>
      <c r="H3531" s="33">
        <f>IF(ISNUMBER(SEARCH("Group",D3531)),IF(G3531="",E3531,IFERROR(E3531/COUNTIF($G2:$G6000,G3531),E3531)),E3531)</f>
        <v>0</v>
      </c>
      <c r="I3531" s="1" t="str">
        <f>IFERROR(VLOOKUP(C3531,'Clients List'!A:F,6,FALSE),"")</f>
        <v/>
      </c>
    </row>
    <row r="3532" spans="4:9" x14ac:dyDescent="0.45">
      <c r="D3532" t="str">
        <f>IFERROR(VLOOKUP(C3532,'Clients List'!$A:$F,2,FALSE),"")</f>
        <v/>
      </c>
      <c r="F3532" s="1" t="str">
        <f>IF(OR(C3532="",NOT(ISNUMBER(SEARCH("Package",D3532)))),"",VLOOKUP(C3532,'Clients List'!$A:$F,4,FALSE)-SUMIFS($E$2:$E3532,$C$2:$C3532,C3532,$D$2:$D3532,"*Package*"))</f>
        <v/>
      </c>
      <c r="G3532" t="str">
        <f t="shared" si="88"/>
        <v/>
      </c>
      <c r="H3532" s="33">
        <f>IF(ISNUMBER(SEARCH("Group",D3532)),IF(G3532="",E3532,IFERROR(E3532/COUNTIF($G2:$G6000,G3532),E3532)),E3532)</f>
        <v>0</v>
      </c>
      <c r="I3532" s="1" t="str">
        <f>IFERROR(VLOOKUP(C3532,'Clients List'!A:F,6,FALSE),"")</f>
        <v/>
      </c>
    </row>
    <row r="3533" spans="4:9" x14ac:dyDescent="0.45">
      <c r="D3533" t="str">
        <f>IFERROR(VLOOKUP(C3533,'Clients List'!$A:$F,2,FALSE),"")</f>
        <v/>
      </c>
      <c r="F3533" s="1" t="str">
        <f>IF(OR(C3533="",NOT(ISNUMBER(SEARCH("Package",D3533)))),"",VLOOKUP(C3533,'Clients List'!$A:$F,4,FALSE)-SUMIFS($E$2:$E3533,$C$2:$C3533,C3533,$D$2:$D3533,"*Package*"))</f>
        <v/>
      </c>
      <c r="G3533" t="str">
        <f t="shared" si="88"/>
        <v/>
      </c>
      <c r="H3533" s="33">
        <f>IF(ISNUMBER(SEARCH("Group",D3533)),IF(G3533="",E3533,IFERROR(E3533/COUNTIF($G2:$G6000,G3533),E3533)),E3533)</f>
        <v>0</v>
      </c>
      <c r="I3533" s="1" t="str">
        <f>IFERROR(VLOOKUP(C3533,'Clients List'!A:F,6,FALSE),"")</f>
        <v/>
      </c>
    </row>
    <row r="3534" spans="4:9" x14ac:dyDescent="0.45">
      <c r="D3534" t="str">
        <f>IFERROR(VLOOKUP(C3534,'Clients List'!$A:$F,2,FALSE),"")</f>
        <v/>
      </c>
      <c r="F3534" s="1" t="str">
        <f>IF(OR(C3534="",NOT(ISNUMBER(SEARCH("Package",D3534)))),"",VLOOKUP(C3534,'Clients List'!$A:$F,4,FALSE)-SUMIFS($E$2:$E3534,$C$2:$C3534,C3534,$D$2:$D3534,"*Package*"))</f>
        <v/>
      </c>
      <c r="G3534" t="str">
        <f t="shared" si="88"/>
        <v/>
      </c>
      <c r="H3534" s="33">
        <f>IF(ISNUMBER(SEARCH("Group",D3534)),IF(G3534="",E3534,IFERROR(E3534/COUNTIF($G2:$G6000,G3534),E3534)),E3534)</f>
        <v>0</v>
      </c>
      <c r="I3534" s="1" t="str">
        <f>IFERROR(VLOOKUP(C3534,'Clients List'!A:F,6,FALSE),"")</f>
        <v/>
      </c>
    </row>
    <row r="3535" spans="4:9" x14ac:dyDescent="0.45">
      <c r="D3535" t="str">
        <f>IFERROR(VLOOKUP(C3535,'Clients List'!$A:$F,2,FALSE),"")</f>
        <v/>
      </c>
      <c r="F3535" s="1" t="str">
        <f>IF(OR(C3535="",NOT(ISNUMBER(SEARCH("Package",D3535)))),"",VLOOKUP(C3535,'Clients List'!$A:$F,4,FALSE)-SUMIFS($E$2:$E3535,$C$2:$C3535,C3535,$D$2:$D3535,"*Package*"))</f>
        <v/>
      </c>
      <c r="G3535" t="str">
        <f t="shared" si="88"/>
        <v/>
      </c>
      <c r="H3535" s="33">
        <f>IF(ISNUMBER(SEARCH("Group",D3535)),IF(G3535="",E3535,IFERROR(E3535/COUNTIF($G2:$G6000,G3535),E3535)),E3535)</f>
        <v>0</v>
      </c>
      <c r="I3535" s="1" t="str">
        <f>IFERROR(VLOOKUP(C3535,'Clients List'!A:F,6,FALSE),"")</f>
        <v/>
      </c>
    </row>
    <row r="3536" spans="4:9" x14ac:dyDescent="0.45">
      <c r="D3536" t="str">
        <f>IFERROR(VLOOKUP(C3536,'Clients List'!$A:$F,2,FALSE),"")</f>
        <v/>
      </c>
      <c r="F3536" s="1" t="str">
        <f>IF(OR(C3536="",NOT(ISNUMBER(SEARCH("Package",D3536)))),"",VLOOKUP(C3536,'Clients List'!$A:$F,4,FALSE)-SUMIFS($E$2:$E3536,$C$2:$C3536,C3536,$D$2:$D3536,"*Package*"))</f>
        <v/>
      </c>
      <c r="G3536" t="str">
        <f t="shared" si="88"/>
        <v/>
      </c>
      <c r="H3536" s="33">
        <f>IF(ISNUMBER(SEARCH("Group",D3536)),IF(G3536="",E3536,IFERROR(E3536/COUNTIF($G2:$G6000,G3536),E3536)),E3536)</f>
        <v>0</v>
      </c>
      <c r="I3536" s="1" t="str">
        <f>IFERROR(VLOOKUP(C3536,'Clients List'!A:F,6,FALSE),"")</f>
        <v/>
      </c>
    </row>
    <row r="3537" spans="4:9" x14ac:dyDescent="0.45">
      <c r="D3537" t="str">
        <f>IFERROR(VLOOKUP(C3537,'Clients List'!$A:$F,2,FALSE),"")</f>
        <v/>
      </c>
      <c r="F3537" s="1" t="str">
        <f>IF(OR(C3537="",NOT(ISNUMBER(SEARCH("Package",D3537)))),"",VLOOKUP(C3537,'Clients List'!$A:$F,4,FALSE)-SUMIFS($E$2:$E3537,$C$2:$C3537,C3537,$D$2:$D3537,"*Package*"))</f>
        <v/>
      </c>
      <c r="G3537" t="str">
        <f t="shared" si="88"/>
        <v/>
      </c>
      <c r="H3537" s="33">
        <f>IF(ISNUMBER(SEARCH("Group",D3537)),IF(G3537="",E3537,IFERROR(E3537/COUNTIF($G2:$G6000,G3537),E3537)),E3537)</f>
        <v>0</v>
      </c>
      <c r="I3537" s="1" t="str">
        <f>IFERROR(VLOOKUP(C3537,'Clients List'!A:F,6,FALSE),"")</f>
        <v/>
      </c>
    </row>
    <row r="3538" spans="4:9" x14ac:dyDescent="0.45">
      <c r="D3538" t="str">
        <f>IFERROR(VLOOKUP(C3538,'Clients List'!$A:$F,2,FALSE),"")</f>
        <v/>
      </c>
      <c r="F3538" s="1" t="str">
        <f>IF(OR(C3538="",NOT(ISNUMBER(SEARCH("Package",D3538)))),"",VLOOKUP(C3538,'Clients List'!$A:$F,4,FALSE)-SUMIFS($E$2:$E3538,$C$2:$C3538,C3538,$D$2:$D3538,"*Package*"))</f>
        <v/>
      </c>
      <c r="G3538" t="str">
        <f t="shared" si="88"/>
        <v/>
      </c>
      <c r="H3538" s="33">
        <f>IF(ISNUMBER(SEARCH("Group",D3538)),IF(G3538="",E3538,IFERROR(E3538/COUNTIF($G2:$G6000,G3538),E3538)),E3538)</f>
        <v>0</v>
      </c>
      <c r="I3538" s="1" t="str">
        <f>IFERROR(VLOOKUP(C3538,'Clients List'!A:F,6,FALSE),"")</f>
        <v/>
      </c>
    </row>
    <row r="3539" spans="4:9" x14ac:dyDescent="0.45">
      <c r="D3539" t="str">
        <f>IFERROR(VLOOKUP(C3539,'Clients List'!$A:$F,2,FALSE),"")</f>
        <v/>
      </c>
      <c r="F3539" s="1" t="str">
        <f>IF(OR(C3539="",NOT(ISNUMBER(SEARCH("Package",D3539)))),"",VLOOKUP(C3539,'Clients List'!$A:$F,4,FALSE)-SUMIFS($E$2:$E3539,$C$2:$C3539,C3539,$D$2:$D3539,"*Package*"))</f>
        <v/>
      </c>
      <c r="G3539" t="str">
        <f t="shared" si="88"/>
        <v/>
      </c>
      <c r="H3539" s="33">
        <f>IF(ISNUMBER(SEARCH("Group",D3539)),IF(G3539="",E3539,IFERROR(E3539/COUNTIF($G2:$G6000,G3539),E3539)),E3539)</f>
        <v>0</v>
      </c>
      <c r="I3539" s="1" t="str">
        <f>IFERROR(VLOOKUP(C3539,'Clients List'!A:F,6,FALSE),"")</f>
        <v/>
      </c>
    </row>
    <row r="3540" spans="4:9" x14ac:dyDescent="0.45">
      <c r="D3540" t="str">
        <f>IFERROR(VLOOKUP(C3540,'Clients List'!$A:$F,2,FALSE),"")</f>
        <v/>
      </c>
      <c r="F3540" s="1" t="str">
        <f>IF(OR(C3540="",NOT(ISNUMBER(SEARCH("Package",D3540)))),"",VLOOKUP(C3540,'Clients List'!$A:$F,4,FALSE)-SUMIFS($E$2:$E3540,$C$2:$C3540,C3540,$D$2:$D3540,"*Package*"))</f>
        <v/>
      </c>
      <c r="G3540" t="str">
        <f t="shared" si="88"/>
        <v/>
      </c>
      <c r="H3540" s="33">
        <f>IF(ISNUMBER(SEARCH("Group",D3540)),IF(G3540="",E3540,IFERROR(E3540/COUNTIF($G2:$G6000,G3540),E3540)),E3540)</f>
        <v>0</v>
      </c>
      <c r="I3540" s="1" t="str">
        <f>IFERROR(VLOOKUP(C3540,'Clients List'!A:F,6,FALSE),"")</f>
        <v/>
      </c>
    </row>
    <row r="3541" spans="4:9" x14ac:dyDescent="0.45">
      <c r="D3541" t="str">
        <f>IFERROR(VLOOKUP(C3541,'Clients List'!$A:$F,2,FALSE),"")</f>
        <v/>
      </c>
      <c r="F3541" s="1" t="str">
        <f>IF(OR(C3541="",NOT(ISNUMBER(SEARCH("Package",D3541)))),"",VLOOKUP(C3541,'Clients List'!$A:$F,4,FALSE)-SUMIFS($E$2:$E3541,$C$2:$C3541,C3541,$D$2:$D3541,"*Package*"))</f>
        <v/>
      </c>
      <c r="G3541" t="str">
        <f t="shared" si="88"/>
        <v/>
      </c>
      <c r="H3541" s="33">
        <f>IF(ISNUMBER(SEARCH("Group",D3541)),IF(G3541="",E3541,IFERROR(E3541/COUNTIF($G2:$G6000,G3541),E3541)),E3541)</f>
        <v>0</v>
      </c>
      <c r="I3541" s="1" t="str">
        <f>IFERROR(VLOOKUP(C3541,'Clients List'!A:F,6,FALSE),"")</f>
        <v/>
      </c>
    </row>
    <row r="3542" spans="4:9" x14ac:dyDescent="0.45">
      <c r="D3542" t="str">
        <f>IFERROR(VLOOKUP(C3542,'Clients List'!$A:$F,2,FALSE),"")</f>
        <v/>
      </c>
      <c r="F3542" s="1" t="str">
        <f>IF(OR(C3542="",NOT(ISNUMBER(SEARCH("Package",D3542)))),"",VLOOKUP(C3542,'Clients List'!$A:$F,4,FALSE)-SUMIFS($E$2:$E3542,$C$2:$C3542,C3542,$D$2:$D3542,"*Package*"))</f>
        <v/>
      </c>
      <c r="G3542" t="str">
        <f t="shared" si="88"/>
        <v/>
      </c>
      <c r="H3542" s="33">
        <f>IF(ISNUMBER(SEARCH("Group",D3542)),IF(G3542="",E3542,IFERROR(E3542/COUNTIF($G2:$G6000,G3542),E3542)),E3542)</f>
        <v>0</v>
      </c>
      <c r="I3542" s="1" t="str">
        <f>IFERROR(VLOOKUP(C3542,'Clients List'!A:F,6,FALSE),"")</f>
        <v/>
      </c>
    </row>
    <row r="3543" spans="4:9" x14ac:dyDescent="0.45">
      <c r="D3543" t="str">
        <f>IFERROR(VLOOKUP(C3543,'Clients List'!$A:$F,2,FALSE),"")</f>
        <v/>
      </c>
      <c r="F3543" s="1" t="str">
        <f>IF(OR(C3543="",NOT(ISNUMBER(SEARCH("Package",D3543)))),"",VLOOKUP(C3543,'Clients List'!$A:$F,4,FALSE)-SUMIFS($E$2:$E3543,$C$2:$C3543,C3543,$D$2:$D3543,"*Package*"))</f>
        <v/>
      </c>
      <c r="G3543" t="str">
        <f t="shared" si="88"/>
        <v/>
      </c>
      <c r="H3543" s="33">
        <f>IF(ISNUMBER(SEARCH("Group",D3543)),IF(G3543="",E3543,IFERROR(E3543/COUNTIF($G2:$G6000,G3543),E3543)),E3543)</f>
        <v>0</v>
      </c>
      <c r="I3543" s="1" t="str">
        <f>IFERROR(VLOOKUP(C3543,'Clients List'!A:F,6,FALSE),"")</f>
        <v/>
      </c>
    </row>
    <row r="3544" spans="4:9" x14ac:dyDescent="0.45">
      <c r="D3544" t="str">
        <f>IFERROR(VLOOKUP(C3544,'Clients List'!$A:$F,2,FALSE),"")</f>
        <v/>
      </c>
      <c r="F3544" s="1" t="str">
        <f>IF(OR(C3544="",NOT(ISNUMBER(SEARCH("Package",D3544)))),"",VLOOKUP(C3544,'Clients List'!$A:$F,4,FALSE)-SUMIFS($E$2:$E3544,$C$2:$C3544,C3544,$D$2:$D3544,"*Package*"))</f>
        <v/>
      </c>
      <c r="G3544" t="str">
        <f t="shared" si="88"/>
        <v/>
      </c>
      <c r="H3544" s="33">
        <f>IF(ISNUMBER(SEARCH("Group",D3544)),IF(G3544="",E3544,IFERROR(E3544/COUNTIF($G2:$G6000,G3544),E3544)),E3544)</f>
        <v>0</v>
      </c>
      <c r="I3544" s="1" t="str">
        <f>IFERROR(VLOOKUP(C3544,'Clients List'!A:F,6,FALSE),"")</f>
        <v/>
      </c>
    </row>
    <row r="3545" spans="4:9" x14ac:dyDescent="0.45">
      <c r="D3545" t="str">
        <f>IFERROR(VLOOKUP(C3545,'Clients List'!$A:$F,2,FALSE),"")</f>
        <v/>
      </c>
      <c r="F3545" s="1" t="str">
        <f>IF(OR(C3545="",NOT(ISNUMBER(SEARCH("Package",D3545)))),"",VLOOKUP(C3545,'Clients List'!$A:$F,4,FALSE)-SUMIFS($E$2:$E3545,$C$2:$C3545,C3545,$D$2:$D3545,"*Package*"))</f>
        <v/>
      </c>
      <c r="G3545" t="str">
        <f t="shared" si="88"/>
        <v/>
      </c>
      <c r="H3545" s="33">
        <f>IF(ISNUMBER(SEARCH("Group",D3545)),IF(G3545="",E3545,IFERROR(E3545/COUNTIF($G2:$G6000,G3545),E3545)),E3545)</f>
        <v>0</v>
      </c>
      <c r="I3545" s="1" t="str">
        <f>IFERROR(VLOOKUP(C3545,'Clients List'!A:F,6,FALSE),"")</f>
        <v/>
      </c>
    </row>
    <row r="3546" spans="4:9" x14ac:dyDescent="0.45">
      <c r="D3546" t="str">
        <f>IFERROR(VLOOKUP(C3546,'Clients List'!$A:$F,2,FALSE),"")</f>
        <v/>
      </c>
      <c r="F3546" s="1" t="str">
        <f>IF(OR(C3546="",NOT(ISNUMBER(SEARCH("Package",D3546)))),"",VLOOKUP(C3546,'Clients List'!$A:$F,4,FALSE)-SUMIFS($E$2:$E3546,$C$2:$C3546,C3546,$D$2:$D3546,"*Package*"))</f>
        <v/>
      </c>
      <c r="G3546" t="str">
        <f t="shared" si="88"/>
        <v/>
      </c>
      <c r="H3546" s="33">
        <f>IF(ISNUMBER(SEARCH("Group",D3546)),IF(G3546="",E3546,IFERROR(E3546/COUNTIF($G2:$G6000,G3546),E3546)),E3546)</f>
        <v>0</v>
      </c>
      <c r="I3546" s="1" t="str">
        <f>IFERROR(VLOOKUP(C3546,'Clients List'!A:F,6,FALSE),"")</f>
        <v/>
      </c>
    </row>
    <row r="3547" spans="4:9" x14ac:dyDescent="0.45">
      <c r="D3547" t="str">
        <f>IFERROR(VLOOKUP(C3547,'Clients List'!$A:$F,2,FALSE),"")</f>
        <v/>
      </c>
      <c r="F3547" s="1" t="str">
        <f>IF(OR(C3547="",NOT(ISNUMBER(SEARCH("Package",D3547)))),"",VLOOKUP(C3547,'Clients List'!$A:$F,4,FALSE)-SUMIFS($E$2:$E3547,$C$2:$C3547,C3547,$D$2:$D3547,"*Package*"))</f>
        <v/>
      </c>
      <c r="G3547" t="str">
        <f t="shared" si="88"/>
        <v/>
      </c>
      <c r="H3547" s="33">
        <f>IF(ISNUMBER(SEARCH("Group",D3547)),IF(G3547="",E3547,IFERROR(E3547/COUNTIF($G2:$G6000,G3547),E3547)),E3547)</f>
        <v>0</v>
      </c>
      <c r="I3547" s="1" t="str">
        <f>IFERROR(VLOOKUP(C3547,'Clients List'!A:F,6,FALSE),"")</f>
        <v/>
      </c>
    </row>
    <row r="3548" spans="4:9" x14ac:dyDescent="0.45">
      <c r="D3548" t="str">
        <f>IFERROR(VLOOKUP(C3548,'Clients List'!$A:$F,2,FALSE),"")</f>
        <v/>
      </c>
      <c r="F3548" s="1" t="str">
        <f>IF(OR(C3548="",NOT(ISNUMBER(SEARCH("Package",D3548)))),"",VLOOKUP(C3548,'Clients List'!$A:$F,4,FALSE)-SUMIFS($E$2:$E3548,$C$2:$C3548,C3548,$D$2:$D3548,"*Package*"))</f>
        <v/>
      </c>
      <c r="G3548" t="str">
        <f t="shared" si="88"/>
        <v/>
      </c>
      <c r="H3548" s="33">
        <f>IF(ISNUMBER(SEARCH("Group",D3548)),IF(G3548="",E3548,IFERROR(E3548/COUNTIF($G2:$G6000,G3548),E3548)),E3548)</f>
        <v>0</v>
      </c>
      <c r="I3548" s="1" t="str">
        <f>IFERROR(VLOOKUP(C3548,'Clients List'!A:F,6,FALSE),"")</f>
        <v/>
      </c>
    </row>
    <row r="3549" spans="4:9" x14ac:dyDescent="0.45">
      <c r="D3549" t="str">
        <f>IFERROR(VLOOKUP(C3549,'Clients List'!$A:$F,2,FALSE),"")</f>
        <v/>
      </c>
      <c r="F3549" s="1" t="str">
        <f>IF(OR(C3549="",NOT(ISNUMBER(SEARCH("Package",D3549)))),"",VLOOKUP(C3549,'Clients List'!$A:$F,4,FALSE)-SUMIFS($E$2:$E3549,$C$2:$C3549,C3549,$D$2:$D3549,"*Package*"))</f>
        <v/>
      </c>
      <c r="G3549" t="str">
        <f t="shared" si="88"/>
        <v/>
      </c>
      <c r="H3549" s="33">
        <f>IF(ISNUMBER(SEARCH("Group",D3549)),IF(G3549="",E3549,IFERROR(E3549/COUNTIF($G2:$G6000,G3549),E3549)),E3549)</f>
        <v>0</v>
      </c>
      <c r="I3549" s="1" t="str">
        <f>IFERROR(VLOOKUP(C3549,'Clients List'!A:F,6,FALSE),"")</f>
        <v/>
      </c>
    </row>
    <row r="3550" spans="4:9" x14ac:dyDescent="0.45">
      <c r="D3550" t="str">
        <f>IFERROR(VLOOKUP(C3550,'Clients List'!$A:$F,2,FALSE),"")</f>
        <v/>
      </c>
      <c r="F3550" s="1" t="str">
        <f>IF(OR(C3550="",NOT(ISNUMBER(SEARCH("Package",D3550)))),"",VLOOKUP(C3550,'Clients List'!$A:$F,4,FALSE)-SUMIFS($E$2:$E3550,$C$2:$C3550,C3550,$D$2:$D3550,"*Package*"))</f>
        <v/>
      </c>
      <c r="G3550" t="str">
        <f t="shared" si="88"/>
        <v/>
      </c>
      <c r="H3550" s="33">
        <f>IF(ISNUMBER(SEARCH("Group",D3550)),IF(G3550="",E3550,IFERROR(E3550/COUNTIF($G2:$G6000,G3550),E3550)),E3550)</f>
        <v>0</v>
      </c>
      <c r="I3550" s="1" t="str">
        <f>IFERROR(VLOOKUP(C3550,'Clients List'!A:F,6,FALSE),"")</f>
        <v/>
      </c>
    </row>
    <row r="3551" spans="4:9" x14ac:dyDescent="0.45">
      <c r="D3551" t="str">
        <f>IFERROR(VLOOKUP(C3551,'Clients List'!$A:$F,2,FALSE),"")</f>
        <v/>
      </c>
      <c r="F3551" s="1" t="str">
        <f>IF(OR(C3551="",NOT(ISNUMBER(SEARCH("Package",D3551)))),"",VLOOKUP(C3551,'Clients List'!$A:$F,4,FALSE)-SUMIFS($E$2:$E3551,$C$2:$C3551,C3551,$D$2:$D3551,"*Package*"))</f>
        <v/>
      </c>
      <c r="G3551" t="str">
        <f t="shared" si="88"/>
        <v/>
      </c>
      <c r="H3551" s="33">
        <f>IF(ISNUMBER(SEARCH("Group",D3551)),IF(G3551="",E3551,IFERROR(E3551/COUNTIF($G2:$G6000,G3551),E3551)),E3551)</f>
        <v>0</v>
      </c>
      <c r="I3551" s="1" t="str">
        <f>IFERROR(VLOOKUP(C3551,'Clients List'!A:F,6,FALSE),"")</f>
        <v/>
      </c>
    </row>
    <row r="3552" spans="4:9" x14ac:dyDescent="0.45">
      <c r="D3552" t="str">
        <f>IFERROR(VLOOKUP(C3552,'Clients List'!$A:$F,2,FALSE),"")</f>
        <v/>
      </c>
      <c r="F3552" s="1" t="str">
        <f>IF(OR(C3552="",NOT(ISNUMBER(SEARCH("Package",D3552)))),"",VLOOKUP(C3552,'Clients List'!$A:$F,4,FALSE)-SUMIFS($E$2:$E3552,$C$2:$C3552,C3552,$D$2:$D3552,"*Package*"))</f>
        <v/>
      </c>
      <c r="G3552" t="str">
        <f t="shared" si="88"/>
        <v/>
      </c>
      <c r="H3552" s="33">
        <f>IF(ISNUMBER(SEARCH("Group",D3552)),IF(G3552="",E3552,IFERROR(E3552/COUNTIF($G2:$G6000,G3552),E3552)),E3552)</f>
        <v>0</v>
      </c>
      <c r="I3552" s="1" t="str">
        <f>IFERROR(VLOOKUP(C3552,'Clients List'!A:F,6,FALSE),"")</f>
        <v/>
      </c>
    </row>
    <row r="3553" spans="4:9" x14ac:dyDescent="0.45">
      <c r="D3553" t="str">
        <f>IFERROR(VLOOKUP(C3553,'Clients List'!$A:$F,2,FALSE),"")</f>
        <v/>
      </c>
      <c r="F3553" s="1" t="str">
        <f>IF(OR(C3553="",NOT(ISNUMBER(SEARCH("Package",D3553)))),"",VLOOKUP(C3553,'Clients List'!$A:$F,4,FALSE)-SUMIFS($E$2:$E3553,$C$2:$C3553,C3553,$D$2:$D3553,"*Package*"))</f>
        <v/>
      </c>
      <c r="G3553" t="str">
        <f t="shared" si="88"/>
        <v/>
      </c>
      <c r="H3553" s="33">
        <f>IF(ISNUMBER(SEARCH("Group",D3553)),IF(G3553="",E3553,IFERROR(E3553/COUNTIF($G2:$G6000,G3553),E3553)),E3553)</f>
        <v>0</v>
      </c>
      <c r="I3553" s="1" t="str">
        <f>IFERROR(VLOOKUP(C3553,'Clients List'!A:F,6,FALSE),"")</f>
        <v/>
      </c>
    </row>
    <row r="3554" spans="4:9" x14ac:dyDescent="0.45">
      <c r="D3554" t="str">
        <f>IFERROR(VLOOKUP(C3554,'Clients List'!$A:$F,2,FALSE),"")</f>
        <v/>
      </c>
      <c r="F3554" s="1" t="str">
        <f>IF(OR(C3554="",NOT(ISNUMBER(SEARCH("Package",D3554)))),"",VLOOKUP(C3554,'Clients List'!$A:$F,4,FALSE)-SUMIFS($E$2:$E3554,$C$2:$C3554,C3554,$D$2:$D3554,"*Package*"))</f>
        <v/>
      </c>
      <c r="G3554" t="str">
        <f t="shared" si="88"/>
        <v/>
      </c>
      <c r="H3554" s="33">
        <f>IF(ISNUMBER(SEARCH("Group",D3554)),IF(G3554="",E3554,IFERROR(E3554/COUNTIF($G2:$G6000,G3554),E3554)),E3554)</f>
        <v>0</v>
      </c>
      <c r="I3554" s="1" t="str">
        <f>IFERROR(VLOOKUP(C3554,'Clients List'!A:F,6,FALSE),"")</f>
        <v/>
      </c>
    </row>
    <row r="3555" spans="4:9" x14ac:dyDescent="0.45">
      <c r="D3555" t="str">
        <f>IFERROR(VLOOKUP(C3555,'Clients List'!$A:$F,2,FALSE),"")</f>
        <v/>
      </c>
      <c r="F3555" s="1" t="str">
        <f>IF(OR(C3555="",NOT(ISNUMBER(SEARCH("Package",D3555)))),"",VLOOKUP(C3555,'Clients List'!$A:$F,4,FALSE)-SUMIFS($E$2:$E3555,$C$2:$C3555,C3555,$D$2:$D3555,"*Package*"))</f>
        <v/>
      </c>
      <c r="G3555" t="str">
        <f t="shared" si="88"/>
        <v/>
      </c>
      <c r="H3555" s="33">
        <f>IF(ISNUMBER(SEARCH("Group",D3555)),IF(G3555="",E3555,IFERROR(E3555/COUNTIF($G2:$G6000,G3555),E3555)),E3555)</f>
        <v>0</v>
      </c>
      <c r="I3555" s="1" t="str">
        <f>IFERROR(VLOOKUP(C3555,'Clients List'!A:F,6,FALSE),"")</f>
        <v/>
      </c>
    </row>
    <row r="3556" spans="4:9" x14ac:dyDescent="0.45">
      <c r="D3556" t="str">
        <f>IFERROR(VLOOKUP(C3556,'Clients List'!$A:$F,2,FALSE),"")</f>
        <v/>
      </c>
      <c r="F3556" s="1" t="str">
        <f>IF(OR(C3556="",NOT(ISNUMBER(SEARCH("Package",D3556)))),"",VLOOKUP(C3556,'Clients List'!$A:$F,4,FALSE)-SUMIFS($E$2:$E3556,$C$2:$C3556,C3556,$D$2:$D3556,"*Package*"))</f>
        <v/>
      </c>
      <c r="G3556" t="str">
        <f t="shared" si="88"/>
        <v/>
      </c>
      <c r="H3556" s="33">
        <f>IF(ISNUMBER(SEARCH("Group",D3556)),IF(G3556="",E3556,IFERROR(E3556/COUNTIF($G2:$G6000,G3556),E3556)),E3556)</f>
        <v>0</v>
      </c>
      <c r="I3556" s="1" t="str">
        <f>IFERROR(VLOOKUP(C3556,'Clients List'!A:F,6,FALSE),"")</f>
        <v/>
      </c>
    </row>
    <row r="3557" spans="4:9" x14ac:dyDescent="0.45">
      <c r="D3557" t="str">
        <f>IFERROR(VLOOKUP(C3557,'Clients List'!$A:$F,2,FALSE),"")</f>
        <v/>
      </c>
      <c r="F3557" s="1" t="str">
        <f>IF(OR(C3557="",NOT(ISNUMBER(SEARCH("Package",D3557)))),"",VLOOKUP(C3557,'Clients List'!$A:$F,4,FALSE)-SUMIFS($E$2:$E3557,$C$2:$C3557,C3557,$D$2:$D3557,"*Package*"))</f>
        <v/>
      </c>
      <c r="G3557" t="str">
        <f t="shared" si="88"/>
        <v/>
      </c>
      <c r="H3557" s="33">
        <f>IF(ISNUMBER(SEARCH("Group",D3557)),IF(G3557="",E3557,IFERROR(E3557/COUNTIF($G2:$G6000,G3557),E3557)),E3557)</f>
        <v>0</v>
      </c>
      <c r="I3557" s="1" t="str">
        <f>IFERROR(VLOOKUP(C3557,'Clients List'!A:F,6,FALSE),"")</f>
        <v/>
      </c>
    </row>
    <row r="3558" spans="4:9" x14ac:dyDescent="0.45">
      <c r="D3558" t="str">
        <f>IFERROR(VLOOKUP(C3558,'Clients List'!$A:$F,2,FALSE),"")</f>
        <v/>
      </c>
      <c r="F3558" s="1" t="str">
        <f>IF(OR(C3558="",NOT(ISNUMBER(SEARCH("Package",D3558)))),"",VLOOKUP(C3558,'Clients List'!$A:$F,4,FALSE)-SUMIFS($E$2:$E3558,$C$2:$C3558,C3558,$D$2:$D3558,"*Package*"))</f>
        <v/>
      </c>
      <c r="G3558" t="str">
        <f t="shared" si="88"/>
        <v/>
      </c>
      <c r="H3558" s="33">
        <f>IF(ISNUMBER(SEARCH("Group",D3558)),IF(G3558="",E3558,IFERROR(E3558/COUNTIF($G2:$G6000,G3558),E3558)),E3558)</f>
        <v>0</v>
      </c>
      <c r="I3558" s="1" t="str">
        <f>IFERROR(VLOOKUP(C3558,'Clients List'!A:F,6,FALSE),"")</f>
        <v/>
      </c>
    </row>
    <row r="3559" spans="4:9" x14ac:dyDescent="0.45">
      <c r="D3559" t="str">
        <f>IFERROR(VLOOKUP(C3559,'Clients List'!$A:$F,2,FALSE),"")</f>
        <v/>
      </c>
      <c r="F3559" s="1" t="str">
        <f>IF(OR(C3559="",NOT(ISNUMBER(SEARCH("Package",D3559)))),"",VLOOKUP(C3559,'Clients List'!$A:$F,4,FALSE)-SUMIFS($E$2:$E3559,$C$2:$C3559,C3559,$D$2:$D3559,"*Package*"))</f>
        <v/>
      </c>
      <c r="G3559" t="str">
        <f t="shared" si="88"/>
        <v/>
      </c>
      <c r="H3559" s="33">
        <f>IF(ISNUMBER(SEARCH("Group",D3559)),IF(G3559="",E3559,IFERROR(E3559/COUNTIF($G2:$G6000,G3559),E3559)),E3559)</f>
        <v>0</v>
      </c>
      <c r="I3559" s="1" t="str">
        <f>IFERROR(VLOOKUP(C3559,'Clients List'!A:F,6,FALSE),"")</f>
        <v/>
      </c>
    </row>
    <row r="3560" spans="4:9" x14ac:dyDescent="0.45">
      <c r="D3560" t="str">
        <f>IFERROR(VLOOKUP(C3560,'Clients List'!$A:$F,2,FALSE),"")</f>
        <v/>
      </c>
      <c r="F3560" s="1" t="str">
        <f>IF(OR(C3560="",NOT(ISNUMBER(SEARCH("Package",D3560)))),"",VLOOKUP(C3560,'Clients List'!$A:$F,4,FALSE)-SUMIFS($E$2:$E3560,$C$2:$C3560,C3560,$D$2:$D3560,"*Package*"))</f>
        <v/>
      </c>
      <c r="G3560" t="str">
        <f t="shared" si="88"/>
        <v/>
      </c>
      <c r="H3560" s="33">
        <f>IF(ISNUMBER(SEARCH("Group",D3560)),IF(G3560="",E3560,IFERROR(E3560/COUNTIF($G2:$G6000,G3560),E3560)),E3560)</f>
        <v>0</v>
      </c>
      <c r="I3560" s="1" t="str">
        <f>IFERROR(VLOOKUP(C3560,'Clients List'!A:F,6,FALSE),"")</f>
        <v/>
      </c>
    </row>
    <row r="3561" spans="4:9" x14ac:dyDescent="0.45">
      <c r="D3561" t="str">
        <f>IFERROR(VLOOKUP(C3561,'Clients List'!$A:$F,2,FALSE),"")</f>
        <v/>
      </c>
      <c r="F3561" s="1" t="str">
        <f>IF(OR(C3561="",NOT(ISNUMBER(SEARCH("Package",D3561)))),"",VLOOKUP(C3561,'Clients List'!$A:$F,4,FALSE)-SUMIFS($E$2:$E3561,$C$2:$C3561,C3561,$D$2:$D3561,"*Package*"))</f>
        <v/>
      </c>
      <c r="G3561" t="str">
        <f t="shared" si="88"/>
        <v/>
      </c>
      <c r="H3561" s="33">
        <f>IF(ISNUMBER(SEARCH("Group",D3561)),IF(G3561="",E3561,IFERROR(E3561/COUNTIF($G2:$G6000,G3561),E3561)),E3561)</f>
        <v>0</v>
      </c>
      <c r="I3561" s="1" t="str">
        <f>IFERROR(VLOOKUP(C3561,'Clients List'!A:F,6,FALSE),"")</f>
        <v/>
      </c>
    </row>
    <row r="3562" spans="4:9" x14ac:dyDescent="0.45">
      <c r="D3562" t="str">
        <f>IFERROR(VLOOKUP(C3562,'Clients List'!$A:$F,2,FALSE),"")</f>
        <v/>
      </c>
      <c r="F3562" s="1" t="str">
        <f>IF(OR(C3562="",NOT(ISNUMBER(SEARCH("Package",D3562)))),"",VLOOKUP(C3562,'Clients List'!$A:$F,4,FALSE)-SUMIFS($E$2:$E3562,$C$2:$C3562,C3562,$D$2:$D3562,"*Package*"))</f>
        <v/>
      </c>
      <c r="G3562" t="str">
        <f t="shared" si="88"/>
        <v/>
      </c>
      <c r="H3562" s="33">
        <f>IF(ISNUMBER(SEARCH("Group",D3562)),IF(G3562="",E3562,IFERROR(E3562/COUNTIF($G2:$G6000,G3562),E3562)),E3562)</f>
        <v>0</v>
      </c>
      <c r="I3562" s="1" t="str">
        <f>IFERROR(VLOOKUP(C3562,'Clients List'!A:F,6,FALSE),"")</f>
        <v/>
      </c>
    </row>
    <row r="3563" spans="4:9" x14ac:dyDescent="0.45">
      <c r="D3563" t="str">
        <f>IFERROR(VLOOKUP(C3563,'Clients List'!$A:$F,2,FALSE),"")</f>
        <v/>
      </c>
      <c r="F3563" s="1" t="str">
        <f>IF(OR(C3563="",NOT(ISNUMBER(SEARCH("Package",D3563)))),"",VLOOKUP(C3563,'Clients List'!$A:$F,4,FALSE)-SUMIFS($E$2:$E3563,$C$2:$C3563,C3563,$D$2:$D3563,"*Package*"))</f>
        <v/>
      </c>
      <c r="G3563" t="str">
        <f t="shared" si="88"/>
        <v/>
      </c>
      <c r="H3563" s="33">
        <f>IF(ISNUMBER(SEARCH("Group",D3563)),IF(G3563="",E3563,IFERROR(E3563/COUNTIF($G2:$G6000,G3563),E3563)),E3563)</f>
        <v>0</v>
      </c>
      <c r="I3563" s="1" t="str">
        <f>IFERROR(VLOOKUP(C3563,'Clients List'!A:F,6,FALSE),"")</f>
        <v/>
      </c>
    </row>
    <row r="3564" spans="4:9" x14ac:dyDescent="0.45">
      <c r="D3564" t="str">
        <f>IFERROR(VLOOKUP(C3564,'Clients List'!$A:$F,2,FALSE),"")</f>
        <v/>
      </c>
      <c r="F3564" s="1" t="str">
        <f>IF(OR(C3564="",NOT(ISNUMBER(SEARCH("Package",D3564)))),"",VLOOKUP(C3564,'Clients List'!$A:$F,4,FALSE)-SUMIFS($E$2:$E3564,$C$2:$C3564,C3564,$D$2:$D3564,"*Package*"))</f>
        <v/>
      </c>
      <c r="G3564" t="str">
        <f t="shared" si="88"/>
        <v/>
      </c>
      <c r="H3564" s="33">
        <f>IF(ISNUMBER(SEARCH("Group",D3564)),IF(G3564="",E3564,IFERROR(E3564/COUNTIF($G2:$G6000,G3564),E3564)),E3564)</f>
        <v>0</v>
      </c>
      <c r="I3564" s="1" t="str">
        <f>IFERROR(VLOOKUP(C3564,'Clients List'!A:F,6,FALSE),"")</f>
        <v/>
      </c>
    </row>
    <row r="3565" spans="4:9" x14ac:dyDescent="0.45">
      <c r="D3565" t="str">
        <f>IFERROR(VLOOKUP(C3565,'Clients List'!$A:$F,2,FALSE),"")</f>
        <v/>
      </c>
      <c r="F3565" s="1" t="str">
        <f>IF(OR(C3565="",NOT(ISNUMBER(SEARCH("Package",D3565)))),"",VLOOKUP(C3565,'Clients List'!$A:$F,4,FALSE)-SUMIFS($E$2:$E3565,$C$2:$C3565,C3565,$D$2:$D3565,"*Package*"))</f>
        <v/>
      </c>
      <c r="G3565" t="str">
        <f t="shared" si="88"/>
        <v/>
      </c>
      <c r="H3565" s="33">
        <f>IF(ISNUMBER(SEARCH("Group",D3565)),IF(G3565="",E3565,IFERROR(E3565/COUNTIF($G2:$G6000,G3565),E3565)),E3565)</f>
        <v>0</v>
      </c>
      <c r="I3565" s="1" t="str">
        <f>IFERROR(VLOOKUP(C3565,'Clients List'!A:F,6,FALSE),"")</f>
        <v/>
      </c>
    </row>
    <row r="3566" spans="4:9" x14ac:dyDescent="0.45">
      <c r="D3566" t="str">
        <f>IFERROR(VLOOKUP(C3566,'Clients List'!$A:$F,2,FALSE),"")</f>
        <v/>
      </c>
      <c r="F3566" s="1" t="str">
        <f>IF(OR(C3566="",NOT(ISNUMBER(SEARCH("Package",D3566)))),"",VLOOKUP(C3566,'Clients List'!$A:$F,4,FALSE)-SUMIFS($E$2:$E3566,$C$2:$C3566,C3566,$D$2:$D3566,"*Package*"))</f>
        <v/>
      </c>
      <c r="G3566" t="str">
        <f t="shared" si="88"/>
        <v/>
      </c>
      <c r="H3566" s="33">
        <f>IF(ISNUMBER(SEARCH("Group",D3566)),IF(G3566="",E3566,IFERROR(E3566/COUNTIF($G2:$G6000,G3566),E3566)),E3566)</f>
        <v>0</v>
      </c>
      <c r="I3566" s="1" t="str">
        <f>IFERROR(VLOOKUP(C3566,'Clients List'!A:F,6,FALSE),"")</f>
        <v/>
      </c>
    </row>
    <row r="3567" spans="4:9" x14ac:dyDescent="0.45">
      <c r="D3567" t="str">
        <f>IFERROR(VLOOKUP(C3567,'Clients List'!$A:$F,2,FALSE),"")</f>
        <v/>
      </c>
      <c r="F3567" s="1" t="str">
        <f>IF(OR(C3567="",NOT(ISNUMBER(SEARCH("Package",D3567)))),"",VLOOKUP(C3567,'Clients List'!$A:$F,4,FALSE)-SUMIFS($E$2:$E3567,$C$2:$C3567,C3567,$D$2:$D3567,"*Package*"))</f>
        <v/>
      </c>
      <c r="G3567" t="str">
        <f t="shared" si="88"/>
        <v/>
      </c>
      <c r="H3567" s="33">
        <f>IF(ISNUMBER(SEARCH("Group",D3567)),IF(G3567="",E3567,IFERROR(E3567/COUNTIF($G2:$G6000,G3567),E3567)),E3567)</f>
        <v>0</v>
      </c>
      <c r="I3567" s="1" t="str">
        <f>IFERROR(VLOOKUP(C3567,'Clients List'!A:F,6,FALSE),"")</f>
        <v/>
      </c>
    </row>
    <row r="3568" spans="4:9" x14ac:dyDescent="0.45">
      <c r="D3568" t="str">
        <f>IFERROR(VLOOKUP(C3568,'Clients List'!$A:$F,2,FALSE),"")</f>
        <v/>
      </c>
      <c r="F3568" s="1" t="str">
        <f>IF(OR(C3568="",NOT(ISNUMBER(SEARCH("Package",D3568)))),"",VLOOKUP(C3568,'Clients List'!$A:$F,4,FALSE)-SUMIFS($E$2:$E3568,$C$2:$C3568,C3568,$D$2:$D3568,"*Package*"))</f>
        <v/>
      </c>
      <c r="G3568" t="str">
        <f t="shared" si="88"/>
        <v/>
      </c>
      <c r="H3568" s="33">
        <f>IF(ISNUMBER(SEARCH("Group",D3568)),IF(G3568="",E3568,IFERROR(E3568/COUNTIF($G2:$G6000,G3568),E3568)),E3568)</f>
        <v>0</v>
      </c>
      <c r="I3568" s="1" t="str">
        <f>IFERROR(VLOOKUP(C3568,'Clients List'!A:F,6,FALSE),"")</f>
        <v/>
      </c>
    </row>
    <row r="3569" spans="4:9" x14ac:dyDescent="0.45">
      <c r="D3569" t="str">
        <f>IFERROR(VLOOKUP(C3569,'Clients List'!$A:$F,2,FALSE),"")</f>
        <v/>
      </c>
      <c r="F3569" s="1" t="str">
        <f>IF(OR(C3569="",NOT(ISNUMBER(SEARCH("Package",D3569)))),"",VLOOKUP(C3569,'Clients List'!$A:$F,4,FALSE)-SUMIFS($E$2:$E3569,$C$2:$C3569,C3569,$D$2:$D3569,"*Package*"))</f>
        <v/>
      </c>
      <c r="G3569" t="str">
        <f t="shared" si="88"/>
        <v/>
      </c>
      <c r="H3569" s="33">
        <f>IF(ISNUMBER(SEARCH("Group",D3569)),IF(G3569="",E3569,IFERROR(E3569/COUNTIF($G2:$G6000,G3569),E3569)),E3569)</f>
        <v>0</v>
      </c>
      <c r="I3569" s="1" t="str">
        <f>IFERROR(VLOOKUP(C3569,'Clients List'!A:F,6,FALSE),"")</f>
        <v/>
      </c>
    </row>
    <row r="3570" spans="4:9" x14ac:dyDescent="0.45">
      <c r="D3570" t="str">
        <f>IFERROR(VLOOKUP(C3570,'Clients List'!$A:$F,2,FALSE),"")</f>
        <v/>
      </c>
      <c r="F3570" s="1" t="str">
        <f>IF(OR(C3570="",NOT(ISNUMBER(SEARCH("Package",D3570)))),"",VLOOKUP(C3570,'Clients List'!$A:$F,4,FALSE)-SUMIFS($E$2:$E3570,$C$2:$C3570,C3570,$D$2:$D3570,"*Package*"))</f>
        <v/>
      </c>
      <c r="G3570" t="str">
        <f t="shared" si="88"/>
        <v/>
      </c>
      <c r="H3570" s="33">
        <f>IF(ISNUMBER(SEARCH("Group",D3570)),IF(G3570="",E3570,IFERROR(E3570/COUNTIF($G2:$G6000,G3570),E3570)),E3570)</f>
        <v>0</v>
      </c>
      <c r="I3570" s="1" t="str">
        <f>IFERROR(VLOOKUP(C3570,'Clients List'!A:F,6,FALSE),"")</f>
        <v/>
      </c>
    </row>
    <row r="3571" spans="4:9" x14ac:dyDescent="0.45">
      <c r="D3571" t="str">
        <f>IFERROR(VLOOKUP(C3571,'Clients List'!$A:$F,2,FALSE),"")</f>
        <v/>
      </c>
      <c r="F3571" s="1" t="str">
        <f>IF(OR(C3571="",NOT(ISNUMBER(SEARCH("Package",D3571)))),"",VLOOKUP(C3571,'Clients List'!$A:$F,4,FALSE)-SUMIFS($E$2:$E3571,$C$2:$C3571,C3571,$D$2:$D3571,"*Package*"))</f>
        <v/>
      </c>
      <c r="G3571" t="str">
        <f t="shared" si="88"/>
        <v/>
      </c>
      <c r="H3571" s="33">
        <f>IF(ISNUMBER(SEARCH("Group",D3571)),IF(G3571="",E3571,IFERROR(E3571/COUNTIF($G2:$G6000,G3571),E3571)),E3571)</f>
        <v>0</v>
      </c>
      <c r="I3571" s="1" t="str">
        <f>IFERROR(VLOOKUP(C3571,'Clients List'!A:F,6,FALSE),"")</f>
        <v/>
      </c>
    </row>
    <row r="3572" spans="4:9" x14ac:dyDescent="0.45">
      <c r="D3572" t="str">
        <f>IFERROR(VLOOKUP(C3572,'Clients List'!$A:$F,2,FALSE),"")</f>
        <v/>
      </c>
      <c r="F3572" s="1" t="str">
        <f>IF(OR(C3572="",NOT(ISNUMBER(SEARCH("Package",D3572)))),"",VLOOKUP(C3572,'Clients List'!$A:$F,4,FALSE)-SUMIFS($E$2:$E3572,$C$2:$C3572,C3572,$D$2:$D3572,"*Package*"))</f>
        <v/>
      </c>
      <c r="G3572" t="str">
        <f t="shared" si="88"/>
        <v/>
      </c>
      <c r="H3572" s="33">
        <f>IF(ISNUMBER(SEARCH("Group",D3572)),IF(G3572="",E3572,IFERROR(E3572/COUNTIF($G2:$G6000,G3572),E3572)),E3572)</f>
        <v>0</v>
      </c>
      <c r="I3572" s="1" t="str">
        <f>IFERROR(VLOOKUP(C3572,'Clients List'!A:F,6,FALSE),"")</f>
        <v/>
      </c>
    </row>
    <row r="3573" spans="4:9" x14ac:dyDescent="0.45">
      <c r="D3573" t="str">
        <f>IFERROR(VLOOKUP(C3573,'Clients List'!$A:$F,2,FALSE),"")</f>
        <v/>
      </c>
      <c r="F3573" s="1" t="str">
        <f>IF(OR(C3573="",NOT(ISNUMBER(SEARCH("Package",D3573)))),"",VLOOKUP(C3573,'Clients List'!$A:$F,4,FALSE)-SUMIFS($E$2:$E3573,$C$2:$C3573,C3573,$D$2:$D3573,"*Package*"))</f>
        <v/>
      </c>
      <c r="G3573" t="str">
        <f t="shared" ref="G3573:G3636" si="89">IF(ISNUMBER(SEARCH("Group",D3573)),IFERROR("GRP-"&amp;TEXT(IF(ISNUMBER(A3573),A3573,DATEVALUE(A3573)),"yyyymmdd"),""),"" )</f>
        <v/>
      </c>
      <c r="H3573" s="33">
        <f>IF(ISNUMBER(SEARCH("Group",D3573)),IF(G3573="",E3573,IFERROR(E3573/COUNTIF($G2:$G6000,G3573),E3573)),E3573)</f>
        <v>0</v>
      </c>
      <c r="I3573" s="1" t="str">
        <f>IFERROR(VLOOKUP(C3573,'Clients List'!A:F,6,FALSE),"")</f>
        <v/>
      </c>
    </row>
    <row r="3574" spans="4:9" x14ac:dyDescent="0.45">
      <c r="D3574" t="str">
        <f>IFERROR(VLOOKUP(C3574,'Clients List'!$A:$F,2,FALSE),"")</f>
        <v/>
      </c>
      <c r="F3574" s="1" t="str">
        <f>IF(OR(C3574="",NOT(ISNUMBER(SEARCH("Package",D3574)))),"",VLOOKUP(C3574,'Clients List'!$A:$F,4,FALSE)-SUMIFS($E$2:$E3574,$C$2:$C3574,C3574,$D$2:$D3574,"*Package*"))</f>
        <v/>
      </c>
      <c r="G3574" t="str">
        <f t="shared" si="89"/>
        <v/>
      </c>
      <c r="H3574" s="33">
        <f>IF(ISNUMBER(SEARCH("Group",D3574)),IF(G3574="",E3574,IFERROR(E3574/COUNTIF($G2:$G6000,G3574),E3574)),E3574)</f>
        <v>0</v>
      </c>
      <c r="I3574" s="1" t="str">
        <f>IFERROR(VLOOKUP(C3574,'Clients List'!A:F,6,FALSE),"")</f>
        <v/>
      </c>
    </row>
    <row r="3575" spans="4:9" x14ac:dyDescent="0.45">
      <c r="D3575" t="str">
        <f>IFERROR(VLOOKUP(C3575,'Clients List'!$A:$F,2,FALSE),"")</f>
        <v/>
      </c>
      <c r="F3575" s="1" t="str">
        <f>IF(OR(C3575="",NOT(ISNUMBER(SEARCH("Package",D3575)))),"",VLOOKUP(C3575,'Clients List'!$A:$F,4,FALSE)-SUMIFS($E$2:$E3575,$C$2:$C3575,C3575,$D$2:$D3575,"*Package*"))</f>
        <v/>
      </c>
      <c r="G3575" t="str">
        <f t="shared" si="89"/>
        <v/>
      </c>
      <c r="H3575" s="33">
        <f>IF(ISNUMBER(SEARCH("Group",D3575)),IF(G3575="",E3575,IFERROR(E3575/COUNTIF($G2:$G6000,G3575),E3575)),E3575)</f>
        <v>0</v>
      </c>
      <c r="I3575" s="1" t="str">
        <f>IFERROR(VLOOKUP(C3575,'Clients List'!A:F,6,FALSE),"")</f>
        <v/>
      </c>
    </row>
    <row r="3576" spans="4:9" x14ac:dyDescent="0.45">
      <c r="D3576" t="str">
        <f>IFERROR(VLOOKUP(C3576,'Clients List'!$A:$F,2,FALSE),"")</f>
        <v/>
      </c>
      <c r="F3576" s="1" t="str">
        <f>IF(OR(C3576="",NOT(ISNUMBER(SEARCH("Package",D3576)))),"",VLOOKUP(C3576,'Clients List'!$A:$F,4,FALSE)-SUMIFS($E$2:$E3576,$C$2:$C3576,C3576,$D$2:$D3576,"*Package*"))</f>
        <v/>
      </c>
      <c r="G3576" t="str">
        <f t="shared" si="89"/>
        <v/>
      </c>
      <c r="H3576" s="33">
        <f>IF(ISNUMBER(SEARCH("Group",D3576)),IF(G3576="",E3576,IFERROR(E3576/COUNTIF($G2:$G6000,G3576),E3576)),E3576)</f>
        <v>0</v>
      </c>
      <c r="I3576" s="1" t="str">
        <f>IFERROR(VLOOKUP(C3576,'Clients List'!A:F,6,FALSE),"")</f>
        <v/>
      </c>
    </row>
    <row r="3577" spans="4:9" x14ac:dyDescent="0.45">
      <c r="D3577" t="str">
        <f>IFERROR(VLOOKUP(C3577,'Clients List'!$A:$F,2,FALSE),"")</f>
        <v/>
      </c>
      <c r="F3577" s="1" t="str">
        <f>IF(OR(C3577="",NOT(ISNUMBER(SEARCH("Package",D3577)))),"",VLOOKUP(C3577,'Clients List'!$A:$F,4,FALSE)-SUMIFS($E$2:$E3577,$C$2:$C3577,C3577,$D$2:$D3577,"*Package*"))</f>
        <v/>
      </c>
      <c r="G3577" t="str">
        <f t="shared" si="89"/>
        <v/>
      </c>
      <c r="H3577" s="33">
        <f>IF(ISNUMBER(SEARCH("Group",D3577)),IF(G3577="",E3577,IFERROR(E3577/COUNTIF($G2:$G6000,G3577),E3577)),E3577)</f>
        <v>0</v>
      </c>
      <c r="I3577" s="1" t="str">
        <f>IFERROR(VLOOKUP(C3577,'Clients List'!A:F,6,FALSE),"")</f>
        <v/>
      </c>
    </row>
    <row r="3578" spans="4:9" x14ac:dyDescent="0.45">
      <c r="D3578" t="str">
        <f>IFERROR(VLOOKUP(C3578,'Clients List'!$A:$F,2,FALSE),"")</f>
        <v/>
      </c>
      <c r="F3578" s="1" t="str">
        <f>IF(OR(C3578="",NOT(ISNUMBER(SEARCH("Package",D3578)))),"",VLOOKUP(C3578,'Clients List'!$A:$F,4,FALSE)-SUMIFS($E$2:$E3578,$C$2:$C3578,C3578,$D$2:$D3578,"*Package*"))</f>
        <v/>
      </c>
      <c r="G3578" t="str">
        <f t="shared" si="89"/>
        <v/>
      </c>
      <c r="H3578" s="33">
        <f>IF(ISNUMBER(SEARCH("Group",D3578)),IF(G3578="",E3578,IFERROR(E3578/COUNTIF($G2:$G6000,G3578),E3578)),E3578)</f>
        <v>0</v>
      </c>
      <c r="I3578" s="1" t="str">
        <f>IFERROR(VLOOKUP(C3578,'Clients List'!A:F,6,FALSE),"")</f>
        <v/>
      </c>
    </row>
    <row r="3579" spans="4:9" x14ac:dyDescent="0.45">
      <c r="D3579" t="str">
        <f>IFERROR(VLOOKUP(C3579,'Clients List'!$A:$F,2,FALSE),"")</f>
        <v/>
      </c>
      <c r="F3579" s="1" t="str">
        <f>IF(OR(C3579="",NOT(ISNUMBER(SEARCH("Package",D3579)))),"",VLOOKUP(C3579,'Clients List'!$A:$F,4,FALSE)-SUMIFS($E$2:$E3579,$C$2:$C3579,C3579,$D$2:$D3579,"*Package*"))</f>
        <v/>
      </c>
      <c r="G3579" t="str">
        <f t="shared" si="89"/>
        <v/>
      </c>
      <c r="H3579" s="33">
        <f>IF(ISNUMBER(SEARCH("Group",D3579)),IF(G3579="",E3579,IFERROR(E3579/COUNTIF($G2:$G6000,G3579),E3579)),E3579)</f>
        <v>0</v>
      </c>
      <c r="I3579" s="1" t="str">
        <f>IFERROR(VLOOKUP(C3579,'Clients List'!A:F,6,FALSE),"")</f>
        <v/>
      </c>
    </row>
    <row r="3580" spans="4:9" x14ac:dyDescent="0.45">
      <c r="D3580" t="str">
        <f>IFERROR(VLOOKUP(C3580,'Clients List'!$A:$F,2,FALSE),"")</f>
        <v/>
      </c>
      <c r="F3580" s="1" t="str">
        <f>IF(OR(C3580="",NOT(ISNUMBER(SEARCH("Package",D3580)))),"",VLOOKUP(C3580,'Clients List'!$A:$F,4,FALSE)-SUMIFS($E$2:$E3580,$C$2:$C3580,C3580,$D$2:$D3580,"*Package*"))</f>
        <v/>
      </c>
      <c r="G3580" t="str">
        <f t="shared" si="89"/>
        <v/>
      </c>
      <c r="H3580" s="33">
        <f>IF(ISNUMBER(SEARCH("Group",D3580)),IF(G3580="",E3580,IFERROR(E3580/COUNTIF($G2:$G6000,G3580),E3580)),E3580)</f>
        <v>0</v>
      </c>
      <c r="I3580" s="1" t="str">
        <f>IFERROR(VLOOKUP(C3580,'Clients List'!A:F,6,FALSE),"")</f>
        <v/>
      </c>
    </row>
    <row r="3581" spans="4:9" x14ac:dyDescent="0.45">
      <c r="D3581" t="str">
        <f>IFERROR(VLOOKUP(C3581,'Clients List'!$A:$F,2,FALSE),"")</f>
        <v/>
      </c>
      <c r="F3581" s="1" t="str">
        <f>IF(OR(C3581="",NOT(ISNUMBER(SEARCH("Package",D3581)))),"",VLOOKUP(C3581,'Clients List'!$A:$F,4,FALSE)-SUMIFS($E$2:$E3581,$C$2:$C3581,C3581,$D$2:$D3581,"*Package*"))</f>
        <v/>
      </c>
      <c r="G3581" t="str">
        <f t="shared" si="89"/>
        <v/>
      </c>
      <c r="H3581" s="33">
        <f>IF(ISNUMBER(SEARCH("Group",D3581)),IF(G3581="",E3581,IFERROR(E3581/COUNTIF($G2:$G6000,G3581),E3581)),E3581)</f>
        <v>0</v>
      </c>
      <c r="I3581" s="1" t="str">
        <f>IFERROR(VLOOKUP(C3581,'Clients List'!A:F,6,FALSE),"")</f>
        <v/>
      </c>
    </row>
    <row r="3582" spans="4:9" x14ac:dyDescent="0.45">
      <c r="D3582" t="str">
        <f>IFERROR(VLOOKUP(C3582,'Clients List'!$A:$F,2,FALSE),"")</f>
        <v/>
      </c>
      <c r="F3582" s="1" t="str">
        <f>IF(OR(C3582="",NOT(ISNUMBER(SEARCH("Package",D3582)))),"",VLOOKUP(C3582,'Clients List'!$A:$F,4,FALSE)-SUMIFS($E$2:$E3582,$C$2:$C3582,C3582,$D$2:$D3582,"*Package*"))</f>
        <v/>
      </c>
      <c r="G3582" t="str">
        <f t="shared" si="89"/>
        <v/>
      </c>
      <c r="H3582" s="33">
        <f>IF(ISNUMBER(SEARCH("Group",D3582)),IF(G3582="",E3582,IFERROR(E3582/COUNTIF($G2:$G6000,G3582),E3582)),E3582)</f>
        <v>0</v>
      </c>
      <c r="I3582" s="1" t="str">
        <f>IFERROR(VLOOKUP(C3582,'Clients List'!A:F,6,FALSE),"")</f>
        <v/>
      </c>
    </row>
    <row r="3583" spans="4:9" x14ac:dyDescent="0.45">
      <c r="D3583" t="str">
        <f>IFERROR(VLOOKUP(C3583,'Clients List'!$A:$F,2,FALSE),"")</f>
        <v/>
      </c>
      <c r="F3583" s="1" t="str">
        <f>IF(OR(C3583="",NOT(ISNUMBER(SEARCH("Package",D3583)))),"",VLOOKUP(C3583,'Clients List'!$A:$F,4,FALSE)-SUMIFS($E$2:$E3583,$C$2:$C3583,C3583,$D$2:$D3583,"*Package*"))</f>
        <v/>
      </c>
      <c r="G3583" t="str">
        <f t="shared" si="89"/>
        <v/>
      </c>
      <c r="H3583" s="33">
        <f>IF(ISNUMBER(SEARCH("Group",D3583)),IF(G3583="",E3583,IFERROR(E3583/COUNTIF($G2:$G6000,G3583),E3583)),E3583)</f>
        <v>0</v>
      </c>
      <c r="I3583" s="1" t="str">
        <f>IFERROR(VLOOKUP(C3583,'Clients List'!A:F,6,FALSE),"")</f>
        <v/>
      </c>
    </row>
    <row r="3584" spans="4:9" x14ac:dyDescent="0.45">
      <c r="D3584" t="str">
        <f>IFERROR(VLOOKUP(C3584,'Clients List'!$A:$F,2,FALSE),"")</f>
        <v/>
      </c>
      <c r="F3584" s="1" t="str">
        <f>IF(OR(C3584="",NOT(ISNUMBER(SEARCH("Package",D3584)))),"",VLOOKUP(C3584,'Clients List'!$A:$F,4,FALSE)-SUMIFS($E$2:$E3584,$C$2:$C3584,C3584,$D$2:$D3584,"*Package*"))</f>
        <v/>
      </c>
      <c r="G3584" t="str">
        <f t="shared" si="89"/>
        <v/>
      </c>
      <c r="H3584" s="33">
        <f>IF(ISNUMBER(SEARCH("Group",D3584)),IF(G3584="",E3584,IFERROR(E3584/COUNTIF($G2:$G6000,G3584),E3584)),E3584)</f>
        <v>0</v>
      </c>
      <c r="I3584" s="1" t="str">
        <f>IFERROR(VLOOKUP(C3584,'Clients List'!A:F,6,FALSE),"")</f>
        <v/>
      </c>
    </row>
    <row r="3585" spans="4:9" x14ac:dyDescent="0.45">
      <c r="D3585" t="str">
        <f>IFERROR(VLOOKUP(C3585,'Clients List'!$A:$F,2,FALSE),"")</f>
        <v/>
      </c>
      <c r="F3585" s="1" t="str">
        <f>IF(OR(C3585="",NOT(ISNUMBER(SEARCH("Package",D3585)))),"",VLOOKUP(C3585,'Clients List'!$A:$F,4,FALSE)-SUMIFS($E$2:$E3585,$C$2:$C3585,C3585,$D$2:$D3585,"*Package*"))</f>
        <v/>
      </c>
      <c r="G3585" t="str">
        <f t="shared" si="89"/>
        <v/>
      </c>
      <c r="H3585" s="33">
        <f>IF(ISNUMBER(SEARCH("Group",D3585)),IF(G3585="",E3585,IFERROR(E3585/COUNTIF($G2:$G6000,G3585),E3585)),E3585)</f>
        <v>0</v>
      </c>
      <c r="I3585" s="1" t="str">
        <f>IFERROR(VLOOKUP(C3585,'Clients List'!A:F,6,FALSE),"")</f>
        <v/>
      </c>
    </row>
    <row r="3586" spans="4:9" x14ac:dyDescent="0.45">
      <c r="D3586" t="str">
        <f>IFERROR(VLOOKUP(C3586,'Clients List'!$A:$F,2,FALSE),"")</f>
        <v/>
      </c>
      <c r="F3586" s="1" t="str">
        <f>IF(OR(C3586="",NOT(ISNUMBER(SEARCH("Package",D3586)))),"",VLOOKUP(C3586,'Clients List'!$A:$F,4,FALSE)-SUMIFS($E$2:$E3586,$C$2:$C3586,C3586,$D$2:$D3586,"*Package*"))</f>
        <v/>
      </c>
      <c r="G3586" t="str">
        <f t="shared" si="89"/>
        <v/>
      </c>
      <c r="H3586" s="33">
        <f>IF(ISNUMBER(SEARCH("Group",D3586)),IF(G3586="",E3586,IFERROR(E3586/COUNTIF($G2:$G6000,G3586),E3586)),E3586)</f>
        <v>0</v>
      </c>
      <c r="I3586" s="1" t="str">
        <f>IFERROR(VLOOKUP(C3586,'Clients List'!A:F,6,FALSE),"")</f>
        <v/>
      </c>
    </row>
    <row r="3587" spans="4:9" x14ac:dyDescent="0.45">
      <c r="D3587" t="str">
        <f>IFERROR(VLOOKUP(C3587,'Clients List'!$A:$F,2,FALSE),"")</f>
        <v/>
      </c>
      <c r="F3587" s="1" t="str">
        <f>IF(OR(C3587="",NOT(ISNUMBER(SEARCH("Package",D3587)))),"",VLOOKUP(C3587,'Clients List'!$A:$F,4,FALSE)-SUMIFS($E$2:$E3587,$C$2:$C3587,C3587,$D$2:$D3587,"*Package*"))</f>
        <v/>
      </c>
      <c r="G3587" t="str">
        <f t="shared" si="89"/>
        <v/>
      </c>
      <c r="H3587" s="33">
        <f>IF(ISNUMBER(SEARCH("Group",D3587)),IF(G3587="",E3587,IFERROR(E3587/COUNTIF($G2:$G6000,G3587),E3587)),E3587)</f>
        <v>0</v>
      </c>
      <c r="I3587" s="1" t="str">
        <f>IFERROR(VLOOKUP(C3587,'Clients List'!A:F,6,FALSE),"")</f>
        <v/>
      </c>
    </row>
    <row r="3588" spans="4:9" x14ac:dyDescent="0.45">
      <c r="D3588" t="str">
        <f>IFERROR(VLOOKUP(C3588,'Clients List'!$A:$F,2,FALSE),"")</f>
        <v/>
      </c>
      <c r="F3588" s="1" t="str">
        <f>IF(OR(C3588="",NOT(ISNUMBER(SEARCH("Package",D3588)))),"",VLOOKUP(C3588,'Clients List'!$A:$F,4,FALSE)-SUMIFS($E$2:$E3588,$C$2:$C3588,C3588,$D$2:$D3588,"*Package*"))</f>
        <v/>
      </c>
      <c r="G3588" t="str">
        <f t="shared" si="89"/>
        <v/>
      </c>
      <c r="H3588" s="33">
        <f>IF(ISNUMBER(SEARCH("Group",D3588)),IF(G3588="",E3588,IFERROR(E3588/COUNTIF($G2:$G6000,G3588),E3588)),E3588)</f>
        <v>0</v>
      </c>
      <c r="I3588" s="1" t="str">
        <f>IFERROR(VLOOKUP(C3588,'Clients List'!A:F,6,FALSE),"")</f>
        <v/>
      </c>
    </row>
    <row r="3589" spans="4:9" x14ac:dyDescent="0.45">
      <c r="D3589" t="str">
        <f>IFERROR(VLOOKUP(C3589,'Clients List'!$A:$F,2,FALSE),"")</f>
        <v/>
      </c>
      <c r="F3589" s="1" t="str">
        <f>IF(OR(C3589="",NOT(ISNUMBER(SEARCH("Package",D3589)))),"",VLOOKUP(C3589,'Clients List'!$A:$F,4,FALSE)-SUMIFS($E$2:$E3589,$C$2:$C3589,C3589,$D$2:$D3589,"*Package*"))</f>
        <v/>
      </c>
      <c r="G3589" t="str">
        <f t="shared" si="89"/>
        <v/>
      </c>
      <c r="H3589" s="33">
        <f>IF(ISNUMBER(SEARCH("Group",D3589)),IF(G3589="",E3589,IFERROR(E3589/COUNTIF($G2:$G6000,G3589),E3589)),E3589)</f>
        <v>0</v>
      </c>
      <c r="I3589" s="1" t="str">
        <f>IFERROR(VLOOKUP(C3589,'Clients List'!A:F,6,FALSE),"")</f>
        <v/>
      </c>
    </row>
    <row r="3590" spans="4:9" x14ac:dyDescent="0.45">
      <c r="D3590" t="str">
        <f>IFERROR(VLOOKUP(C3590,'Clients List'!$A:$F,2,FALSE),"")</f>
        <v/>
      </c>
      <c r="F3590" s="1" t="str">
        <f>IF(OR(C3590="",NOT(ISNUMBER(SEARCH("Package",D3590)))),"",VLOOKUP(C3590,'Clients List'!$A:$F,4,FALSE)-SUMIFS($E$2:$E3590,$C$2:$C3590,C3590,$D$2:$D3590,"*Package*"))</f>
        <v/>
      </c>
      <c r="G3590" t="str">
        <f t="shared" si="89"/>
        <v/>
      </c>
      <c r="H3590" s="33">
        <f>IF(ISNUMBER(SEARCH("Group",D3590)),IF(G3590="",E3590,IFERROR(E3590/COUNTIF($G2:$G6000,G3590),E3590)),E3590)</f>
        <v>0</v>
      </c>
      <c r="I3590" s="1" t="str">
        <f>IFERROR(VLOOKUP(C3590,'Clients List'!A:F,6,FALSE),"")</f>
        <v/>
      </c>
    </row>
    <row r="3591" spans="4:9" x14ac:dyDescent="0.45">
      <c r="D3591" t="str">
        <f>IFERROR(VLOOKUP(C3591,'Clients List'!$A:$F,2,FALSE),"")</f>
        <v/>
      </c>
      <c r="F3591" s="1" t="str">
        <f>IF(OR(C3591="",NOT(ISNUMBER(SEARCH("Package",D3591)))),"",VLOOKUP(C3591,'Clients List'!$A:$F,4,FALSE)-SUMIFS($E$2:$E3591,$C$2:$C3591,C3591,$D$2:$D3591,"*Package*"))</f>
        <v/>
      </c>
      <c r="G3591" t="str">
        <f t="shared" si="89"/>
        <v/>
      </c>
      <c r="H3591" s="33">
        <f>IF(ISNUMBER(SEARCH("Group",D3591)),IF(G3591="",E3591,IFERROR(E3591/COUNTIF($G2:$G6000,G3591),E3591)),E3591)</f>
        <v>0</v>
      </c>
      <c r="I3591" s="1" t="str">
        <f>IFERROR(VLOOKUP(C3591,'Clients List'!A:F,6,FALSE),"")</f>
        <v/>
      </c>
    </row>
    <row r="3592" spans="4:9" x14ac:dyDescent="0.45">
      <c r="D3592" t="str">
        <f>IFERROR(VLOOKUP(C3592,'Clients List'!$A:$F,2,FALSE),"")</f>
        <v/>
      </c>
      <c r="F3592" s="1" t="str">
        <f>IF(OR(C3592="",NOT(ISNUMBER(SEARCH("Package",D3592)))),"",VLOOKUP(C3592,'Clients List'!$A:$F,4,FALSE)-SUMIFS($E$2:$E3592,$C$2:$C3592,C3592,$D$2:$D3592,"*Package*"))</f>
        <v/>
      </c>
      <c r="G3592" t="str">
        <f t="shared" si="89"/>
        <v/>
      </c>
      <c r="H3592" s="33">
        <f>IF(ISNUMBER(SEARCH("Group",D3592)),IF(G3592="",E3592,IFERROR(E3592/COUNTIF($G2:$G6000,G3592),E3592)),E3592)</f>
        <v>0</v>
      </c>
      <c r="I3592" s="1" t="str">
        <f>IFERROR(VLOOKUP(C3592,'Clients List'!A:F,6,FALSE),"")</f>
        <v/>
      </c>
    </row>
    <row r="3593" spans="4:9" x14ac:dyDescent="0.45">
      <c r="D3593" t="str">
        <f>IFERROR(VLOOKUP(C3593,'Clients List'!$A:$F,2,FALSE),"")</f>
        <v/>
      </c>
      <c r="F3593" s="1" t="str">
        <f>IF(OR(C3593="",NOT(ISNUMBER(SEARCH("Package",D3593)))),"",VLOOKUP(C3593,'Clients List'!$A:$F,4,FALSE)-SUMIFS($E$2:$E3593,$C$2:$C3593,C3593,$D$2:$D3593,"*Package*"))</f>
        <v/>
      </c>
      <c r="G3593" t="str">
        <f t="shared" si="89"/>
        <v/>
      </c>
      <c r="H3593" s="33">
        <f>IF(ISNUMBER(SEARCH("Group",D3593)),IF(G3593="",E3593,IFERROR(E3593/COUNTIF($G2:$G6000,G3593),E3593)),E3593)</f>
        <v>0</v>
      </c>
      <c r="I3593" s="1" t="str">
        <f>IFERROR(VLOOKUP(C3593,'Clients List'!A:F,6,FALSE),"")</f>
        <v/>
      </c>
    </row>
    <row r="3594" spans="4:9" x14ac:dyDescent="0.45">
      <c r="D3594" t="str">
        <f>IFERROR(VLOOKUP(C3594,'Clients List'!$A:$F,2,FALSE),"")</f>
        <v/>
      </c>
      <c r="F3594" s="1" t="str">
        <f>IF(OR(C3594="",NOT(ISNUMBER(SEARCH("Package",D3594)))),"",VLOOKUP(C3594,'Clients List'!$A:$F,4,FALSE)-SUMIFS($E$2:$E3594,$C$2:$C3594,C3594,$D$2:$D3594,"*Package*"))</f>
        <v/>
      </c>
      <c r="G3594" t="str">
        <f t="shared" si="89"/>
        <v/>
      </c>
      <c r="H3594" s="33">
        <f>IF(ISNUMBER(SEARCH("Group",D3594)),IF(G3594="",E3594,IFERROR(E3594/COUNTIF($G2:$G6000,G3594),E3594)),E3594)</f>
        <v>0</v>
      </c>
      <c r="I3594" s="1" t="str">
        <f>IFERROR(VLOOKUP(C3594,'Clients List'!A:F,6,FALSE),"")</f>
        <v/>
      </c>
    </row>
    <row r="3595" spans="4:9" x14ac:dyDescent="0.45">
      <c r="D3595" t="str">
        <f>IFERROR(VLOOKUP(C3595,'Clients List'!$A:$F,2,FALSE),"")</f>
        <v/>
      </c>
      <c r="F3595" s="1" t="str">
        <f>IF(OR(C3595="",NOT(ISNUMBER(SEARCH("Package",D3595)))),"",VLOOKUP(C3595,'Clients List'!$A:$F,4,FALSE)-SUMIFS($E$2:$E3595,$C$2:$C3595,C3595,$D$2:$D3595,"*Package*"))</f>
        <v/>
      </c>
      <c r="G3595" t="str">
        <f t="shared" si="89"/>
        <v/>
      </c>
      <c r="H3595" s="33">
        <f>IF(ISNUMBER(SEARCH("Group",D3595)),IF(G3595="",E3595,IFERROR(E3595/COUNTIF($G2:$G6000,G3595),E3595)),E3595)</f>
        <v>0</v>
      </c>
      <c r="I3595" s="1" t="str">
        <f>IFERROR(VLOOKUP(C3595,'Clients List'!A:F,6,FALSE),"")</f>
        <v/>
      </c>
    </row>
    <row r="3596" spans="4:9" x14ac:dyDescent="0.45">
      <c r="D3596" t="str">
        <f>IFERROR(VLOOKUP(C3596,'Clients List'!$A:$F,2,FALSE),"")</f>
        <v/>
      </c>
      <c r="F3596" s="1" t="str">
        <f>IF(OR(C3596="",NOT(ISNUMBER(SEARCH("Package",D3596)))),"",VLOOKUP(C3596,'Clients List'!$A:$F,4,FALSE)-SUMIFS($E$2:$E3596,$C$2:$C3596,C3596,$D$2:$D3596,"*Package*"))</f>
        <v/>
      </c>
      <c r="G3596" t="str">
        <f t="shared" si="89"/>
        <v/>
      </c>
      <c r="H3596" s="33">
        <f>IF(ISNUMBER(SEARCH("Group",D3596)),IF(G3596="",E3596,IFERROR(E3596/COUNTIF($G2:$G6000,G3596),E3596)),E3596)</f>
        <v>0</v>
      </c>
      <c r="I3596" s="1" t="str">
        <f>IFERROR(VLOOKUP(C3596,'Clients List'!A:F,6,FALSE),"")</f>
        <v/>
      </c>
    </row>
    <row r="3597" spans="4:9" x14ac:dyDescent="0.45">
      <c r="D3597" t="str">
        <f>IFERROR(VLOOKUP(C3597,'Clients List'!$A:$F,2,FALSE),"")</f>
        <v/>
      </c>
      <c r="F3597" s="1" t="str">
        <f>IF(OR(C3597="",NOT(ISNUMBER(SEARCH("Package",D3597)))),"",VLOOKUP(C3597,'Clients List'!$A:$F,4,FALSE)-SUMIFS($E$2:$E3597,$C$2:$C3597,C3597,$D$2:$D3597,"*Package*"))</f>
        <v/>
      </c>
      <c r="G3597" t="str">
        <f t="shared" si="89"/>
        <v/>
      </c>
      <c r="H3597" s="33">
        <f>IF(ISNUMBER(SEARCH("Group",D3597)),IF(G3597="",E3597,IFERROR(E3597/COUNTIF($G2:$G6000,G3597),E3597)),E3597)</f>
        <v>0</v>
      </c>
      <c r="I3597" s="1" t="str">
        <f>IFERROR(VLOOKUP(C3597,'Clients List'!A:F,6,FALSE),"")</f>
        <v/>
      </c>
    </row>
    <row r="3598" spans="4:9" x14ac:dyDescent="0.45">
      <c r="D3598" t="str">
        <f>IFERROR(VLOOKUP(C3598,'Clients List'!$A:$F,2,FALSE),"")</f>
        <v/>
      </c>
      <c r="F3598" s="1" t="str">
        <f>IF(OR(C3598="",NOT(ISNUMBER(SEARCH("Package",D3598)))),"",VLOOKUP(C3598,'Clients List'!$A:$F,4,FALSE)-SUMIFS($E$2:$E3598,$C$2:$C3598,C3598,$D$2:$D3598,"*Package*"))</f>
        <v/>
      </c>
      <c r="G3598" t="str">
        <f t="shared" si="89"/>
        <v/>
      </c>
      <c r="H3598" s="33">
        <f>IF(ISNUMBER(SEARCH("Group",D3598)),IF(G3598="",E3598,IFERROR(E3598/COUNTIF($G2:$G6000,G3598),E3598)),E3598)</f>
        <v>0</v>
      </c>
      <c r="I3598" s="1" t="str">
        <f>IFERROR(VLOOKUP(C3598,'Clients List'!A:F,6,FALSE),"")</f>
        <v/>
      </c>
    </row>
    <row r="3599" spans="4:9" x14ac:dyDescent="0.45">
      <c r="D3599" t="str">
        <f>IFERROR(VLOOKUP(C3599,'Clients List'!$A:$F,2,FALSE),"")</f>
        <v/>
      </c>
      <c r="F3599" s="1" t="str">
        <f>IF(OR(C3599="",NOT(ISNUMBER(SEARCH("Package",D3599)))),"",VLOOKUP(C3599,'Clients List'!$A:$F,4,FALSE)-SUMIFS($E$2:$E3599,$C$2:$C3599,C3599,$D$2:$D3599,"*Package*"))</f>
        <v/>
      </c>
      <c r="G3599" t="str">
        <f t="shared" si="89"/>
        <v/>
      </c>
      <c r="H3599" s="33">
        <f>IF(ISNUMBER(SEARCH("Group",D3599)),IF(G3599="",E3599,IFERROR(E3599/COUNTIF($G2:$G6000,G3599),E3599)),E3599)</f>
        <v>0</v>
      </c>
      <c r="I3599" s="1" t="str">
        <f>IFERROR(VLOOKUP(C3599,'Clients List'!A:F,6,FALSE),"")</f>
        <v/>
      </c>
    </row>
    <row r="3600" spans="4:9" x14ac:dyDescent="0.45">
      <c r="D3600" t="str">
        <f>IFERROR(VLOOKUP(C3600,'Clients List'!$A:$F,2,FALSE),"")</f>
        <v/>
      </c>
      <c r="F3600" s="1" t="str">
        <f>IF(OR(C3600="",NOT(ISNUMBER(SEARCH("Package",D3600)))),"",VLOOKUP(C3600,'Clients List'!$A:$F,4,FALSE)-SUMIFS($E$2:$E3600,$C$2:$C3600,C3600,$D$2:$D3600,"*Package*"))</f>
        <v/>
      </c>
      <c r="G3600" t="str">
        <f t="shared" si="89"/>
        <v/>
      </c>
      <c r="H3600" s="33">
        <f>IF(ISNUMBER(SEARCH("Group",D3600)),IF(G3600="",E3600,IFERROR(E3600/COUNTIF($G2:$G6000,G3600),E3600)),E3600)</f>
        <v>0</v>
      </c>
      <c r="I3600" s="1" t="str">
        <f>IFERROR(VLOOKUP(C3600,'Clients List'!A:F,6,FALSE),"")</f>
        <v/>
      </c>
    </row>
    <row r="3601" spans="4:9" x14ac:dyDescent="0.45">
      <c r="D3601" t="str">
        <f>IFERROR(VLOOKUP(C3601,'Clients List'!$A:$F,2,FALSE),"")</f>
        <v/>
      </c>
      <c r="F3601" s="1" t="str">
        <f>IF(OR(C3601="",NOT(ISNUMBER(SEARCH("Package",D3601)))),"",VLOOKUP(C3601,'Clients List'!$A:$F,4,FALSE)-SUMIFS($E$2:$E3601,$C$2:$C3601,C3601,$D$2:$D3601,"*Package*"))</f>
        <v/>
      </c>
      <c r="G3601" t="str">
        <f t="shared" si="89"/>
        <v/>
      </c>
      <c r="H3601" s="33">
        <f>IF(ISNUMBER(SEARCH("Group",D3601)),IF(G3601="",E3601,IFERROR(E3601/COUNTIF($G2:$G6000,G3601),E3601)),E3601)</f>
        <v>0</v>
      </c>
      <c r="I3601" s="1" t="str">
        <f>IFERROR(VLOOKUP(C3601,'Clients List'!A:F,6,FALSE),"")</f>
        <v/>
      </c>
    </row>
    <row r="3602" spans="4:9" x14ac:dyDescent="0.45">
      <c r="D3602" t="str">
        <f>IFERROR(VLOOKUP(C3602,'Clients List'!$A:$F,2,FALSE),"")</f>
        <v/>
      </c>
      <c r="F3602" s="1" t="str">
        <f>IF(OR(C3602="",NOT(ISNUMBER(SEARCH("Package",D3602)))),"",VLOOKUP(C3602,'Clients List'!$A:$F,4,FALSE)-SUMIFS($E$2:$E3602,$C$2:$C3602,C3602,$D$2:$D3602,"*Package*"))</f>
        <v/>
      </c>
      <c r="G3602" t="str">
        <f t="shared" si="89"/>
        <v/>
      </c>
      <c r="H3602" s="33">
        <f>IF(ISNUMBER(SEARCH("Group",D3602)),IF(G3602="",E3602,IFERROR(E3602/COUNTIF($G2:$G6000,G3602),E3602)),E3602)</f>
        <v>0</v>
      </c>
      <c r="I3602" s="1" t="str">
        <f>IFERROR(VLOOKUP(C3602,'Clients List'!A:F,6,FALSE),"")</f>
        <v/>
      </c>
    </row>
    <row r="3603" spans="4:9" x14ac:dyDescent="0.45">
      <c r="D3603" t="str">
        <f>IFERROR(VLOOKUP(C3603,'Clients List'!$A:$F,2,FALSE),"")</f>
        <v/>
      </c>
      <c r="F3603" s="1" t="str">
        <f>IF(OR(C3603="",NOT(ISNUMBER(SEARCH("Package",D3603)))),"",VLOOKUP(C3603,'Clients List'!$A:$F,4,FALSE)-SUMIFS($E$2:$E3603,$C$2:$C3603,C3603,$D$2:$D3603,"*Package*"))</f>
        <v/>
      </c>
      <c r="G3603" t="str">
        <f t="shared" si="89"/>
        <v/>
      </c>
      <c r="H3603" s="33">
        <f>IF(ISNUMBER(SEARCH("Group",D3603)),IF(G3603="",E3603,IFERROR(E3603/COUNTIF($G2:$G6000,G3603),E3603)),E3603)</f>
        <v>0</v>
      </c>
      <c r="I3603" s="1" t="str">
        <f>IFERROR(VLOOKUP(C3603,'Clients List'!A:F,6,FALSE),"")</f>
        <v/>
      </c>
    </row>
    <row r="3604" spans="4:9" x14ac:dyDescent="0.45">
      <c r="D3604" t="str">
        <f>IFERROR(VLOOKUP(C3604,'Clients List'!$A:$F,2,FALSE),"")</f>
        <v/>
      </c>
      <c r="F3604" s="1" t="str">
        <f>IF(OR(C3604="",NOT(ISNUMBER(SEARCH("Package",D3604)))),"",VLOOKUP(C3604,'Clients List'!$A:$F,4,FALSE)-SUMIFS($E$2:$E3604,$C$2:$C3604,C3604,$D$2:$D3604,"*Package*"))</f>
        <v/>
      </c>
      <c r="G3604" t="str">
        <f t="shared" si="89"/>
        <v/>
      </c>
      <c r="H3604" s="33">
        <f>IF(ISNUMBER(SEARCH("Group",D3604)),IF(G3604="",E3604,IFERROR(E3604/COUNTIF($G2:$G6000,G3604),E3604)),E3604)</f>
        <v>0</v>
      </c>
      <c r="I3604" s="1" t="str">
        <f>IFERROR(VLOOKUP(C3604,'Clients List'!A:F,6,FALSE),"")</f>
        <v/>
      </c>
    </row>
    <row r="3605" spans="4:9" x14ac:dyDescent="0.45">
      <c r="D3605" t="str">
        <f>IFERROR(VLOOKUP(C3605,'Clients List'!$A:$F,2,FALSE),"")</f>
        <v/>
      </c>
      <c r="F3605" s="1" t="str">
        <f>IF(OR(C3605="",NOT(ISNUMBER(SEARCH("Package",D3605)))),"",VLOOKUP(C3605,'Clients List'!$A:$F,4,FALSE)-SUMIFS($E$2:$E3605,$C$2:$C3605,C3605,$D$2:$D3605,"*Package*"))</f>
        <v/>
      </c>
      <c r="G3605" t="str">
        <f t="shared" si="89"/>
        <v/>
      </c>
      <c r="H3605" s="33">
        <f>IF(ISNUMBER(SEARCH("Group",D3605)),IF(G3605="",E3605,IFERROR(E3605/COUNTIF($G2:$G6000,G3605),E3605)),E3605)</f>
        <v>0</v>
      </c>
      <c r="I3605" s="1" t="str">
        <f>IFERROR(VLOOKUP(C3605,'Clients List'!A:F,6,FALSE),"")</f>
        <v/>
      </c>
    </row>
    <row r="3606" spans="4:9" x14ac:dyDescent="0.45">
      <c r="D3606" t="str">
        <f>IFERROR(VLOOKUP(C3606,'Clients List'!$A:$F,2,FALSE),"")</f>
        <v/>
      </c>
      <c r="F3606" s="1" t="str">
        <f>IF(OR(C3606="",NOT(ISNUMBER(SEARCH("Package",D3606)))),"",VLOOKUP(C3606,'Clients List'!$A:$F,4,FALSE)-SUMIFS($E$2:$E3606,$C$2:$C3606,C3606,$D$2:$D3606,"*Package*"))</f>
        <v/>
      </c>
      <c r="G3606" t="str">
        <f t="shared" si="89"/>
        <v/>
      </c>
      <c r="H3606" s="33">
        <f>IF(ISNUMBER(SEARCH("Group",D3606)),IF(G3606="",E3606,IFERROR(E3606/COUNTIF($G2:$G6000,G3606),E3606)),E3606)</f>
        <v>0</v>
      </c>
      <c r="I3606" s="1" t="str">
        <f>IFERROR(VLOOKUP(C3606,'Clients List'!A:F,6,FALSE),"")</f>
        <v/>
      </c>
    </row>
    <row r="3607" spans="4:9" x14ac:dyDescent="0.45">
      <c r="D3607" t="str">
        <f>IFERROR(VLOOKUP(C3607,'Clients List'!$A:$F,2,FALSE),"")</f>
        <v/>
      </c>
      <c r="F3607" s="1" t="str">
        <f>IF(OR(C3607="",NOT(ISNUMBER(SEARCH("Package",D3607)))),"",VLOOKUP(C3607,'Clients List'!$A:$F,4,FALSE)-SUMIFS($E$2:$E3607,$C$2:$C3607,C3607,$D$2:$D3607,"*Package*"))</f>
        <v/>
      </c>
      <c r="G3607" t="str">
        <f t="shared" si="89"/>
        <v/>
      </c>
      <c r="H3607" s="33">
        <f>IF(ISNUMBER(SEARCH("Group",D3607)),IF(G3607="",E3607,IFERROR(E3607/COUNTIF($G2:$G6000,G3607),E3607)),E3607)</f>
        <v>0</v>
      </c>
      <c r="I3607" s="1" t="str">
        <f>IFERROR(VLOOKUP(C3607,'Clients List'!A:F,6,FALSE),"")</f>
        <v/>
      </c>
    </row>
    <row r="3608" spans="4:9" x14ac:dyDescent="0.45">
      <c r="D3608" t="str">
        <f>IFERROR(VLOOKUP(C3608,'Clients List'!$A:$F,2,FALSE),"")</f>
        <v/>
      </c>
      <c r="F3608" s="1" t="str">
        <f>IF(OR(C3608="",NOT(ISNUMBER(SEARCH("Package",D3608)))),"",VLOOKUP(C3608,'Clients List'!$A:$F,4,FALSE)-SUMIFS($E$2:$E3608,$C$2:$C3608,C3608,$D$2:$D3608,"*Package*"))</f>
        <v/>
      </c>
      <c r="G3608" t="str">
        <f t="shared" si="89"/>
        <v/>
      </c>
      <c r="H3608" s="33">
        <f>IF(ISNUMBER(SEARCH("Group",D3608)),IF(G3608="",E3608,IFERROR(E3608/COUNTIF($G2:$G6000,G3608),E3608)),E3608)</f>
        <v>0</v>
      </c>
      <c r="I3608" s="1" t="str">
        <f>IFERROR(VLOOKUP(C3608,'Clients List'!A:F,6,FALSE),"")</f>
        <v/>
      </c>
    </row>
    <row r="3609" spans="4:9" x14ac:dyDescent="0.45">
      <c r="D3609" t="str">
        <f>IFERROR(VLOOKUP(C3609,'Clients List'!$A:$F,2,FALSE),"")</f>
        <v/>
      </c>
      <c r="F3609" s="1" t="str">
        <f>IF(OR(C3609="",NOT(ISNUMBER(SEARCH("Package",D3609)))),"",VLOOKUP(C3609,'Clients List'!$A:$F,4,FALSE)-SUMIFS($E$2:$E3609,$C$2:$C3609,C3609,$D$2:$D3609,"*Package*"))</f>
        <v/>
      </c>
      <c r="G3609" t="str">
        <f t="shared" si="89"/>
        <v/>
      </c>
      <c r="H3609" s="33">
        <f>IF(ISNUMBER(SEARCH("Group",D3609)),IF(G3609="",E3609,IFERROR(E3609/COUNTIF($G2:$G6000,G3609),E3609)),E3609)</f>
        <v>0</v>
      </c>
      <c r="I3609" s="1" t="str">
        <f>IFERROR(VLOOKUP(C3609,'Clients List'!A:F,6,FALSE),"")</f>
        <v/>
      </c>
    </row>
    <row r="3610" spans="4:9" x14ac:dyDescent="0.45">
      <c r="D3610" t="str">
        <f>IFERROR(VLOOKUP(C3610,'Clients List'!$A:$F,2,FALSE),"")</f>
        <v/>
      </c>
      <c r="F3610" s="1" t="str">
        <f>IF(OR(C3610="",NOT(ISNUMBER(SEARCH("Package",D3610)))),"",VLOOKUP(C3610,'Clients List'!$A:$F,4,FALSE)-SUMIFS($E$2:$E3610,$C$2:$C3610,C3610,$D$2:$D3610,"*Package*"))</f>
        <v/>
      </c>
      <c r="G3610" t="str">
        <f t="shared" si="89"/>
        <v/>
      </c>
      <c r="H3610" s="33">
        <f>IF(ISNUMBER(SEARCH("Group",D3610)),IF(G3610="",E3610,IFERROR(E3610/COUNTIF($G2:$G6000,G3610),E3610)),E3610)</f>
        <v>0</v>
      </c>
      <c r="I3610" s="1" t="str">
        <f>IFERROR(VLOOKUP(C3610,'Clients List'!A:F,6,FALSE),"")</f>
        <v/>
      </c>
    </row>
    <row r="3611" spans="4:9" x14ac:dyDescent="0.45">
      <c r="D3611" t="str">
        <f>IFERROR(VLOOKUP(C3611,'Clients List'!$A:$F,2,FALSE),"")</f>
        <v/>
      </c>
      <c r="F3611" s="1" t="str">
        <f>IF(OR(C3611="",NOT(ISNUMBER(SEARCH("Package",D3611)))),"",VLOOKUP(C3611,'Clients List'!$A:$F,4,FALSE)-SUMIFS($E$2:$E3611,$C$2:$C3611,C3611,$D$2:$D3611,"*Package*"))</f>
        <v/>
      </c>
      <c r="G3611" t="str">
        <f t="shared" si="89"/>
        <v/>
      </c>
      <c r="H3611" s="33">
        <f>IF(ISNUMBER(SEARCH("Group",D3611)),IF(G3611="",E3611,IFERROR(E3611/COUNTIF($G2:$G6000,G3611),E3611)),E3611)</f>
        <v>0</v>
      </c>
      <c r="I3611" s="1" t="str">
        <f>IFERROR(VLOOKUP(C3611,'Clients List'!A:F,6,FALSE),"")</f>
        <v/>
      </c>
    </row>
    <row r="3612" spans="4:9" x14ac:dyDescent="0.45">
      <c r="D3612" t="str">
        <f>IFERROR(VLOOKUP(C3612,'Clients List'!$A:$F,2,FALSE),"")</f>
        <v/>
      </c>
      <c r="F3612" s="1" t="str">
        <f>IF(OR(C3612="",NOT(ISNUMBER(SEARCH("Package",D3612)))),"",VLOOKUP(C3612,'Clients List'!$A:$F,4,FALSE)-SUMIFS($E$2:$E3612,$C$2:$C3612,C3612,$D$2:$D3612,"*Package*"))</f>
        <v/>
      </c>
      <c r="G3612" t="str">
        <f t="shared" si="89"/>
        <v/>
      </c>
      <c r="H3612" s="33">
        <f>IF(ISNUMBER(SEARCH("Group",D3612)),IF(G3612="",E3612,IFERROR(E3612/COUNTIF($G2:$G6000,G3612),E3612)),E3612)</f>
        <v>0</v>
      </c>
      <c r="I3612" s="1" t="str">
        <f>IFERROR(VLOOKUP(C3612,'Clients List'!A:F,6,FALSE),"")</f>
        <v/>
      </c>
    </row>
    <row r="3613" spans="4:9" x14ac:dyDescent="0.45">
      <c r="D3613" t="str">
        <f>IFERROR(VLOOKUP(C3613,'Clients List'!$A:$F,2,FALSE),"")</f>
        <v/>
      </c>
      <c r="F3613" s="1" t="str">
        <f>IF(OR(C3613="",NOT(ISNUMBER(SEARCH("Package",D3613)))),"",VLOOKUP(C3613,'Clients List'!$A:$F,4,FALSE)-SUMIFS($E$2:$E3613,$C$2:$C3613,C3613,$D$2:$D3613,"*Package*"))</f>
        <v/>
      </c>
      <c r="G3613" t="str">
        <f t="shared" si="89"/>
        <v/>
      </c>
      <c r="H3613" s="33">
        <f>IF(ISNUMBER(SEARCH("Group",D3613)),IF(G3613="",E3613,IFERROR(E3613/COUNTIF($G2:$G6000,G3613),E3613)),E3613)</f>
        <v>0</v>
      </c>
      <c r="I3613" s="1" t="str">
        <f>IFERROR(VLOOKUP(C3613,'Clients List'!A:F,6,FALSE),"")</f>
        <v/>
      </c>
    </row>
    <row r="3614" spans="4:9" x14ac:dyDescent="0.45">
      <c r="D3614" t="str">
        <f>IFERROR(VLOOKUP(C3614,'Clients List'!$A:$F,2,FALSE),"")</f>
        <v/>
      </c>
      <c r="F3614" s="1" t="str">
        <f>IF(OR(C3614="",NOT(ISNUMBER(SEARCH("Package",D3614)))),"",VLOOKUP(C3614,'Clients List'!$A:$F,4,FALSE)-SUMIFS($E$2:$E3614,$C$2:$C3614,C3614,$D$2:$D3614,"*Package*"))</f>
        <v/>
      </c>
      <c r="G3614" t="str">
        <f t="shared" si="89"/>
        <v/>
      </c>
      <c r="H3614" s="33">
        <f>IF(ISNUMBER(SEARCH("Group",D3614)),IF(G3614="",E3614,IFERROR(E3614/COUNTIF($G2:$G6000,G3614),E3614)),E3614)</f>
        <v>0</v>
      </c>
      <c r="I3614" s="1" t="str">
        <f>IFERROR(VLOOKUP(C3614,'Clients List'!A:F,6,FALSE),"")</f>
        <v/>
      </c>
    </row>
    <row r="3615" spans="4:9" x14ac:dyDescent="0.45">
      <c r="D3615" t="str">
        <f>IFERROR(VLOOKUP(C3615,'Clients List'!$A:$F,2,FALSE),"")</f>
        <v/>
      </c>
      <c r="F3615" s="1" t="str">
        <f>IF(OR(C3615="",NOT(ISNUMBER(SEARCH("Package",D3615)))),"",VLOOKUP(C3615,'Clients List'!$A:$F,4,FALSE)-SUMIFS($E$2:$E3615,$C$2:$C3615,C3615,$D$2:$D3615,"*Package*"))</f>
        <v/>
      </c>
      <c r="G3615" t="str">
        <f t="shared" si="89"/>
        <v/>
      </c>
      <c r="H3615" s="33">
        <f>IF(ISNUMBER(SEARCH("Group",D3615)),IF(G3615="",E3615,IFERROR(E3615/COUNTIF($G2:$G6000,G3615),E3615)),E3615)</f>
        <v>0</v>
      </c>
      <c r="I3615" s="1" t="str">
        <f>IFERROR(VLOOKUP(C3615,'Clients List'!A:F,6,FALSE),"")</f>
        <v/>
      </c>
    </row>
    <row r="3616" spans="4:9" x14ac:dyDescent="0.45">
      <c r="D3616" t="str">
        <f>IFERROR(VLOOKUP(C3616,'Clients List'!$A:$F,2,FALSE),"")</f>
        <v/>
      </c>
      <c r="F3616" s="1" t="str">
        <f>IF(OR(C3616="",NOT(ISNUMBER(SEARCH("Package",D3616)))),"",VLOOKUP(C3616,'Clients List'!$A:$F,4,FALSE)-SUMIFS($E$2:$E3616,$C$2:$C3616,C3616,$D$2:$D3616,"*Package*"))</f>
        <v/>
      </c>
      <c r="G3616" t="str">
        <f t="shared" si="89"/>
        <v/>
      </c>
      <c r="H3616" s="33">
        <f>IF(ISNUMBER(SEARCH("Group",D3616)),IF(G3616="",E3616,IFERROR(E3616/COUNTIF($G2:$G6000,G3616),E3616)),E3616)</f>
        <v>0</v>
      </c>
      <c r="I3616" s="1" t="str">
        <f>IFERROR(VLOOKUP(C3616,'Clients List'!A:F,6,FALSE),"")</f>
        <v/>
      </c>
    </row>
    <row r="3617" spans="4:9" x14ac:dyDescent="0.45">
      <c r="D3617" t="str">
        <f>IFERROR(VLOOKUP(C3617,'Clients List'!$A:$F,2,FALSE),"")</f>
        <v/>
      </c>
      <c r="F3617" s="1" t="str">
        <f>IF(OR(C3617="",NOT(ISNUMBER(SEARCH("Package",D3617)))),"",VLOOKUP(C3617,'Clients List'!$A:$F,4,FALSE)-SUMIFS($E$2:$E3617,$C$2:$C3617,C3617,$D$2:$D3617,"*Package*"))</f>
        <v/>
      </c>
      <c r="G3617" t="str">
        <f t="shared" si="89"/>
        <v/>
      </c>
      <c r="H3617" s="33">
        <f>IF(ISNUMBER(SEARCH("Group",D3617)),IF(G3617="",E3617,IFERROR(E3617/COUNTIF($G2:$G6000,G3617),E3617)),E3617)</f>
        <v>0</v>
      </c>
      <c r="I3617" s="1" t="str">
        <f>IFERROR(VLOOKUP(C3617,'Clients List'!A:F,6,FALSE),"")</f>
        <v/>
      </c>
    </row>
    <row r="3618" spans="4:9" x14ac:dyDescent="0.45">
      <c r="D3618" t="str">
        <f>IFERROR(VLOOKUP(C3618,'Clients List'!$A:$F,2,FALSE),"")</f>
        <v/>
      </c>
      <c r="F3618" s="1" t="str">
        <f>IF(OR(C3618="",NOT(ISNUMBER(SEARCH("Package",D3618)))),"",VLOOKUP(C3618,'Clients List'!$A:$F,4,FALSE)-SUMIFS($E$2:$E3618,$C$2:$C3618,C3618,$D$2:$D3618,"*Package*"))</f>
        <v/>
      </c>
      <c r="G3618" t="str">
        <f t="shared" si="89"/>
        <v/>
      </c>
      <c r="H3618" s="33">
        <f>IF(ISNUMBER(SEARCH("Group",D3618)),IF(G3618="",E3618,IFERROR(E3618/COUNTIF($G2:$G6000,G3618),E3618)),E3618)</f>
        <v>0</v>
      </c>
      <c r="I3618" s="1" t="str">
        <f>IFERROR(VLOOKUP(C3618,'Clients List'!A:F,6,FALSE),"")</f>
        <v/>
      </c>
    </row>
    <row r="3619" spans="4:9" x14ac:dyDescent="0.45">
      <c r="D3619" t="str">
        <f>IFERROR(VLOOKUP(C3619,'Clients List'!$A:$F,2,FALSE),"")</f>
        <v/>
      </c>
      <c r="F3619" s="1" t="str">
        <f>IF(OR(C3619="",NOT(ISNUMBER(SEARCH("Package",D3619)))),"",VLOOKUP(C3619,'Clients List'!$A:$F,4,FALSE)-SUMIFS($E$2:$E3619,$C$2:$C3619,C3619,$D$2:$D3619,"*Package*"))</f>
        <v/>
      </c>
      <c r="G3619" t="str">
        <f t="shared" si="89"/>
        <v/>
      </c>
      <c r="H3619" s="33">
        <f>IF(ISNUMBER(SEARCH("Group",D3619)),IF(G3619="",E3619,IFERROR(E3619/COUNTIF($G2:$G6000,G3619),E3619)),E3619)</f>
        <v>0</v>
      </c>
      <c r="I3619" s="1" t="str">
        <f>IFERROR(VLOOKUP(C3619,'Clients List'!A:F,6,FALSE),"")</f>
        <v/>
      </c>
    </row>
    <row r="3620" spans="4:9" x14ac:dyDescent="0.45">
      <c r="D3620" t="str">
        <f>IFERROR(VLOOKUP(C3620,'Clients List'!$A:$F,2,FALSE),"")</f>
        <v/>
      </c>
      <c r="F3620" s="1" t="str">
        <f>IF(OR(C3620="",NOT(ISNUMBER(SEARCH("Package",D3620)))),"",VLOOKUP(C3620,'Clients List'!$A:$F,4,FALSE)-SUMIFS($E$2:$E3620,$C$2:$C3620,C3620,$D$2:$D3620,"*Package*"))</f>
        <v/>
      </c>
      <c r="G3620" t="str">
        <f t="shared" si="89"/>
        <v/>
      </c>
      <c r="H3620" s="33">
        <f>IF(ISNUMBER(SEARCH("Group",D3620)),IF(G3620="",E3620,IFERROR(E3620/COUNTIF($G2:$G6000,G3620),E3620)),E3620)</f>
        <v>0</v>
      </c>
      <c r="I3620" s="1" t="str">
        <f>IFERROR(VLOOKUP(C3620,'Clients List'!A:F,6,FALSE),"")</f>
        <v/>
      </c>
    </row>
    <row r="3621" spans="4:9" x14ac:dyDescent="0.45">
      <c r="D3621" t="str">
        <f>IFERROR(VLOOKUP(C3621,'Clients List'!$A:$F,2,FALSE),"")</f>
        <v/>
      </c>
      <c r="F3621" s="1" t="str">
        <f>IF(OR(C3621="",NOT(ISNUMBER(SEARCH("Package",D3621)))),"",VLOOKUP(C3621,'Clients List'!$A:$F,4,FALSE)-SUMIFS($E$2:$E3621,$C$2:$C3621,C3621,$D$2:$D3621,"*Package*"))</f>
        <v/>
      </c>
      <c r="G3621" t="str">
        <f t="shared" si="89"/>
        <v/>
      </c>
      <c r="H3621" s="33">
        <f>IF(ISNUMBER(SEARCH("Group",D3621)),IF(G3621="",E3621,IFERROR(E3621/COUNTIF($G2:$G6000,G3621),E3621)),E3621)</f>
        <v>0</v>
      </c>
      <c r="I3621" s="1" t="str">
        <f>IFERROR(VLOOKUP(C3621,'Clients List'!A:F,6,FALSE),"")</f>
        <v/>
      </c>
    </row>
    <row r="3622" spans="4:9" x14ac:dyDescent="0.45">
      <c r="D3622" t="str">
        <f>IFERROR(VLOOKUP(C3622,'Clients List'!$A:$F,2,FALSE),"")</f>
        <v/>
      </c>
      <c r="F3622" s="1" t="str">
        <f>IF(OR(C3622="",NOT(ISNUMBER(SEARCH("Package",D3622)))),"",VLOOKUP(C3622,'Clients List'!$A:$F,4,FALSE)-SUMIFS($E$2:$E3622,$C$2:$C3622,C3622,$D$2:$D3622,"*Package*"))</f>
        <v/>
      </c>
      <c r="G3622" t="str">
        <f t="shared" si="89"/>
        <v/>
      </c>
      <c r="H3622" s="33">
        <f>IF(ISNUMBER(SEARCH("Group",D3622)),IF(G3622="",E3622,IFERROR(E3622/COUNTIF($G2:$G6000,G3622),E3622)),E3622)</f>
        <v>0</v>
      </c>
      <c r="I3622" s="1" t="str">
        <f>IFERROR(VLOOKUP(C3622,'Clients List'!A:F,6,FALSE),"")</f>
        <v/>
      </c>
    </row>
    <row r="3623" spans="4:9" x14ac:dyDescent="0.45">
      <c r="D3623" t="str">
        <f>IFERROR(VLOOKUP(C3623,'Clients List'!$A:$F,2,FALSE),"")</f>
        <v/>
      </c>
      <c r="F3623" s="1" t="str">
        <f>IF(OR(C3623="",NOT(ISNUMBER(SEARCH("Package",D3623)))),"",VLOOKUP(C3623,'Clients List'!$A:$F,4,FALSE)-SUMIFS($E$2:$E3623,$C$2:$C3623,C3623,$D$2:$D3623,"*Package*"))</f>
        <v/>
      </c>
      <c r="G3623" t="str">
        <f t="shared" si="89"/>
        <v/>
      </c>
      <c r="H3623" s="33">
        <f>IF(ISNUMBER(SEARCH("Group",D3623)),IF(G3623="",E3623,IFERROR(E3623/COUNTIF($G2:$G6000,G3623),E3623)),E3623)</f>
        <v>0</v>
      </c>
      <c r="I3623" s="1" t="str">
        <f>IFERROR(VLOOKUP(C3623,'Clients List'!A:F,6,FALSE),"")</f>
        <v/>
      </c>
    </row>
    <row r="3624" spans="4:9" x14ac:dyDescent="0.45">
      <c r="D3624" t="str">
        <f>IFERROR(VLOOKUP(C3624,'Clients List'!$A:$F,2,FALSE),"")</f>
        <v/>
      </c>
      <c r="F3624" s="1" t="str">
        <f>IF(OR(C3624="",NOT(ISNUMBER(SEARCH("Package",D3624)))),"",VLOOKUP(C3624,'Clients List'!$A:$F,4,FALSE)-SUMIFS($E$2:$E3624,$C$2:$C3624,C3624,$D$2:$D3624,"*Package*"))</f>
        <v/>
      </c>
      <c r="G3624" t="str">
        <f t="shared" si="89"/>
        <v/>
      </c>
      <c r="H3624" s="33">
        <f>IF(ISNUMBER(SEARCH("Group",D3624)),IF(G3624="",E3624,IFERROR(E3624/COUNTIF($G2:$G6000,G3624),E3624)),E3624)</f>
        <v>0</v>
      </c>
      <c r="I3624" s="1" t="str">
        <f>IFERROR(VLOOKUP(C3624,'Clients List'!A:F,6,FALSE),"")</f>
        <v/>
      </c>
    </row>
    <row r="3625" spans="4:9" x14ac:dyDescent="0.45">
      <c r="D3625" t="str">
        <f>IFERROR(VLOOKUP(C3625,'Clients List'!$A:$F,2,FALSE),"")</f>
        <v/>
      </c>
      <c r="F3625" s="1" t="str">
        <f>IF(OR(C3625="",NOT(ISNUMBER(SEARCH("Package",D3625)))),"",VLOOKUP(C3625,'Clients List'!$A:$F,4,FALSE)-SUMIFS($E$2:$E3625,$C$2:$C3625,C3625,$D$2:$D3625,"*Package*"))</f>
        <v/>
      </c>
      <c r="G3625" t="str">
        <f t="shared" si="89"/>
        <v/>
      </c>
      <c r="H3625" s="33">
        <f>IF(ISNUMBER(SEARCH("Group",D3625)),IF(G3625="",E3625,IFERROR(E3625/COUNTIF($G2:$G6000,G3625),E3625)),E3625)</f>
        <v>0</v>
      </c>
      <c r="I3625" s="1" t="str">
        <f>IFERROR(VLOOKUP(C3625,'Clients List'!A:F,6,FALSE),"")</f>
        <v/>
      </c>
    </row>
    <row r="3626" spans="4:9" x14ac:dyDescent="0.45">
      <c r="D3626" t="str">
        <f>IFERROR(VLOOKUP(C3626,'Clients List'!$A:$F,2,FALSE),"")</f>
        <v/>
      </c>
      <c r="F3626" s="1" t="str">
        <f>IF(OR(C3626="",NOT(ISNUMBER(SEARCH("Package",D3626)))),"",VLOOKUP(C3626,'Clients List'!$A:$F,4,FALSE)-SUMIFS($E$2:$E3626,$C$2:$C3626,C3626,$D$2:$D3626,"*Package*"))</f>
        <v/>
      </c>
      <c r="G3626" t="str">
        <f t="shared" si="89"/>
        <v/>
      </c>
      <c r="H3626" s="33">
        <f>IF(ISNUMBER(SEARCH("Group",D3626)),IF(G3626="",E3626,IFERROR(E3626/COUNTIF($G2:$G6000,G3626),E3626)),E3626)</f>
        <v>0</v>
      </c>
      <c r="I3626" s="1" t="str">
        <f>IFERROR(VLOOKUP(C3626,'Clients List'!A:F,6,FALSE),"")</f>
        <v/>
      </c>
    </row>
    <row r="3627" spans="4:9" x14ac:dyDescent="0.45">
      <c r="D3627" t="str">
        <f>IFERROR(VLOOKUP(C3627,'Clients List'!$A:$F,2,FALSE),"")</f>
        <v/>
      </c>
      <c r="F3627" s="1" t="str">
        <f>IF(OR(C3627="",NOT(ISNUMBER(SEARCH("Package",D3627)))),"",VLOOKUP(C3627,'Clients List'!$A:$F,4,FALSE)-SUMIFS($E$2:$E3627,$C$2:$C3627,C3627,$D$2:$D3627,"*Package*"))</f>
        <v/>
      </c>
      <c r="G3627" t="str">
        <f t="shared" si="89"/>
        <v/>
      </c>
      <c r="H3627" s="33">
        <f>IF(ISNUMBER(SEARCH("Group",D3627)),IF(G3627="",E3627,IFERROR(E3627/COUNTIF($G2:$G6000,G3627),E3627)),E3627)</f>
        <v>0</v>
      </c>
      <c r="I3627" s="1" t="str">
        <f>IFERROR(VLOOKUP(C3627,'Clients List'!A:F,6,FALSE),"")</f>
        <v/>
      </c>
    </row>
    <row r="3628" spans="4:9" x14ac:dyDescent="0.45">
      <c r="D3628" t="str">
        <f>IFERROR(VLOOKUP(C3628,'Clients List'!$A:$F,2,FALSE),"")</f>
        <v/>
      </c>
      <c r="F3628" s="1" t="str">
        <f>IF(OR(C3628="",NOT(ISNUMBER(SEARCH("Package",D3628)))),"",VLOOKUP(C3628,'Clients List'!$A:$F,4,FALSE)-SUMIFS($E$2:$E3628,$C$2:$C3628,C3628,$D$2:$D3628,"*Package*"))</f>
        <v/>
      </c>
      <c r="G3628" t="str">
        <f t="shared" si="89"/>
        <v/>
      </c>
      <c r="H3628" s="33">
        <f>IF(ISNUMBER(SEARCH("Group",D3628)),IF(G3628="",E3628,IFERROR(E3628/COUNTIF($G2:$G6000,G3628),E3628)),E3628)</f>
        <v>0</v>
      </c>
      <c r="I3628" s="1" t="str">
        <f>IFERROR(VLOOKUP(C3628,'Clients List'!A:F,6,FALSE),"")</f>
        <v/>
      </c>
    </row>
    <row r="3629" spans="4:9" x14ac:dyDescent="0.45">
      <c r="D3629" t="str">
        <f>IFERROR(VLOOKUP(C3629,'Clients List'!$A:$F,2,FALSE),"")</f>
        <v/>
      </c>
      <c r="F3629" s="1" t="str">
        <f>IF(OR(C3629="",NOT(ISNUMBER(SEARCH("Package",D3629)))),"",VLOOKUP(C3629,'Clients List'!$A:$F,4,FALSE)-SUMIFS($E$2:$E3629,$C$2:$C3629,C3629,$D$2:$D3629,"*Package*"))</f>
        <v/>
      </c>
      <c r="G3629" t="str">
        <f t="shared" si="89"/>
        <v/>
      </c>
      <c r="H3629" s="33">
        <f>IF(ISNUMBER(SEARCH("Group",D3629)),IF(G3629="",E3629,IFERROR(E3629/COUNTIF($G2:$G6000,G3629),E3629)),E3629)</f>
        <v>0</v>
      </c>
      <c r="I3629" s="1" t="str">
        <f>IFERROR(VLOOKUP(C3629,'Clients List'!A:F,6,FALSE),"")</f>
        <v/>
      </c>
    </row>
    <row r="3630" spans="4:9" x14ac:dyDescent="0.45">
      <c r="D3630" t="str">
        <f>IFERROR(VLOOKUP(C3630,'Clients List'!$A:$F,2,FALSE),"")</f>
        <v/>
      </c>
      <c r="F3630" s="1" t="str">
        <f>IF(OR(C3630="",NOT(ISNUMBER(SEARCH("Package",D3630)))),"",VLOOKUP(C3630,'Clients List'!$A:$F,4,FALSE)-SUMIFS($E$2:$E3630,$C$2:$C3630,C3630,$D$2:$D3630,"*Package*"))</f>
        <v/>
      </c>
      <c r="G3630" t="str">
        <f t="shared" si="89"/>
        <v/>
      </c>
      <c r="H3630" s="33">
        <f>IF(ISNUMBER(SEARCH("Group",D3630)),IF(G3630="",E3630,IFERROR(E3630/COUNTIF($G2:$G6000,G3630),E3630)),E3630)</f>
        <v>0</v>
      </c>
      <c r="I3630" s="1" t="str">
        <f>IFERROR(VLOOKUP(C3630,'Clients List'!A:F,6,FALSE),"")</f>
        <v/>
      </c>
    </row>
    <row r="3631" spans="4:9" x14ac:dyDescent="0.45">
      <c r="D3631" t="str">
        <f>IFERROR(VLOOKUP(C3631,'Clients List'!$A:$F,2,FALSE),"")</f>
        <v/>
      </c>
      <c r="F3631" s="1" t="str">
        <f>IF(OR(C3631="",NOT(ISNUMBER(SEARCH("Package",D3631)))),"",VLOOKUP(C3631,'Clients List'!$A:$F,4,FALSE)-SUMIFS($E$2:$E3631,$C$2:$C3631,C3631,$D$2:$D3631,"*Package*"))</f>
        <v/>
      </c>
      <c r="G3631" t="str">
        <f t="shared" si="89"/>
        <v/>
      </c>
      <c r="H3631" s="33">
        <f>IF(ISNUMBER(SEARCH("Group",D3631)),IF(G3631="",E3631,IFERROR(E3631/COUNTIF($G2:$G6000,G3631),E3631)),E3631)</f>
        <v>0</v>
      </c>
      <c r="I3631" s="1" t="str">
        <f>IFERROR(VLOOKUP(C3631,'Clients List'!A:F,6,FALSE),"")</f>
        <v/>
      </c>
    </row>
    <row r="3632" spans="4:9" x14ac:dyDescent="0.45">
      <c r="D3632" t="str">
        <f>IFERROR(VLOOKUP(C3632,'Clients List'!$A:$F,2,FALSE),"")</f>
        <v/>
      </c>
      <c r="F3632" s="1" t="str">
        <f>IF(OR(C3632="",NOT(ISNUMBER(SEARCH("Package",D3632)))),"",VLOOKUP(C3632,'Clients List'!$A:$F,4,FALSE)-SUMIFS($E$2:$E3632,$C$2:$C3632,C3632,$D$2:$D3632,"*Package*"))</f>
        <v/>
      </c>
      <c r="G3632" t="str">
        <f t="shared" si="89"/>
        <v/>
      </c>
      <c r="H3632" s="33">
        <f>IF(ISNUMBER(SEARCH("Group",D3632)),IF(G3632="",E3632,IFERROR(E3632/COUNTIF($G2:$G6000,G3632),E3632)),E3632)</f>
        <v>0</v>
      </c>
      <c r="I3632" s="1" t="str">
        <f>IFERROR(VLOOKUP(C3632,'Clients List'!A:F,6,FALSE),"")</f>
        <v/>
      </c>
    </row>
    <row r="3633" spans="4:9" x14ac:dyDescent="0.45">
      <c r="D3633" t="str">
        <f>IFERROR(VLOOKUP(C3633,'Clients List'!$A:$F,2,FALSE),"")</f>
        <v/>
      </c>
      <c r="F3633" s="1" t="str">
        <f>IF(OR(C3633="",NOT(ISNUMBER(SEARCH("Package",D3633)))),"",VLOOKUP(C3633,'Clients List'!$A:$F,4,FALSE)-SUMIFS($E$2:$E3633,$C$2:$C3633,C3633,$D$2:$D3633,"*Package*"))</f>
        <v/>
      </c>
      <c r="G3633" t="str">
        <f t="shared" si="89"/>
        <v/>
      </c>
      <c r="H3633" s="33">
        <f>IF(ISNUMBER(SEARCH("Group",D3633)),IF(G3633="",E3633,IFERROR(E3633/COUNTIF($G2:$G6000,G3633),E3633)),E3633)</f>
        <v>0</v>
      </c>
      <c r="I3633" s="1" t="str">
        <f>IFERROR(VLOOKUP(C3633,'Clients List'!A:F,6,FALSE),"")</f>
        <v/>
      </c>
    </row>
    <row r="3634" spans="4:9" x14ac:dyDescent="0.45">
      <c r="D3634" t="str">
        <f>IFERROR(VLOOKUP(C3634,'Clients List'!$A:$F,2,FALSE),"")</f>
        <v/>
      </c>
      <c r="F3634" s="1" t="str">
        <f>IF(OR(C3634="",NOT(ISNUMBER(SEARCH("Package",D3634)))),"",VLOOKUP(C3634,'Clients List'!$A:$F,4,FALSE)-SUMIFS($E$2:$E3634,$C$2:$C3634,C3634,$D$2:$D3634,"*Package*"))</f>
        <v/>
      </c>
      <c r="G3634" t="str">
        <f t="shared" si="89"/>
        <v/>
      </c>
      <c r="H3634" s="33">
        <f>IF(ISNUMBER(SEARCH("Group",D3634)),IF(G3634="",E3634,IFERROR(E3634/COUNTIF($G2:$G6000,G3634),E3634)),E3634)</f>
        <v>0</v>
      </c>
      <c r="I3634" s="1" t="str">
        <f>IFERROR(VLOOKUP(C3634,'Clients List'!A:F,6,FALSE),"")</f>
        <v/>
      </c>
    </row>
    <row r="3635" spans="4:9" x14ac:dyDescent="0.45">
      <c r="D3635" t="str">
        <f>IFERROR(VLOOKUP(C3635,'Clients List'!$A:$F,2,FALSE),"")</f>
        <v/>
      </c>
      <c r="F3635" s="1" t="str">
        <f>IF(OR(C3635="",NOT(ISNUMBER(SEARCH("Package",D3635)))),"",VLOOKUP(C3635,'Clients List'!$A:$F,4,FALSE)-SUMIFS($E$2:$E3635,$C$2:$C3635,C3635,$D$2:$D3635,"*Package*"))</f>
        <v/>
      </c>
      <c r="G3635" t="str">
        <f t="shared" si="89"/>
        <v/>
      </c>
      <c r="H3635" s="33">
        <f>IF(ISNUMBER(SEARCH("Group",D3635)),IF(G3635="",E3635,IFERROR(E3635/COUNTIF($G2:$G6000,G3635),E3635)),E3635)</f>
        <v>0</v>
      </c>
      <c r="I3635" s="1" t="str">
        <f>IFERROR(VLOOKUP(C3635,'Clients List'!A:F,6,FALSE),"")</f>
        <v/>
      </c>
    </row>
    <row r="3636" spans="4:9" x14ac:dyDescent="0.45">
      <c r="D3636" t="str">
        <f>IFERROR(VLOOKUP(C3636,'Clients List'!$A:$F,2,FALSE),"")</f>
        <v/>
      </c>
      <c r="F3636" s="1" t="str">
        <f>IF(OR(C3636="",NOT(ISNUMBER(SEARCH("Package",D3636)))),"",VLOOKUP(C3636,'Clients List'!$A:$F,4,FALSE)-SUMIFS($E$2:$E3636,$C$2:$C3636,C3636,$D$2:$D3636,"*Package*"))</f>
        <v/>
      </c>
      <c r="G3636" t="str">
        <f t="shared" si="89"/>
        <v/>
      </c>
      <c r="H3636" s="33">
        <f>IF(ISNUMBER(SEARCH("Group",D3636)),IF(G3636="",E3636,IFERROR(E3636/COUNTIF($G2:$G6000,G3636),E3636)),E3636)</f>
        <v>0</v>
      </c>
      <c r="I3636" s="1" t="str">
        <f>IFERROR(VLOOKUP(C3636,'Clients List'!A:F,6,FALSE),"")</f>
        <v/>
      </c>
    </row>
    <row r="3637" spans="4:9" x14ac:dyDescent="0.45">
      <c r="D3637" t="str">
        <f>IFERROR(VLOOKUP(C3637,'Clients List'!$A:$F,2,FALSE),"")</f>
        <v/>
      </c>
      <c r="F3637" s="1" t="str">
        <f>IF(OR(C3637="",NOT(ISNUMBER(SEARCH("Package",D3637)))),"",VLOOKUP(C3637,'Clients List'!$A:$F,4,FALSE)-SUMIFS($E$2:$E3637,$C$2:$C3637,C3637,$D$2:$D3637,"*Package*"))</f>
        <v/>
      </c>
      <c r="G3637" t="str">
        <f t="shared" ref="G3637:G3700" si="90">IF(ISNUMBER(SEARCH("Group",D3637)),IFERROR("GRP-"&amp;TEXT(IF(ISNUMBER(A3637),A3637,DATEVALUE(A3637)),"yyyymmdd"),""),"" )</f>
        <v/>
      </c>
      <c r="H3637" s="33">
        <f>IF(ISNUMBER(SEARCH("Group",D3637)),IF(G3637="",E3637,IFERROR(E3637/COUNTIF($G2:$G6000,G3637),E3637)),E3637)</f>
        <v>0</v>
      </c>
      <c r="I3637" s="1" t="str">
        <f>IFERROR(VLOOKUP(C3637,'Clients List'!A:F,6,FALSE),"")</f>
        <v/>
      </c>
    </row>
    <row r="3638" spans="4:9" x14ac:dyDescent="0.45">
      <c r="D3638" t="str">
        <f>IFERROR(VLOOKUP(C3638,'Clients List'!$A:$F,2,FALSE),"")</f>
        <v/>
      </c>
      <c r="F3638" s="1" t="str">
        <f>IF(OR(C3638="",NOT(ISNUMBER(SEARCH("Package",D3638)))),"",VLOOKUP(C3638,'Clients List'!$A:$F,4,FALSE)-SUMIFS($E$2:$E3638,$C$2:$C3638,C3638,$D$2:$D3638,"*Package*"))</f>
        <v/>
      </c>
      <c r="G3638" t="str">
        <f t="shared" si="90"/>
        <v/>
      </c>
      <c r="H3638" s="33">
        <f>IF(ISNUMBER(SEARCH("Group",D3638)),IF(G3638="",E3638,IFERROR(E3638/COUNTIF($G2:$G6000,G3638),E3638)),E3638)</f>
        <v>0</v>
      </c>
      <c r="I3638" s="1" t="str">
        <f>IFERROR(VLOOKUP(C3638,'Clients List'!A:F,6,FALSE),"")</f>
        <v/>
      </c>
    </row>
    <row r="3639" spans="4:9" x14ac:dyDescent="0.45">
      <c r="D3639" t="str">
        <f>IFERROR(VLOOKUP(C3639,'Clients List'!$A:$F,2,FALSE),"")</f>
        <v/>
      </c>
      <c r="F3639" s="1" t="str">
        <f>IF(OR(C3639="",NOT(ISNUMBER(SEARCH("Package",D3639)))),"",VLOOKUP(C3639,'Clients List'!$A:$F,4,FALSE)-SUMIFS($E$2:$E3639,$C$2:$C3639,C3639,$D$2:$D3639,"*Package*"))</f>
        <v/>
      </c>
      <c r="G3639" t="str">
        <f t="shared" si="90"/>
        <v/>
      </c>
      <c r="H3639" s="33">
        <f>IF(ISNUMBER(SEARCH("Group",D3639)),IF(G3639="",E3639,IFERROR(E3639/COUNTIF($G2:$G6000,G3639),E3639)),E3639)</f>
        <v>0</v>
      </c>
      <c r="I3639" s="1" t="str">
        <f>IFERROR(VLOOKUP(C3639,'Clients List'!A:F,6,FALSE),"")</f>
        <v/>
      </c>
    </row>
    <row r="3640" spans="4:9" x14ac:dyDescent="0.45">
      <c r="D3640" t="str">
        <f>IFERROR(VLOOKUP(C3640,'Clients List'!$A:$F,2,FALSE),"")</f>
        <v/>
      </c>
      <c r="F3640" s="1" t="str">
        <f>IF(OR(C3640="",NOT(ISNUMBER(SEARCH("Package",D3640)))),"",VLOOKUP(C3640,'Clients List'!$A:$F,4,FALSE)-SUMIFS($E$2:$E3640,$C$2:$C3640,C3640,$D$2:$D3640,"*Package*"))</f>
        <v/>
      </c>
      <c r="G3640" t="str">
        <f t="shared" si="90"/>
        <v/>
      </c>
      <c r="H3640" s="33">
        <f>IF(ISNUMBER(SEARCH("Group",D3640)),IF(G3640="",E3640,IFERROR(E3640/COUNTIF($G2:$G6000,G3640),E3640)),E3640)</f>
        <v>0</v>
      </c>
      <c r="I3640" s="1" t="str">
        <f>IFERROR(VLOOKUP(C3640,'Clients List'!A:F,6,FALSE),"")</f>
        <v/>
      </c>
    </row>
    <row r="3641" spans="4:9" x14ac:dyDescent="0.45">
      <c r="D3641" t="str">
        <f>IFERROR(VLOOKUP(C3641,'Clients List'!$A:$F,2,FALSE),"")</f>
        <v/>
      </c>
      <c r="F3641" s="1" t="str">
        <f>IF(OR(C3641="",NOT(ISNUMBER(SEARCH("Package",D3641)))),"",VLOOKUP(C3641,'Clients List'!$A:$F,4,FALSE)-SUMIFS($E$2:$E3641,$C$2:$C3641,C3641,$D$2:$D3641,"*Package*"))</f>
        <v/>
      </c>
      <c r="G3641" t="str">
        <f t="shared" si="90"/>
        <v/>
      </c>
      <c r="H3641" s="33">
        <f>IF(ISNUMBER(SEARCH("Group",D3641)),IF(G3641="",E3641,IFERROR(E3641/COUNTIF($G2:$G6000,G3641),E3641)),E3641)</f>
        <v>0</v>
      </c>
      <c r="I3641" s="1" t="str">
        <f>IFERROR(VLOOKUP(C3641,'Clients List'!A:F,6,FALSE),"")</f>
        <v/>
      </c>
    </row>
    <row r="3642" spans="4:9" x14ac:dyDescent="0.45">
      <c r="D3642" t="str">
        <f>IFERROR(VLOOKUP(C3642,'Clients List'!$A:$F,2,FALSE),"")</f>
        <v/>
      </c>
      <c r="F3642" s="1" t="str">
        <f>IF(OR(C3642="",NOT(ISNUMBER(SEARCH("Package",D3642)))),"",VLOOKUP(C3642,'Clients List'!$A:$F,4,FALSE)-SUMIFS($E$2:$E3642,$C$2:$C3642,C3642,$D$2:$D3642,"*Package*"))</f>
        <v/>
      </c>
      <c r="G3642" t="str">
        <f t="shared" si="90"/>
        <v/>
      </c>
      <c r="H3642" s="33">
        <f>IF(ISNUMBER(SEARCH("Group",D3642)),IF(G3642="",E3642,IFERROR(E3642/COUNTIF($G2:$G6000,G3642),E3642)),E3642)</f>
        <v>0</v>
      </c>
      <c r="I3642" s="1" t="str">
        <f>IFERROR(VLOOKUP(C3642,'Clients List'!A:F,6,FALSE),"")</f>
        <v/>
      </c>
    </row>
    <row r="3643" spans="4:9" x14ac:dyDescent="0.45">
      <c r="D3643" t="str">
        <f>IFERROR(VLOOKUP(C3643,'Clients List'!$A:$F,2,FALSE),"")</f>
        <v/>
      </c>
      <c r="F3643" s="1" t="str">
        <f>IF(OR(C3643="",NOT(ISNUMBER(SEARCH("Package",D3643)))),"",VLOOKUP(C3643,'Clients List'!$A:$F,4,FALSE)-SUMIFS($E$2:$E3643,$C$2:$C3643,C3643,$D$2:$D3643,"*Package*"))</f>
        <v/>
      </c>
      <c r="G3643" t="str">
        <f t="shared" si="90"/>
        <v/>
      </c>
      <c r="H3643" s="33">
        <f>IF(ISNUMBER(SEARCH("Group",D3643)),IF(G3643="",E3643,IFERROR(E3643/COUNTIF($G2:$G6000,G3643),E3643)),E3643)</f>
        <v>0</v>
      </c>
      <c r="I3643" s="1" t="str">
        <f>IFERROR(VLOOKUP(C3643,'Clients List'!A:F,6,FALSE),"")</f>
        <v/>
      </c>
    </row>
    <row r="3644" spans="4:9" x14ac:dyDescent="0.45">
      <c r="D3644" t="str">
        <f>IFERROR(VLOOKUP(C3644,'Clients List'!$A:$F,2,FALSE),"")</f>
        <v/>
      </c>
      <c r="F3644" s="1" t="str">
        <f>IF(OR(C3644="",NOT(ISNUMBER(SEARCH("Package",D3644)))),"",VLOOKUP(C3644,'Clients List'!$A:$F,4,FALSE)-SUMIFS($E$2:$E3644,$C$2:$C3644,C3644,$D$2:$D3644,"*Package*"))</f>
        <v/>
      </c>
      <c r="G3644" t="str">
        <f t="shared" si="90"/>
        <v/>
      </c>
      <c r="H3644" s="33">
        <f>IF(ISNUMBER(SEARCH("Group",D3644)),IF(G3644="",E3644,IFERROR(E3644/COUNTIF($G2:$G6000,G3644),E3644)),E3644)</f>
        <v>0</v>
      </c>
      <c r="I3644" s="1" t="str">
        <f>IFERROR(VLOOKUP(C3644,'Clients List'!A:F,6,FALSE),"")</f>
        <v/>
      </c>
    </row>
    <row r="3645" spans="4:9" x14ac:dyDescent="0.45">
      <c r="D3645" t="str">
        <f>IFERROR(VLOOKUP(C3645,'Clients List'!$A:$F,2,FALSE),"")</f>
        <v/>
      </c>
      <c r="F3645" s="1" t="str">
        <f>IF(OR(C3645="",NOT(ISNUMBER(SEARCH("Package",D3645)))),"",VLOOKUP(C3645,'Clients List'!$A:$F,4,FALSE)-SUMIFS($E$2:$E3645,$C$2:$C3645,C3645,$D$2:$D3645,"*Package*"))</f>
        <v/>
      </c>
      <c r="G3645" t="str">
        <f t="shared" si="90"/>
        <v/>
      </c>
      <c r="H3645" s="33">
        <f>IF(ISNUMBER(SEARCH("Group",D3645)),IF(G3645="",E3645,IFERROR(E3645/COUNTIF($G2:$G6000,G3645),E3645)),E3645)</f>
        <v>0</v>
      </c>
      <c r="I3645" s="1" t="str">
        <f>IFERROR(VLOOKUP(C3645,'Clients List'!A:F,6,FALSE),"")</f>
        <v/>
      </c>
    </row>
    <row r="3646" spans="4:9" x14ac:dyDescent="0.45">
      <c r="D3646" t="str">
        <f>IFERROR(VLOOKUP(C3646,'Clients List'!$A:$F,2,FALSE),"")</f>
        <v/>
      </c>
      <c r="F3646" s="1" t="str">
        <f>IF(OR(C3646="",NOT(ISNUMBER(SEARCH("Package",D3646)))),"",VLOOKUP(C3646,'Clients List'!$A:$F,4,FALSE)-SUMIFS($E$2:$E3646,$C$2:$C3646,C3646,$D$2:$D3646,"*Package*"))</f>
        <v/>
      </c>
      <c r="G3646" t="str">
        <f t="shared" si="90"/>
        <v/>
      </c>
      <c r="H3646" s="33">
        <f>IF(ISNUMBER(SEARCH("Group",D3646)),IF(G3646="",E3646,IFERROR(E3646/COUNTIF($G2:$G6000,G3646),E3646)),E3646)</f>
        <v>0</v>
      </c>
      <c r="I3646" s="1" t="str">
        <f>IFERROR(VLOOKUP(C3646,'Clients List'!A:F,6,FALSE),"")</f>
        <v/>
      </c>
    </row>
    <row r="3647" spans="4:9" x14ac:dyDescent="0.45">
      <c r="D3647" t="str">
        <f>IFERROR(VLOOKUP(C3647,'Clients List'!$A:$F,2,FALSE),"")</f>
        <v/>
      </c>
      <c r="F3647" s="1" t="str">
        <f>IF(OR(C3647="",NOT(ISNUMBER(SEARCH("Package",D3647)))),"",VLOOKUP(C3647,'Clients List'!$A:$F,4,FALSE)-SUMIFS($E$2:$E3647,$C$2:$C3647,C3647,$D$2:$D3647,"*Package*"))</f>
        <v/>
      </c>
      <c r="G3647" t="str">
        <f t="shared" si="90"/>
        <v/>
      </c>
      <c r="H3647" s="33">
        <f>IF(ISNUMBER(SEARCH("Group",D3647)),IF(G3647="",E3647,IFERROR(E3647/COUNTIF($G2:$G6000,G3647),E3647)),E3647)</f>
        <v>0</v>
      </c>
      <c r="I3647" s="1" t="str">
        <f>IFERROR(VLOOKUP(C3647,'Clients List'!A:F,6,FALSE),"")</f>
        <v/>
      </c>
    </row>
    <row r="3648" spans="4:9" x14ac:dyDescent="0.45">
      <c r="D3648" t="str">
        <f>IFERROR(VLOOKUP(C3648,'Clients List'!$A:$F,2,FALSE),"")</f>
        <v/>
      </c>
      <c r="F3648" s="1" t="str">
        <f>IF(OR(C3648="",NOT(ISNUMBER(SEARCH("Package",D3648)))),"",VLOOKUP(C3648,'Clients List'!$A:$F,4,FALSE)-SUMIFS($E$2:$E3648,$C$2:$C3648,C3648,$D$2:$D3648,"*Package*"))</f>
        <v/>
      </c>
      <c r="G3648" t="str">
        <f t="shared" si="90"/>
        <v/>
      </c>
      <c r="H3648" s="33">
        <f>IF(ISNUMBER(SEARCH("Group",D3648)),IF(G3648="",E3648,IFERROR(E3648/COUNTIF($G2:$G6000,G3648),E3648)),E3648)</f>
        <v>0</v>
      </c>
      <c r="I3648" s="1" t="str">
        <f>IFERROR(VLOOKUP(C3648,'Clients List'!A:F,6,FALSE),"")</f>
        <v/>
      </c>
    </row>
    <row r="3649" spans="4:9" x14ac:dyDescent="0.45">
      <c r="D3649" t="str">
        <f>IFERROR(VLOOKUP(C3649,'Clients List'!$A:$F,2,FALSE),"")</f>
        <v/>
      </c>
      <c r="F3649" s="1" t="str">
        <f>IF(OR(C3649="",NOT(ISNUMBER(SEARCH("Package",D3649)))),"",VLOOKUP(C3649,'Clients List'!$A:$F,4,FALSE)-SUMIFS($E$2:$E3649,$C$2:$C3649,C3649,$D$2:$D3649,"*Package*"))</f>
        <v/>
      </c>
      <c r="G3649" t="str">
        <f t="shared" si="90"/>
        <v/>
      </c>
      <c r="H3649" s="33">
        <f>IF(ISNUMBER(SEARCH("Group",D3649)),IF(G3649="",E3649,IFERROR(E3649/COUNTIF($G2:$G6000,G3649),E3649)),E3649)</f>
        <v>0</v>
      </c>
      <c r="I3649" s="1" t="str">
        <f>IFERROR(VLOOKUP(C3649,'Clients List'!A:F,6,FALSE),"")</f>
        <v/>
      </c>
    </row>
    <row r="3650" spans="4:9" x14ac:dyDescent="0.45">
      <c r="D3650" t="str">
        <f>IFERROR(VLOOKUP(C3650,'Clients List'!$A:$F,2,FALSE),"")</f>
        <v/>
      </c>
      <c r="F3650" s="1" t="str">
        <f>IF(OR(C3650="",NOT(ISNUMBER(SEARCH("Package",D3650)))),"",VLOOKUP(C3650,'Clients List'!$A:$F,4,FALSE)-SUMIFS($E$2:$E3650,$C$2:$C3650,C3650,$D$2:$D3650,"*Package*"))</f>
        <v/>
      </c>
      <c r="G3650" t="str">
        <f t="shared" si="90"/>
        <v/>
      </c>
      <c r="H3650" s="33">
        <f>IF(ISNUMBER(SEARCH("Group",D3650)),IF(G3650="",E3650,IFERROR(E3650/COUNTIF($G2:$G6000,G3650),E3650)),E3650)</f>
        <v>0</v>
      </c>
      <c r="I3650" s="1" t="str">
        <f>IFERROR(VLOOKUP(C3650,'Clients List'!A:F,6,FALSE),"")</f>
        <v/>
      </c>
    </row>
    <row r="3651" spans="4:9" x14ac:dyDescent="0.45">
      <c r="D3651" t="str">
        <f>IFERROR(VLOOKUP(C3651,'Clients List'!$A:$F,2,FALSE),"")</f>
        <v/>
      </c>
      <c r="F3651" s="1" t="str">
        <f>IF(OR(C3651="",NOT(ISNUMBER(SEARCH("Package",D3651)))),"",VLOOKUP(C3651,'Clients List'!$A:$F,4,FALSE)-SUMIFS($E$2:$E3651,$C$2:$C3651,C3651,$D$2:$D3651,"*Package*"))</f>
        <v/>
      </c>
      <c r="G3651" t="str">
        <f t="shared" si="90"/>
        <v/>
      </c>
      <c r="H3651" s="33">
        <f>IF(ISNUMBER(SEARCH("Group",D3651)),IF(G3651="",E3651,IFERROR(E3651/COUNTIF($G2:$G6000,G3651),E3651)),E3651)</f>
        <v>0</v>
      </c>
      <c r="I3651" s="1" t="str">
        <f>IFERROR(VLOOKUP(C3651,'Clients List'!A:F,6,FALSE),"")</f>
        <v/>
      </c>
    </row>
    <row r="3652" spans="4:9" x14ac:dyDescent="0.45">
      <c r="D3652" t="str">
        <f>IFERROR(VLOOKUP(C3652,'Clients List'!$A:$F,2,FALSE),"")</f>
        <v/>
      </c>
      <c r="F3652" s="1" t="str">
        <f>IF(OR(C3652="",NOT(ISNUMBER(SEARCH("Package",D3652)))),"",VLOOKUP(C3652,'Clients List'!$A:$F,4,FALSE)-SUMIFS($E$2:$E3652,$C$2:$C3652,C3652,$D$2:$D3652,"*Package*"))</f>
        <v/>
      </c>
      <c r="G3652" t="str">
        <f t="shared" si="90"/>
        <v/>
      </c>
      <c r="H3652" s="33">
        <f>IF(ISNUMBER(SEARCH("Group",D3652)),IF(G3652="",E3652,IFERROR(E3652/COUNTIF($G2:$G6000,G3652),E3652)),E3652)</f>
        <v>0</v>
      </c>
      <c r="I3652" s="1" t="str">
        <f>IFERROR(VLOOKUP(C3652,'Clients List'!A:F,6,FALSE),"")</f>
        <v/>
      </c>
    </row>
    <row r="3653" spans="4:9" x14ac:dyDescent="0.45">
      <c r="D3653" t="str">
        <f>IFERROR(VLOOKUP(C3653,'Clients List'!$A:$F,2,FALSE),"")</f>
        <v/>
      </c>
      <c r="F3653" s="1" t="str">
        <f>IF(OR(C3653="",NOT(ISNUMBER(SEARCH("Package",D3653)))),"",VLOOKUP(C3653,'Clients List'!$A:$F,4,FALSE)-SUMIFS($E$2:$E3653,$C$2:$C3653,C3653,$D$2:$D3653,"*Package*"))</f>
        <v/>
      </c>
      <c r="G3653" t="str">
        <f t="shared" si="90"/>
        <v/>
      </c>
      <c r="H3653" s="33">
        <f>IF(ISNUMBER(SEARCH("Group",D3653)),IF(G3653="",E3653,IFERROR(E3653/COUNTIF($G2:$G6000,G3653),E3653)),E3653)</f>
        <v>0</v>
      </c>
      <c r="I3653" s="1" t="str">
        <f>IFERROR(VLOOKUP(C3653,'Clients List'!A:F,6,FALSE),"")</f>
        <v/>
      </c>
    </row>
    <row r="3654" spans="4:9" x14ac:dyDescent="0.45">
      <c r="D3654" t="str">
        <f>IFERROR(VLOOKUP(C3654,'Clients List'!$A:$F,2,FALSE),"")</f>
        <v/>
      </c>
      <c r="F3654" s="1" t="str">
        <f>IF(OR(C3654="",NOT(ISNUMBER(SEARCH("Package",D3654)))),"",VLOOKUP(C3654,'Clients List'!$A:$F,4,FALSE)-SUMIFS($E$2:$E3654,$C$2:$C3654,C3654,$D$2:$D3654,"*Package*"))</f>
        <v/>
      </c>
      <c r="G3654" t="str">
        <f t="shared" si="90"/>
        <v/>
      </c>
      <c r="H3654" s="33">
        <f>IF(ISNUMBER(SEARCH("Group",D3654)),IF(G3654="",E3654,IFERROR(E3654/COUNTIF($G2:$G6000,G3654),E3654)),E3654)</f>
        <v>0</v>
      </c>
      <c r="I3654" s="1" t="str">
        <f>IFERROR(VLOOKUP(C3654,'Clients List'!A:F,6,FALSE),"")</f>
        <v/>
      </c>
    </row>
    <row r="3655" spans="4:9" x14ac:dyDescent="0.45">
      <c r="D3655" t="str">
        <f>IFERROR(VLOOKUP(C3655,'Clients List'!$A:$F,2,FALSE),"")</f>
        <v/>
      </c>
      <c r="F3655" s="1" t="str">
        <f>IF(OR(C3655="",NOT(ISNUMBER(SEARCH("Package",D3655)))),"",VLOOKUP(C3655,'Clients List'!$A:$F,4,FALSE)-SUMIFS($E$2:$E3655,$C$2:$C3655,C3655,$D$2:$D3655,"*Package*"))</f>
        <v/>
      </c>
      <c r="G3655" t="str">
        <f t="shared" si="90"/>
        <v/>
      </c>
      <c r="H3655" s="33">
        <f>IF(ISNUMBER(SEARCH("Group",D3655)),IF(G3655="",E3655,IFERROR(E3655/COUNTIF($G2:$G6000,G3655),E3655)),E3655)</f>
        <v>0</v>
      </c>
      <c r="I3655" s="1" t="str">
        <f>IFERROR(VLOOKUP(C3655,'Clients List'!A:F,6,FALSE),"")</f>
        <v/>
      </c>
    </row>
    <row r="3656" spans="4:9" x14ac:dyDescent="0.45">
      <c r="D3656" t="str">
        <f>IFERROR(VLOOKUP(C3656,'Clients List'!$A:$F,2,FALSE),"")</f>
        <v/>
      </c>
      <c r="F3656" s="1" t="str">
        <f>IF(OR(C3656="",NOT(ISNUMBER(SEARCH("Package",D3656)))),"",VLOOKUP(C3656,'Clients List'!$A:$F,4,FALSE)-SUMIFS($E$2:$E3656,$C$2:$C3656,C3656,$D$2:$D3656,"*Package*"))</f>
        <v/>
      </c>
      <c r="G3656" t="str">
        <f t="shared" si="90"/>
        <v/>
      </c>
      <c r="H3656" s="33">
        <f>IF(ISNUMBER(SEARCH("Group",D3656)),IF(G3656="",E3656,IFERROR(E3656/COUNTIF($G2:$G6000,G3656),E3656)),E3656)</f>
        <v>0</v>
      </c>
      <c r="I3656" s="1" t="str">
        <f>IFERROR(VLOOKUP(C3656,'Clients List'!A:F,6,FALSE),"")</f>
        <v/>
      </c>
    </row>
    <row r="3657" spans="4:9" x14ac:dyDescent="0.45">
      <c r="D3657" t="str">
        <f>IFERROR(VLOOKUP(C3657,'Clients List'!$A:$F,2,FALSE),"")</f>
        <v/>
      </c>
      <c r="F3657" s="1" t="str">
        <f>IF(OR(C3657="",NOT(ISNUMBER(SEARCH("Package",D3657)))),"",VLOOKUP(C3657,'Clients List'!$A:$F,4,FALSE)-SUMIFS($E$2:$E3657,$C$2:$C3657,C3657,$D$2:$D3657,"*Package*"))</f>
        <v/>
      </c>
      <c r="G3657" t="str">
        <f t="shared" si="90"/>
        <v/>
      </c>
      <c r="H3657" s="33">
        <f>IF(ISNUMBER(SEARCH("Group",D3657)),IF(G3657="",E3657,IFERROR(E3657/COUNTIF($G2:$G6000,G3657),E3657)),E3657)</f>
        <v>0</v>
      </c>
      <c r="I3657" s="1" t="str">
        <f>IFERROR(VLOOKUP(C3657,'Clients List'!A:F,6,FALSE),"")</f>
        <v/>
      </c>
    </row>
    <row r="3658" spans="4:9" x14ac:dyDescent="0.45">
      <c r="D3658" t="str">
        <f>IFERROR(VLOOKUP(C3658,'Clients List'!$A:$F,2,FALSE),"")</f>
        <v/>
      </c>
      <c r="F3658" s="1" t="str">
        <f>IF(OR(C3658="",NOT(ISNUMBER(SEARCH("Package",D3658)))),"",VLOOKUP(C3658,'Clients List'!$A:$F,4,FALSE)-SUMIFS($E$2:$E3658,$C$2:$C3658,C3658,$D$2:$D3658,"*Package*"))</f>
        <v/>
      </c>
      <c r="G3658" t="str">
        <f t="shared" si="90"/>
        <v/>
      </c>
      <c r="H3658" s="33">
        <f>IF(ISNUMBER(SEARCH("Group",D3658)),IF(G3658="",E3658,IFERROR(E3658/COUNTIF($G2:$G6000,G3658),E3658)),E3658)</f>
        <v>0</v>
      </c>
      <c r="I3658" s="1" t="str">
        <f>IFERROR(VLOOKUP(C3658,'Clients List'!A:F,6,FALSE),"")</f>
        <v/>
      </c>
    </row>
    <row r="3659" spans="4:9" x14ac:dyDescent="0.45">
      <c r="D3659" t="str">
        <f>IFERROR(VLOOKUP(C3659,'Clients List'!$A:$F,2,FALSE),"")</f>
        <v/>
      </c>
      <c r="F3659" s="1" t="str">
        <f>IF(OR(C3659="",NOT(ISNUMBER(SEARCH("Package",D3659)))),"",VLOOKUP(C3659,'Clients List'!$A:$F,4,FALSE)-SUMIFS($E$2:$E3659,$C$2:$C3659,C3659,$D$2:$D3659,"*Package*"))</f>
        <v/>
      </c>
      <c r="G3659" t="str">
        <f t="shared" si="90"/>
        <v/>
      </c>
      <c r="H3659" s="33">
        <f>IF(ISNUMBER(SEARCH("Group",D3659)),IF(G3659="",E3659,IFERROR(E3659/COUNTIF($G2:$G6000,G3659),E3659)),E3659)</f>
        <v>0</v>
      </c>
      <c r="I3659" s="1" t="str">
        <f>IFERROR(VLOOKUP(C3659,'Clients List'!A:F,6,FALSE),"")</f>
        <v/>
      </c>
    </row>
    <row r="3660" spans="4:9" x14ac:dyDescent="0.45">
      <c r="D3660" t="str">
        <f>IFERROR(VLOOKUP(C3660,'Clients List'!$A:$F,2,FALSE),"")</f>
        <v/>
      </c>
      <c r="F3660" s="1" t="str">
        <f>IF(OR(C3660="",NOT(ISNUMBER(SEARCH("Package",D3660)))),"",VLOOKUP(C3660,'Clients List'!$A:$F,4,FALSE)-SUMIFS($E$2:$E3660,$C$2:$C3660,C3660,$D$2:$D3660,"*Package*"))</f>
        <v/>
      </c>
      <c r="G3660" t="str">
        <f t="shared" si="90"/>
        <v/>
      </c>
      <c r="H3660" s="33">
        <f>IF(ISNUMBER(SEARCH("Group",D3660)),IF(G3660="",E3660,IFERROR(E3660/COUNTIF($G2:$G6000,G3660),E3660)),E3660)</f>
        <v>0</v>
      </c>
      <c r="I3660" s="1" t="str">
        <f>IFERROR(VLOOKUP(C3660,'Clients List'!A:F,6,FALSE),"")</f>
        <v/>
      </c>
    </row>
    <row r="3661" spans="4:9" x14ac:dyDescent="0.45">
      <c r="D3661" t="str">
        <f>IFERROR(VLOOKUP(C3661,'Clients List'!$A:$F,2,FALSE),"")</f>
        <v/>
      </c>
      <c r="F3661" s="1" t="str">
        <f>IF(OR(C3661="",NOT(ISNUMBER(SEARCH("Package",D3661)))),"",VLOOKUP(C3661,'Clients List'!$A:$F,4,FALSE)-SUMIFS($E$2:$E3661,$C$2:$C3661,C3661,$D$2:$D3661,"*Package*"))</f>
        <v/>
      </c>
      <c r="G3661" t="str">
        <f t="shared" si="90"/>
        <v/>
      </c>
      <c r="H3661" s="33">
        <f>IF(ISNUMBER(SEARCH("Group",D3661)),IF(G3661="",E3661,IFERROR(E3661/COUNTIF($G2:$G6000,G3661),E3661)),E3661)</f>
        <v>0</v>
      </c>
      <c r="I3661" s="1" t="str">
        <f>IFERROR(VLOOKUP(C3661,'Clients List'!A:F,6,FALSE),"")</f>
        <v/>
      </c>
    </row>
    <row r="3662" spans="4:9" x14ac:dyDescent="0.45">
      <c r="D3662" t="str">
        <f>IFERROR(VLOOKUP(C3662,'Clients List'!$A:$F,2,FALSE),"")</f>
        <v/>
      </c>
      <c r="F3662" s="1" t="str">
        <f>IF(OR(C3662="",NOT(ISNUMBER(SEARCH("Package",D3662)))),"",VLOOKUP(C3662,'Clients List'!$A:$F,4,FALSE)-SUMIFS($E$2:$E3662,$C$2:$C3662,C3662,$D$2:$D3662,"*Package*"))</f>
        <v/>
      </c>
      <c r="G3662" t="str">
        <f t="shared" si="90"/>
        <v/>
      </c>
      <c r="H3662" s="33">
        <f>IF(ISNUMBER(SEARCH("Group",D3662)),IF(G3662="",E3662,IFERROR(E3662/COUNTIF($G2:$G6000,G3662),E3662)),E3662)</f>
        <v>0</v>
      </c>
      <c r="I3662" s="1" t="str">
        <f>IFERROR(VLOOKUP(C3662,'Clients List'!A:F,6,FALSE),"")</f>
        <v/>
      </c>
    </row>
    <row r="3663" spans="4:9" x14ac:dyDescent="0.45">
      <c r="D3663" t="str">
        <f>IFERROR(VLOOKUP(C3663,'Clients List'!$A:$F,2,FALSE),"")</f>
        <v/>
      </c>
      <c r="F3663" s="1" t="str">
        <f>IF(OR(C3663="",NOT(ISNUMBER(SEARCH("Package",D3663)))),"",VLOOKUP(C3663,'Clients List'!$A:$F,4,FALSE)-SUMIFS($E$2:$E3663,$C$2:$C3663,C3663,$D$2:$D3663,"*Package*"))</f>
        <v/>
      </c>
      <c r="G3663" t="str">
        <f t="shared" si="90"/>
        <v/>
      </c>
      <c r="H3663" s="33">
        <f>IF(ISNUMBER(SEARCH("Group",D3663)),IF(G3663="",E3663,IFERROR(E3663/COUNTIF($G2:$G6000,G3663),E3663)),E3663)</f>
        <v>0</v>
      </c>
      <c r="I3663" s="1" t="str">
        <f>IFERROR(VLOOKUP(C3663,'Clients List'!A:F,6,FALSE),"")</f>
        <v/>
      </c>
    </row>
    <row r="3664" spans="4:9" x14ac:dyDescent="0.45">
      <c r="D3664" t="str">
        <f>IFERROR(VLOOKUP(C3664,'Clients List'!$A:$F,2,FALSE),"")</f>
        <v/>
      </c>
      <c r="F3664" s="1" t="str">
        <f>IF(OR(C3664="",NOT(ISNUMBER(SEARCH("Package",D3664)))),"",VLOOKUP(C3664,'Clients List'!$A:$F,4,FALSE)-SUMIFS($E$2:$E3664,$C$2:$C3664,C3664,$D$2:$D3664,"*Package*"))</f>
        <v/>
      </c>
      <c r="G3664" t="str">
        <f t="shared" si="90"/>
        <v/>
      </c>
      <c r="H3664" s="33">
        <f>IF(ISNUMBER(SEARCH("Group",D3664)),IF(G3664="",E3664,IFERROR(E3664/COUNTIF($G2:$G6000,G3664),E3664)),E3664)</f>
        <v>0</v>
      </c>
      <c r="I3664" s="1" t="str">
        <f>IFERROR(VLOOKUP(C3664,'Clients List'!A:F,6,FALSE),"")</f>
        <v/>
      </c>
    </row>
    <row r="3665" spans="4:9" x14ac:dyDescent="0.45">
      <c r="D3665" t="str">
        <f>IFERROR(VLOOKUP(C3665,'Clients List'!$A:$F,2,FALSE),"")</f>
        <v/>
      </c>
      <c r="F3665" s="1" t="str">
        <f>IF(OR(C3665="",NOT(ISNUMBER(SEARCH("Package",D3665)))),"",VLOOKUP(C3665,'Clients List'!$A:$F,4,FALSE)-SUMIFS($E$2:$E3665,$C$2:$C3665,C3665,$D$2:$D3665,"*Package*"))</f>
        <v/>
      </c>
      <c r="G3665" t="str">
        <f t="shared" si="90"/>
        <v/>
      </c>
      <c r="H3665" s="33">
        <f>IF(ISNUMBER(SEARCH("Group",D3665)),IF(G3665="",E3665,IFERROR(E3665/COUNTIF($G2:$G6000,G3665),E3665)),E3665)</f>
        <v>0</v>
      </c>
      <c r="I3665" s="1" t="str">
        <f>IFERROR(VLOOKUP(C3665,'Clients List'!A:F,6,FALSE),"")</f>
        <v/>
      </c>
    </row>
    <row r="3666" spans="4:9" x14ac:dyDescent="0.45">
      <c r="D3666" t="str">
        <f>IFERROR(VLOOKUP(C3666,'Clients List'!$A:$F,2,FALSE),"")</f>
        <v/>
      </c>
      <c r="F3666" s="1" t="str">
        <f>IF(OR(C3666="",NOT(ISNUMBER(SEARCH("Package",D3666)))),"",VLOOKUP(C3666,'Clients List'!$A:$F,4,FALSE)-SUMIFS($E$2:$E3666,$C$2:$C3666,C3666,$D$2:$D3666,"*Package*"))</f>
        <v/>
      </c>
      <c r="G3666" t="str">
        <f t="shared" si="90"/>
        <v/>
      </c>
      <c r="H3666" s="33">
        <f>IF(ISNUMBER(SEARCH("Group",D3666)),IF(G3666="",E3666,IFERROR(E3666/COUNTIF($G2:$G6000,G3666),E3666)),E3666)</f>
        <v>0</v>
      </c>
      <c r="I3666" s="1" t="str">
        <f>IFERROR(VLOOKUP(C3666,'Clients List'!A:F,6,FALSE),"")</f>
        <v/>
      </c>
    </row>
    <row r="3667" spans="4:9" x14ac:dyDescent="0.45">
      <c r="D3667" t="str">
        <f>IFERROR(VLOOKUP(C3667,'Clients List'!$A:$F,2,FALSE),"")</f>
        <v/>
      </c>
      <c r="F3667" s="1" t="str">
        <f>IF(OR(C3667="",NOT(ISNUMBER(SEARCH("Package",D3667)))),"",VLOOKUP(C3667,'Clients List'!$A:$F,4,FALSE)-SUMIFS($E$2:$E3667,$C$2:$C3667,C3667,$D$2:$D3667,"*Package*"))</f>
        <v/>
      </c>
      <c r="G3667" t="str">
        <f t="shared" si="90"/>
        <v/>
      </c>
      <c r="H3667" s="33">
        <f>IF(ISNUMBER(SEARCH("Group",D3667)),IF(G3667="",E3667,IFERROR(E3667/COUNTIF($G2:$G6000,G3667),E3667)),E3667)</f>
        <v>0</v>
      </c>
      <c r="I3667" s="1" t="str">
        <f>IFERROR(VLOOKUP(C3667,'Clients List'!A:F,6,FALSE),"")</f>
        <v/>
      </c>
    </row>
    <row r="3668" spans="4:9" x14ac:dyDescent="0.45">
      <c r="D3668" t="str">
        <f>IFERROR(VLOOKUP(C3668,'Clients List'!$A:$F,2,FALSE),"")</f>
        <v/>
      </c>
      <c r="F3668" s="1" t="str">
        <f>IF(OR(C3668="",NOT(ISNUMBER(SEARCH("Package",D3668)))),"",VLOOKUP(C3668,'Clients List'!$A:$F,4,FALSE)-SUMIFS($E$2:$E3668,$C$2:$C3668,C3668,$D$2:$D3668,"*Package*"))</f>
        <v/>
      </c>
      <c r="G3668" t="str">
        <f t="shared" si="90"/>
        <v/>
      </c>
      <c r="H3668" s="33">
        <f>IF(ISNUMBER(SEARCH("Group",D3668)),IF(G3668="",E3668,IFERROR(E3668/COUNTIF($G2:$G6000,G3668),E3668)),E3668)</f>
        <v>0</v>
      </c>
      <c r="I3668" s="1" t="str">
        <f>IFERROR(VLOOKUP(C3668,'Clients List'!A:F,6,FALSE),"")</f>
        <v/>
      </c>
    </row>
    <row r="3669" spans="4:9" x14ac:dyDescent="0.45">
      <c r="D3669" t="str">
        <f>IFERROR(VLOOKUP(C3669,'Clients List'!$A:$F,2,FALSE),"")</f>
        <v/>
      </c>
      <c r="F3669" s="1" t="str">
        <f>IF(OR(C3669="",NOT(ISNUMBER(SEARCH("Package",D3669)))),"",VLOOKUP(C3669,'Clients List'!$A:$F,4,FALSE)-SUMIFS($E$2:$E3669,$C$2:$C3669,C3669,$D$2:$D3669,"*Package*"))</f>
        <v/>
      </c>
      <c r="G3669" t="str">
        <f t="shared" si="90"/>
        <v/>
      </c>
      <c r="H3669" s="33">
        <f>IF(ISNUMBER(SEARCH("Group",D3669)),IF(G3669="",E3669,IFERROR(E3669/COUNTIF($G2:$G6000,G3669),E3669)),E3669)</f>
        <v>0</v>
      </c>
      <c r="I3669" s="1" t="str">
        <f>IFERROR(VLOOKUP(C3669,'Clients List'!A:F,6,FALSE),"")</f>
        <v/>
      </c>
    </row>
    <row r="3670" spans="4:9" x14ac:dyDescent="0.45">
      <c r="D3670" t="str">
        <f>IFERROR(VLOOKUP(C3670,'Clients List'!$A:$F,2,FALSE),"")</f>
        <v/>
      </c>
      <c r="F3670" s="1" t="str">
        <f>IF(OR(C3670="",NOT(ISNUMBER(SEARCH("Package",D3670)))),"",VLOOKUP(C3670,'Clients List'!$A:$F,4,FALSE)-SUMIFS($E$2:$E3670,$C$2:$C3670,C3670,$D$2:$D3670,"*Package*"))</f>
        <v/>
      </c>
      <c r="G3670" t="str">
        <f t="shared" si="90"/>
        <v/>
      </c>
      <c r="H3670" s="33">
        <f>IF(ISNUMBER(SEARCH("Group",D3670)),IF(G3670="",E3670,IFERROR(E3670/COUNTIF($G2:$G6000,G3670),E3670)),E3670)</f>
        <v>0</v>
      </c>
      <c r="I3670" s="1" t="str">
        <f>IFERROR(VLOOKUP(C3670,'Clients List'!A:F,6,FALSE),"")</f>
        <v/>
      </c>
    </row>
    <row r="3671" spans="4:9" x14ac:dyDescent="0.45">
      <c r="D3671" t="str">
        <f>IFERROR(VLOOKUP(C3671,'Clients List'!$A:$F,2,FALSE),"")</f>
        <v/>
      </c>
      <c r="F3671" s="1" t="str">
        <f>IF(OR(C3671="",NOT(ISNUMBER(SEARCH("Package",D3671)))),"",VLOOKUP(C3671,'Clients List'!$A:$F,4,FALSE)-SUMIFS($E$2:$E3671,$C$2:$C3671,C3671,$D$2:$D3671,"*Package*"))</f>
        <v/>
      </c>
      <c r="G3671" t="str">
        <f t="shared" si="90"/>
        <v/>
      </c>
      <c r="H3671" s="33">
        <f>IF(ISNUMBER(SEARCH("Group",D3671)),IF(G3671="",E3671,IFERROR(E3671/COUNTIF($G2:$G6000,G3671),E3671)),E3671)</f>
        <v>0</v>
      </c>
      <c r="I3671" s="1" t="str">
        <f>IFERROR(VLOOKUP(C3671,'Clients List'!A:F,6,FALSE),"")</f>
        <v/>
      </c>
    </row>
    <row r="3672" spans="4:9" x14ac:dyDescent="0.45">
      <c r="D3672" t="str">
        <f>IFERROR(VLOOKUP(C3672,'Clients List'!$A:$F,2,FALSE),"")</f>
        <v/>
      </c>
      <c r="F3672" s="1" t="str">
        <f>IF(OR(C3672="",NOT(ISNUMBER(SEARCH("Package",D3672)))),"",VLOOKUP(C3672,'Clients List'!$A:$F,4,FALSE)-SUMIFS($E$2:$E3672,$C$2:$C3672,C3672,$D$2:$D3672,"*Package*"))</f>
        <v/>
      </c>
      <c r="G3672" t="str">
        <f t="shared" si="90"/>
        <v/>
      </c>
      <c r="H3672" s="33">
        <f>IF(ISNUMBER(SEARCH("Group",D3672)),IF(G3672="",E3672,IFERROR(E3672/COUNTIF($G2:$G6000,G3672),E3672)),E3672)</f>
        <v>0</v>
      </c>
      <c r="I3672" s="1" t="str">
        <f>IFERROR(VLOOKUP(C3672,'Clients List'!A:F,6,FALSE),"")</f>
        <v/>
      </c>
    </row>
    <row r="3673" spans="4:9" x14ac:dyDescent="0.45">
      <c r="D3673" t="str">
        <f>IFERROR(VLOOKUP(C3673,'Clients List'!$A:$F,2,FALSE),"")</f>
        <v/>
      </c>
      <c r="F3673" s="1" t="str">
        <f>IF(OR(C3673="",NOT(ISNUMBER(SEARCH("Package",D3673)))),"",VLOOKUP(C3673,'Clients List'!$A:$F,4,FALSE)-SUMIFS($E$2:$E3673,$C$2:$C3673,C3673,$D$2:$D3673,"*Package*"))</f>
        <v/>
      </c>
      <c r="G3673" t="str">
        <f t="shared" si="90"/>
        <v/>
      </c>
      <c r="H3673" s="33">
        <f>IF(ISNUMBER(SEARCH("Group",D3673)),IF(G3673="",E3673,IFERROR(E3673/COUNTIF($G2:$G6000,G3673),E3673)),E3673)</f>
        <v>0</v>
      </c>
      <c r="I3673" s="1" t="str">
        <f>IFERROR(VLOOKUP(C3673,'Clients List'!A:F,6,FALSE),"")</f>
        <v/>
      </c>
    </row>
    <row r="3674" spans="4:9" x14ac:dyDescent="0.45">
      <c r="D3674" t="str">
        <f>IFERROR(VLOOKUP(C3674,'Clients List'!$A:$F,2,FALSE),"")</f>
        <v/>
      </c>
      <c r="F3674" s="1" t="str">
        <f>IF(OR(C3674="",NOT(ISNUMBER(SEARCH("Package",D3674)))),"",VLOOKUP(C3674,'Clients List'!$A:$F,4,FALSE)-SUMIFS($E$2:$E3674,$C$2:$C3674,C3674,$D$2:$D3674,"*Package*"))</f>
        <v/>
      </c>
      <c r="G3674" t="str">
        <f t="shared" si="90"/>
        <v/>
      </c>
      <c r="H3674" s="33">
        <f>IF(ISNUMBER(SEARCH("Group",D3674)),IF(G3674="",E3674,IFERROR(E3674/COUNTIF($G2:$G6000,G3674),E3674)),E3674)</f>
        <v>0</v>
      </c>
      <c r="I3674" s="1" t="str">
        <f>IFERROR(VLOOKUP(C3674,'Clients List'!A:F,6,FALSE),"")</f>
        <v/>
      </c>
    </row>
    <row r="3675" spans="4:9" x14ac:dyDescent="0.45">
      <c r="D3675" t="str">
        <f>IFERROR(VLOOKUP(C3675,'Clients List'!$A:$F,2,FALSE),"")</f>
        <v/>
      </c>
      <c r="F3675" s="1" t="str">
        <f>IF(OR(C3675="",NOT(ISNUMBER(SEARCH("Package",D3675)))),"",VLOOKUP(C3675,'Clients List'!$A:$F,4,FALSE)-SUMIFS($E$2:$E3675,$C$2:$C3675,C3675,$D$2:$D3675,"*Package*"))</f>
        <v/>
      </c>
      <c r="G3675" t="str">
        <f t="shared" si="90"/>
        <v/>
      </c>
      <c r="H3675" s="33">
        <f>IF(ISNUMBER(SEARCH("Group",D3675)),IF(G3675="",E3675,IFERROR(E3675/COUNTIF($G2:$G6000,G3675),E3675)),E3675)</f>
        <v>0</v>
      </c>
      <c r="I3675" s="1" t="str">
        <f>IFERROR(VLOOKUP(C3675,'Clients List'!A:F,6,FALSE),"")</f>
        <v/>
      </c>
    </row>
    <row r="3676" spans="4:9" x14ac:dyDescent="0.45">
      <c r="D3676" t="str">
        <f>IFERROR(VLOOKUP(C3676,'Clients List'!$A:$F,2,FALSE),"")</f>
        <v/>
      </c>
      <c r="F3676" s="1" t="str">
        <f>IF(OR(C3676="",NOT(ISNUMBER(SEARCH("Package",D3676)))),"",VLOOKUP(C3676,'Clients List'!$A:$F,4,FALSE)-SUMIFS($E$2:$E3676,$C$2:$C3676,C3676,$D$2:$D3676,"*Package*"))</f>
        <v/>
      </c>
      <c r="G3676" t="str">
        <f t="shared" si="90"/>
        <v/>
      </c>
      <c r="H3676" s="33">
        <f>IF(ISNUMBER(SEARCH("Group",D3676)),IF(G3676="",E3676,IFERROR(E3676/COUNTIF($G2:$G6000,G3676),E3676)),E3676)</f>
        <v>0</v>
      </c>
      <c r="I3676" s="1" t="str">
        <f>IFERROR(VLOOKUP(C3676,'Clients List'!A:F,6,FALSE),"")</f>
        <v/>
      </c>
    </row>
    <row r="3677" spans="4:9" x14ac:dyDescent="0.45">
      <c r="D3677" t="str">
        <f>IFERROR(VLOOKUP(C3677,'Clients List'!$A:$F,2,FALSE),"")</f>
        <v/>
      </c>
      <c r="F3677" s="1" t="str">
        <f>IF(OR(C3677="",NOT(ISNUMBER(SEARCH("Package",D3677)))),"",VLOOKUP(C3677,'Clients List'!$A:$F,4,FALSE)-SUMIFS($E$2:$E3677,$C$2:$C3677,C3677,$D$2:$D3677,"*Package*"))</f>
        <v/>
      </c>
      <c r="G3677" t="str">
        <f t="shared" si="90"/>
        <v/>
      </c>
      <c r="H3677" s="33">
        <f>IF(ISNUMBER(SEARCH("Group",D3677)),IF(G3677="",E3677,IFERROR(E3677/COUNTIF($G2:$G6000,G3677),E3677)),E3677)</f>
        <v>0</v>
      </c>
      <c r="I3677" s="1" t="str">
        <f>IFERROR(VLOOKUP(C3677,'Clients List'!A:F,6,FALSE),"")</f>
        <v/>
      </c>
    </row>
    <row r="3678" spans="4:9" x14ac:dyDescent="0.45">
      <c r="D3678" t="str">
        <f>IFERROR(VLOOKUP(C3678,'Clients List'!$A:$F,2,FALSE),"")</f>
        <v/>
      </c>
      <c r="F3678" s="1" t="str">
        <f>IF(OR(C3678="",NOT(ISNUMBER(SEARCH("Package",D3678)))),"",VLOOKUP(C3678,'Clients List'!$A:$F,4,FALSE)-SUMIFS($E$2:$E3678,$C$2:$C3678,C3678,$D$2:$D3678,"*Package*"))</f>
        <v/>
      </c>
      <c r="G3678" t="str">
        <f t="shared" si="90"/>
        <v/>
      </c>
      <c r="H3678" s="33">
        <f>IF(ISNUMBER(SEARCH("Group",D3678)),IF(G3678="",E3678,IFERROR(E3678/COUNTIF($G2:$G6000,G3678),E3678)),E3678)</f>
        <v>0</v>
      </c>
      <c r="I3678" s="1" t="str">
        <f>IFERROR(VLOOKUP(C3678,'Clients List'!A:F,6,FALSE),"")</f>
        <v/>
      </c>
    </row>
    <row r="3679" spans="4:9" x14ac:dyDescent="0.45">
      <c r="D3679" t="str">
        <f>IFERROR(VLOOKUP(C3679,'Clients List'!$A:$F,2,FALSE),"")</f>
        <v/>
      </c>
      <c r="F3679" s="1" t="str">
        <f>IF(OR(C3679="",NOT(ISNUMBER(SEARCH("Package",D3679)))),"",VLOOKUP(C3679,'Clients List'!$A:$F,4,FALSE)-SUMIFS($E$2:$E3679,$C$2:$C3679,C3679,$D$2:$D3679,"*Package*"))</f>
        <v/>
      </c>
      <c r="G3679" t="str">
        <f t="shared" si="90"/>
        <v/>
      </c>
      <c r="H3679" s="33">
        <f>IF(ISNUMBER(SEARCH("Group",D3679)),IF(G3679="",E3679,IFERROR(E3679/COUNTIF($G2:$G6000,G3679),E3679)),E3679)</f>
        <v>0</v>
      </c>
      <c r="I3679" s="1" t="str">
        <f>IFERROR(VLOOKUP(C3679,'Clients List'!A:F,6,FALSE),"")</f>
        <v/>
      </c>
    </row>
    <row r="3680" spans="4:9" x14ac:dyDescent="0.45">
      <c r="D3680" t="str">
        <f>IFERROR(VLOOKUP(C3680,'Clients List'!$A:$F,2,FALSE),"")</f>
        <v/>
      </c>
      <c r="F3680" s="1" t="str">
        <f>IF(OR(C3680="",NOT(ISNUMBER(SEARCH("Package",D3680)))),"",VLOOKUP(C3680,'Clients List'!$A:$F,4,FALSE)-SUMIFS($E$2:$E3680,$C$2:$C3680,C3680,$D$2:$D3680,"*Package*"))</f>
        <v/>
      </c>
      <c r="G3680" t="str">
        <f t="shared" si="90"/>
        <v/>
      </c>
      <c r="H3680" s="33">
        <f>IF(ISNUMBER(SEARCH("Group",D3680)),IF(G3680="",E3680,IFERROR(E3680/COUNTIF($G2:$G6000,G3680),E3680)),E3680)</f>
        <v>0</v>
      </c>
      <c r="I3680" s="1" t="str">
        <f>IFERROR(VLOOKUP(C3680,'Clients List'!A:F,6,FALSE),"")</f>
        <v/>
      </c>
    </row>
    <row r="3681" spans="4:9" x14ac:dyDescent="0.45">
      <c r="D3681" t="str">
        <f>IFERROR(VLOOKUP(C3681,'Clients List'!$A:$F,2,FALSE),"")</f>
        <v/>
      </c>
      <c r="F3681" s="1" t="str">
        <f>IF(OR(C3681="",NOT(ISNUMBER(SEARCH("Package",D3681)))),"",VLOOKUP(C3681,'Clients List'!$A:$F,4,FALSE)-SUMIFS($E$2:$E3681,$C$2:$C3681,C3681,$D$2:$D3681,"*Package*"))</f>
        <v/>
      </c>
      <c r="G3681" t="str">
        <f t="shared" si="90"/>
        <v/>
      </c>
      <c r="H3681" s="33">
        <f>IF(ISNUMBER(SEARCH("Group",D3681)),IF(G3681="",E3681,IFERROR(E3681/COUNTIF($G2:$G6000,G3681),E3681)),E3681)</f>
        <v>0</v>
      </c>
      <c r="I3681" s="1" t="str">
        <f>IFERROR(VLOOKUP(C3681,'Clients List'!A:F,6,FALSE),"")</f>
        <v/>
      </c>
    </row>
    <row r="3682" spans="4:9" x14ac:dyDescent="0.45">
      <c r="D3682" t="str">
        <f>IFERROR(VLOOKUP(C3682,'Clients List'!$A:$F,2,FALSE),"")</f>
        <v/>
      </c>
      <c r="F3682" s="1" t="str">
        <f>IF(OR(C3682="",NOT(ISNUMBER(SEARCH("Package",D3682)))),"",VLOOKUP(C3682,'Clients List'!$A:$F,4,FALSE)-SUMIFS($E$2:$E3682,$C$2:$C3682,C3682,$D$2:$D3682,"*Package*"))</f>
        <v/>
      </c>
      <c r="G3682" t="str">
        <f t="shared" si="90"/>
        <v/>
      </c>
      <c r="H3682" s="33">
        <f>IF(ISNUMBER(SEARCH("Group",D3682)),IF(G3682="",E3682,IFERROR(E3682/COUNTIF($G2:$G6000,G3682),E3682)),E3682)</f>
        <v>0</v>
      </c>
      <c r="I3682" s="1" t="str">
        <f>IFERROR(VLOOKUP(C3682,'Clients List'!A:F,6,FALSE),"")</f>
        <v/>
      </c>
    </row>
    <row r="3683" spans="4:9" x14ac:dyDescent="0.45">
      <c r="D3683" t="str">
        <f>IFERROR(VLOOKUP(C3683,'Clients List'!$A:$F,2,FALSE),"")</f>
        <v/>
      </c>
      <c r="F3683" s="1" t="str">
        <f>IF(OR(C3683="",NOT(ISNUMBER(SEARCH("Package",D3683)))),"",VLOOKUP(C3683,'Clients List'!$A:$F,4,FALSE)-SUMIFS($E$2:$E3683,$C$2:$C3683,C3683,$D$2:$D3683,"*Package*"))</f>
        <v/>
      </c>
      <c r="G3683" t="str">
        <f t="shared" si="90"/>
        <v/>
      </c>
      <c r="H3683" s="33">
        <f>IF(ISNUMBER(SEARCH("Group",D3683)),IF(G3683="",E3683,IFERROR(E3683/COUNTIF($G2:$G6000,G3683),E3683)),E3683)</f>
        <v>0</v>
      </c>
      <c r="I3683" s="1" t="str">
        <f>IFERROR(VLOOKUP(C3683,'Clients List'!A:F,6,FALSE),"")</f>
        <v/>
      </c>
    </row>
    <row r="3684" spans="4:9" x14ac:dyDescent="0.45">
      <c r="D3684" t="str">
        <f>IFERROR(VLOOKUP(C3684,'Clients List'!$A:$F,2,FALSE),"")</f>
        <v/>
      </c>
      <c r="F3684" s="1" t="str">
        <f>IF(OR(C3684="",NOT(ISNUMBER(SEARCH("Package",D3684)))),"",VLOOKUP(C3684,'Clients List'!$A:$F,4,FALSE)-SUMIFS($E$2:$E3684,$C$2:$C3684,C3684,$D$2:$D3684,"*Package*"))</f>
        <v/>
      </c>
      <c r="G3684" t="str">
        <f t="shared" si="90"/>
        <v/>
      </c>
      <c r="H3684" s="33">
        <f>IF(ISNUMBER(SEARCH("Group",D3684)),IF(G3684="",E3684,IFERROR(E3684/COUNTIF($G2:$G6000,G3684),E3684)),E3684)</f>
        <v>0</v>
      </c>
      <c r="I3684" s="1" t="str">
        <f>IFERROR(VLOOKUP(C3684,'Clients List'!A:F,6,FALSE),"")</f>
        <v/>
      </c>
    </row>
    <row r="3685" spans="4:9" x14ac:dyDescent="0.45">
      <c r="D3685" t="str">
        <f>IFERROR(VLOOKUP(C3685,'Clients List'!$A:$F,2,FALSE),"")</f>
        <v/>
      </c>
      <c r="F3685" s="1" t="str">
        <f>IF(OR(C3685="",NOT(ISNUMBER(SEARCH("Package",D3685)))),"",VLOOKUP(C3685,'Clients List'!$A:$F,4,FALSE)-SUMIFS($E$2:$E3685,$C$2:$C3685,C3685,$D$2:$D3685,"*Package*"))</f>
        <v/>
      </c>
      <c r="G3685" t="str">
        <f t="shared" si="90"/>
        <v/>
      </c>
      <c r="H3685" s="33">
        <f>IF(ISNUMBER(SEARCH("Group",D3685)),IF(G3685="",E3685,IFERROR(E3685/COUNTIF($G2:$G6000,G3685),E3685)),E3685)</f>
        <v>0</v>
      </c>
      <c r="I3685" s="1" t="str">
        <f>IFERROR(VLOOKUP(C3685,'Clients List'!A:F,6,FALSE),"")</f>
        <v/>
      </c>
    </row>
    <row r="3686" spans="4:9" x14ac:dyDescent="0.45">
      <c r="D3686" t="str">
        <f>IFERROR(VLOOKUP(C3686,'Clients List'!$A:$F,2,FALSE),"")</f>
        <v/>
      </c>
      <c r="F3686" s="1" t="str">
        <f>IF(OR(C3686="",NOT(ISNUMBER(SEARCH("Package",D3686)))),"",VLOOKUP(C3686,'Clients List'!$A:$F,4,FALSE)-SUMIFS($E$2:$E3686,$C$2:$C3686,C3686,$D$2:$D3686,"*Package*"))</f>
        <v/>
      </c>
      <c r="G3686" t="str">
        <f t="shared" si="90"/>
        <v/>
      </c>
      <c r="H3686" s="33">
        <f>IF(ISNUMBER(SEARCH("Group",D3686)),IF(G3686="",E3686,IFERROR(E3686/COUNTIF($G2:$G6000,G3686),E3686)),E3686)</f>
        <v>0</v>
      </c>
      <c r="I3686" s="1" t="str">
        <f>IFERROR(VLOOKUP(C3686,'Clients List'!A:F,6,FALSE),"")</f>
        <v/>
      </c>
    </row>
    <row r="3687" spans="4:9" x14ac:dyDescent="0.45">
      <c r="D3687" t="str">
        <f>IFERROR(VLOOKUP(C3687,'Clients List'!$A:$F,2,FALSE),"")</f>
        <v/>
      </c>
      <c r="F3687" s="1" t="str">
        <f>IF(OR(C3687="",NOT(ISNUMBER(SEARCH("Package",D3687)))),"",VLOOKUP(C3687,'Clients List'!$A:$F,4,FALSE)-SUMIFS($E$2:$E3687,$C$2:$C3687,C3687,$D$2:$D3687,"*Package*"))</f>
        <v/>
      </c>
      <c r="G3687" t="str">
        <f t="shared" si="90"/>
        <v/>
      </c>
      <c r="H3687" s="33">
        <f>IF(ISNUMBER(SEARCH("Group",D3687)),IF(G3687="",E3687,IFERROR(E3687/COUNTIF($G2:$G6000,G3687),E3687)),E3687)</f>
        <v>0</v>
      </c>
      <c r="I3687" s="1" t="str">
        <f>IFERROR(VLOOKUP(C3687,'Clients List'!A:F,6,FALSE),"")</f>
        <v/>
      </c>
    </row>
    <row r="3688" spans="4:9" x14ac:dyDescent="0.45">
      <c r="D3688" t="str">
        <f>IFERROR(VLOOKUP(C3688,'Clients List'!$A:$F,2,FALSE),"")</f>
        <v/>
      </c>
      <c r="F3688" s="1" t="str">
        <f>IF(OR(C3688="",NOT(ISNUMBER(SEARCH("Package",D3688)))),"",VLOOKUP(C3688,'Clients List'!$A:$F,4,FALSE)-SUMIFS($E$2:$E3688,$C$2:$C3688,C3688,$D$2:$D3688,"*Package*"))</f>
        <v/>
      </c>
      <c r="G3688" t="str">
        <f t="shared" si="90"/>
        <v/>
      </c>
      <c r="H3688" s="33">
        <f>IF(ISNUMBER(SEARCH("Group",D3688)),IF(G3688="",E3688,IFERROR(E3688/COUNTIF($G2:$G6000,G3688),E3688)),E3688)</f>
        <v>0</v>
      </c>
      <c r="I3688" s="1" t="str">
        <f>IFERROR(VLOOKUP(C3688,'Clients List'!A:F,6,FALSE),"")</f>
        <v/>
      </c>
    </row>
    <row r="3689" spans="4:9" x14ac:dyDescent="0.45">
      <c r="D3689" t="str">
        <f>IFERROR(VLOOKUP(C3689,'Clients List'!$A:$F,2,FALSE),"")</f>
        <v/>
      </c>
      <c r="F3689" s="1" t="str">
        <f>IF(OR(C3689="",NOT(ISNUMBER(SEARCH("Package",D3689)))),"",VLOOKUP(C3689,'Clients List'!$A:$F,4,FALSE)-SUMIFS($E$2:$E3689,$C$2:$C3689,C3689,$D$2:$D3689,"*Package*"))</f>
        <v/>
      </c>
      <c r="G3689" t="str">
        <f t="shared" si="90"/>
        <v/>
      </c>
      <c r="H3689" s="33">
        <f>IF(ISNUMBER(SEARCH("Group",D3689)),IF(G3689="",E3689,IFERROR(E3689/COUNTIF($G2:$G6000,G3689),E3689)),E3689)</f>
        <v>0</v>
      </c>
      <c r="I3689" s="1" t="str">
        <f>IFERROR(VLOOKUP(C3689,'Clients List'!A:F,6,FALSE),"")</f>
        <v/>
      </c>
    </row>
    <row r="3690" spans="4:9" x14ac:dyDescent="0.45">
      <c r="D3690" t="str">
        <f>IFERROR(VLOOKUP(C3690,'Clients List'!$A:$F,2,FALSE),"")</f>
        <v/>
      </c>
      <c r="F3690" s="1" t="str">
        <f>IF(OR(C3690="",NOT(ISNUMBER(SEARCH("Package",D3690)))),"",VLOOKUP(C3690,'Clients List'!$A:$F,4,FALSE)-SUMIFS($E$2:$E3690,$C$2:$C3690,C3690,$D$2:$D3690,"*Package*"))</f>
        <v/>
      </c>
      <c r="G3690" t="str">
        <f t="shared" si="90"/>
        <v/>
      </c>
      <c r="H3690" s="33">
        <f>IF(ISNUMBER(SEARCH("Group",D3690)),IF(G3690="",E3690,IFERROR(E3690/COUNTIF($G2:$G6000,G3690),E3690)),E3690)</f>
        <v>0</v>
      </c>
      <c r="I3690" s="1" t="str">
        <f>IFERROR(VLOOKUP(C3690,'Clients List'!A:F,6,FALSE),"")</f>
        <v/>
      </c>
    </row>
    <row r="3691" spans="4:9" x14ac:dyDescent="0.45">
      <c r="D3691" t="str">
        <f>IFERROR(VLOOKUP(C3691,'Clients List'!$A:$F,2,FALSE),"")</f>
        <v/>
      </c>
      <c r="F3691" s="1" t="str">
        <f>IF(OR(C3691="",NOT(ISNUMBER(SEARCH("Package",D3691)))),"",VLOOKUP(C3691,'Clients List'!$A:$F,4,FALSE)-SUMIFS($E$2:$E3691,$C$2:$C3691,C3691,$D$2:$D3691,"*Package*"))</f>
        <v/>
      </c>
      <c r="G3691" t="str">
        <f t="shared" si="90"/>
        <v/>
      </c>
      <c r="H3691" s="33">
        <f>IF(ISNUMBER(SEARCH("Group",D3691)),IF(G3691="",E3691,IFERROR(E3691/COUNTIF($G2:$G6000,G3691),E3691)),E3691)</f>
        <v>0</v>
      </c>
      <c r="I3691" s="1" t="str">
        <f>IFERROR(VLOOKUP(C3691,'Clients List'!A:F,6,FALSE),"")</f>
        <v/>
      </c>
    </row>
    <row r="3692" spans="4:9" x14ac:dyDescent="0.45">
      <c r="D3692" t="str">
        <f>IFERROR(VLOOKUP(C3692,'Clients List'!$A:$F,2,FALSE),"")</f>
        <v/>
      </c>
      <c r="F3692" s="1" t="str">
        <f>IF(OR(C3692="",NOT(ISNUMBER(SEARCH("Package",D3692)))),"",VLOOKUP(C3692,'Clients List'!$A:$F,4,FALSE)-SUMIFS($E$2:$E3692,$C$2:$C3692,C3692,$D$2:$D3692,"*Package*"))</f>
        <v/>
      </c>
      <c r="G3692" t="str">
        <f t="shared" si="90"/>
        <v/>
      </c>
      <c r="H3692" s="33">
        <f>IF(ISNUMBER(SEARCH("Group",D3692)),IF(G3692="",E3692,IFERROR(E3692/COUNTIF($G2:$G6000,G3692),E3692)),E3692)</f>
        <v>0</v>
      </c>
      <c r="I3692" s="1" t="str">
        <f>IFERROR(VLOOKUP(C3692,'Clients List'!A:F,6,FALSE),"")</f>
        <v/>
      </c>
    </row>
    <row r="3693" spans="4:9" x14ac:dyDescent="0.45">
      <c r="D3693" t="str">
        <f>IFERROR(VLOOKUP(C3693,'Clients List'!$A:$F,2,FALSE),"")</f>
        <v/>
      </c>
      <c r="F3693" s="1" t="str">
        <f>IF(OR(C3693="",NOT(ISNUMBER(SEARCH("Package",D3693)))),"",VLOOKUP(C3693,'Clients List'!$A:$F,4,FALSE)-SUMIFS($E$2:$E3693,$C$2:$C3693,C3693,$D$2:$D3693,"*Package*"))</f>
        <v/>
      </c>
      <c r="G3693" t="str">
        <f t="shared" si="90"/>
        <v/>
      </c>
      <c r="H3693" s="33">
        <f>IF(ISNUMBER(SEARCH("Group",D3693)),IF(G3693="",E3693,IFERROR(E3693/COUNTIF($G2:$G6000,G3693),E3693)),E3693)</f>
        <v>0</v>
      </c>
      <c r="I3693" s="1" t="str">
        <f>IFERROR(VLOOKUP(C3693,'Clients List'!A:F,6,FALSE),"")</f>
        <v/>
      </c>
    </row>
    <row r="3694" spans="4:9" x14ac:dyDescent="0.45">
      <c r="D3694" t="str">
        <f>IFERROR(VLOOKUP(C3694,'Clients List'!$A:$F,2,FALSE),"")</f>
        <v/>
      </c>
      <c r="F3694" s="1" t="str">
        <f>IF(OR(C3694="",NOT(ISNUMBER(SEARCH("Package",D3694)))),"",VLOOKUP(C3694,'Clients List'!$A:$F,4,FALSE)-SUMIFS($E$2:$E3694,$C$2:$C3694,C3694,$D$2:$D3694,"*Package*"))</f>
        <v/>
      </c>
      <c r="G3694" t="str">
        <f t="shared" si="90"/>
        <v/>
      </c>
      <c r="H3694" s="33">
        <f>IF(ISNUMBER(SEARCH("Group",D3694)),IF(G3694="",E3694,IFERROR(E3694/COUNTIF($G2:$G6000,G3694),E3694)),E3694)</f>
        <v>0</v>
      </c>
      <c r="I3694" s="1" t="str">
        <f>IFERROR(VLOOKUP(C3694,'Clients List'!A:F,6,FALSE),"")</f>
        <v/>
      </c>
    </row>
    <row r="3695" spans="4:9" x14ac:dyDescent="0.45">
      <c r="D3695" t="str">
        <f>IFERROR(VLOOKUP(C3695,'Clients List'!$A:$F,2,FALSE),"")</f>
        <v/>
      </c>
      <c r="F3695" s="1" t="str">
        <f>IF(OR(C3695="",NOT(ISNUMBER(SEARCH("Package",D3695)))),"",VLOOKUP(C3695,'Clients List'!$A:$F,4,FALSE)-SUMIFS($E$2:$E3695,$C$2:$C3695,C3695,$D$2:$D3695,"*Package*"))</f>
        <v/>
      </c>
      <c r="G3695" t="str">
        <f t="shared" si="90"/>
        <v/>
      </c>
      <c r="H3695" s="33">
        <f>IF(ISNUMBER(SEARCH("Group",D3695)),IF(G3695="",E3695,IFERROR(E3695/COUNTIF($G2:$G6000,G3695),E3695)),E3695)</f>
        <v>0</v>
      </c>
      <c r="I3695" s="1" t="str">
        <f>IFERROR(VLOOKUP(C3695,'Clients List'!A:F,6,FALSE),"")</f>
        <v/>
      </c>
    </row>
    <row r="3696" spans="4:9" x14ac:dyDescent="0.45">
      <c r="D3696" t="str">
        <f>IFERROR(VLOOKUP(C3696,'Clients List'!$A:$F,2,FALSE),"")</f>
        <v/>
      </c>
      <c r="F3696" s="1" t="str">
        <f>IF(OR(C3696="",NOT(ISNUMBER(SEARCH("Package",D3696)))),"",VLOOKUP(C3696,'Clients List'!$A:$F,4,FALSE)-SUMIFS($E$2:$E3696,$C$2:$C3696,C3696,$D$2:$D3696,"*Package*"))</f>
        <v/>
      </c>
      <c r="G3696" t="str">
        <f t="shared" si="90"/>
        <v/>
      </c>
      <c r="H3696" s="33">
        <f>IF(ISNUMBER(SEARCH("Group",D3696)),IF(G3696="",E3696,IFERROR(E3696/COUNTIF($G2:$G6000,G3696),E3696)),E3696)</f>
        <v>0</v>
      </c>
      <c r="I3696" s="1" t="str">
        <f>IFERROR(VLOOKUP(C3696,'Clients List'!A:F,6,FALSE),"")</f>
        <v/>
      </c>
    </row>
    <row r="3697" spans="4:9" x14ac:dyDescent="0.45">
      <c r="D3697" t="str">
        <f>IFERROR(VLOOKUP(C3697,'Clients List'!$A:$F,2,FALSE),"")</f>
        <v/>
      </c>
      <c r="F3697" s="1" t="str">
        <f>IF(OR(C3697="",NOT(ISNUMBER(SEARCH("Package",D3697)))),"",VLOOKUP(C3697,'Clients List'!$A:$F,4,FALSE)-SUMIFS($E$2:$E3697,$C$2:$C3697,C3697,$D$2:$D3697,"*Package*"))</f>
        <v/>
      </c>
      <c r="G3697" t="str">
        <f t="shared" si="90"/>
        <v/>
      </c>
      <c r="H3697" s="33">
        <f>IF(ISNUMBER(SEARCH("Group",D3697)),IF(G3697="",E3697,IFERROR(E3697/COUNTIF($G2:$G6000,G3697),E3697)),E3697)</f>
        <v>0</v>
      </c>
      <c r="I3697" s="1" t="str">
        <f>IFERROR(VLOOKUP(C3697,'Clients List'!A:F,6,FALSE),"")</f>
        <v/>
      </c>
    </row>
    <row r="3698" spans="4:9" x14ac:dyDescent="0.45">
      <c r="D3698" t="str">
        <f>IFERROR(VLOOKUP(C3698,'Clients List'!$A:$F,2,FALSE),"")</f>
        <v/>
      </c>
      <c r="F3698" s="1" t="str">
        <f>IF(OR(C3698="",NOT(ISNUMBER(SEARCH("Package",D3698)))),"",VLOOKUP(C3698,'Clients List'!$A:$F,4,FALSE)-SUMIFS($E$2:$E3698,$C$2:$C3698,C3698,$D$2:$D3698,"*Package*"))</f>
        <v/>
      </c>
      <c r="G3698" t="str">
        <f t="shared" si="90"/>
        <v/>
      </c>
      <c r="H3698" s="33">
        <f>IF(ISNUMBER(SEARCH("Group",D3698)),IF(G3698="",E3698,IFERROR(E3698/COUNTIF($G2:$G6000,G3698),E3698)),E3698)</f>
        <v>0</v>
      </c>
      <c r="I3698" s="1" t="str">
        <f>IFERROR(VLOOKUP(C3698,'Clients List'!A:F,6,FALSE),"")</f>
        <v/>
      </c>
    </row>
    <row r="3699" spans="4:9" x14ac:dyDescent="0.45">
      <c r="D3699" t="str">
        <f>IFERROR(VLOOKUP(C3699,'Clients List'!$A:$F,2,FALSE),"")</f>
        <v/>
      </c>
      <c r="F3699" s="1" t="str">
        <f>IF(OR(C3699="",NOT(ISNUMBER(SEARCH("Package",D3699)))),"",VLOOKUP(C3699,'Clients List'!$A:$F,4,FALSE)-SUMIFS($E$2:$E3699,$C$2:$C3699,C3699,$D$2:$D3699,"*Package*"))</f>
        <v/>
      </c>
      <c r="G3699" t="str">
        <f t="shared" si="90"/>
        <v/>
      </c>
      <c r="H3699" s="33">
        <f>IF(ISNUMBER(SEARCH("Group",D3699)),IF(G3699="",E3699,IFERROR(E3699/COUNTIF($G2:$G6000,G3699),E3699)),E3699)</f>
        <v>0</v>
      </c>
      <c r="I3699" s="1" t="str">
        <f>IFERROR(VLOOKUP(C3699,'Clients List'!A:F,6,FALSE),"")</f>
        <v/>
      </c>
    </row>
    <row r="3700" spans="4:9" x14ac:dyDescent="0.45">
      <c r="D3700" t="str">
        <f>IFERROR(VLOOKUP(C3700,'Clients List'!$A:$F,2,FALSE),"")</f>
        <v/>
      </c>
      <c r="F3700" s="1" t="str">
        <f>IF(OR(C3700="",NOT(ISNUMBER(SEARCH("Package",D3700)))),"",VLOOKUP(C3700,'Clients List'!$A:$F,4,FALSE)-SUMIFS($E$2:$E3700,$C$2:$C3700,C3700,$D$2:$D3700,"*Package*"))</f>
        <v/>
      </c>
      <c r="G3700" t="str">
        <f t="shared" si="90"/>
        <v/>
      </c>
      <c r="H3700" s="33">
        <f>IF(ISNUMBER(SEARCH("Group",D3700)),IF(G3700="",E3700,IFERROR(E3700/COUNTIF($G2:$G6000,G3700),E3700)),E3700)</f>
        <v>0</v>
      </c>
      <c r="I3700" s="1" t="str">
        <f>IFERROR(VLOOKUP(C3700,'Clients List'!A:F,6,FALSE),"")</f>
        <v/>
      </c>
    </row>
    <row r="3701" spans="4:9" x14ac:dyDescent="0.45">
      <c r="D3701" t="str">
        <f>IFERROR(VLOOKUP(C3701,'Clients List'!$A:$F,2,FALSE),"")</f>
        <v/>
      </c>
      <c r="F3701" s="1" t="str">
        <f>IF(OR(C3701="",NOT(ISNUMBER(SEARCH("Package",D3701)))),"",VLOOKUP(C3701,'Clients List'!$A:$F,4,FALSE)-SUMIFS($E$2:$E3701,$C$2:$C3701,C3701,$D$2:$D3701,"*Package*"))</f>
        <v/>
      </c>
      <c r="G3701" t="str">
        <f t="shared" ref="G3701:G3764" si="91">IF(ISNUMBER(SEARCH("Group",D3701)),IFERROR("GRP-"&amp;TEXT(IF(ISNUMBER(A3701),A3701,DATEVALUE(A3701)),"yyyymmdd"),""),"" )</f>
        <v/>
      </c>
      <c r="H3701" s="33">
        <f>IF(ISNUMBER(SEARCH("Group",D3701)),IF(G3701="",E3701,IFERROR(E3701/COUNTIF($G2:$G6000,G3701),E3701)),E3701)</f>
        <v>0</v>
      </c>
      <c r="I3701" s="1" t="str">
        <f>IFERROR(VLOOKUP(C3701,'Clients List'!A:F,6,FALSE),"")</f>
        <v/>
      </c>
    </row>
    <row r="3702" spans="4:9" x14ac:dyDescent="0.45">
      <c r="D3702" t="str">
        <f>IFERROR(VLOOKUP(C3702,'Clients List'!$A:$F,2,FALSE),"")</f>
        <v/>
      </c>
      <c r="F3702" s="1" t="str">
        <f>IF(OR(C3702="",NOT(ISNUMBER(SEARCH("Package",D3702)))),"",VLOOKUP(C3702,'Clients List'!$A:$F,4,FALSE)-SUMIFS($E$2:$E3702,$C$2:$C3702,C3702,$D$2:$D3702,"*Package*"))</f>
        <v/>
      </c>
      <c r="G3702" t="str">
        <f t="shared" si="91"/>
        <v/>
      </c>
      <c r="H3702" s="33">
        <f>IF(ISNUMBER(SEARCH("Group",D3702)),IF(G3702="",E3702,IFERROR(E3702/COUNTIF($G2:$G6000,G3702),E3702)),E3702)</f>
        <v>0</v>
      </c>
      <c r="I3702" s="1" t="str">
        <f>IFERROR(VLOOKUP(C3702,'Clients List'!A:F,6,FALSE),"")</f>
        <v/>
      </c>
    </row>
    <row r="3703" spans="4:9" x14ac:dyDescent="0.45">
      <c r="D3703" t="str">
        <f>IFERROR(VLOOKUP(C3703,'Clients List'!$A:$F,2,FALSE),"")</f>
        <v/>
      </c>
      <c r="F3703" s="1" t="str">
        <f>IF(OR(C3703="",NOT(ISNUMBER(SEARCH("Package",D3703)))),"",VLOOKUP(C3703,'Clients List'!$A:$F,4,FALSE)-SUMIFS($E$2:$E3703,$C$2:$C3703,C3703,$D$2:$D3703,"*Package*"))</f>
        <v/>
      </c>
      <c r="G3703" t="str">
        <f t="shared" si="91"/>
        <v/>
      </c>
      <c r="H3703" s="33">
        <f>IF(ISNUMBER(SEARCH("Group",D3703)),IF(G3703="",E3703,IFERROR(E3703/COUNTIF($G2:$G6000,G3703),E3703)),E3703)</f>
        <v>0</v>
      </c>
      <c r="I3703" s="1" t="str">
        <f>IFERROR(VLOOKUP(C3703,'Clients List'!A:F,6,FALSE),"")</f>
        <v/>
      </c>
    </row>
    <row r="3704" spans="4:9" x14ac:dyDescent="0.45">
      <c r="D3704" t="str">
        <f>IFERROR(VLOOKUP(C3704,'Clients List'!$A:$F,2,FALSE),"")</f>
        <v/>
      </c>
      <c r="F3704" s="1" t="str">
        <f>IF(OR(C3704="",NOT(ISNUMBER(SEARCH("Package",D3704)))),"",VLOOKUP(C3704,'Clients List'!$A:$F,4,FALSE)-SUMIFS($E$2:$E3704,$C$2:$C3704,C3704,$D$2:$D3704,"*Package*"))</f>
        <v/>
      </c>
      <c r="G3704" t="str">
        <f t="shared" si="91"/>
        <v/>
      </c>
      <c r="H3704" s="33">
        <f>IF(ISNUMBER(SEARCH("Group",D3704)),IF(G3704="",E3704,IFERROR(E3704/COUNTIF($G2:$G6000,G3704),E3704)),E3704)</f>
        <v>0</v>
      </c>
      <c r="I3704" s="1" t="str">
        <f>IFERROR(VLOOKUP(C3704,'Clients List'!A:F,6,FALSE),"")</f>
        <v/>
      </c>
    </row>
    <row r="3705" spans="4:9" x14ac:dyDescent="0.45">
      <c r="D3705" t="str">
        <f>IFERROR(VLOOKUP(C3705,'Clients List'!$A:$F,2,FALSE),"")</f>
        <v/>
      </c>
      <c r="F3705" s="1" t="str">
        <f>IF(OR(C3705="",NOT(ISNUMBER(SEARCH("Package",D3705)))),"",VLOOKUP(C3705,'Clients List'!$A:$F,4,FALSE)-SUMIFS($E$2:$E3705,$C$2:$C3705,C3705,$D$2:$D3705,"*Package*"))</f>
        <v/>
      </c>
      <c r="G3705" t="str">
        <f t="shared" si="91"/>
        <v/>
      </c>
      <c r="H3705" s="33">
        <f>IF(ISNUMBER(SEARCH("Group",D3705)),IF(G3705="",E3705,IFERROR(E3705/COUNTIF($G2:$G6000,G3705),E3705)),E3705)</f>
        <v>0</v>
      </c>
      <c r="I3705" s="1" t="str">
        <f>IFERROR(VLOOKUP(C3705,'Clients List'!A:F,6,FALSE),"")</f>
        <v/>
      </c>
    </row>
    <row r="3706" spans="4:9" x14ac:dyDescent="0.45">
      <c r="D3706" t="str">
        <f>IFERROR(VLOOKUP(C3706,'Clients List'!$A:$F,2,FALSE),"")</f>
        <v/>
      </c>
      <c r="F3706" s="1" t="str">
        <f>IF(OR(C3706="",NOT(ISNUMBER(SEARCH("Package",D3706)))),"",VLOOKUP(C3706,'Clients List'!$A:$F,4,FALSE)-SUMIFS($E$2:$E3706,$C$2:$C3706,C3706,$D$2:$D3706,"*Package*"))</f>
        <v/>
      </c>
      <c r="G3706" t="str">
        <f t="shared" si="91"/>
        <v/>
      </c>
      <c r="H3706" s="33">
        <f>IF(ISNUMBER(SEARCH("Group",D3706)),IF(G3706="",E3706,IFERROR(E3706/COUNTIF($G2:$G6000,G3706),E3706)),E3706)</f>
        <v>0</v>
      </c>
      <c r="I3706" s="1" t="str">
        <f>IFERROR(VLOOKUP(C3706,'Clients List'!A:F,6,FALSE),"")</f>
        <v/>
      </c>
    </row>
    <row r="3707" spans="4:9" x14ac:dyDescent="0.45">
      <c r="D3707" t="str">
        <f>IFERROR(VLOOKUP(C3707,'Clients List'!$A:$F,2,FALSE),"")</f>
        <v/>
      </c>
      <c r="F3707" s="1" t="str">
        <f>IF(OR(C3707="",NOT(ISNUMBER(SEARCH("Package",D3707)))),"",VLOOKUP(C3707,'Clients List'!$A:$F,4,FALSE)-SUMIFS($E$2:$E3707,$C$2:$C3707,C3707,$D$2:$D3707,"*Package*"))</f>
        <v/>
      </c>
      <c r="G3707" t="str">
        <f t="shared" si="91"/>
        <v/>
      </c>
      <c r="H3707" s="33">
        <f>IF(ISNUMBER(SEARCH("Group",D3707)),IF(G3707="",E3707,IFERROR(E3707/COUNTIF($G2:$G6000,G3707),E3707)),E3707)</f>
        <v>0</v>
      </c>
      <c r="I3707" s="1" t="str">
        <f>IFERROR(VLOOKUP(C3707,'Clients List'!A:F,6,FALSE),"")</f>
        <v/>
      </c>
    </row>
    <row r="3708" spans="4:9" x14ac:dyDescent="0.45">
      <c r="D3708" t="str">
        <f>IFERROR(VLOOKUP(C3708,'Clients List'!$A:$F,2,FALSE),"")</f>
        <v/>
      </c>
      <c r="F3708" s="1" t="str">
        <f>IF(OR(C3708="",NOT(ISNUMBER(SEARCH("Package",D3708)))),"",VLOOKUP(C3708,'Clients List'!$A:$F,4,FALSE)-SUMIFS($E$2:$E3708,$C$2:$C3708,C3708,$D$2:$D3708,"*Package*"))</f>
        <v/>
      </c>
      <c r="G3708" t="str">
        <f t="shared" si="91"/>
        <v/>
      </c>
      <c r="H3708" s="33">
        <f>IF(ISNUMBER(SEARCH("Group",D3708)),IF(G3708="",E3708,IFERROR(E3708/COUNTIF($G2:$G6000,G3708),E3708)),E3708)</f>
        <v>0</v>
      </c>
      <c r="I3708" s="1" t="str">
        <f>IFERROR(VLOOKUP(C3708,'Clients List'!A:F,6,FALSE),"")</f>
        <v/>
      </c>
    </row>
    <row r="3709" spans="4:9" x14ac:dyDescent="0.45">
      <c r="D3709" t="str">
        <f>IFERROR(VLOOKUP(C3709,'Clients List'!$A:$F,2,FALSE),"")</f>
        <v/>
      </c>
      <c r="F3709" s="1" t="str">
        <f>IF(OR(C3709="",NOT(ISNUMBER(SEARCH("Package",D3709)))),"",VLOOKUP(C3709,'Clients List'!$A:$F,4,FALSE)-SUMIFS($E$2:$E3709,$C$2:$C3709,C3709,$D$2:$D3709,"*Package*"))</f>
        <v/>
      </c>
      <c r="G3709" t="str">
        <f t="shared" si="91"/>
        <v/>
      </c>
      <c r="H3709" s="33">
        <f>IF(ISNUMBER(SEARCH("Group",D3709)),IF(G3709="",E3709,IFERROR(E3709/COUNTIF($G2:$G6000,G3709),E3709)),E3709)</f>
        <v>0</v>
      </c>
      <c r="I3709" s="1" t="str">
        <f>IFERROR(VLOOKUP(C3709,'Clients List'!A:F,6,FALSE),"")</f>
        <v/>
      </c>
    </row>
    <row r="3710" spans="4:9" x14ac:dyDescent="0.45">
      <c r="D3710" t="str">
        <f>IFERROR(VLOOKUP(C3710,'Clients List'!$A:$F,2,FALSE),"")</f>
        <v/>
      </c>
      <c r="F3710" s="1" t="str">
        <f>IF(OR(C3710="",NOT(ISNUMBER(SEARCH("Package",D3710)))),"",VLOOKUP(C3710,'Clients List'!$A:$F,4,FALSE)-SUMIFS($E$2:$E3710,$C$2:$C3710,C3710,$D$2:$D3710,"*Package*"))</f>
        <v/>
      </c>
      <c r="G3710" t="str">
        <f t="shared" si="91"/>
        <v/>
      </c>
      <c r="H3710" s="33">
        <f>IF(ISNUMBER(SEARCH("Group",D3710)),IF(G3710="",E3710,IFERROR(E3710/COUNTIF($G2:$G6000,G3710),E3710)),E3710)</f>
        <v>0</v>
      </c>
      <c r="I3710" s="1" t="str">
        <f>IFERROR(VLOOKUP(C3710,'Clients List'!A:F,6,FALSE),"")</f>
        <v/>
      </c>
    </row>
    <row r="3711" spans="4:9" x14ac:dyDescent="0.45">
      <c r="D3711" t="str">
        <f>IFERROR(VLOOKUP(C3711,'Clients List'!$A:$F,2,FALSE),"")</f>
        <v/>
      </c>
      <c r="F3711" s="1" t="str">
        <f>IF(OR(C3711="",NOT(ISNUMBER(SEARCH("Package",D3711)))),"",VLOOKUP(C3711,'Clients List'!$A:$F,4,FALSE)-SUMIFS($E$2:$E3711,$C$2:$C3711,C3711,$D$2:$D3711,"*Package*"))</f>
        <v/>
      </c>
      <c r="G3711" t="str">
        <f t="shared" si="91"/>
        <v/>
      </c>
      <c r="H3711" s="33">
        <f>IF(ISNUMBER(SEARCH("Group",D3711)),IF(G3711="",E3711,IFERROR(E3711/COUNTIF($G2:$G6000,G3711),E3711)),E3711)</f>
        <v>0</v>
      </c>
      <c r="I3711" s="1" t="str">
        <f>IFERROR(VLOOKUP(C3711,'Clients List'!A:F,6,FALSE),"")</f>
        <v/>
      </c>
    </row>
    <row r="3712" spans="4:9" x14ac:dyDescent="0.45">
      <c r="D3712" t="str">
        <f>IFERROR(VLOOKUP(C3712,'Clients List'!$A:$F,2,FALSE),"")</f>
        <v/>
      </c>
      <c r="F3712" s="1" t="str">
        <f>IF(OR(C3712="",NOT(ISNUMBER(SEARCH("Package",D3712)))),"",VLOOKUP(C3712,'Clients List'!$A:$F,4,FALSE)-SUMIFS($E$2:$E3712,$C$2:$C3712,C3712,$D$2:$D3712,"*Package*"))</f>
        <v/>
      </c>
      <c r="G3712" t="str">
        <f t="shared" si="91"/>
        <v/>
      </c>
      <c r="H3712" s="33">
        <f>IF(ISNUMBER(SEARCH("Group",D3712)),IF(G3712="",E3712,IFERROR(E3712/COUNTIF($G2:$G6000,G3712),E3712)),E3712)</f>
        <v>0</v>
      </c>
      <c r="I3712" s="1" t="str">
        <f>IFERROR(VLOOKUP(C3712,'Clients List'!A:F,6,FALSE),"")</f>
        <v/>
      </c>
    </row>
    <row r="3713" spans="4:9" x14ac:dyDescent="0.45">
      <c r="D3713" t="str">
        <f>IFERROR(VLOOKUP(C3713,'Clients List'!$A:$F,2,FALSE),"")</f>
        <v/>
      </c>
      <c r="F3713" s="1" t="str">
        <f>IF(OR(C3713="",NOT(ISNUMBER(SEARCH("Package",D3713)))),"",VLOOKUP(C3713,'Clients List'!$A:$F,4,FALSE)-SUMIFS($E$2:$E3713,$C$2:$C3713,C3713,$D$2:$D3713,"*Package*"))</f>
        <v/>
      </c>
      <c r="G3713" t="str">
        <f t="shared" si="91"/>
        <v/>
      </c>
      <c r="H3713" s="33">
        <f>IF(ISNUMBER(SEARCH("Group",D3713)),IF(G3713="",E3713,IFERROR(E3713/COUNTIF($G2:$G6000,G3713),E3713)),E3713)</f>
        <v>0</v>
      </c>
      <c r="I3713" s="1" t="str">
        <f>IFERROR(VLOOKUP(C3713,'Clients List'!A:F,6,FALSE),"")</f>
        <v/>
      </c>
    </row>
    <row r="3714" spans="4:9" x14ac:dyDescent="0.45">
      <c r="D3714" t="str">
        <f>IFERROR(VLOOKUP(C3714,'Clients List'!$A:$F,2,FALSE),"")</f>
        <v/>
      </c>
      <c r="F3714" s="1" t="str">
        <f>IF(OR(C3714="",NOT(ISNUMBER(SEARCH("Package",D3714)))),"",VLOOKUP(C3714,'Clients List'!$A:$F,4,FALSE)-SUMIFS($E$2:$E3714,$C$2:$C3714,C3714,$D$2:$D3714,"*Package*"))</f>
        <v/>
      </c>
      <c r="G3714" t="str">
        <f t="shared" si="91"/>
        <v/>
      </c>
      <c r="H3714" s="33">
        <f>IF(ISNUMBER(SEARCH("Group",D3714)),IF(G3714="",E3714,IFERROR(E3714/COUNTIF($G2:$G6000,G3714),E3714)),E3714)</f>
        <v>0</v>
      </c>
      <c r="I3714" s="1" t="str">
        <f>IFERROR(VLOOKUP(C3714,'Clients List'!A:F,6,FALSE),"")</f>
        <v/>
      </c>
    </row>
    <row r="3715" spans="4:9" x14ac:dyDescent="0.45">
      <c r="D3715" t="str">
        <f>IFERROR(VLOOKUP(C3715,'Clients List'!$A:$F,2,FALSE),"")</f>
        <v/>
      </c>
      <c r="F3715" s="1" t="str">
        <f>IF(OR(C3715="",NOT(ISNUMBER(SEARCH("Package",D3715)))),"",VLOOKUP(C3715,'Clients List'!$A:$F,4,FALSE)-SUMIFS($E$2:$E3715,$C$2:$C3715,C3715,$D$2:$D3715,"*Package*"))</f>
        <v/>
      </c>
      <c r="G3715" t="str">
        <f t="shared" si="91"/>
        <v/>
      </c>
      <c r="H3715" s="33">
        <f>IF(ISNUMBER(SEARCH("Group",D3715)),IF(G3715="",E3715,IFERROR(E3715/COUNTIF($G2:$G6000,G3715),E3715)),E3715)</f>
        <v>0</v>
      </c>
      <c r="I3715" s="1" t="str">
        <f>IFERROR(VLOOKUP(C3715,'Clients List'!A:F,6,FALSE),"")</f>
        <v/>
      </c>
    </row>
    <row r="3716" spans="4:9" x14ac:dyDescent="0.45">
      <c r="D3716" t="str">
        <f>IFERROR(VLOOKUP(C3716,'Clients List'!$A:$F,2,FALSE),"")</f>
        <v/>
      </c>
      <c r="F3716" s="1" t="str">
        <f>IF(OR(C3716="",NOT(ISNUMBER(SEARCH("Package",D3716)))),"",VLOOKUP(C3716,'Clients List'!$A:$F,4,FALSE)-SUMIFS($E$2:$E3716,$C$2:$C3716,C3716,$D$2:$D3716,"*Package*"))</f>
        <v/>
      </c>
      <c r="G3716" t="str">
        <f t="shared" si="91"/>
        <v/>
      </c>
      <c r="H3716" s="33">
        <f>IF(ISNUMBER(SEARCH("Group",D3716)),IF(G3716="",E3716,IFERROR(E3716/COUNTIF($G2:$G6000,G3716),E3716)),E3716)</f>
        <v>0</v>
      </c>
      <c r="I3716" s="1" t="str">
        <f>IFERROR(VLOOKUP(C3716,'Clients List'!A:F,6,FALSE),"")</f>
        <v/>
      </c>
    </row>
    <row r="3717" spans="4:9" x14ac:dyDescent="0.45">
      <c r="D3717" t="str">
        <f>IFERROR(VLOOKUP(C3717,'Clients List'!$A:$F,2,FALSE),"")</f>
        <v/>
      </c>
      <c r="F3717" s="1" t="str">
        <f>IF(OR(C3717="",NOT(ISNUMBER(SEARCH("Package",D3717)))),"",VLOOKUP(C3717,'Clients List'!$A:$F,4,FALSE)-SUMIFS($E$2:$E3717,$C$2:$C3717,C3717,$D$2:$D3717,"*Package*"))</f>
        <v/>
      </c>
      <c r="G3717" t="str">
        <f t="shared" si="91"/>
        <v/>
      </c>
      <c r="H3717" s="33">
        <f>IF(ISNUMBER(SEARCH("Group",D3717)),IF(G3717="",E3717,IFERROR(E3717/COUNTIF($G2:$G6000,G3717),E3717)),E3717)</f>
        <v>0</v>
      </c>
      <c r="I3717" s="1" t="str">
        <f>IFERROR(VLOOKUP(C3717,'Clients List'!A:F,6,FALSE),"")</f>
        <v/>
      </c>
    </row>
    <row r="3718" spans="4:9" x14ac:dyDescent="0.45">
      <c r="D3718" t="str">
        <f>IFERROR(VLOOKUP(C3718,'Clients List'!$A:$F,2,FALSE),"")</f>
        <v/>
      </c>
      <c r="F3718" s="1" t="str">
        <f>IF(OR(C3718="",NOT(ISNUMBER(SEARCH("Package",D3718)))),"",VLOOKUP(C3718,'Clients List'!$A:$F,4,FALSE)-SUMIFS($E$2:$E3718,$C$2:$C3718,C3718,$D$2:$D3718,"*Package*"))</f>
        <v/>
      </c>
      <c r="G3718" t="str">
        <f t="shared" si="91"/>
        <v/>
      </c>
      <c r="H3718" s="33">
        <f>IF(ISNUMBER(SEARCH("Group",D3718)),IF(G3718="",E3718,IFERROR(E3718/COUNTIF($G2:$G6000,G3718),E3718)),E3718)</f>
        <v>0</v>
      </c>
      <c r="I3718" s="1" t="str">
        <f>IFERROR(VLOOKUP(C3718,'Clients List'!A:F,6,FALSE),"")</f>
        <v/>
      </c>
    </row>
    <row r="3719" spans="4:9" x14ac:dyDescent="0.45">
      <c r="D3719" t="str">
        <f>IFERROR(VLOOKUP(C3719,'Clients List'!$A:$F,2,FALSE),"")</f>
        <v/>
      </c>
      <c r="F3719" s="1" t="str">
        <f>IF(OR(C3719="",NOT(ISNUMBER(SEARCH("Package",D3719)))),"",VLOOKUP(C3719,'Clients List'!$A:$F,4,FALSE)-SUMIFS($E$2:$E3719,$C$2:$C3719,C3719,$D$2:$D3719,"*Package*"))</f>
        <v/>
      </c>
      <c r="G3719" t="str">
        <f t="shared" si="91"/>
        <v/>
      </c>
      <c r="H3719" s="33">
        <f>IF(ISNUMBER(SEARCH("Group",D3719)),IF(G3719="",E3719,IFERROR(E3719/COUNTIF($G2:$G6000,G3719),E3719)),E3719)</f>
        <v>0</v>
      </c>
      <c r="I3719" s="1" t="str">
        <f>IFERROR(VLOOKUP(C3719,'Clients List'!A:F,6,FALSE),"")</f>
        <v/>
      </c>
    </row>
    <row r="3720" spans="4:9" x14ac:dyDescent="0.45">
      <c r="D3720" t="str">
        <f>IFERROR(VLOOKUP(C3720,'Clients List'!$A:$F,2,FALSE),"")</f>
        <v/>
      </c>
      <c r="F3720" s="1" t="str">
        <f>IF(OR(C3720="",NOT(ISNUMBER(SEARCH("Package",D3720)))),"",VLOOKUP(C3720,'Clients List'!$A:$F,4,FALSE)-SUMIFS($E$2:$E3720,$C$2:$C3720,C3720,$D$2:$D3720,"*Package*"))</f>
        <v/>
      </c>
      <c r="G3720" t="str">
        <f t="shared" si="91"/>
        <v/>
      </c>
      <c r="H3720" s="33">
        <f>IF(ISNUMBER(SEARCH("Group",D3720)),IF(G3720="",E3720,IFERROR(E3720/COUNTIF($G2:$G6000,G3720),E3720)),E3720)</f>
        <v>0</v>
      </c>
      <c r="I3720" s="1" t="str">
        <f>IFERROR(VLOOKUP(C3720,'Clients List'!A:F,6,FALSE),"")</f>
        <v/>
      </c>
    </row>
    <row r="3721" spans="4:9" x14ac:dyDescent="0.45">
      <c r="D3721" t="str">
        <f>IFERROR(VLOOKUP(C3721,'Clients List'!$A:$F,2,FALSE),"")</f>
        <v/>
      </c>
      <c r="F3721" s="1" t="str">
        <f>IF(OR(C3721="",NOT(ISNUMBER(SEARCH("Package",D3721)))),"",VLOOKUP(C3721,'Clients List'!$A:$F,4,FALSE)-SUMIFS($E$2:$E3721,$C$2:$C3721,C3721,$D$2:$D3721,"*Package*"))</f>
        <v/>
      </c>
      <c r="G3721" t="str">
        <f t="shared" si="91"/>
        <v/>
      </c>
      <c r="H3721" s="33">
        <f>IF(ISNUMBER(SEARCH("Group",D3721)),IF(G3721="",E3721,IFERROR(E3721/COUNTIF($G2:$G6000,G3721),E3721)),E3721)</f>
        <v>0</v>
      </c>
      <c r="I3721" s="1" t="str">
        <f>IFERROR(VLOOKUP(C3721,'Clients List'!A:F,6,FALSE),"")</f>
        <v/>
      </c>
    </row>
    <row r="3722" spans="4:9" x14ac:dyDescent="0.45">
      <c r="D3722" t="str">
        <f>IFERROR(VLOOKUP(C3722,'Clients List'!$A:$F,2,FALSE),"")</f>
        <v/>
      </c>
      <c r="F3722" s="1" t="str">
        <f>IF(OR(C3722="",NOT(ISNUMBER(SEARCH("Package",D3722)))),"",VLOOKUP(C3722,'Clients List'!$A:$F,4,FALSE)-SUMIFS($E$2:$E3722,$C$2:$C3722,C3722,$D$2:$D3722,"*Package*"))</f>
        <v/>
      </c>
      <c r="G3722" t="str">
        <f t="shared" si="91"/>
        <v/>
      </c>
      <c r="H3722" s="33">
        <f>IF(ISNUMBER(SEARCH("Group",D3722)),IF(G3722="",E3722,IFERROR(E3722/COUNTIF($G2:$G6000,G3722),E3722)),E3722)</f>
        <v>0</v>
      </c>
      <c r="I3722" s="1" t="str">
        <f>IFERROR(VLOOKUP(C3722,'Clients List'!A:F,6,FALSE),"")</f>
        <v/>
      </c>
    </row>
    <row r="3723" spans="4:9" x14ac:dyDescent="0.45">
      <c r="D3723" t="str">
        <f>IFERROR(VLOOKUP(C3723,'Clients List'!$A:$F,2,FALSE),"")</f>
        <v/>
      </c>
      <c r="F3723" s="1" t="str">
        <f>IF(OR(C3723="",NOT(ISNUMBER(SEARCH("Package",D3723)))),"",VLOOKUP(C3723,'Clients List'!$A:$F,4,FALSE)-SUMIFS($E$2:$E3723,$C$2:$C3723,C3723,$D$2:$D3723,"*Package*"))</f>
        <v/>
      </c>
      <c r="G3723" t="str">
        <f t="shared" si="91"/>
        <v/>
      </c>
      <c r="H3723" s="33">
        <f>IF(ISNUMBER(SEARCH("Group",D3723)),IF(G3723="",E3723,IFERROR(E3723/COUNTIF($G2:$G6000,G3723),E3723)),E3723)</f>
        <v>0</v>
      </c>
      <c r="I3723" s="1" t="str">
        <f>IFERROR(VLOOKUP(C3723,'Clients List'!A:F,6,FALSE),"")</f>
        <v/>
      </c>
    </row>
    <row r="3724" spans="4:9" x14ac:dyDescent="0.45">
      <c r="D3724" t="str">
        <f>IFERROR(VLOOKUP(C3724,'Clients List'!$A:$F,2,FALSE),"")</f>
        <v/>
      </c>
      <c r="F3724" s="1" t="str">
        <f>IF(OR(C3724="",NOT(ISNUMBER(SEARCH("Package",D3724)))),"",VLOOKUP(C3724,'Clients List'!$A:$F,4,FALSE)-SUMIFS($E$2:$E3724,$C$2:$C3724,C3724,$D$2:$D3724,"*Package*"))</f>
        <v/>
      </c>
      <c r="G3724" t="str">
        <f t="shared" si="91"/>
        <v/>
      </c>
      <c r="H3724" s="33">
        <f>IF(ISNUMBER(SEARCH("Group",D3724)),IF(G3724="",E3724,IFERROR(E3724/COUNTIF($G2:$G6000,G3724),E3724)),E3724)</f>
        <v>0</v>
      </c>
      <c r="I3724" s="1" t="str">
        <f>IFERROR(VLOOKUP(C3724,'Clients List'!A:F,6,FALSE),"")</f>
        <v/>
      </c>
    </row>
    <row r="3725" spans="4:9" x14ac:dyDescent="0.45">
      <c r="D3725" t="str">
        <f>IFERROR(VLOOKUP(C3725,'Clients List'!$A:$F,2,FALSE),"")</f>
        <v/>
      </c>
      <c r="F3725" s="1" t="str">
        <f>IF(OR(C3725="",NOT(ISNUMBER(SEARCH("Package",D3725)))),"",VLOOKUP(C3725,'Clients List'!$A:$F,4,FALSE)-SUMIFS($E$2:$E3725,$C$2:$C3725,C3725,$D$2:$D3725,"*Package*"))</f>
        <v/>
      </c>
      <c r="G3725" t="str">
        <f t="shared" si="91"/>
        <v/>
      </c>
      <c r="H3725" s="33">
        <f>IF(ISNUMBER(SEARCH("Group",D3725)),IF(G3725="",E3725,IFERROR(E3725/COUNTIF($G2:$G6000,G3725),E3725)),E3725)</f>
        <v>0</v>
      </c>
      <c r="I3725" s="1" t="str">
        <f>IFERROR(VLOOKUP(C3725,'Clients List'!A:F,6,FALSE),"")</f>
        <v/>
      </c>
    </row>
    <row r="3726" spans="4:9" x14ac:dyDescent="0.45">
      <c r="D3726" t="str">
        <f>IFERROR(VLOOKUP(C3726,'Clients List'!$A:$F,2,FALSE),"")</f>
        <v/>
      </c>
      <c r="F3726" s="1" t="str">
        <f>IF(OR(C3726="",NOT(ISNUMBER(SEARCH("Package",D3726)))),"",VLOOKUP(C3726,'Clients List'!$A:$F,4,FALSE)-SUMIFS($E$2:$E3726,$C$2:$C3726,C3726,$D$2:$D3726,"*Package*"))</f>
        <v/>
      </c>
      <c r="G3726" t="str">
        <f t="shared" si="91"/>
        <v/>
      </c>
      <c r="H3726" s="33">
        <f>IF(ISNUMBER(SEARCH("Group",D3726)),IF(G3726="",E3726,IFERROR(E3726/COUNTIF($G2:$G6000,G3726),E3726)),E3726)</f>
        <v>0</v>
      </c>
      <c r="I3726" s="1" t="str">
        <f>IFERROR(VLOOKUP(C3726,'Clients List'!A:F,6,FALSE),"")</f>
        <v/>
      </c>
    </row>
    <row r="3727" spans="4:9" x14ac:dyDescent="0.45">
      <c r="D3727" t="str">
        <f>IFERROR(VLOOKUP(C3727,'Clients List'!$A:$F,2,FALSE),"")</f>
        <v/>
      </c>
      <c r="F3727" s="1" t="str">
        <f>IF(OR(C3727="",NOT(ISNUMBER(SEARCH("Package",D3727)))),"",VLOOKUP(C3727,'Clients List'!$A:$F,4,FALSE)-SUMIFS($E$2:$E3727,$C$2:$C3727,C3727,$D$2:$D3727,"*Package*"))</f>
        <v/>
      </c>
      <c r="G3727" t="str">
        <f t="shared" si="91"/>
        <v/>
      </c>
      <c r="H3727" s="33">
        <f>IF(ISNUMBER(SEARCH("Group",D3727)),IF(G3727="",E3727,IFERROR(E3727/COUNTIF($G2:$G6000,G3727),E3727)),E3727)</f>
        <v>0</v>
      </c>
      <c r="I3727" s="1" t="str">
        <f>IFERROR(VLOOKUP(C3727,'Clients List'!A:F,6,FALSE),"")</f>
        <v/>
      </c>
    </row>
    <row r="3728" spans="4:9" x14ac:dyDescent="0.45">
      <c r="D3728" t="str">
        <f>IFERROR(VLOOKUP(C3728,'Clients List'!$A:$F,2,FALSE),"")</f>
        <v/>
      </c>
      <c r="F3728" s="1" t="str">
        <f>IF(OR(C3728="",NOT(ISNUMBER(SEARCH("Package",D3728)))),"",VLOOKUP(C3728,'Clients List'!$A:$F,4,FALSE)-SUMIFS($E$2:$E3728,$C$2:$C3728,C3728,$D$2:$D3728,"*Package*"))</f>
        <v/>
      </c>
      <c r="G3728" t="str">
        <f t="shared" si="91"/>
        <v/>
      </c>
      <c r="H3728" s="33">
        <f>IF(ISNUMBER(SEARCH("Group",D3728)),IF(G3728="",E3728,IFERROR(E3728/COUNTIF($G2:$G6000,G3728),E3728)),E3728)</f>
        <v>0</v>
      </c>
      <c r="I3728" s="1" t="str">
        <f>IFERROR(VLOOKUP(C3728,'Clients List'!A:F,6,FALSE),"")</f>
        <v/>
      </c>
    </row>
    <row r="3729" spans="4:9" x14ac:dyDescent="0.45">
      <c r="D3729" t="str">
        <f>IFERROR(VLOOKUP(C3729,'Clients List'!$A:$F,2,FALSE),"")</f>
        <v/>
      </c>
      <c r="F3729" s="1" t="str">
        <f>IF(OR(C3729="",NOT(ISNUMBER(SEARCH("Package",D3729)))),"",VLOOKUP(C3729,'Clients List'!$A:$F,4,FALSE)-SUMIFS($E$2:$E3729,$C$2:$C3729,C3729,$D$2:$D3729,"*Package*"))</f>
        <v/>
      </c>
      <c r="G3729" t="str">
        <f t="shared" si="91"/>
        <v/>
      </c>
      <c r="H3729" s="33">
        <f>IF(ISNUMBER(SEARCH("Group",D3729)),IF(G3729="",E3729,IFERROR(E3729/COUNTIF($G2:$G6000,G3729),E3729)),E3729)</f>
        <v>0</v>
      </c>
      <c r="I3729" s="1" t="str">
        <f>IFERROR(VLOOKUP(C3729,'Clients List'!A:F,6,FALSE),"")</f>
        <v/>
      </c>
    </row>
    <row r="3730" spans="4:9" x14ac:dyDescent="0.45">
      <c r="D3730" t="str">
        <f>IFERROR(VLOOKUP(C3730,'Clients List'!$A:$F,2,FALSE),"")</f>
        <v/>
      </c>
      <c r="F3730" s="1" t="str">
        <f>IF(OR(C3730="",NOT(ISNUMBER(SEARCH("Package",D3730)))),"",VLOOKUP(C3730,'Clients List'!$A:$F,4,FALSE)-SUMIFS($E$2:$E3730,$C$2:$C3730,C3730,$D$2:$D3730,"*Package*"))</f>
        <v/>
      </c>
      <c r="G3730" t="str">
        <f t="shared" si="91"/>
        <v/>
      </c>
      <c r="H3730" s="33">
        <f>IF(ISNUMBER(SEARCH("Group",D3730)),IF(G3730="",E3730,IFERROR(E3730/COUNTIF($G2:$G6000,G3730),E3730)),E3730)</f>
        <v>0</v>
      </c>
      <c r="I3730" s="1" t="str">
        <f>IFERROR(VLOOKUP(C3730,'Clients List'!A:F,6,FALSE),"")</f>
        <v/>
      </c>
    </row>
    <row r="3731" spans="4:9" x14ac:dyDescent="0.45">
      <c r="D3731" t="str">
        <f>IFERROR(VLOOKUP(C3731,'Clients List'!$A:$F,2,FALSE),"")</f>
        <v/>
      </c>
      <c r="F3731" s="1" t="str">
        <f>IF(OR(C3731="",NOT(ISNUMBER(SEARCH("Package",D3731)))),"",VLOOKUP(C3731,'Clients List'!$A:$F,4,FALSE)-SUMIFS($E$2:$E3731,$C$2:$C3731,C3731,$D$2:$D3731,"*Package*"))</f>
        <v/>
      </c>
      <c r="G3731" t="str">
        <f t="shared" si="91"/>
        <v/>
      </c>
      <c r="H3731" s="33">
        <f>IF(ISNUMBER(SEARCH("Group",D3731)),IF(G3731="",E3731,IFERROR(E3731/COUNTIF($G2:$G6000,G3731),E3731)),E3731)</f>
        <v>0</v>
      </c>
      <c r="I3731" s="1" t="str">
        <f>IFERROR(VLOOKUP(C3731,'Clients List'!A:F,6,FALSE),"")</f>
        <v/>
      </c>
    </row>
    <row r="3732" spans="4:9" x14ac:dyDescent="0.45">
      <c r="D3732" t="str">
        <f>IFERROR(VLOOKUP(C3732,'Clients List'!$A:$F,2,FALSE),"")</f>
        <v/>
      </c>
      <c r="F3732" s="1" t="str">
        <f>IF(OR(C3732="",NOT(ISNUMBER(SEARCH("Package",D3732)))),"",VLOOKUP(C3732,'Clients List'!$A:$F,4,FALSE)-SUMIFS($E$2:$E3732,$C$2:$C3732,C3732,$D$2:$D3732,"*Package*"))</f>
        <v/>
      </c>
      <c r="G3732" t="str">
        <f t="shared" si="91"/>
        <v/>
      </c>
      <c r="H3732" s="33">
        <f>IF(ISNUMBER(SEARCH("Group",D3732)),IF(G3732="",E3732,IFERROR(E3732/COUNTIF($G2:$G6000,G3732),E3732)),E3732)</f>
        <v>0</v>
      </c>
      <c r="I3732" s="1" t="str">
        <f>IFERROR(VLOOKUP(C3732,'Clients List'!A:F,6,FALSE),"")</f>
        <v/>
      </c>
    </row>
    <row r="3733" spans="4:9" x14ac:dyDescent="0.45">
      <c r="D3733" t="str">
        <f>IFERROR(VLOOKUP(C3733,'Clients List'!$A:$F,2,FALSE),"")</f>
        <v/>
      </c>
      <c r="F3733" s="1" t="str">
        <f>IF(OR(C3733="",NOT(ISNUMBER(SEARCH("Package",D3733)))),"",VLOOKUP(C3733,'Clients List'!$A:$F,4,FALSE)-SUMIFS($E$2:$E3733,$C$2:$C3733,C3733,$D$2:$D3733,"*Package*"))</f>
        <v/>
      </c>
      <c r="G3733" t="str">
        <f t="shared" si="91"/>
        <v/>
      </c>
      <c r="H3733" s="33">
        <f>IF(ISNUMBER(SEARCH("Group",D3733)),IF(G3733="",E3733,IFERROR(E3733/COUNTIF($G2:$G6000,G3733),E3733)),E3733)</f>
        <v>0</v>
      </c>
      <c r="I3733" s="1" t="str">
        <f>IFERROR(VLOOKUP(C3733,'Clients List'!A:F,6,FALSE),"")</f>
        <v/>
      </c>
    </row>
    <row r="3734" spans="4:9" x14ac:dyDescent="0.45">
      <c r="D3734" t="str">
        <f>IFERROR(VLOOKUP(C3734,'Clients List'!$A:$F,2,FALSE),"")</f>
        <v/>
      </c>
      <c r="F3734" s="1" t="str">
        <f>IF(OR(C3734="",NOT(ISNUMBER(SEARCH("Package",D3734)))),"",VLOOKUP(C3734,'Clients List'!$A:$F,4,FALSE)-SUMIFS($E$2:$E3734,$C$2:$C3734,C3734,$D$2:$D3734,"*Package*"))</f>
        <v/>
      </c>
      <c r="G3734" t="str">
        <f t="shared" si="91"/>
        <v/>
      </c>
      <c r="H3734" s="33">
        <f>IF(ISNUMBER(SEARCH("Group",D3734)),IF(G3734="",E3734,IFERROR(E3734/COUNTIF($G2:$G6000,G3734),E3734)),E3734)</f>
        <v>0</v>
      </c>
      <c r="I3734" s="1" t="str">
        <f>IFERROR(VLOOKUP(C3734,'Clients List'!A:F,6,FALSE),"")</f>
        <v/>
      </c>
    </row>
    <row r="3735" spans="4:9" x14ac:dyDescent="0.45">
      <c r="D3735" t="str">
        <f>IFERROR(VLOOKUP(C3735,'Clients List'!$A:$F,2,FALSE),"")</f>
        <v/>
      </c>
      <c r="F3735" s="1" t="str">
        <f>IF(OR(C3735="",NOT(ISNUMBER(SEARCH("Package",D3735)))),"",VLOOKUP(C3735,'Clients List'!$A:$F,4,FALSE)-SUMIFS($E$2:$E3735,$C$2:$C3735,C3735,$D$2:$D3735,"*Package*"))</f>
        <v/>
      </c>
      <c r="G3735" t="str">
        <f t="shared" si="91"/>
        <v/>
      </c>
      <c r="H3735" s="33">
        <f>IF(ISNUMBER(SEARCH("Group",D3735)),IF(G3735="",E3735,IFERROR(E3735/COUNTIF($G2:$G6000,G3735),E3735)),E3735)</f>
        <v>0</v>
      </c>
      <c r="I3735" s="1" t="str">
        <f>IFERROR(VLOOKUP(C3735,'Clients List'!A:F,6,FALSE),"")</f>
        <v/>
      </c>
    </row>
    <row r="3736" spans="4:9" x14ac:dyDescent="0.45">
      <c r="D3736" t="str">
        <f>IFERROR(VLOOKUP(C3736,'Clients List'!$A:$F,2,FALSE),"")</f>
        <v/>
      </c>
      <c r="F3736" s="1" t="str">
        <f>IF(OR(C3736="",NOT(ISNUMBER(SEARCH("Package",D3736)))),"",VLOOKUP(C3736,'Clients List'!$A:$F,4,FALSE)-SUMIFS($E$2:$E3736,$C$2:$C3736,C3736,$D$2:$D3736,"*Package*"))</f>
        <v/>
      </c>
      <c r="G3736" t="str">
        <f t="shared" si="91"/>
        <v/>
      </c>
      <c r="H3736" s="33">
        <f>IF(ISNUMBER(SEARCH("Group",D3736)),IF(G3736="",E3736,IFERROR(E3736/COUNTIF($G2:$G6000,G3736),E3736)),E3736)</f>
        <v>0</v>
      </c>
      <c r="I3736" s="1" t="str">
        <f>IFERROR(VLOOKUP(C3736,'Clients List'!A:F,6,FALSE),"")</f>
        <v/>
      </c>
    </row>
    <row r="3737" spans="4:9" x14ac:dyDescent="0.45">
      <c r="D3737" t="str">
        <f>IFERROR(VLOOKUP(C3737,'Clients List'!$A:$F,2,FALSE),"")</f>
        <v/>
      </c>
      <c r="F3737" s="1" t="str">
        <f>IF(OR(C3737="",NOT(ISNUMBER(SEARCH("Package",D3737)))),"",VLOOKUP(C3737,'Clients List'!$A:$F,4,FALSE)-SUMIFS($E$2:$E3737,$C$2:$C3737,C3737,$D$2:$D3737,"*Package*"))</f>
        <v/>
      </c>
      <c r="G3737" t="str">
        <f t="shared" si="91"/>
        <v/>
      </c>
      <c r="H3737" s="33">
        <f>IF(ISNUMBER(SEARCH("Group",D3737)),IF(G3737="",E3737,IFERROR(E3737/COUNTIF($G2:$G6000,G3737),E3737)),E3737)</f>
        <v>0</v>
      </c>
      <c r="I3737" s="1" t="str">
        <f>IFERROR(VLOOKUP(C3737,'Clients List'!A:F,6,FALSE),"")</f>
        <v/>
      </c>
    </row>
    <row r="3738" spans="4:9" x14ac:dyDescent="0.45">
      <c r="D3738" t="str">
        <f>IFERROR(VLOOKUP(C3738,'Clients List'!$A:$F,2,FALSE),"")</f>
        <v/>
      </c>
      <c r="F3738" s="1" t="str">
        <f>IF(OR(C3738="",NOT(ISNUMBER(SEARCH("Package",D3738)))),"",VLOOKUP(C3738,'Clients List'!$A:$F,4,FALSE)-SUMIFS($E$2:$E3738,$C$2:$C3738,C3738,$D$2:$D3738,"*Package*"))</f>
        <v/>
      </c>
      <c r="G3738" t="str">
        <f t="shared" si="91"/>
        <v/>
      </c>
      <c r="H3738" s="33">
        <f>IF(ISNUMBER(SEARCH("Group",D3738)),IF(G3738="",E3738,IFERROR(E3738/COUNTIF($G2:$G6000,G3738),E3738)),E3738)</f>
        <v>0</v>
      </c>
      <c r="I3738" s="1" t="str">
        <f>IFERROR(VLOOKUP(C3738,'Clients List'!A:F,6,FALSE),"")</f>
        <v/>
      </c>
    </row>
    <row r="3739" spans="4:9" x14ac:dyDescent="0.45">
      <c r="D3739" t="str">
        <f>IFERROR(VLOOKUP(C3739,'Clients List'!$A:$F,2,FALSE),"")</f>
        <v/>
      </c>
      <c r="F3739" s="1" t="str">
        <f>IF(OR(C3739="",NOT(ISNUMBER(SEARCH("Package",D3739)))),"",VLOOKUP(C3739,'Clients List'!$A:$F,4,FALSE)-SUMIFS($E$2:$E3739,$C$2:$C3739,C3739,$D$2:$D3739,"*Package*"))</f>
        <v/>
      </c>
      <c r="G3739" t="str">
        <f t="shared" si="91"/>
        <v/>
      </c>
      <c r="H3739" s="33">
        <f>IF(ISNUMBER(SEARCH("Group",D3739)),IF(G3739="",E3739,IFERROR(E3739/COUNTIF($G2:$G6000,G3739),E3739)),E3739)</f>
        <v>0</v>
      </c>
      <c r="I3739" s="1" t="str">
        <f>IFERROR(VLOOKUP(C3739,'Clients List'!A:F,6,FALSE),"")</f>
        <v/>
      </c>
    </row>
    <row r="3740" spans="4:9" x14ac:dyDescent="0.45">
      <c r="D3740" t="str">
        <f>IFERROR(VLOOKUP(C3740,'Clients List'!$A:$F,2,FALSE),"")</f>
        <v/>
      </c>
      <c r="F3740" s="1" t="str">
        <f>IF(OR(C3740="",NOT(ISNUMBER(SEARCH("Package",D3740)))),"",VLOOKUP(C3740,'Clients List'!$A:$F,4,FALSE)-SUMIFS($E$2:$E3740,$C$2:$C3740,C3740,$D$2:$D3740,"*Package*"))</f>
        <v/>
      </c>
      <c r="G3740" t="str">
        <f t="shared" si="91"/>
        <v/>
      </c>
      <c r="H3740" s="33">
        <f>IF(ISNUMBER(SEARCH("Group",D3740)),IF(G3740="",E3740,IFERROR(E3740/COUNTIF($G2:$G6000,G3740),E3740)),E3740)</f>
        <v>0</v>
      </c>
      <c r="I3740" s="1" t="str">
        <f>IFERROR(VLOOKUP(C3740,'Clients List'!A:F,6,FALSE),"")</f>
        <v/>
      </c>
    </row>
    <row r="3741" spans="4:9" x14ac:dyDescent="0.45">
      <c r="D3741" t="str">
        <f>IFERROR(VLOOKUP(C3741,'Clients List'!$A:$F,2,FALSE),"")</f>
        <v/>
      </c>
      <c r="F3741" s="1" t="str">
        <f>IF(OR(C3741="",NOT(ISNUMBER(SEARCH("Package",D3741)))),"",VLOOKUP(C3741,'Clients List'!$A:$F,4,FALSE)-SUMIFS($E$2:$E3741,$C$2:$C3741,C3741,$D$2:$D3741,"*Package*"))</f>
        <v/>
      </c>
      <c r="G3741" t="str">
        <f t="shared" si="91"/>
        <v/>
      </c>
      <c r="H3741" s="33">
        <f>IF(ISNUMBER(SEARCH("Group",D3741)),IF(G3741="",E3741,IFERROR(E3741/COUNTIF($G2:$G6000,G3741),E3741)),E3741)</f>
        <v>0</v>
      </c>
      <c r="I3741" s="1" t="str">
        <f>IFERROR(VLOOKUP(C3741,'Clients List'!A:F,6,FALSE),"")</f>
        <v/>
      </c>
    </row>
    <row r="3742" spans="4:9" x14ac:dyDescent="0.45">
      <c r="D3742" t="str">
        <f>IFERROR(VLOOKUP(C3742,'Clients List'!$A:$F,2,FALSE),"")</f>
        <v/>
      </c>
      <c r="F3742" s="1" t="str">
        <f>IF(OR(C3742="",NOT(ISNUMBER(SEARCH("Package",D3742)))),"",VLOOKUP(C3742,'Clients List'!$A:$F,4,FALSE)-SUMIFS($E$2:$E3742,$C$2:$C3742,C3742,$D$2:$D3742,"*Package*"))</f>
        <v/>
      </c>
      <c r="G3742" t="str">
        <f t="shared" si="91"/>
        <v/>
      </c>
      <c r="H3742" s="33">
        <f>IF(ISNUMBER(SEARCH("Group",D3742)),IF(G3742="",E3742,IFERROR(E3742/COUNTIF($G2:$G6000,G3742),E3742)),E3742)</f>
        <v>0</v>
      </c>
      <c r="I3742" s="1" t="str">
        <f>IFERROR(VLOOKUP(C3742,'Clients List'!A:F,6,FALSE),"")</f>
        <v/>
      </c>
    </row>
    <row r="3743" spans="4:9" x14ac:dyDescent="0.45">
      <c r="D3743" t="str">
        <f>IFERROR(VLOOKUP(C3743,'Clients List'!$A:$F,2,FALSE),"")</f>
        <v/>
      </c>
      <c r="F3743" s="1" t="str">
        <f>IF(OR(C3743="",NOT(ISNUMBER(SEARCH("Package",D3743)))),"",VLOOKUP(C3743,'Clients List'!$A:$F,4,FALSE)-SUMIFS($E$2:$E3743,$C$2:$C3743,C3743,$D$2:$D3743,"*Package*"))</f>
        <v/>
      </c>
      <c r="G3743" t="str">
        <f t="shared" si="91"/>
        <v/>
      </c>
      <c r="H3743" s="33">
        <f>IF(ISNUMBER(SEARCH("Group",D3743)),IF(G3743="",E3743,IFERROR(E3743/COUNTIF($G2:$G6000,G3743),E3743)),E3743)</f>
        <v>0</v>
      </c>
      <c r="I3743" s="1" t="str">
        <f>IFERROR(VLOOKUP(C3743,'Clients List'!A:F,6,FALSE),"")</f>
        <v/>
      </c>
    </row>
    <row r="3744" spans="4:9" x14ac:dyDescent="0.45">
      <c r="D3744" t="str">
        <f>IFERROR(VLOOKUP(C3744,'Clients List'!$A:$F,2,FALSE),"")</f>
        <v/>
      </c>
      <c r="F3744" s="1" t="str">
        <f>IF(OR(C3744="",NOT(ISNUMBER(SEARCH("Package",D3744)))),"",VLOOKUP(C3744,'Clients List'!$A:$F,4,FALSE)-SUMIFS($E$2:$E3744,$C$2:$C3744,C3744,$D$2:$D3744,"*Package*"))</f>
        <v/>
      </c>
      <c r="G3744" t="str">
        <f t="shared" si="91"/>
        <v/>
      </c>
      <c r="H3744" s="33">
        <f>IF(ISNUMBER(SEARCH("Group",D3744)),IF(G3744="",E3744,IFERROR(E3744/COUNTIF($G2:$G6000,G3744),E3744)),E3744)</f>
        <v>0</v>
      </c>
      <c r="I3744" s="1" t="str">
        <f>IFERROR(VLOOKUP(C3744,'Clients List'!A:F,6,FALSE),"")</f>
        <v/>
      </c>
    </row>
    <row r="3745" spans="4:9" x14ac:dyDescent="0.45">
      <c r="D3745" t="str">
        <f>IFERROR(VLOOKUP(C3745,'Clients List'!$A:$F,2,FALSE),"")</f>
        <v/>
      </c>
      <c r="F3745" s="1" t="str">
        <f>IF(OR(C3745="",NOT(ISNUMBER(SEARCH("Package",D3745)))),"",VLOOKUP(C3745,'Clients List'!$A:$F,4,FALSE)-SUMIFS($E$2:$E3745,$C$2:$C3745,C3745,$D$2:$D3745,"*Package*"))</f>
        <v/>
      </c>
      <c r="G3745" t="str">
        <f t="shared" si="91"/>
        <v/>
      </c>
      <c r="H3745" s="33">
        <f>IF(ISNUMBER(SEARCH("Group",D3745)),IF(G3745="",E3745,IFERROR(E3745/COUNTIF($G2:$G6000,G3745),E3745)),E3745)</f>
        <v>0</v>
      </c>
      <c r="I3745" s="1" t="str">
        <f>IFERROR(VLOOKUP(C3745,'Clients List'!A:F,6,FALSE),"")</f>
        <v/>
      </c>
    </row>
    <row r="3746" spans="4:9" x14ac:dyDescent="0.45">
      <c r="D3746" t="str">
        <f>IFERROR(VLOOKUP(C3746,'Clients List'!$A:$F,2,FALSE),"")</f>
        <v/>
      </c>
      <c r="F3746" s="1" t="str">
        <f>IF(OR(C3746="",NOT(ISNUMBER(SEARCH("Package",D3746)))),"",VLOOKUP(C3746,'Clients List'!$A:$F,4,FALSE)-SUMIFS($E$2:$E3746,$C$2:$C3746,C3746,$D$2:$D3746,"*Package*"))</f>
        <v/>
      </c>
      <c r="G3746" t="str">
        <f t="shared" si="91"/>
        <v/>
      </c>
      <c r="H3746" s="33">
        <f>IF(ISNUMBER(SEARCH("Group",D3746)),IF(G3746="",E3746,IFERROR(E3746/COUNTIF($G2:$G6000,G3746),E3746)),E3746)</f>
        <v>0</v>
      </c>
      <c r="I3746" s="1" t="str">
        <f>IFERROR(VLOOKUP(C3746,'Clients List'!A:F,6,FALSE),"")</f>
        <v/>
      </c>
    </row>
    <row r="3747" spans="4:9" x14ac:dyDescent="0.45">
      <c r="D3747" t="str">
        <f>IFERROR(VLOOKUP(C3747,'Clients List'!$A:$F,2,FALSE),"")</f>
        <v/>
      </c>
      <c r="F3747" s="1" t="str">
        <f>IF(OR(C3747="",NOT(ISNUMBER(SEARCH("Package",D3747)))),"",VLOOKUP(C3747,'Clients List'!$A:$F,4,FALSE)-SUMIFS($E$2:$E3747,$C$2:$C3747,C3747,$D$2:$D3747,"*Package*"))</f>
        <v/>
      </c>
      <c r="G3747" t="str">
        <f t="shared" si="91"/>
        <v/>
      </c>
      <c r="H3747" s="33">
        <f>IF(ISNUMBER(SEARCH("Group",D3747)),IF(G3747="",E3747,IFERROR(E3747/COUNTIF($G2:$G6000,G3747),E3747)),E3747)</f>
        <v>0</v>
      </c>
      <c r="I3747" s="1" t="str">
        <f>IFERROR(VLOOKUP(C3747,'Clients List'!A:F,6,FALSE),"")</f>
        <v/>
      </c>
    </row>
    <row r="3748" spans="4:9" x14ac:dyDescent="0.45">
      <c r="D3748" t="str">
        <f>IFERROR(VLOOKUP(C3748,'Clients List'!$A:$F,2,FALSE),"")</f>
        <v/>
      </c>
      <c r="F3748" s="1" t="str">
        <f>IF(OR(C3748="",NOT(ISNUMBER(SEARCH("Package",D3748)))),"",VLOOKUP(C3748,'Clients List'!$A:$F,4,FALSE)-SUMIFS($E$2:$E3748,$C$2:$C3748,C3748,$D$2:$D3748,"*Package*"))</f>
        <v/>
      </c>
      <c r="G3748" t="str">
        <f t="shared" si="91"/>
        <v/>
      </c>
      <c r="H3748" s="33">
        <f>IF(ISNUMBER(SEARCH("Group",D3748)),IF(G3748="",E3748,IFERROR(E3748/COUNTIF($G2:$G6000,G3748),E3748)),E3748)</f>
        <v>0</v>
      </c>
      <c r="I3748" s="1" t="str">
        <f>IFERROR(VLOOKUP(C3748,'Clients List'!A:F,6,FALSE),"")</f>
        <v/>
      </c>
    </row>
    <row r="3749" spans="4:9" x14ac:dyDescent="0.45">
      <c r="D3749" t="str">
        <f>IFERROR(VLOOKUP(C3749,'Clients List'!$A:$F,2,FALSE),"")</f>
        <v/>
      </c>
      <c r="F3749" s="1" t="str">
        <f>IF(OR(C3749="",NOT(ISNUMBER(SEARCH("Package",D3749)))),"",VLOOKUP(C3749,'Clients List'!$A:$F,4,FALSE)-SUMIFS($E$2:$E3749,$C$2:$C3749,C3749,$D$2:$D3749,"*Package*"))</f>
        <v/>
      </c>
      <c r="G3749" t="str">
        <f t="shared" si="91"/>
        <v/>
      </c>
      <c r="H3749" s="33">
        <f>IF(ISNUMBER(SEARCH("Group",D3749)),IF(G3749="",E3749,IFERROR(E3749/COUNTIF($G2:$G6000,G3749),E3749)),E3749)</f>
        <v>0</v>
      </c>
      <c r="I3749" s="1" t="str">
        <f>IFERROR(VLOOKUP(C3749,'Clients List'!A:F,6,FALSE),"")</f>
        <v/>
      </c>
    </row>
    <row r="3750" spans="4:9" x14ac:dyDescent="0.45">
      <c r="D3750" t="str">
        <f>IFERROR(VLOOKUP(C3750,'Clients List'!$A:$F,2,FALSE),"")</f>
        <v/>
      </c>
      <c r="F3750" s="1" t="str">
        <f>IF(OR(C3750="",NOT(ISNUMBER(SEARCH("Package",D3750)))),"",VLOOKUP(C3750,'Clients List'!$A:$F,4,FALSE)-SUMIFS($E$2:$E3750,$C$2:$C3750,C3750,$D$2:$D3750,"*Package*"))</f>
        <v/>
      </c>
      <c r="G3750" t="str">
        <f t="shared" si="91"/>
        <v/>
      </c>
      <c r="H3750" s="33">
        <f>IF(ISNUMBER(SEARCH("Group",D3750)),IF(G3750="",E3750,IFERROR(E3750/COUNTIF($G2:$G6000,G3750),E3750)),E3750)</f>
        <v>0</v>
      </c>
      <c r="I3750" s="1" t="str">
        <f>IFERROR(VLOOKUP(C3750,'Clients List'!A:F,6,FALSE),"")</f>
        <v/>
      </c>
    </row>
    <row r="3751" spans="4:9" x14ac:dyDescent="0.45">
      <c r="D3751" t="str">
        <f>IFERROR(VLOOKUP(C3751,'Clients List'!$A:$F,2,FALSE),"")</f>
        <v/>
      </c>
      <c r="F3751" s="1" t="str">
        <f>IF(OR(C3751="",NOT(ISNUMBER(SEARCH("Package",D3751)))),"",VLOOKUP(C3751,'Clients List'!$A:$F,4,FALSE)-SUMIFS($E$2:$E3751,$C$2:$C3751,C3751,$D$2:$D3751,"*Package*"))</f>
        <v/>
      </c>
      <c r="G3751" t="str">
        <f t="shared" si="91"/>
        <v/>
      </c>
      <c r="H3751" s="33">
        <f>IF(ISNUMBER(SEARCH("Group",D3751)),IF(G3751="",E3751,IFERROR(E3751/COUNTIF($G2:$G6000,G3751),E3751)),E3751)</f>
        <v>0</v>
      </c>
      <c r="I3751" s="1" t="str">
        <f>IFERROR(VLOOKUP(C3751,'Clients List'!A:F,6,FALSE),"")</f>
        <v/>
      </c>
    </row>
    <row r="3752" spans="4:9" x14ac:dyDescent="0.45">
      <c r="D3752" t="str">
        <f>IFERROR(VLOOKUP(C3752,'Clients List'!$A:$F,2,FALSE),"")</f>
        <v/>
      </c>
      <c r="F3752" s="1" t="str">
        <f>IF(OR(C3752="",NOT(ISNUMBER(SEARCH("Package",D3752)))),"",VLOOKUP(C3752,'Clients List'!$A:$F,4,FALSE)-SUMIFS($E$2:$E3752,$C$2:$C3752,C3752,$D$2:$D3752,"*Package*"))</f>
        <v/>
      </c>
      <c r="G3752" t="str">
        <f t="shared" si="91"/>
        <v/>
      </c>
      <c r="H3752" s="33">
        <f>IF(ISNUMBER(SEARCH("Group",D3752)),IF(G3752="",E3752,IFERROR(E3752/COUNTIF($G2:$G6000,G3752),E3752)),E3752)</f>
        <v>0</v>
      </c>
      <c r="I3752" s="1" t="str">
        <f>IFERROR(VLOOKUP(C3752,'Clients List'!A:F,6,FALSE),"")</f>
        <v/>
      </c>
    </row>
    <row r="3753" spans="4:9" x14ac:dyDescent="0.45">
      <c r="D3753" t="str">
        <f>IFERROR(VLOOKUP(C3753,'Clients List'!$A:$F,2,FALSE),"")</f>
        <v/>
      </c>
      <c r="F3753" s="1" t="str">
        <f>IF(OR(C3753="",NOT(ISNUMBER(SEARCH("Package",D3753)))),"",VLOOKUP(C3753,'Clients List'!$A:$F,4,FALSE)-SUMIFS($E$2:$E3753,$C$2:$C3753,C3753,$D$2:$D3753,"*Package*"))</f>
        <v/>
      </c>
      <c r="G3753" t="str">
        <f t="shared" si="91"/>
        <v/>
      </c>
      <c r="H3753" s="33">
        <f>IF(ISNUMBER(SEARCH("Group",D3753)),IF(G3753="",E3753,IFERROR(E3753/COUNTIF($G2:$G6000,G3753),E3753)),E3753)</f>
        <v>0</v>
      </c>
      <c r="I3753" s="1" t="str">
        <f>IFERROR(VLOOKUP(C3753,'Clients List'!A:F,6,FALSE),"")</f>
        <v/>
      </c>
    </row>
    <row r="3754" spans="4:9" x14ac:dyDescent="0.45">
      <c r="D3754" t="str">
        <f>IFERROR(VLOOKUP(C3754,'Clients List'!$A:$F,2,FALSE),"")</f>
        <v/>
      </c>
      <c r="F3754" s="1" t="str">
        <f>IF(OR(C3754="",NOT(ISNUMBER(SEARCH("Package",D3754)))),"",VLOOKUP(C3754,'Clients List'!$A:$F,4,FALSE)-SUMIFS($E$2:$E3754,$C$2:$C3754,C3754,$D$2:$D3754,"*Package*"))</f>
        <v/>
      </c>
      <c r="G3754" t="str">
        <f t="shared" si="91"/>
        <v/>
      </c>
      <c r="H3754" s="33">
        <f>IF(ISNUMBER(SEARCH("Group",D3754)),IF(G3754="",E3754,IFERROR(E3754/COUNTIF($G2:$G6000,G3754),E3754)),E3754)</f>
        <v>0</v>
      </c>
      <c r="I3754" s="1" t="str">
        <f>IFERROR(VLOOKUP(C3754,'Clients List'!A:F,6,FALSE),"")</f>
        <v/>
      </c>
    </row>
    <row r="3755" spans="4:9" x14ac:dyDescent="0.45">
      <c r="D3755" t="str">
        <f>IFERROR(VLOOKUP(C3755,'Clients List'!$A:$F,2,FALSE),"")</f>
        <v/>
      </c>
      <c r="F3755" s="1" t="str">
        <f>IF(OR(C3755="",NOT(ISNUMBER(SEARCH("Package",D3755)))),"",VLOOKUP(C3755,'Clients List'!$A:$F,4,FALSE)-SUMIFS($E$2:$E3755,$C$2:$C3755,C3755,$D$2:$D3755,"*Package*"))</f>
        <v/>
      </c>
      <c r="G3755" t="str">
        <f t="shared" si="91"/>
        <v/>
      </c>
      <c r="H3755" s="33">
        <f>IF(ISNUMBER(SEARCH("Group",D3755)),IF(G3755="",E3755,IFERROR(E3755/COUNTIF($G2:$G6000,G3755),E3755)),E3755)</f>
        <v>0</v>
      </c>
      <c r="I3755" s="1" t="str">
        <f>IFERROR(VLOOKUP(C3755,'Clients List'!A:F,6,FALSE),"")</f>
        <v/>
      </c>
    </row>
    <row r="3756" spans="4:9" x14ac:dyDescent="0.45">
      <c r="D3756" t="str">
        <f>IFERROR(VLOOKUP(C3756,'Clients List'!$A:$F,2,FALSE),"")</f>
        <v/>
      </c>
      <c r="F3756" s="1" t="str">
        <f>IF(OR(C3756="",NOT(ISNUMBER(SEARCH("Package",D3756)))),"",VLOOKUP(C3756,'Clients List'!$A:$F,4,FALSE)-SUMIFS($E$2:$E3756,$C$2:$C3756,C3756,$D$2:$D3756,"*Package*"))</f>
        <v/>
      </c>
      <c r="G3756" t="str">
        <f t="shared" si="91"/>
        <v/>
      </c>
      <c r="H3756" s="33">
        <f>IF(ISNUMBER(SEARCH("Group",D3756)),IF(G3756="",E3756,IFERROR(E3756/COUNTIF($G2:$G6000,G3756),E3756)),E3756)</f>
        <v>0</v>
      </c>
      <c r="I3756" s="1" t="str">
        <f>IFERROR(VLOOKUP(C3756,'Clients List'!A:F,6,FALSE),"")</f>
        <v/>
      </c>
    </row>
    <row r="3757" spans="4:9" x14ac:dyDescent="0.45">
      <c r="D3757" t="str">
        <f>IFERROR(VLOOKUP(C3757,'Clients List'!$A:$F,2,FALSE),"")</f>
        <v/>
      </c>
      <c r="F3757" s="1" t="str">
        <f>IF(OR(C3757="",NOT(ISNUMBER(SEARCH("Package",D3757)))),"",VLOOKUP(C3757,'Clients List'!$A:$F,4,FALSE)-SUMIFS($E$2:$E3757,$C$2:$C3757,C3757,$D$2:$D3757,"*Package*"))</f>
        <v/>
      </c>
      <c r="G3757" t="str">
        <f t="shared" si="91"/>
        <v/>
      </c>
      <c r="H3757" s="33">
        <f>IF(ISNUMBER(SEARCH("Group",D3757)),IF(G3757="",E3757,IFERROR(E3757/COUNTIF($G2:$G6000,G3757),E3757)),E3757)</f>
        <v>0</v>
      </c>
      <c r="I3757" s="1" t="str">
        <f>IFERROR(VLOOKUP(C3757,'Clients List'!A:F,6,FALSE),"")</f>
        <v/>
      </c>
    </row>
    <row r="3758" spans="4:9" x14ac:dyDescent="0.45">
      <c r="D3758" t="str">
        <f>IFERROR(VLOOKUP(C3758,'Clients List'!$A:$F,2,FALSE),"")</f>
        <v/>
      </c>
      <c r="F3758" s="1" t="str">
        <f>IF(OR(C3758="",NOT(ISNUMBER(SEARCH("Package",D3758)))),"",VLOOKUP(C3758,'Clients List'!$A:$F,4,FALSE)-SUMIFS($E$2:$E3758,$C$2:$C3758,C3758,$D$2:$D3758,"*Package*"))</f>
        <v/>
      </c>
      <c r="G3758" t="str">
        <f t="shared" si="91"/>
        <v/>
      </c>
      <c r="H3758" s="33">
        <f>IF(ISNUMBER(SEARCH("Group",D3758)),IF(G3758="",E3758,IFERROR(E3758/COUNTIF($G2:$G6000,G3758),E3758)),E3758)</f>
        <v>0</v>
      </c>
      <c r="I3758" s="1" t="str">
        <f>IFERROR(VLOOKUP(C3758,'Clients List'!A:F,6,FALSE),"")</f>
        <v/>
      </c>
    </row>
    <row r="3759" spans="4:9" x14ac:dyDescent="0.45">
      <c r="D3759" t="str">
        <f>IFERROR(VLOOKUP(C3759,'Clients List'!$A:$F,2,FALSE),"")</f>
        <v/>
      </c>
      <c r="F3759" s="1" t="str">
        <f>IF(OR(C3759="",NOT(ISNUMBER(SEARCH("Package",D3759)))),"",VLOOKUP(C3759,'Clients List'!$A:$F,4,FALSE)-SUMIFS($E$2:$E3759,$C$2:$C3759,C3759,$D$2:$D3759,"*Package*"))</f>
        <v/>
      </c>
      <c r="G3759" t="str">
        <f t="shared" si="91"/>
        <v/>
      </c>
      <c r="H3759" s="33">
        <f>IF(ISNUMBER(SEARCH("Group",D3759)),IF(G3759="",E3759,IFERROR(E3759/COUNTIF($G2:$G6000,G3759),E3759)),E3759)</f>
        <v>0</v>
      </c>
      <c r="I3759" s="1" t="str">
        <f>IFERROR(VLOOKUP(C3759,'Clients List'!A:F,6,FALSE),"")</f>
        <v/>
      </c>
    </row>
    <row r="3760" spans="4:9" x14ac:dyDescent="0.45">
      <c r="D3760" t="str">
        <f>IFERROR(VLOOKUP(C3760,'Clients List'!$A:$F,2,FALSE),"")</f>
        <v/>
      </c>
      <c r="F3760" s="1" t="str">
        <f>IF(OR(C3760="",NOT(ISNUMBER(SEARCH("Package",D3760)))),"",VLOOKUP(C3760,'Clients List'!$A:$F,4,FALSE)-SUMIFS($E$2:$E3760,$C$2:$C3760,C3760,$D$2:$D3760,"*Package*"))</f>
        <v/>
      </c>
      <c r="G3760" t="str">
        <f t="shared" si="91"/>
        <v/>
      </c>
      <c r="H3760" s="33">
        <f>IF(ISNUMBER(SEARCH("Group",D3760)),IF(G3760="",E3760,IFERROR(E3760/COUNTIF($G2:$G6000,G3760),E3760)),E3760)</f>
        <v>0</v>
      </c>
      <c r="I3760" s="1" t="str">
        <f>IFERROR(VLOOKUP(C3760,'Clients List'!A:F,6,FALSE),"")</f>
        <v/>
      </c>
    </row>
    <row r="3761" spans="4:9" x14ac:dyDescent="0.45">
      <c r="D3761" t="str">
        <f>IFERROR(VLOOKUP(C3761,'Clients List'!$A:$F,2,FALSE),"")</f>
        <v/>
      </c>
      <c r="F3761" s="1" t="str">
        <f>IF(OR(C3761="",NOT(ISNUMBER(SEARCH("Package",D3761)))),"",VLOOKUP(C3761,'Clients List'!$A:$F,4,FALSE)-SUMIFS($E$2:$E3761,$C$2:$C3761,C3761,$D$2:$D3761,"*Package*"))</f>
        <v/>
      </c>
      <c r="G3761" t="str">
        <f t="shared" si="91"/>
        <v/>
      </c>
      <c r="H3761" s="33">
        <f>IF(ISNUMBER(SEARCH("Group",D3761)),IF(G3761="",E3761,IFERROR(E3761/COUNTIF($G2:$G6000,G3761),E3761)),E3761)</f>
        <v>0</v>
      </c>
      <c r="I3761" s="1" t="str">
        <f>IFERROR(VLOOKUP(C3761,'Clients List'!A:F,6,FALSE),"")</f>
        <v/>
      </c>
    </row>
    <row r="3762" spans="4:9" x14ac:dyDescent="0.45">
      <c r="D3762" t="str">
        <f>IFERROR(VLOOKUP(C3762,'Clients List'!$A:$F,2,FALSE),"")</f>
        <v/>
      </c>
      <c r="F3762" s="1" t="str">
        <f>IF(OR(C3762="",NOT(ISNUMBER(SEARCH("Package",D3762)))),"",VLOOKUP(C3762,'Clients List'!$A:$F,4,FALSE)-SUMIFS($E$2:$E3762,$C$2:$C3762,C3762,$D$2:$D3762,"*Package*"))</f>
        <v/>
      </c>
      <c r="G3762" t="str">
        <f t="shared" si="91"/>
        <v/>
      </c>
      <c r="H3762" s="33">
        <f>IF(ISNUMBER(SEARCH("Group",D3762)),IF(G3762="",E3762,IFERROR(E3762/COUNTIF($G2:$G6000,G3762),E3762)),E3762)</f>
        <v>0</v>
      </c>
      <c r="I3762" s="1" t="str">
        <f>IFERROR(VLOOKUP(C3762,'Clients List'!A:F,6,FALSE),"")</f>
        <v/>
      </c>
    </row>
    <row r="3763" spans="4:9" x14ac:dyDescent="0.45">
      <c r="D3763" t="str">
        <f>IFERROR(VLOOKUP(C3763,'Clients List'!$A:$F,2,FALSE),"")</f>
        <v/>
      </c>
      <c r="F3763" s="1" t="str">
        <f>IF(OR(C3763="",NOT(ISNUMBER(SEARCH("Package",D3763)))),"",VLOOKUP(C3763,'Clients List'!$A:$F,4,FALSE)-SUMIFS($E$2:$E3763,$C$2:$C3763,C3763,$D$2:$D3763,"*Package*"))</f>
        <v/>
      </c>
      <c r="G3763" t="str">
        <f t="shared" si="91"/>
        <v/>
      </c>
      <c r="H3763" s="33">
        <f>IF(ISNUMBER(SEARCH("Group",D3763)),IF(G3763="",E3763,IFERROR(E3763/COUNTIF($G2:$G6000,G3763),E3763)),E3763)</f>
        <v>0</v>
      </c>
      <c r="I3763" s="1" t="str">
        <f>IFERROR(VLOOKUP(C3763,'Clients List'!A:F,6,FALSE),"")</f>
        <v/>
      </c>
    </row>
    <row r="3764" spans="4:9" x14ac:dyDescent="0.45">
      <c r="D3764" t="str">
        <f>IFERROR(VLOOKUP(C3764,'Clients List'!$A:$F,2,FALSE),"")</f>
        <v/>
      </c>
      <c r="F3764" s="1" t="str">
        <f>IF(OR(C3764="",NOT(ISNUMBER(SEARCH("Package",D3764)))),"",VLOOKUP(C3764,'Clients List'!$A:$F,4,FALSE)-SUMIFS($E$2:$E3764,$C$2:$C3764,C3764,$D$2:$D3764,"*Package*"))</f>
        <v/>
      </c>
      <c r="G3764" t="str">
        <f t="shared" si="91"/>
        <v/>
      </c>
      <c r="H3764" s="33">
        <f>IF(ISNUMBER(SEARCH("Group",D3764)),IF(G3764="",E3764,IFERROR(E3764/COUNTIF($G2:$G6000,G3764),E3764)),E3764)</f>
        <v>0</v>
      </c>
      <c r="I3764" s="1" t="str">
        <f>IFERROR(VLOOKUP(C3764,'Clients List'!A:F,6,FALSE),"")</f>
        <v/>
      </c>
    </row>
    <row r="3765" spans="4:9" x14ac:dyDescent="0.45">
      <c r="D3765" t="str">
        <f>IFERROR(VLOOKUP(C3765,'Clients List'!$A:$F,2,FALSE),"")</f>
        <v/>
      </c>
      <c r="F3765" s="1" t="str">
        <f>IF(OR(C3765="",NOT(ISNUMBER(SEARCH("Package",D3765)))),"",VLOOKUP(C3765,'Clients List'!$A:$F,4,FALSE)-SUMIFS($E$2:$E3765,$C$2:$C3765,C3765,$D$2:$D3765,"*Package*"))</f>
        <v/>
      </c>
      <c r="G3765" t="str">
        <f t="shared" ref="G3765:G3828" si="92">IF(ISNUMBER(SEARCH("Group",D3765)),IFERROR("GRP-"&amp;TEXT(IF(ISNUMBER(A3765),A3765,DATEVALUE(A3765)),"yyyymmdd"),""),"" )</f>
        <v/>
      </c>
      <c r="H3765" s="33">
        <f>IF(ISNUMBER(SEARCH("Group",D3765)),IF(G3765="",E3765,IFERROR(E3765/COUNTIF($G2:$G6000,G3765),E3765)),E3765)</f>
        <v>0</v>
      </c>
      <c r="I3765" s="1" t="str">
        <f>IFERROR(VLOOKUP(C3765,'Clients List'!A:F,6,FALSE),"")</f>
        <v/>
      </c>
    </row>
    <row r="3766" spans="4:9" x14ac:dyDescent="0.45">
      <c r="D3766" t="str">
        <f>IFERROR(VLOOKUP(C3766,'Clients List'!$A:$F,2,FALSE),"")</f>
        <v/>
      </c>
      <c r="F3766" s="1" t="str">
        <f>IF(OR(C3766="",NOT(ISNUMBER(SEARCH("Package",D3766)))),"",VLOOKUP(C3766,'Clients List'!$A:$F,4,FALSE)-SUMIFS($E$2:$E3766,$C$2:$C3766,C3766,$D$2:$D3766,"*Package*"))</f>
        <v/>
      </c>
      <c r="G3766" t="str">
        <f t="shared" si="92"/>
        <v/>
      </c>
      <c r="H3766" s="33">
        <f>IF(ISNUMBER(SEARCH("Group",D3766)),IF(G3766="",E3766,IFERROR(E3766/COUNTIF($G2:$G6000,G3766),E3766)),E3766)</f>
        <v>0</v>
      </c>
      <c r="I3766" s="1" t="str">
        <f>IFERROR(VLOOKUP(C3766,'Clients List'!A:F,6,FALSE),"")</f>
        <v/>
      </c>
    </row>
    <row r="3767" spans="4:9" x14ac:dyDescent="0.45">
      <c r="D3767" t="str">
        <f>IFERROR(VLOOKUP(C3767,'Clients List'!$A:$F,2,FALSE),"")</f>
        <v/>
      </c>
      <c r="F3767" s="1" t="str">
        <f>IF(OR(C3767="",NOT(ISNUMBER(SEARCH("Package",D3767)))),"",VLOOKUP(C3767,'Clients List'!$A:$F,4,FALSE)-SUMIFS($E$2:$E3767,$C$2:$C3767,C3767,$D$2:$D3767,"*Package*"))</f>
        <v/>
      </c>
      <c r="G3767" t="str">
        <f t="shared" si="92"/>
        <v/>
      </c>
      <c r="H3767" s="33">
        <f>IF(ISNUMBER(SEARCH("Group",D3767)),IF(G3767="",E3767,IFERROR(E3767/COUNTIF($G2:$G6000,G3767),E3767)),E3767)</f>
        <v>0</v>
      </c>
      <c r="I3767" s="1" t="str">
        <f>IFERROR(VLOOKUP(C3767,'Clients List'!A:F,6,FALSE),"")</f>
        <v/>
      </c>
    </row>
    <row r="3768" spans="4:9" x14ac:dyDescent="0.45">
      <c r="D3768" t="str">
        <f>IFERROR(VLOOKUP(C3768,'Clients List'!$A:$F,2,FALSE),"")</f>
        <v/>
      </c>
      <c r="F3768" s="1" t="str">
        <f>IF(OR(C3768="",NOT(ISNUMBER(SEARCH("Package",D3768)))),"",VLOOKUP(C3768,'Clients List'!$A:$F,4,FALSE)-SUMIFS($E$2:$E3768,$C$2:$C3768,C3768,$D$2:$D3768,"*Package*"))</f>
        <v/>
      </c>
      <c r="G3768" t="str">
        <f t="shared" si="92"/>
        <v/>
      </c>
      <c r="H3768" s="33">
        <f>IF(ISNUMBER(SEARCH("Group",D3768)),IF(G3768="",E3768,IFERROR(E3768/COUNTIF($G2:$G6000,G3768),E3768)),E3768)</f>
        <v>0</v>
      </c>
      <c r="I3768" s="1" t="str">
        <f>IFERROR(VLOOKUP(C3768,'Clients List'!A:F,6,FALSE),"")</f>
        <v/>
      </c>
    </row>
    <row r="3769" spans="4:9" x14ac:dyDescent="0.45">
      <c r="D3769" t="str">
        <f>IFERROR(VLOOKUP(C3769,'Clients List'!$A:$F,2,FALSE),"")</f>
        <v/>
      </c>
      <c r="F3769" s="1" t="str">
        <f>IF(OR(C3769="",NOT(ISNUMBER(SEARCH("Package",D3769)))),"",VLOOKUP(C3769,'Clients List'!$A:$F,4,FALSE)-SUMIFS($E$2:$E3769,$C$2:$C3769,C3769,$D$2:$D3769,"*Package*"))</f>
        <v/>
      </c>
      <c r="G3769" t="str">
        <f t="shared" si="92"/>
        <v/>
      </c>
      <c r="H3769" s="33">
        <f>IF(ISNUMBER(SEARCH("Group",D3769)),IF(G3769="",E3769,IFERROR(E3769/COUNTIF($G2:$G6000,G3769),E3769)),E3769)</f>
        <v>0</v>
      </c>
      <c r="I3769" s="1" t="str">
        <f>IFERROR(VLOOKUP(C3769,'Clients List'!A:F,6,FALSE),"")</f>
        <v/>
      </c>
    </row>
    <row r="3770" spans="4:9" x14ac:dyDescent="0.45">
      <c r="D3770" t="str">
        <f>IFERROR(VLOOKUP(C3770,'Clients List'!$A:$F,2,FALSE),"")</f>
        <v/>
      </c>
      <c r="F3770" s="1" t="str">
        <f>IF(OR(C3770="",NOT(ISNUMBER(SEARCH("Package",D3770)))),"",VLOOKUP(C3770,'Clients List'!$A:$F,4,FALSE)-SUMIFS($E$2:$E3770,$C$2:$C3770,C3770,$D$2:$D3770,"*Package*"))</f>
        <v/>
      </c>
      <c r="G3770" t="str">
        <f t="shared" si="92"/>
        <v/>
      </c>
      <c r="H3770" s="33">
        <f>IF(ISNUMBER(SEARCH("Group",D3770)),IF(G3770="",E3770,IFERROR(E3770/COUNTIF($G2:$G6000,G3770),E3770)),E3770)</f>
        <v>0</v>
      </c>
      <c r="I3770" s="1" t="str">
        <f>IFERROR(VLOOKUP(C3770,'Clients List'!A:F,6,FALSE),"")</f>
        <v/>
      </c>
    </row>
    <row r="3771" spans="4:9" x14ac:dyDescent="0.45">
      <c r="D3771" t="str">
        <f>IFERROR(VLOOKUP(C3771,'Clients List'!$A:$F,2,FALSE),"")</f>
        <v/>
      </c>
      <c r="F3771" s="1" t="str">
        <f>IF(OR(C3771="",NOT(ISNUMBER(SEARCH("Package",D3771)))),"",VLOOKUP(C3771,'Clients List'!$A:$F,4,FALSE)-SUMIFS($E$2:$E3771,$C$2:$C3771,C3771,$D$2:$D3771,"*Package*"))</f>
        <v/>
      </c>
      <c r="G3771" t="str">
        <f t="shared" si="92"/>
        <v/>
      </c>
      <c r="H3771" s="33">
        <f>IF(ISNUMBER(SEARCH("Group",D3771)),IF(G3771="",E3771,IFERROR(E3771/COUNTIF($G2:$G6000,G3771),E3771)),E3771)</f>
        <v>0</v>
      </c>
      <c r="I3771" s="1" t="str">
        <f>IFERROR(VLOOKUP(C3771,'Clients List'!A:F,6,FALSE),"")</f>
        <v/>
      </c>
    </row>
    <row r="3772" spans="4:9" x14ac:dyDescent="0.45">
      <c r="D3772" t="str">
        <f>IFERROR(VLOOKUP(C3772,'Clients List'!$A:$F,2,FALSE),"")</f>
        <v/>
      </c>
      <c r="F3772" s="1" t="str">
        <f>IF(OR(C3772="",NOT(ISNUMBER(SEARCH("Package",D3772)))),"",VLOOKUP(C3772,'Clients List'!$A:$F,4,FALSE)-SUMIFS($E$2:$E3772,$C$2:$C3772,C3772,$D$2:$D3772,"*Package*"))</f>
        <v/>
      </c>
      <c r="G3772" t="str">
        <f t="shared" si="92"/>
        <v/>
      </c>
      <c r="H3772" s="33">
        <f>IF(ISNUMBER(SEARCH("Group",D3772)),IF(G3772="",E3772,IFERROR(E3772/COUNTIF($G2:$G6000,G3772),E3772)),E3772)</f>
        <v>0</v>
      </c>
      <c r="I3772" s="1" t="str">
        <f>IFERROR(VLOOKUP(C3772,'Clients List'!A:F,6,FALSE),"")</f>
        <v/>
      </c>
    </row>
    <row r="3773" spans="4:9" x14ac:dyDescent="0.45">
      <c r="D3773" t="str">
        <f>IFERROR(VLOOKUP(C3773,'Clients List'!$A:$F,2,FALSE),"")</f>
        <v/>
      </c>
      <c r="F3773" s="1" t="str">
        <f>IF(OR(C3773="",NOT(ISNUMBER(SEARCH("Package",D3773)))),"",VLOOKUP(C3773,'Clients List'!$A:$F,4,FALSE)-SUMIFS($E$2:$E3773,$C$2:$C3773,C3773,$D$2:$D3773,"*Package*"))</f>
        <v/>
      </c>
      <c r="G3773" t="str">
        <f t="shared" si="92"/>
        <v/>
      </c>
      <c r="H3773" s="33">
        <f>IF(ISNUMBER(SEARCH("Group",D3773)),IF(G3773="",E3773,IFERROR(E3773/COUNTIF($G2:$G6000,G3773),E3773)),E3773)</f>
        <v>0</v>
      </c>
      <c r="I3773" s="1" t="str">
        <f>IFERROR(VLOOKUP(C3773,'Clients List'!A:F,6,FALSE),"")</f>
        <v/>
      </c>
    </row>
    <row r="3774" spans="4:9" x14ac:dyDescent="0.45">
      <c r="D3774" t="str">
        <f>IFERROR(VLOOKUP(C3774,'Clients List'!$A:$F,2,FALSE),"")</f>
        <v/>
      </c>
      <c r="F3774" s="1" t="str">
        <f>IF(OR(C3774="",NOT(ISNUMBER(SEARCH("Package",D3774)))),"",VLOOKUP(C3774,'Clients List'!$A:$F,4,FALSE)-SUMIFS($E$2:$E3774,$C$2:$C3774,C3774,$D$2:$D3774,"*Package*"))</f>
        <v/>
      </c>
      <c r="G3774" t="str">
        <f t="shared" si="92"/>
        <v/>
      </c>
      <c r="H3774" s="33">
        <f>IF(ISNUMBER(SEARCH("Group",D3774)),IF(G3774="",E3774,IFERROR(E3774/COUNTIF($G2:$G6000,G3774),E3774)),E3774)</f>
        <v>0</v>
      </c>
      <c r="I3774" s="1" t="str">
        <f>IFERROR(VLOOKUP(C3774,'Clients List'!A:F,6,FALSE),"")</f>
        <v/>
      </c>
    </row>
    <row r="3775" spans="4:9" x14ac:dyDescent="0.45">
      <c r="D3775" t="str">
        <f>IFERROR(VLOOKUP(C3775,'Clients List'!$A:$F,2,FALSE),"")</f>
        <v/>
      </c>
      <c r="F3775" s="1" t="str">
        <f>IF(OR(C3775="",NOT(ISNUMBER(SEARCH("Package",D3775)))),"",VLOOKUP(C3775,'Clients List'!$A:$F,4,FALSE)-SUMIFS($E$2:$E3775,$C$2:$C3775,C3775,$D$2:$D3775,"*Package*"))</f>
        <v/>
      </c>
      <c r="G3775" t="str">
        <f t="shared" si="92"/>
        <v/>
      </c>
      <c r="H3775" s="33">
        <f>IF(ISNUMBER(SEARCH("Group",D3775)),IF(G3775="",E3775,IFERROR(E3775/COUNTIF($G2:$G6000,G3775),E3775)),E3775)</f>
        <v>0</v>
      </c>
      <c r="I3775" s="1" t="str">
        <f>IFERROR(VLOOKUP(C3775,'Clients List'!A:F,6,FALSE),"")</f>
        <v/>
      </c>
    </row>
    <row r="3776" spans="4:9" x14ac:dyDescent="0.45">
      <c r="D3776" t="str">
        <f>IFERROR(VLOOKUP(C3776,'Clients List'!$A:$F,2,FALSE),"")</f>
        <v/>
      </c>
      <c r="F3776" s="1" t="str">
        <f>IF(OR(C3776="",NOT(ISNUMBER(SEARCH("Package",D3776)))),"",VLOOKUP(C3776,'Clients List'!$A:$F,4,FALSE)-SUMIFS($E$2:$E3776,$C$2:$C3776,C3776,$D$2:$D3776,"*Package*"))</f>
        <v/>
      </c>
      <c r="G3776" t="str">
        <f t="shared" si="92"/>
        <v/>
      </c>
      <c r="H3776" s="33">
        <f>IF(ISNUMBER(SEARCH("Group",D3776)),IF(G3776="",E3776,IFERROR(E3776/COUNTIF($G2:$G6000,G3776),E3776)),E3776)</f>
        <v>0</v>
      </c>
      <c r="I3776" s="1" t="str">
        <f>IFERROR(VLOOKUP(C3776,'Clients List'!A:F,6,FALSE),"")</f>
        <v/>
      </c>
    </row>
    <row r="3777" spans="4:9" x14ac:dyDescent="0.45">
      <c r="D3777" t="str">
        <f>IFERROR(VLOOKUP(C3777,'Clients List'!$A:$F,2,FALSE),"")</f>
        <v/>
      </c>
      <c r="F3777" s="1" t="str">
        <f>IF(OR(C3777="",NOT(ISNUMBER(SEARCH("Package",D3777)))),"",VLOOKUP(C3777,'Clients List'!$A:$F,4,FALSE)-SUMIFS($E$2:$E3777,$C$2:$C3777,C3777,$D$2:$D3777,"*Package*"))</f>
        <v/>
      </c>
      <c r="G3777" t="str">
        <f t="shared" si="92"/>
        <v/>
      </c>
      <c r="H3777" s="33">
        <f>IF(ISNUMBER(SEARCH("Group",D3777)),IF(G3777="",E3777,IFERROR(E3777/COUNTIF($G2:$G6000,G3777),E3777)),E3777)</f>
        <v>0</v>
      </c>
      <c r="I3777" s="1" t="str">
        <f>IFERROR(VLOOKUP(C3777,'Clients List'!A:F,6,FALSE),"")</f>
        <v/>
      </c>
    </row>
    <row r="3778" spans="4:9" x14ac:dyDescent="0.45">
      <c r="D3778" t="str">
        <f>IFERROR(VLOOKUP(C3778,'Clients List'!$A:$F,2,FALSE),"")</f>
        <v/>
      </c>
      <c r="F3778" s="1" t="str">
        <f>IF(OR(C3778="",NOT(ISNUMBER(SEARCH("Package",D3778)))),"",VLOOKUP(C3778,'Clients List'!$A:$F,4,FALSE)-SUMIFS($E$2:$E3778,$C$2:$C3778,C3778,$D$2:$D3778,"*Package*"))</f>
        <v/>
      </c>
      <c r="G3778" t="str">
        <f t="shared" si="92"/>
        <v/>
      </c>
      <c r="H3778" s="33">
        <f>IF(ISNUMBER(SEARCH("Group",D3778)),IF(G3778="",E3778,IFERROR(E3778/COUNTIF($G2:$G6000,G3778),E3778)),E3778)</f>
        <v>0</v>
      </c>
      <c r="I3778" s="1" t="str">
        <f>IFERROR(VLOOKUP(C3778,'Clients List'!A:F,6,FALSE),"")</f>
        <v/>
      </c>
    </row>
    <row r="3779" spans="4:9" x14ac:dyDescent="0.45">
      <c r="D3779" t="str">
        <f>IFERROR(VLOOKUP(C3779,'Clients List'!$A:$F,2,FALSE),"")</f>
        <v/>
      </c>
      <c r="F3779" s="1" t="str">
        <f>IF(OR(C3779="",NOT(ISNUMBER(SEARCH("Package",D3779)))),"",VLOOKUP(C3779,'Clients List'!$A:$F,4,FALSE)-SUMIFS($E$2:$E3779,$C$2:$C3779,C3779,$D$2:$D3779,"*Package*"))</f>
        <v/>
      </c>
      <c r="G3779" t="str">
        <f t="shared" si="92"/>
        <v/>
      </c>
      <c r="H3779" s="33">
        <f>IF(ISNUMBER(SEARCH("Group",D3779)),IF(G3779="",E3779,IFERROR(E3779/COUNTIF($G2:$G6000,G3779),E3779)),E3779)</f>
        <v>0</v>
      </c>
      <c r="I3779" s="1" t="str">
        <f>IFERROR(VLOOKUP(C3779,'Clients List'!A:F,6,FALSE),"")</f>
        <v/>
      </c>
    </row>
    <row r="3780" spans="4:9" x14ac:dyDescent="0.45">
      <c r="D3780" t="str">
        <f>IFERROR(VLOOKUP(C3780,'Clients List'!$A:$F,2,FALSE),"")</f>
        <v/>
      </c>
      <c r="F3780" s="1" t="str">
        <f>IF(OR(C3780="",NOT(ISNUMBER(SEARCH("Package",D3780)))),"",VLOOKUP(C3780,'Clients List'!$A:$F,4,FALSE)-SUMIFS($E$2:$E3780,$C$2:$C3780,C3780,$D$2:$D3780,"*Package*"))</f>
        <v/>
      </c>
      <c r="G3780" t="str">
        <f t="shared" si="92"/>
        <v/>
      </c>
      <c r="H3780" s="33">
        <f>IF(ISNUMBER(SEARCH("Group",D3780)),IF(G3780="",E3780,IFERROR(E3780/COUNTIF($G2:$G6000,G3780),E3780)),E3780)</f>
        <v>0</v>
      </c>
      <c r="I3780" s="1" t="str">
        <f>IFERROR(VLOOKUP(C3780,'Clients List'!A:F,6,FALSE),"")</f>
        <v/>
      </c>
    </row>
    <row r="3781" spans="4:9" x14ac:dyDescent="0.45">
      <c r="D3781" t="str">
        <f>IFERROR(VLOOKUP(C3781,'Clients List'!$A:$F,2,FALSE),"")</f>
        <v/>
      </c>
      <c r="F3781" s="1" t="str">
        <f>IF(OR(C3781="",NOT(ISNUMBER(SEARCH("Package",D3781)))),"",VLOOKUP(C3781,'Clients List'!$A:$F,4,FALSE)-SUMIFS($E$2:$E3781,$C$2:$C3781,C3781,$D$2:$D3781,"*Package*"))</f>
        <v/>
      </c>
      <c r="G3781" t="str">
        <f t="shared" si="92"/>
        <v/>
      </c>
      <c r="H3781" s="33">
        <f>IF(ISNUMBER(SEARCH("Group",D3781)),IF(G3781="",E3781,IFERROR(E3781/COUNTIF($G2:$G6000,G3781),E3781)),E3781)</f>
        <v>0</v>
      </c>
      <c r="I3781" s="1" t="str">
        <f>IFERROR(VLOOKUP(C3781,'Clients List'!A:F,6,FALSE),"")</f>
        <v/>
      </c>
    </row>
    <row r="3782" spans="4:9" x14ac:dyDescent="0.45">
      <c r="D3782" t="str">
        <f>IFERROR(VLOOKUP(C3782,'Clients List'!$A:$F,2,FALSE),"")</f>
        <v/>
      </c>
      <c r="F3782" s="1" t="str">
        <f>IF(OR(C3782="",NOT(ISNUMBER(SEARCH("Package",D3782)))),"",VLOOKUP(C3782,'Clients List'!$A:$F,4,FALSE)-SUMIFS($E$2:$E3782,$C$2:$C3782,C3782,$D$2:$D3782,"*Package*"))</f>
        <v/>
      </c>
      <c r="G3782" t="str">
        <f t="shared" si="92"/>
        <v/>
      </c>
      <c r="H3782" s="33">
        <f>IF(ISNUMBER(SEARCH("Group",D3782)),IF(G3782="",E3782,IFERROR(E3782/COUNTIF($G2:$G6000,G3782),E3782)),E3782)</f>
        <v>0</v>
      </c>
      <c r="I3782" s="1" t="str">
        <f>IFERROR(VLOOKUP(C3782,'Clients List'!A:F,6,FALSE),"")</f>
        <v/>
      </c>
    </row>
    <row r="3783" spans="4:9" x14ac:dyDescent="0.45">
      <c r="D3783" t="str">
        <f>IFERROR(VLOOKUP(C3783,'Clients List'!$A:$F,2,FALSE),"")</f>
        <v/>
      </c>
      <c r="F3783" s="1" t="str">
        <f>IF(OR(C3783="",NOT(ISNUMBER(SEARCH("Package",D3783)))),"",VLOOKUP(C3783,'Clients List'!$A:$F,4,FALSE)-SUMIFS($E$2:$E3783,$C$2:$C3783,C3783,$D$2:$D3783,"*Package*"))</f>
        <v/>
      </c>
      <c r="G3783" t="str">
        <f t="shared" si="92"/>
        <v/>
      </c>
      <c r="H3783" s="33">
        <f>IF(ISNUMBER(SEARCH("Group",D3783)),IF(G3783="",E3783,IFERROR(E3783/COUNTIF($G2:$G6000,G3783),E3783)),E3783)</f>
        <v>0</v>
      </c>
      <c r="I3783" s="1" t="str">
        <f>IFERROR(VLOOKUP(C3783,'Clients List'!A:F,6,FALSE),"")</f>
        <v/>
      </c>
    </row>
    <row r="3784" spans="4:9" x14ac:dyDescent="0.45">
      <c r="D3784" t="str">
        <f>IFERROR(VLOOKUP(C3784,'Clients List'!$A:$F,2,FALSE),"")</f>
        <v/>
      </c>
      <c r="F3784" s="1" t="str">
        <f>IF(OR(C3784="",NOT(ISNUMBER(SEARCH("Package",D3784)))),"",VLOOKUP(C3784,'Clients List'!$A:$F,4,FALSE)-SUMIFS($E$2:$E3784,$C$2:$C3784,C3784,$D$2:$D3784,"*Package*"))</f>
        <v/>
      </c>
      <c r="G3784" t="str">
        <f t="shared" si="92"/>
        <v/>
      </c>
      <c r="H3784" s="33">
        <f>IF(ISNUMBER(SEARCH("Group",D3784)),IF(G3784="",E3784,IFERROR(E3784/COUNTIF($G2:$G6000,G3784),E3784)),E3784)</f>
        <v>0</v>
      </c>
      <c r="I3784" s="1" t="str">
        <f>IFERROR(VLOOKUP(C3784,'Clients List'!A:F,6,FALSE),"")</f>
        <v/>
      </c>
    </row>
    <row r="3785" spans="4:9" x14ac:dyDescent="0.45">
      <c r="D3785" t="str">
        <f>IFERROR(VLOOKUP(C3785,'Clients List'!$A:$F,2,FALSE),"")</f>
        <v/>
      </c>
      <c r="F3785" s="1" t="str">
        <f>IF(OR(C3785="",NOT(ISNUMBER(SEARCH("Package",D3785)))),"",VLOOKUP(C3785,'Clients List'!$A:$F,4,FALSE)-SUMIFS($E$2:$E3785,$C$2:$C3785,C3785,$D$2:$D3785,"*Package*"))</f>
        <v/>
      </c>
      <c r="G3785" t="str">
        <f t="shared" si="92"/>
        <v/>
      </c>
      <c r="H3785" s="33">
        <f>IF(ISNUMBER(SEARCH("Group",D3785)),IF(G3785="",E3785,IFERROR(E3785/COUNTIF($G2:$G6000,G3785),E3785)),E3785)</f>
        <v>0</v>
      </c>
      <c r="I3785" s="1" t="str">
        <f>IFERROR(VLOOKUP(C3785,'Clients List'!A:F,6,FALSE),"")</f>
        <v/>
      </c>
    </row>
    <row r="3786" spans="4:9" x14ac:dyDescent="0.45">
      <c r="D3786" t="str">
        <f>IFERROR(VLOOKUP(C3786,'Clients List'!$A:$F,2,FALSE),"")</f>
        <v/>
      </c>
      <c r="F3786" s="1" t="str">
        <f>IF(OR(C3786="",NOT(ISNUMBER(SEARCH("Package",D3786)))),"",VLOOKUP(C3786,'Clients List'!$A:$F,4,FALSE)-SUMIFS($E$2:$E3786,$C$2:$C3786,C3786,$D$2:$D3786,"*Package*"))</f>
        <v/>
      </c>
      <c r="G3786" t="str">
        <f t="shared" si="92"/>
        <v/>
      </c>
      <c r="H3786" s="33">
        <f>IF(ISNUMBER(SEARCH("Group",D3786)),IF(G3786="",E3786,IFERROR(E3786/COUNTIF($G2:$G6000,G3786),E3786)),E3786)</f>
        <v>0</v>
      </c>
      <c r="I3786" s="1" t="str">
        <f>IFERROR(VLOOKUP(C3786,'Clients List'!A:F,6,FALSE),"")</f>
        <v/>
      </c>
    </row>
    <row r="3787" spans="4:9" x14ac:dyDescent="0.45">
      <c r="D3787" t="str">
        <f>IFERROR(VLOOKUP(C3787,'Clients List'!$A:$F,2,FALSE),"")</f>
        <v/>
      </c>
      <c r="F3787" s="1" t="str">
        <f>IF(OR(C3787="",NOT(ISNUMBER(SEARCH("Package",D3787)))),"",VLOOKUP(C3787,'Clients List'!$A:$F,4,FALSE)-SUMIFS($E$2:$E3787,$C$2:$C3787,C3787,$D$2:$D3787,"*Package*"))</f>
        <v/>
      </c>
      <c r="G3787" t="str">
        <f t="shared" si="92"/>
        <v/>
      </c>
      <c r="H3787" s="33">
        <f>IF(ISNUMBER(SEARCH("Group",D3787)),IF(G3787="",E3787,IFERROR(E3787/COUNTIF($G2:$G6000,G3787),E3787)),E3787)</f>
        <v>0</v>
      </c>
      <c r="I3787" s="1" t="str">
        <f>IFERROR(VLOOKUP(C3787,'Clients List'!A:F,6,FALSE),"")</f>
        <v/>
      </c>
    </row>
    <row r="3788" spans="4:9" x14ac:dyDescent="0.45">
      <c r="D3788" t="str">
        <f>IFERROR(VLOOKUP(C3788,'Clients List'!$A:$F,2,FALSE),"")</f>
        <v/>
      </c>
      <c r="F3788" s="1" t="str">
        <f>IF(OR(C3788="",NOT(ISNUMBER(SEARCH("Package",D3788)))),"",VLOOKUP(C3788,'Clients List'!$A:$F,4,FALSE)-SUMIFS($E$2:$E3788,$C$2:$C3788,C3788,$D$2:$D3788,"*Package*"))</f>
        <v/>
      </c>
      <c r="G3788" t="str">
        <f t="shared" si="92"/>
        <v/>
      </c>
      <c r="H3788" s="33">
        <f>IF(ISNUMBER(SEARCH("Group",D3788)),IF(G3788="",E3788,IFERROR(E3788/COUNTIF($G2:$G6000,G3788),E3788)),E3788)</f>
        <v>0</v>
      </c>
      <c r="I3788" s="1" t="str">
        <f>IFERROR(VLOOKUP(C3788,'Clients List'!A:F,6,FALSE),"")</f>
        <v/>
      </c>
    </row>
    <row r="3789" spans="4:9" x14ac:dyDescent="0.45">
      <c r="D3789" t="str">
        <f>IFERROR(VLOOKUP(C3789,'Clients List'!$A:$F,2,FALSE),"")</f>
        <v/>
      </c>
      <c r="F3789" s="1" t="str">
        <f>IF(OR(C3789="",NOT(ISNUMBER(SEARCH("Package",D3789)))),"",VLOOKUP(C3789,'Clients List'!$A:$F,4,FALSE)-SUMIFS($E$2:$E3789,$C$2:$C3789,C3789,$D$2:$D3789,"*Package*"))</f>
        <v/>
      </c>
      <c r="G3789" t="str">
        <f t="shared" si="92"/>
        <v/>
      </c>
      <c r="H3789" s="33">
        <f>IF(ISNUMBER(SEARCH("Group",D3789)),IF(G3789="",E3789,IFERROR(E3789/COUNTIF($G2:$G6000,G3789),E3789)),E3789)</f>
        <v>0</v>
      </c>
      <c r="I3789" s="1" t="str">
        <f>IFERROR(VLOOKUP(C3789,'Clients List'!A:F,6,FALSE),"")</f>
        <v/>
      </c>
    </row>
    <row r="3790" spans="4:9" x14ac:dyDescent="0.45">
      <c r="D3790" t="str">
        <f>IFERROR(VLOOKUP(C3790,'Clients List'!$A:$F,2,FALSE),"")</f>
        <v/>
      </c>
      <c r="F3790" s="1" t="str">
        <f>IF(OR(C3790="",NOT(ISNUMBER(SEARCH("Package",D3790)))),"",VLOOKUP(C3790,'Clients List'!$A:$F,4,FALSE)-SUMIFS($E$2:$E3790,$C$2:$C3790,C3790,$D$2:$D3790,"*Package*"))</f>
        <v/>
      </c>
      <c r="G3790" t="str">
        <f t="shared" si="92"/>
        <v/>
      </c>
      <c r="H3790" s="33">
        <f>IF(ISNUMBER(SEARCH("Group",D3790)),IF(G3790="",E3790,IFERROR(E3790/COUNTIF($G2:$G6000,G3790),E3790)),E3790)</f>
        <v>0</v>
      </c>
      <c r="I3790" s="1" t="str">
        <f>IFERROR(VLOOKUP(C3790,'Clients List'!A:F,6,FALSE),"")</f>
        <v/>
      </c>
    </row>
    <row r="3791" spans="4:9" x14ac:dyDescent="0.45">
      <c r="D3791" t="str">
        <f>IFERROR(VLOOKUP(C3791,'Clients List'!$A:$F,2,FALSE),"")</f>
        <v/>
      </c>
      <c r="F3791" s="1" t="str">
        <f>IF(OR(C3791="",NOT(ISNUMBER(SEARCH("Package",D3791)))),"",VLOOKUP(C3791,'Clients List'!$A:$F,4,FALSE)-SUMIFS($E$2:$E3791,$C$2:$C3791,C3791,$D$2:$D3791,"*Package*"))</f>
        <v/>
      </c>
      <c r="G3791" t="str">
        <f t="shared" si="92"/>
        <v/>
      </c>
      <c r="H3791" s="33">
        <f>IF(ISNUMBER(SEARCH("Group",D3791)),IF(G3791="",E3791,IFERROR(E3791/COUNTIF($G2:$G6000,G3791),E3791)),E3791)</f>
        <v>0</v>
      </c>
      <c r="I3791" s="1" t="str">
        <f>IFERROR(VLOOKUP(C3791,'Clients List'!A:F,6,FALSE),"")</f>
        <v/>
      </c>
    </row>
    <row r="3792" spans="4:9" x14ac:dyDescent="0.45">
      <c r="D3792" t="str">
        <f>IFERROR(VLOOKUP(C3792,'Clients List'!$A:$F,2,FALSE),"")</f>
        <v/>
      </c>
      <c r="F3792" s="1" t="str">
        <f>IF(OR(C3792="",NOT(ISNUMBER(SEARCH("Package",D3792)))),"",VLOOKUP(C3792,'Clients List'!$A:$F,4,FALSE)-SUMIFS($E$2:$E3792,$C$2:$C3792,C3792,$D$2:$D3792,"*Package*"))</f>
        <v/>
      </c>
      <c r="G3792" t="str">
        <f t="shared" si="92"/>
        <v/>
      </c>
      <c r="H3792" s="33">
        <f>IF(ISNUMBER(SEARCH("Group",D3792)),IF(G3792="",E3792,IFERROR(E3792/COUNTIF($G2:$G6000,G3792),E3792)),E3792)</f>
        <v>0</v>
      </c>
      <c r="I3792" s="1" t="str">
        <f>IFERROR(VLOOKUP(C3792,'Clients List'!A:F,6,FALSE),"")</f>
        <v/>
      </c>
    </row>
    <row r="3793" spans="4:9" x14ac:dyDescent="0.45">
      <c r="D3793" t="str">
        <f>IFERROR(VLOOKUP(C3793,'Clients List'!$A:$F,2,FALSE),"")</f>
        <v/>
      </c>
      <c r="F3793" s="1" t="str">
        <f>IF(OR(C3793="",NOT(ISNUMBER(SEARCH("Package",D3793)))),"",VLOOKUP(C3793,'Clients List'!$A:$F,4,FALSE)-SUMIFS($E$2:$E3793,$C$2:$C3793,C3793,$D$2:$D3793,"*Package*"))</f>
        <v/>
      </c>
      <c r="G3793" t="str">
        <f t="shared" si="92"/>
        <v/>
      </c>
      <c r="H3793" s="33">
        <f>IF(ISNUMBER(SEARCH("Group",D3793)),IF(G3793="",E3793,IFERROR(E3793/COUNTIF($G2:$G6000,G3793),E3793)),E3793)</f>
        <v>0</v>
      </c>
      <c r="I3793" s="1" t="str">
        <f>IFERROR(VLOOKUP(C3793,'Clients List'!A:F,6,FALSE),"")</f>
        <v/>
      </c>
    </row>
    <row r="3794" spans="4:9" x14ac:dyDescent="0.45">
      <c r="D3794" t="str">
        <f>IFERROR(VLOOKUP(C3794,'Clients List'!$A:$F,2,FALSE),"")</f>
        <v/>
      </c>
      <c r="F3794" s="1" t="str">
        <f>IF(OR(C3794="",NOT(ISNUMBER(SEARCH("Package",D3794)))),"",VLOOKUP(C3794,'Clients List'!$A:$F,4,FALSE)-SUMIFS($E$2:$E3794,$C$2:$C3794,C3794,$D$2:$D3794,"*Package*"))</f>
        <v/>
      </c>
      <c r="G3794" t="str">
        <f t="shared" si="92"/>
        <v/>
      </c>
      <c r="H3794" s="33">
        <f>IF(ISNUMBER(SEARCH("Group",D3794)),IF(G3794="",E3794,IFERROR(E3794/COUNTIF($G2:$G6000,G3794),E3794)),E3794)</f>
        <v>0</v>
      </c>
      <c r="I3794" s="1" t="str">
        <f>IFERROR(VLOOKUP(C3794,'Clients List'!A:F,6,FALSE),"")</f>
        <v/>
      </c>
    </row>
    <row r="3795" spans="4:9" x14ac:dyDescent="0.45">
      <c r="D3795" t="str">
        <f>IFERROR(VLOOKUP(C3795,'Clients List'!$A:$F,2,FALSE),"")</f>
        <v/>
      </c>
      <c r="F3795" s="1" t="str">
        <f>IF(OR(C3795="",NOT(ISNUMBER(SEARCH("Package",D3795)))),"",VLOOKUP(C3795,'Clients List'!$A:$F,4,FALSE)-SUMIFS($E$2:$E3795,$C$2:$C3795,C3795,$D$2:$D3795,"*Package*"))</f>
        <v/>
      </c>
      <c r="G3795" t="str">
        <f t="shared" si="92"/>
        <v/>
      </c>
      <c r="H3795" s="33">
        <f>IF(ISNUMBER(SEARCH("Group",D3795)),IF(G3795="",E3795,IFERROR(E3795/COUNTIF($G2:$G6000,G3795),E3795)),E3795)</f>
        <v>0</v>
      </c>
      <c r="I3795" s="1" t="str">
        <f>IFERROR(VLOOKUP(C3795,'Clients List'!A:F,6,FALSE),"")</f>
        <v/>
      </c>
    </row>
    <row r="3796" spans="4:9" x14ac:dyDescent="0.45">
      <c r="D3796" t="str">
        <f>IFERROR(VLOOKUP(C3796,'Clients List'!$A:$F,2,FALSE),"")</f>
        <v/>
      </c>
      <c r="F3796" s="1" t="str">
        <f>IF(OR(C3796="",NOT(ISNUMBER(SEARCH("Package",D3796)))),"",VLOOKUP(C3796,'Clients List'!$A:$F,4,FALSE)-SUMIFS($E$2:$E3796,$C$2:$C3796,C3796,$D$2:$D3796,"*Package*"))</f>
        <v/>
      </c>
      <c r="G3796" t="str">
        <f t="shared" si="92"/>
        <v/>
      </c>
      <c r="H3796" s="33">
        <f>IF(ISNUMBER(SEARCH("Group",D3796)),IF(G3796="",E3796,IFERROR(E3796/COUNTIF($G2:$G6000,G3796),E3796)),E3796)</f>
        <v>0</v>
      </c>
      <c r="I3796" s="1" t="str">
        <f>IFERROR(VLOOKUP(C3796,'Clients List'!A:F,6,FALSE),"")</f>
        <v/>
      </c>
    </row>
    <row r="3797" spans="4:9" x14ac:dyDescent="0.45">
      <c r="D3797" t="str">
        <f>IFERROR(VLOOKUP(C3797,'Clients List'!$A:$F,2,FALSE),"")</f>
        <v/>
      </c>
      <c r="F3797" s="1" t="str">
        <f>IF(OR(C3797="",NOT(ISNUMBER(SEARCH("Package",D3797)))),"",VLOOKUP(C3797,'Clients List'!$A:$F,4,FALSE)-SUMIFS($E$2:$E3797,$C$2:$C3797,C3797,$D$2:$D3797,"*Package*"))</f>
        <v/>
      </c>
      <c r="G3797" t="str">
        <f t="shared" si="92"/>
        <v/>
      </c>
      <c r="H3797" s="33">
        <f>IF(ISNUMBER(SEARCH("Group",D3797)),IF(G3797="",E3797,IFERROR(E3797/COUNTIF($G2:$G6000,G3797),E3797)),E3797)</f>
        <v>0</v>
      </c>
      <c r="I3797" s="1" t="str">
        <f>IFERROR(VLOOKUP(C3797,'Clients List'!A:F,6,FALSE),"")</f>
        <v/>
      </c>
    </row>
    <row r="3798" spans="4:9" x14ac:dyDescent="0.45">
      <c r="D3798" t="str">
        <f>IFERROR(VLOOKUP(C3798,'Clients List'!$A:$F,2,FALSE),"")</f>
        <v/>
      </c>
      <c r="F3798" s="1" t="str">
        <f>IF(OR(C3798="",NOT(ISNUMBER(SEARCH("Package",D3798)))),"",VLOOKUP(C3798,'Clients List'!$A:$F,4,FALSE)-SUMIFS($E$2:$E3798,$C$2:$C3798,C3798,$D$2:$D3798,"*Package*"))</f>
        <v/>
      </c>
      <c r="G3798" t="str">
        <f t="shared" si="92"/>
        <v/>
      </c>
      <c r="H3798" s="33">
        <f>IF(ISNUMBER(SEARCH("Group",D3798)),IF(G3798="",E3798,IFERROR(E3798/COUNTIF($G2:$G6000,G3798),E3798)),E3798)</f>
        <v>0</v>
      </c>
      <c r="I3798" s="1" t="str">
        <f>IFERROR(VLOOKUP(C3798,'Clients List'!A:F,6,FALSE),"")</f>
        <v/>
      </c>
    </row>
    <row r="3799" spans="4:9" x14ac:dyDescent="0.45">
      <c r="D3799" t="str">
        <f>IFERROR(VLOOKUP(C3799,'Clients List'!$A:$F,2,FALSE),"")</f>
        <v/>
      </c>
      <c r="F3799" s="1" t="str">
        <f>IF(OR(C3799="",NOT(ISNUMBER(SEARCH("Package",D3799)))),"",VLOOKUP(C3799,'Clients List'!$A:$F,4,FALSE)-SUMIFS($E$2:$E3799,$C$2:$C3799,C3799,$D$2:$D3799,"*Package*"))</f>
        <v/>
      </c>
      <c r="G3799" t="str">
        <f t="shared" si="92"/>
        <v/>
      </c>
      <c r="H3799" s="33">
        <f>IF(ISNUMBER(SEARCH("Group",D3799)),IF(G3799="",E3799,IFERROR(E3799/COUNTIF($G2:$G6000,G3799),E3799)),E3799)</f>
        <v>0</v>
      </c>
      <c r="I3799" s="1" t="str">
        <f>IFERROR(VLOOKUP(C3799,'Clients List'!A:F,6,FALSE),"")</f>
        <v/>
      </c>
    </row>
    <row r="3800" spans="4:9" x14ac:dyDescent="0.45">
      <c r="D3800" t="str">
        <f>IFERROR(VLOOKUP(C3800,'Clients List'!$A:$F,2,FALSE),"")</f>
        <v/>
      </c>
      <c r="F3800" s="1" t="str">
        <f>IF(OR(C3800="",NOT(ISNUMBER(SEARCH("Package",D3800)))),"",VLOOKUP(C3800,'Clients List'!$A:$F,4,FALSE)-SUMIFS($E$2:$E3800,$C$2:$C3800,C3800,$D$2:$D3800,"*Package*"))</f>
        <v/>
      </c>
      <c r="G3800" t="str">
        <f t="shared" si="92"/>
        <v/>
      </c>
      <c r="H3800" s="33">
        <f>IF(ISNUMBER(SEARCH("Group",D3800)),IF(G3800="",E3800,IFERROR(E3800/COUNTIF($G2:$G6000,G3800),E3800)),E3800)</f>
        <v>0</v>
      </c>
      <c r="I3800" s="1" t="str">
        <f>IFERROR(VLOOKUP(C3800,'Clients List'!A:F,6,FALSE),"")</f>
        <v/>
      </c>
    </row>
    <row r="3801" spans="4:9" x14ac:dyDescent="0.45">
      <c r="D3801" t="str">
        <f>IFERROR(VLOOKUP(C3801,'Clients List'!$A:$F,2,FALSE),"")</f>
        <v/>
      </c>
      <c r="F3801" s="1" t="str">
        <f>IF(OR(C3801="",NOT(ISNUMBER(SEARCH("Package",D3801)))),"",VLOOKUP(C3801,'Clients List'!$A:$F,4,FALSE)-SUMIFS($E$2:$E3801,$C$2:$C3801,C3801,$D$2:$D3801,"*Package*"))</f>
        <v/>
      </c>
      <c r="G3801" t="str">
        <f t="shared" si="92"/>
        <v/>
      </c>
      <c r="H3801" s="33">
        <f>IF(ISNUMBER(SEARCH("Group",D3801)),IF(G3801="",E3801,IFERROR(E3801/COUNTIF($G2:$G6000,G3801),E3801)),E3801)</f>
        <v>0</v>
      </c>
      <c r="I3801" s="1" t="str">
        <f>IFERROR(VLOOKUP(C3801,'Clients List'!A:F,6,FALSE),"")</f>
        <v/>
      </c>
    </row>
    <row r="3802" spans="4:9" x14ac:dyDescent="0.45">
      <c r="D3802" t="str">
        <f>IFERROR(VLOOKUP(C3802,'Clients List'!$A:$F,2,FALSE),"")</f>
        <v/>
      </c>
      <c r="F3802" s="1" t="str">
        <f>IF(OR(C3802="",NOT(ISNUMBER(SEARCH("Package",D3802)))),"",VLOOKUP(C3802,'Clients List'!$A:$F,4,FALSE)-SUMIFS($E$2:$E3802,$C$2:$C3802,C3802,$D$2:$D3802,"*Package*"))</f>
        <v/>
      </c>
      <c r="G3802" t="str">
        <f t="shared" si="92"/>
        <v/>
      </c>
      <c r="H3802" s="33">
        <f>IF(ISNUMBER(SEARCH("Group",D3802)),IF(G3802="",E3802,IFERROR(E3802/COUNTIF($G2:$G6000,G3802),E3802)),E3802)</f>
        <v>0</v>
      </c>
      <c r="I3802" s="1" t="str">
        <f>IFERROR(VLOOKUP(C3802,'Clients List'!A:F,6,FALSE),"")</f>
        <v/>
      </c>
    </row>
    <row r="3803" spans="4:9" x14ac:dyDescent="0.45">
      <c r="D3803" t="str">
        <f>IFERROR(VLOOKUP(C3803,'Clients List'!$A:$F,2,FALSE),"")</f>
        <v/>
      </c>
      <c r="F3803" s="1" t="str">
        <f>IF(OR(C3803="",NOT(ISNUMBER(SEARCH("Package",D3803)))),"",VLOOKUP(C3803,'Clients List'!$A:$F,4,FALSE)-SUMIFS($E$2:$E3803,$C$2:$C3803,C3803,$D$2:$D3803,"*Package*"))</f>
        <v/>
      </c>
      <c r="G3803" t="str">
        <f t="shared" si="92"/>
        <v/>
      </c>
      <c r="H3803" s="33">
        <f>IF(ISNUMBER(SEARCH("Group",D3803)),IF(G3803="",E3803,IFERROR(E3803/COUNTIF($G2:$G6000,G3803),E3803)),E3803)</f>
        <v>0</v>
      </c>
      <c r="I3803" s="1" t="str">
        <f>IFERROR(VLOOKUP(C3803,'Clients List'!A:F,6,FALSE),"")</f>
        <v/>
      </c>
    </row>
    <row r="3804" spans="4:9" x14ac:dyDescent="0.45">
      <c r="D3804" t="str">
        <f>IFERROR(VLOOKUP(C3804,'Clients List'!$A:$F,2,FALSE),"")</f>
        <v/>
      </c>
      <c r="F3804" s="1" t="str">
        <f>IF(OR(C3804="",NOT(ISNUMBER(SEARCH("Package",D3804)))),"",VLOOKUP(C3804,'Clients List'!$A:$F,4,FALSE)-SUMIFS($E$2:$E3804,$C$2:$C3804,C3804,$D$2:$D3804,"*Package*"))</f>
        <v/>
      </c>
      <c r="G3804" t="str">
        <f t="shared" si="92"/>
        <v/>
      </c>
      <c r="H3804" s="33">
        <f>IF(ISNUMBER(SEARCH("Group",D3804)),IF(G3804="",E3804,IFERROR(E3804/COUNTIF($G2:$G6000,G3804),E3804)),E3804)</f>
        <v>0</v>
      </c>
      <c r="I3804" s="1" t="str">
        <f>IFERROR(VLOOKUP(C3804,'Clients List'!A:F,6,FALSE),"")</f>
        <v/>
      </c>
    </row>
    <row r="3805" spans="4:9" x14ac:dyDescent="0.45">
      <c r="D3805" t="str">
        <f>IFERROR(VLOOKUP(C3805,'Clients List'!$A:$F,2,FALSE),"")</f>
        <v/>
      </c>
      <c r="F3805" s="1" t="str">
        <f>IF(OR(C3805="",NOT(ISNUMBER(SEARCH("Package",D3805)))),"",VLOOKUP(C3805,'Clients List'!$A:$F,4,FALSE)-SUMIFS($E$2:$E3805,$C$2:$C3805,C3805,$D$2:$D3805,"*Package*"))</f>
        <v/>
      </c>
      <c r="G3805" t="str">
        <f t="shared" si="92"/>
        <v/>
      </c>
      <c r="H3805" s="33">
        <f>IF(ISNUMBER(SEARCH("Group",D3805)),IF(G3805="",E3805,IFERROR(E3805/COUNTIF($G2:$G6000,G3805),E3805)),E3805)</f>
        <v>0</v>
      </c>
      <c r="I3805" s="1" t="str">
        <f>IFERROR(VLOOKUP(C3805,'Clients List'!A:F,6,FALSE),"")</f>
        <v/>
      </c>
    </row>
    <row r="3806" spans="4:9" x14ac:dyDescent="0.45">
      <c r="D3806" t="str">
        <f>IFERROR(VLOOKUP(C3806,'Clients List'!$A:$F,2,FALSE),"")</f>
        <v/>
      </c>
      <c r="F3806" s="1" t="str">
        <f>IF(OR(C3806="",NOT(ISNUMBER(SEARCH("Package",D3806)))),"",VLOOKUP(C3806,'Clients List'!$A:$F,4,FALSE)-SUMIFS($E$2:$E3806,$C$2:$C3806,C3806,$D$2:$D3806,"*Package*"))</f>
        <v/>
      </c>
      <c r="G3806" t="str">
        <f t="shared" si="92"/>
        <v/>
      </c>
      <c r="H3806" s="33">
        <f>IF(ISNUMBER(SEARCH("Group",D3806)),IF(G3806="",E3806,IFERROR(E3806/COUNTIF($G2:$G6000,G3806),E3806)),E3806)</f>
        <v>0</v>
      </c>
      <c r="I3806" s="1" t="str">
        <f>IFERROR(VLOOKUP(C3806,'Clients List'!A:F,6,FALSE),"")</f>
        <v/>
      </c>
    </row>
    <row r="3807" spans="4:9" x14ac:dyDescent="0.45">
      <c r="D3807" t="str">
        <f>IFERROR(VLOOKUP(C3807,'Clients List'!$A:$F,2,FALSE),"")</f>
        <v/>
      </c>
      <c r="F3807" s="1" t="str">
        <f>IF(OR(C3807="",NOT(ISNUMBER(SEARCH("Package",D3807)))),"",VLOOKUP(C3807,'Clients List'!$A:$F,4,FALSE)-SUMIFS($E$2:$E3807,$C$2:$C3807,C3807,$D$2:$D3807,"*Package*"))</f>
        <v/>
      </c>
      <c r="G3807" t="str">
        <f t="shared" si="92"/>
        <v/>
      </c>
      <c r="H3807" s="33">
        <f>IF(ISNUMBER(SEARCH("Group",D3807)),IF(G3807="",E3807,IFERROR(E3807/COUNTIF($G2:$G6000,G3807),E3807)),E3807)</f>
        <v>0</v>
      </c>
      <c r="I3807" s="1" t="str">
        <f>IFERROR(VLOOKUP(C3807,'Clients List'!A:F,6,FALSE),"")</f>
        <v/>
      </c>
    </row>
    <row r="3808" spans="4:9" x14ac:dyDescent="0.45">
      <c r="D3808" t="str">
        <f>IFERROR(VLOOKUP(C3808,'Clients List'!$A:$F,2,FALSE),"")</f>
        <v/>
      </c>
      <c r="F3808" s="1" t="str">
        <f>IF(OR(C3808="",NOT(ISNUMBER(SEARCH("Package",D3808)))),"",VLOOKUP(C3808,'Clients List'!$A:$F,4,FALSE)-SUMIFS($E$2:$E3808,$C$2:$C3808,C3808,$D$2:$D3808,"*Package*"))</f>
        <v/>
      </c>
      <c r="G3808" t="str">
        <f t="shared" si="92"/>
        <v/>
      </c>
      <c r="H3808" s="33">
        <f>IF(ISNUMBER(SEARCH("Group",D3808)),IF(G3808="",E3808,IFERROR(E3808/COUNTIF($G2:$G6000,G3808),E3808)),E3808)</f>
        <v>0</v>
      </c>
      <c r="I3808" s="1" t="str">
        <f>IFERROR(VLOOKUP(C3808,'Clients List'!A:F,6,FALSE),"")</f>
        <v/>
      </c>
    </row>
    <row r="3809" spans="4:9" x14ac:dyDescent="0.45">
      <c r="D3809" t="str">
        <f>IFERROR(VLOOKUP(C3809,'Clients List'!$A:$F,2,FALSE),"")</f>
        <v/>
      </c>
      <c r="F3809" s="1" t="str">
        <f>IF(OR(C3809="",NOT(ISNUMBER(SEARCH("Package",D3809)))),"",VLOOKUP(C3809,'Clients List'!$A:$F,4,FALSE)-SUMIFS($E$2:$E3809,$C$2:$C3809,C3809,$D$2:$D3809,"*Package*"))</f>
        <v/>
      </c>
      <c r="G3809" t="str">
        <f t="shared" si="92"/>
        <v/>
      </c>
      <c r="H3809" s="33">
        <f>IF(ISNUMBER(SEARCH("Group",D3809)),IF(G3809="",E3809,IFERROR(E3809/COUNTIF($G2:$G6000,G3809),E3809)),E3809)</f>
        <v>0</v>
      </c>
      <c r="I3809" s="1" t="str">
        <f>IFERROR(VLOOKUP(C3809,'Clients List'!A:F,6,FALSE),"")</f>
        <v/>
      </c>
    </row>
    <row r="3810" spans="4:9" x14ac:dyDescent="0.45">
      <c r="D3810" t="str">
        <f>IFERROR(VLOOKUP(C3810,'Clients List'!$A:$F,2,FALSE),"")</f>
        <v/>
      </c>
      <c r="F3810" s="1" t="str">
        <f>IF(OR(C3810="",NOT(ISNUMBER(SEARCH("Package",D3810)))),"",VLOOKUP(C3810,'Clients List'!$A:$F,4,FALSE)-SUMIFS($E$2:$E3810,$C$2:$C3810,C3810,$D$2:$D3810,"*Package*"))</f>
        <v/>
      </c>
      <c r="G3810" t="str">
        <f t="shared" si="92"/>
        <v/>
      </c>
      <c r="H3810" s="33">
        <f>IF(ISNUMBER(SEARCH("Group",D3810)),IF(G3810="",E3810,IFERROR(E3810/COUNTIF($G2:$G6000,G3810),E3810)),E3810)</f>
        <v>0</v>
      </c>
      <c r="I3810" s="1" t="str">
        <f>IFERROR(VLOOKUP(C3810,'Clients List'!A:F,6,FALSE),"")</f>
        <v/>
      </c>
    </row>
    <row r="3811" spans="4:9" x14ac:dyDescent="0.45">
      <c r="D3811" t="str">
        <f>IFERROR(VLOOKUP(C3811,'Clients List'!$A:$F,2,FALSE),"")</f>
        <v/>
      </c>
      <c r="F3811" s="1" t="str">
        <f>IF(OR(C3811="",NOT(ISNUMBER(SEARCH("Package",D3811)))),"",VLOOKUP(C3811,'Clients List'!$A:$F,4,FALSE)-SUMIFS($E$2:$E3811,$C$2:$C3811,C3811,$D$2:$D3811,"*Package*"))</f>
        <v/>
      </c>
      <c r="G3811" t="str">
        <f t="shared" si="92"/>
        <v/>
      </c>
      <c r="H3811" s="33">
        <f>IF(ISNUMBER(SEARCH("Group",D3811)),IF(G3811="",E3811,IFERROR(E3811/COUNTIF($G2:$G6000,G3811),E3811)),E3811)</f>
        <v>0</v>
      </c>
      <c r="I3811" s="1" t="str">
        <f>IFERROR(VLOOKUP(C3811,'Clients List'!A:F,6,FALSE),"")</f>
        <v/>
      </c>
    </row>
    <row r="3812" spans="4:9" x14ac:dyDescent="0.45">
      <c r="D3812" t="str">
        <f>IFERROR(VLOOKUP(C3812,'Clients List'!$A:$F,2,FALSE),"")</f>
        <v/>
      </c>
      <c r="F3812" s="1" t="str">
        <f>IF(OR(C3812="",NOT(ISNUMBER(SEARCH("Package",D3812)))),"",VLOOKUP(C3812,'Clients List'!$A:$F,4,FALSE)-SUMIFS($E$2:$E3812,$C$2:$C3812,C3812,$D$2:$D3812,"*Package*"))</f>
        <v/>
      </c>
      <c r="G3812" t="str">
        <f t="shared" si="92"/>
        <v/>
      </c>
      <c r="H3812" s="33">
        <f>IF(ISNUMBER(SEARCH("Group",D3812)),IF(G3812="",E3812,IFERROR(E3812/COUNTIF($G2:$G6000,G3812),E3812)),E3812)</f>
        <v>0</v>
      </c>
      <c r="I3812" s="1" t="str">
        <f>IFERROR(VLOOKUP(C3812,'Clients List'!A:F,6,FALSE),"")</f>
        <v/>
      </c>
    </row>
    <row r="3813" spans="4:9" x14ac:dyDescent="0.45">
      <c r="D3813" t="str">
        <f>IFERROR(VLOOKUP(C3813,'Clients List'!$A:$F,2,FALSE),"")</f>
        <v/>
      </c>
      <c r="F3813" s="1" t="str">
        <f>IF(OR(C3813="",NOT(ISNUMBER(SEARCH("Package",D3813)))),"",VLOOKUP(C3813,'Clients List'!$A:$F,4,FALSE)-SUMIFS($E$2:$E3813,$C$2:$C3813,C3813,$D$2:$D3813,"*Package*"))</f>
        <v/>
      </c>
      <c r="G3813" t="str">
        <f t="shared" si="92"/>
        <v/>
      </c>
      <c r="H3813" s="33">
        <f>IF(ISNUMBER(SEARCH("Group",D3813)),IF(G3813="",E3813,IFERROR(E3813/COUNTIF($G2:$G6000,G3813),E3813)),E3813)</f>
        <v>0</v>
      </c>
      <c r="I3813" s="1" t="str">
        <f>IFERROR(VLOOKUP(C3813,'Clients List'!A:F,6,FALSE),"")</f>
        <v/>
      </c>
    </row>
    <row r="3814" spans="4:9" x14ac:dyDescent="0.45">
      <c r="D3814" t="str">
        <f>IFERROR(VLOOKUP(C3814,'Clients List'!$A:$F,2,FALSE),"")</f>
        <v/>
      </c>
      <c r="F3814" s="1" t="str">
        <f>IF(OR(C3814="",NOT(ISNUMBER(SEARCH("Package",D3814)))),"",VLOOKUP(C3814,'Clients List'!$A:$F,4,FALSE)-SUMIFS($E$2:$E3814,$C$2:$C3814,C3814,$D$2:$D3814,"*Package*"))</f>
        <v/>
      </c>
      <c r="G3814" t="str">
        <f t="shared" si="92"/>
        <v/>
      </c>
      <c r="H3814" s="33">
        <f>IF(ISNUMBER(SEARCH("Group",D3814)),IF(G3814="",E3814,IFERROR(E3814/COUNTIF($G2:$G6000,G3814),E3814)),E3814)</f>
        <v>0</v>
      </c>
      <c r="I3814" s="1" t="str">
        <f>IFERROR(VLOOKUP(C3814,'Clients List'!A:F,6,FALSE),"")</f>
        <v/>
      </c>
    </row>
    <row r="3815" spans="4:9" x14ac:dyDescent="0.45">
      <c r="D3815" t="str">
        <f>IFERROR(VLOOKUP(C3815,'Clients List'!$A:$F,2,FALSE),"")</f>
        <v/>
      </c>
      <c r="F3815" s="1" t="str">
        <f>IF(OR(C3815="",NOT(ISNUMBER(SEARCH("Package",D3815)))),"",VLOOKUP(C3815,'Clients List'!$A:$F,4,FALSE)-SUMIFS($E$2:$E3815,$C$2:$C3815,C3815,$D$2:$D3815,"*Package*"))</f>
        <v/>
      </c>
      <c r="G3815" t="str">
        <f t="shared" si="92"/>
        <v/>
      </c>
      <c r="H3815" s="33">
        <f>IF(ISNUMBER(SEARCH("Group",D3815)),IF(G3815="",E3815,IFERROR(E3815/COUNTIF($G2:$G6000,G3815),E3815)),E3815)</f>
        <v>0</v>
      </c>
      <c r="I3815" s="1" t="str">
        <f>IFERROR(VLOOKUP(C3815,'Clients List'!A:F,6,FALSE),"")</f>
        <v/>
      </c>
    </row>
    <row r="3816" spans="4:9" x14ac:dyDescent="0.45">
      <c r="D3816" t="str">
        <f>IFERROR(VLOOKUP(C3816,'Clients List'!$A:$F,2,FALSE),"")</f>
        <v/>
      </c>
      <c r="F3816" s="1" t="str">
        <f>IF(OR(C3816="",NOT(ISNUMBER(SEARCH("Package",D3816)))),"",VLOOKUP(C3816,'Clients List'!$A:$F,4,FALSE)-SUMIFS($E$2:$E3816,$C$2:$C3816,C3816,$D$2:$D3816,"*Package*"))</f>
        <v/>
      </c>
      <c r="G3816" t="str">
        <f t="shared" si="92"/>
        <v/>
      </c>
      <c r="H3816" s="33">
        <f>IF(ISNUMBER(SEARCH("Group",D3816)),IF(G3816="",E3816,IFERROR(E3816/COUNTIF($G2:$G6000,G3816),E3816)),E3816)</f>
        <v>0</v>
      </c>
      <c r="I3816" s="1" t="str">
        <f>IFERROR(VLOOKUP(C3816,'Clients List'!A:F,6,FALSE),"")</f>
        <v/>
      </c>
    </row>
    <row r="3817" spans="4:9" x14ac:dyDescent="0.45">
      <c r="D3817" t="str">
        <f>IFERROR(VLOOKUP(C3817,'Clients List'!$A:$F,2,FALSE),"")</f>
        <v/>
      </c>
      <c r="F3817" s="1" t="str">
        <f>IF(OR(C3817="",NOT(ISNUMBER(SEARCH("Package",D3817)))),"",VLOOKUP(C3817,'Clients List'!$A:$F,4,FALSE)-SUMIFS($E$2:$E3817,$C$2:$C3817,C3817,$D$2:$D3817,"*Package*"))</f>
        <v/>
      </c>
      <c r="G3817" t="str">
        <f t="shared" si="92"/>
        <v/>
      </c>
      <c r="H3817" s="33">
        <f>IF(ISNUMBER(SEARCH("Group",D3817)),IF(G3817="",E3817,IFERROR(E3817/COUNTIF($G2:$G6000,G3817),E3817)),E3817)</f>
        <v>0</v>
      </c>
      <c r="I3817" s="1" t="str">
        <f>IFERROR(VLOOKUP(C3817,'Clients List'!A:F,6,FALSE),"")</f>
        <v/>
      </c>
    </row>
    <row r="3818" spans="4:9" x14ac:dyDescent="0.45">
      <c r="D3818" t="str">
        <f>IFERROR(VLOOKUP(C3818,'Clients List'!$A:$F,2,FALSE),"")</f>
        <v/>
      </c>
      <c r="F3818" s="1" t="str">
        <f>IF(OR(C3818="",NOT(ISNUMBER(SEARCH("Package",D3818)))),"",VLOOKUP(C3818,'Clients List'!$A:$F,4,FALSE)-SUMIFS($E$2:$E3818,$C$2:$C3818,C3818,$D$2:$D3818,"*Package*"))</f>
        <v/>
      </c>
      <c r="G3818" t="str">
        <f t="shared" si="92"/>
        <v/>
      </c>
      <c r="H3818" s="33">
        <f>IF(ISNUMBER(SEARCH("Group",D3818)),IF(G3818="",E3818,IFERROR(E3818/COUNTIF($G2:$G6000,G3818),E3818)),E3818)</f>
        <v>0</v>
      </c>
      <c r="I3818" s="1" t="str">
        <f>IFERROR(VLOOKUP(C3818,'Clients List'!A:F,6,FALSE),"")</f>
        <v/>
      </c>
    </row>
    <row r="3819" spans="4:9" x14ac:dyDescent="0.45">
      <c r="D3819" t="str">
        <f>IFERROR(VLOOKUP(C3819,'Clients List'!$A:$F,2,FALSE),"")</f>
        <v/>
      </c>
      <c r="F3819" s="1" t="str">
        <f>IF(OR(C3819="",NOT(ISNUMBER(SEARCH("Package",D3819)))),"",VLOOKUP(C3819,'Clients List'!$A:$F,4,FALSE)-SUMIFS($E$2:$E3819,$C$2:$C3819,C3819,$D$2:$D3819,"*Package*"))</f>
        <v/>
      </c>
      <c r="G3819" t="str">
        <f t="shared" si="92"/>
        <v/>
      </c>
      <c r="H3819" s="33">
        <f>IF(ISNUMBER(SEARCH("Group",D3819)),IF(G3819="",E3819,IFERROR(E3819/COUNTIF($G2:$G6000,G3819),E3819)),E3819)</f>
        <v>0</v>
      </c>
      <c r="I3819" s="1" t="str">
        <f>IFERROR(VLOOKUP(C3819,'Clients List'!A:F,6,FALSE),"")</f>
        <v/>
      </c>
    </row>
    <row r="3820" spans="4:9" x14ac:dyDescent="0.45">
      <c r="D3820" t="str">
        <f>IFERROR(VLOOKUP(C3820,'Clients List'!$A:$F,2,FALSE),"")</f>
        <v/>
      </c>
      <c r="F3820" s="1" t="str">
        <f>IF(OR(C3820="",NOT(ISNUMBER(SEARCH("Package",D3820)))),"",VLOOKUP(C3820,'Clients List'!$A:$F,4,FALSE)-SUMIFS($E$2:$E3820,$C$2:$C3820,C3820,$D$2:$D3820,"*Package*"))</f>
        <v/>
      </c>
      <c r="G3820" t="str">
        <f t="shared" si="92"/>
        <v/>
      </c>
      <c r="H3820" s="33">
        <f>IF(ISNUMBER(SEARCH("Group",D3820)),IF(G3820="",E3820,IFERROR(E3820/COUNTIF($G2:$G6000,G3820),E3820)),E3820)</f>
        <v>0</v>
      </c>
      <c r="I3820" s="1" t="str">
        <f>IFERROR(VLOOKUP(C3820,'Clients List'!A:F,6,FALSE),"")</f>
        <v/>
      </c>
    </row>
    <row r="3821" spans="4:9" x14ac:dyDescent="0.45">
      <c r="D3821" t="str">
        <f>IFERROR(VLOOKUP(C3821,'Clients List'!$A:$F,2,FALSE),"")</f>
        <v/>
      </c>
      <c r="F3821" s="1" t="str">
        <f>IF(OR(C3821="",NOT(ISNUMBER(SEARCH("Package",D3821)))),"",VLOOKUP(C3821,'Clients List'!$A:$F,4,FALSE)-SUMIFS($E$2:$E3821,$C$2:$C3821,C3821,$D$2:$D3821,"*Package*"))</f>
        <v/>
      </c>
      <c r="G3821" t="str">
        <f t="shared" si="92"/>
        <v/>
      </c>
      <c r="H3821" s="33">
        <f>IF(ISNUMBER(SEARCH("Group",D3821)),IF(G3821="",E3821,IFERROR(E3821/COUNTIF($G2:$G6000,G3821),E3821)),E3821)</f>
        <v>0</v>
      </c>
      <c r="I3821" s="1" t="str">
        <f>IFERROR(VLOOKUP(C3821,'Clients List'!A:F,6,FALSE),"")</f>
        <v/>
      </c>
    </row>
    <row r="3822" spans="4:9" x14ac:dyDescent="0.45">
      <c r="D3822" t="str">
        <f>IFERROR(VLOOKUP(C3822,'Clients List'!$A:$F,2,FALSE),"")</f>
        <v/>
      </c>
      <c r="F3822" s="1" t="str">
        <f>IF(OR(C3822="",NOT(ISNUMBER(SEARCH("Package",D3822)))),"",VLOOKUP(C3822,'Clients List'!$A:$F,4,FALSE)-SUMIFS($E$2:$E3822,$C$2:$C3822,C3822,$D$2:$D3822,"*Package*"))</f>
        <v/>
      </c>
      <c r="G3822" t="str">
        <f t="shared" si="92"/>
        <v/>
      </c>
      <c r="H3822" s="33">
        <f>IF(ISNUMBER(SEARCH("Group",D3822)),IF(G3822="",E3822,IFERROR(E3822/COUNTIF($G2:$G6000,G3822),E3822)),E3822)</f>
        <v>0</v>
      </c>
      <c r="I3822" s="1" t="str">
        <f>IFERROR(VLOOKUP(C3822,'Clients List'!A:F,6,FALSE),"")</f>
        <v/>
      </c>
    </row>
    <row r="3823" spans="4:9" x14ac:dyDescent="0.45">
      <c r="D3823" t="str">
        <f>IFERROR(VLOOKUP(C3823,'Clients List'!$A:$F,2,FALSE),"")</f>
        <v/>
      </c>
      <c r="F3823" s="1" t="str">
        <f>IF(OR(C3823="",NOT(ISNUMBER(SEARCH("Package",D3823)))),"",VLOOKUP(C3823,'Clients List'!$A:$F,4,FALSE)-SUMIFS($E$2:$E3823,$C$2:$C3823,C3823,$D$2:$D3823,"*Package*"))</f>
        <v/>
      </c>
      <c r="G3823" t="str">
        <f t="shared" si="92"/>
        <v/>
      </c>
      <c r="H3823" s="33">
        <f>IF(ISNUMBER(SEARCH("Group",D3823)),IF(G3823="",E3823,IFERROR(E3823/COUNTIF($G2:$G6000,G3823),E3823)),E3823)</f>
        <v>0</v>
      </c>
      <c r="I3823" s="1" t="str">
        <f>IFERROR(VLOOKUP(C3823,'Clients List'!A:F,6,FALSE),"")</f>
        <v/>
      </c>
    </row>
    <row r="3824" spans="4:9" x14ac:dyDescent="0.45">
      <c r="D3824" t="str">
        <f>IFERROR(VLOOKUP(C3824,'Clients List'!$A:$F,2,FALSE),"")</f>
        <v/>
      </c>
      <c r="F3824" s="1" t="str">
        <f>IF(OR(C3824="",NOT(ISNUMBER(SEARCH("Package",D3824)))),"",VLOOKUP(C3824,'Clients List'!$A:$F,4,FALSE)-SUMIFS($E$2:$E3824,$C$2:$C3824,C3824,$D$2:$D3824,"*Package*"))</f>
        <v/>
      </c>
      <c r="G3824" t="str">
        <f t="shared" si="92"/>
        <v/>
      </c>
      <c r="H3824" s="33">
        <f>IF(ISNUMBER(SEARCH("Group",D3824)),IF(G3824="",E3824,IFERROR(E3824/COUNTIF($G2:$G6000,G3824),E3824)),E3824)</f>
        <v>0</v>
      </c>
      <c r="I3824" s="1" t="str">
        <f>IFERROR(VLOOKUP(C3824,'Clients List'!A:F,6,FALSE),"")</f>
        <v/>
      </c>
    </row>
    <row r="3825" spans="4:9" x14ac:dyDescent="0.45">
      <c r="D3825" t="str">
        <f>IFERROR(VLOOKUP(C3825,'Clients List'!$A:$F,2,FALSE),"")</f>
        <v/>
      </c>
      <c r="F3825" s="1" t="str">
        <f>IF(OR(C3825="",NOT(ISNUMBER(SEARCH("Package",D3825)))),"",VLOOKUP(C3825,'Clients List'!$A:$F,4,FALSE)-SUMIFS($E$2:$E3825,$C$2:$C3825,C3825,$D$2:$D3825,"*Package*"))</f>
        <v/>
      </c>
      <c r="G3825" t="str">
        <f t="shared" si="92"/>
        <v/>
      </c>
      <c r="H3825" s="33">
        <f>IF(ISNUMBER(SEARCH("Group",D3825)),IF(G3825="",E3825,IFERROR(E3825/COUNTIF($G2:$G6000,G3825),E3825)),E3825)</f>
        <v>0</v>
      </c>
      <c r="I3825" s="1" t="str">
        <f>IFERROR(VLOOKUP(C3825,'Clients List'!A:F,6,FALSE),"")</f>
        <v/>
      </c>
    </row>
    <row r="3826" spans="4:9" x14ac:dyDescent="0.45">
      <c r="D3826" t="str">
        <f>IFERROR(VLOOKUP(C3826,'Clients List'!$A:$F,2,FALSE),"")</f>
        <v/>
      </c>
      <c r="F3826" s="1" t="str">
        <f>IF(OR(C3826="",NOT(ISNUMBER(SEARCH("Package",D3826)))),"",VLOOKUP(C3826,'Clients List'!$A:$F,4,FALSE)-SUMIFS($E$2:$E3826,$C$2:$C3826,C3826,$D$2:$D3826,"*Package*"))</f>
        <v/>
      </c>
      <c r="G3826" t="str">
        <f t="shared" si="92"/>
        <v/>
      </c>
      <c r="H3826" s="33">
        <f>IF(ISNUMBER(SEARCH("Group",D3826)),IF(G3826="",E3826,IFERROR(E3826/COUNTIF($G2:$G6000,G3826),E3826)),E3826)</f>
        <v>0</v>
      </c>
      <c r="I3826" s="1" t="str">
        <f>IFERROR(VLOOKUP(C3826,'Clients List'!A:F,6,FALSE),"")</f>
        <v/>
      </c>
    </row>
    <row r="3827" spans="4:9" x14ac:dyDescent="0.45">
      <c r="D3827" t="str">
        <f>IFERROR(VLOOKUP(C3827,'Clients List'!$A:$F,2,FALSE),"")</f>
        <v/>
      </c>
      <c r="F3827" s="1" t="str">
        <f>IF(OR(C3827="",NOT(ISNUMBER(SEARCH("Package",D3827)))),"",VLOOKUP(C3827,'Clients List'!$A:$F,4,FALSE)-SUMIFS($E$2:$E3827,$C$2:$C3827,C3827,$D$2:$D3827,"*Package*"))</f>
        <v/>
      </c>
      <c r="G3827" t="str">
        <f t="shared" si="92"/>
        <v/>
      </c>
      <c r="H3827" s="33">
        <f>IF(ISNUMBER(SEARCH("Group",D3827)),IF(G3827="",E3827,IFERROR(E3827/COUNTIF($G2:$G6000,G3827),E3827)),E3827)</f>
        <v>0</v>
      </c>
      <c r="I3827" s="1" t="str">
        <f>IFERROR(VLOOKUP(C3827,'Clients List'!A:F,6,FALSE),"")</f>
        <v/>
      </c>
    </row>
    <row r="3828" spans="4:9" x14ac:dyDescent="0.45">
      <c r="D3828" t="str">
        <f>IFERROR(VLOOKUP(C3828,'Clients List'!$A:$F,2,FALSE),"")</f>
        <v/>
      </c>
      <c r="F3828" s="1" t="str">
        <f>IF(OR(C3828="",NOT(ISNUMBER(SEARCH("Package",D3828)))),"",VLOOKUP(C3828,'Clients List'!$A:$F,4,FALSE)-SUMIFS($E$2:$E3828,$C$2:$C3828,C3828,$D$2:$D3828,"*Package*"))</f>
        <v/>
      </c>
      <c r="G3828" t="str">
        <f t="shared" si="92"/>
        <v/>
      </c>
      <c r="H3828" s="33">
        <f>IF(ISNUMBER(SEARCH("Group",D3828)),IF(G3828="",E3828,IFERROR(E3828/COUNTIF($G2:$G6000,G3828),E3828)),E3828)</f>
        <v>0</v>
      </c>
      <c r="I3828" s="1" t="str">
        <f>IFERROR(VLOOKUP(C3828,'Clients List'!A:F,6,FALSE),"")</f>
        <v/>
      </c>
    </row>
    <row r="3829" spans="4:9" x14ac:dyDescent="0.45">
      <c r="D3829" t="str">
        <f>IFERROR(VLOOKUP(C3829,'Clients List'!$A:$F,2,FALSE),"")</f>
        <v/>
      </c>
      <c r="F3829" s="1" t="str">
        <f>IF(OR(C3829="",NOT(ISNUMBER(SEARCH("Package",D3829)))),"",VLOOKUP(C3829,'Clients List'!$A:$F,4,FALSE)-SUMIFS($E$2:$E3829,$C$2:$C3829,C3829,$D$2:$D3829,"*Package*"))</f>
        <v/>
      </c>
      <c r="G3829" t="str">
        <f t="shared" ref="G3829:G3892" si="93">IF(ISNUMBER(SEARCH("Group",D3829)),IFERROR("GRP-"&amp;TEXT(IF(ISNUMBER(A3829),A3829,DATEVALUE(A3829)),"yyyymmdd"),""),"" )</f>
        <v/>
      </c>
      <c r="H3829" s="33">
        <f>IF(ISNUMBER(SEARCH("Group",D3829)),IF(G3829="",E3829,IFERROR(E3829/COUNTIF($G2:$G6000,G3829),E3829)),E3829)</f>
        <v>0</v>
      </c>
      <c r="I3829" s="1" t="str">
        <f>IFERROR(VLOOKUP(C3829,'Clients List'!A:F,6,FALSE),"")</f>
        <v/>
      </c>
    </row>
    <row r="3830" spans="4:9" x14ac:dyDescent="0.45">
      <c r="D3830" t="str">
        <f>IFERROR(VLOOKUP(C3830,'Clients List'!$A:$F,2,FALSE),"")</f>
        <v/>
      </c>
      <c r="F3830" s="1" t="str">
        <f>IF(OR(C3830="",NOT(ISNUMBER(SEARCH("Package",D3830)))),"",VLOOKUP(C3830,'Clients List'!$A:$F,4,FALSE)-SUMIFS($E$2:$E3830,$C$2:$C3830,C3830,$D$2:$D3830,"*Package*"))</f>
        <v/>
      </c>
      <c r="G3830" t="str">
        <f t="shared" si="93"/>
        <v/>
      </c>
      <c r="H3830" s="33">
        <f>IF(ISNUMBER(SEARCH("Group",D3830)),IF(G3830="",E3830,IFERROR(E3830/COUNTIF($G2:$G6000,G3830),E3830)),E3830)</f>
        <v>0</v>
      </c>
      <c r="I3830" s="1" t="str">
        <f>IFERROR(VLOOKUP(C3830,'Clients List'!A:F,6,FALSE),"")</f>
        <v/>
      </c>
    </row>
    <row r="3831" spans="4:9" x14ac:dyDescent="0.45">
      <c r="D3831" t="str">
        <f>IFERROR(VLOOKUP(C3831,'Clients List'!$A:$F,2,FALSE),"")</f>
        <v/>
      </c>
      <c r="F3831" s="1" t="str">
        <f>IF(OR(C3831="",NOT(ISNUMBER(SEARCH("Package",D3831)))),"",VLOOKUP(C3831,'Clients List'!$A:$F,4,FALSE)-SUMIFS($E$2:$E3831,$C$2:$C3831,C3831,$D$2:$D3831,"*Package*"))</f>
        <v/>
      </c>
      <c r="G3831" t="str">
        <f t="shared" si="93"/>
        <v/>
      </c>
      <c r="H3831" s="33">
        <f>IF(ISNUMBER(SEARCH("Group",D3831)),IF(G3831="",E3831,IFERROR(E3831/COUNTIF($G2:$G6000,G3831),E3831)),E3831)</f>
        <v>0</v>
      </c>
      <c r="I3831" s="1" t="str">
        <f>IFERROR(VLOOKUP(C3831,'Clients List'!A:F,6,FALSE),"")</f>
        <v/>
      </c>
    </row>
    <row r="3832" spans="4:9" x14ac:dyDescent="0.45">
      <c r="D3832" t="str">
        <f>IFERROR(VLOOKUP(C3832,'Clients List'!$A:$F,2,FALSE),"")</f>
        <v/>
      </c>
      <c r="F3832" s="1" t="str">
        <f>IF(OR(C3832="",NOT(ISNUMBER(SEARCH("Package",D3832)))),"",VLOOKUP(C3832,'Clients List'!$A:$F,4,FALSE)-SUMIFS($E$2:$E3832,$C$2:$C3832,C3832,$D$2:$D3832,"*Package*"))</f>
        <v/>
      </c>
      <c r="G3832" t="str">
        <f t="shared" si="93"/>
        <v/>
      </c>
      <c r="H3832" s="33">
        <f>IF(ISNUMBER(SEARCH("Group",D3832)),IF(G3832="",E3832,IFERROR(E3832/COUNTIF($G2:$G6000,G3832),E3832)),E3832)</f>
        <v>0</v>
      </c>
      <c r="I3832" s="1" t="str">
        <f>IFERROR(VLOOKUP(C3832,'Clients List'!A:F,6,FALSE),"")</f>
        <v/>
      </c>
    </row>
    <row r="3833" spans="4:9" x14ac:dyDescent="0.45">
      <c r="D3833" t="str">
        <f>IFERROR(VLOOKUP(C3833,'Clients List'!$A:$F,2,FALSE),"")</f>
        <v/>
      </c>
      <c r="F3833" s="1" t="str">
        <f>IF(OR(C3833="",NOT(ISNUMBER(SEARCH("Package",D3833)))),"",VLOOKUP(C3833,'Clients List'!$A:$F,4,FALSE)-SUMIFS($E$2:$E3833,$C$2:$C3833,C3833,$D$2:$D3833,"*Package*"))</f>
        <v/>
      </c>
      <c r="G3833" t="str">
        <f t="shared" si="93"/>
        <v/>
      </c>
      <c r="H3833" s="33">
        <f>IF(ISNUMBER(SEARCH("Group",D3833)),IF(G3833="",E3833,IFERROR(E3833/COUNTIF($G2:$G6000,G3833),E3833)),E3833)</f>
        <v>0</v>
      </c>
      <c r="I3833" s="1" t="str">
        <f>IFERROR(VLOOKUP(C3833,'Clients List'!A:F,6,FALSE),"")</f>
        <v/>
      </c>
    </row>
    <row r="3834" spans="4:9" x14ac:dyDescent="0.45">
      <c r="D3834" t="str">
        <f>IFERROR(VLOOKUP(C3834,'Clients List'!$A:$F,2,FALSE),"")</f>
        <v/>
      </c>
      <c r="F3834" s="1" t="str">
        <f>IF(OR(C3834="",NOT(ISNUMBER(SEARCH("Package",D3834)))),"",VLOOKUP(C3834,'Clients List'!$A:$F,4,FALSE)-SUMIFS($E$2:$E3834,$C$2:$C3834,C3834,$D$2:$D3834,"*Package*"))</f>
        <v/>
      </c>
      <c r="G3834" t="str">
        <f t="shared" si="93"/>
        <v/>
      </c>
      <c r="H3834" s="33">
        <f>IF(ISNUMBER(SEARCH("Group",D3834)),IF(G3834="",E3834,IFERROR(E3834/COUNTIF($G2:$G6000,G3834),E3834)),E3834)</f>
        <v>0</v>
      </c>
      <c r="I3834" s="1" t="str">
        <f>IFERROR(VLOOKUP(C3834,'Clients List'!A:F,6,FALSE),"")</f>
        <v/>
      </c>
    </row>
    <row r="3835" spans="4:9" x14ac:dyDescent="0.45">
      <c r="D3835" t="str">
        <f>IFERROR(VLOOKUP(C3835,'Clients List'!$A:$F,2,FALSE),"")</f>
        <v/>
      </c>
      <c r="F3835" s="1" t="str">
        <f>IF(OR(C3835="",NOT(ISNUMBER(SEARCH("Package",D3835)))),"",VLOOKUP(C3835,'Clients List'!$A:$F,4,FALSE)-SUMIFS($E$2:$E3835,$C$2:$C3835,C3835,$D$2:$D3835,"*Package*"))</f>
        <v/>
      </c>
      <c r="G3835" t="str">
        <f t="shared" si="93"/>
        <v/>
      </c>
      <c r="H3835" s="33">
        <f>IF(ISNUMBER(SEARCH("Group",D3835)),IF(G3835="",E3835,IFERROR(E3835/COUNTIF($G2:$G6000,G3835),E3835)),E3835)</f>
        <v>0</v>
      </c>
      <c r="I3835" s="1" t="str">
        <f>IFERROR(VLOOKUP(C3835,'Clients List'!A:F,6,FALSE),"")</f>
        <v/>
      </c>
    </row>
    <row r="3836" spans="4:9" x14ac:dyDescent="0.45">
      <c r="D3836" t="str">
        <f>IFERROR(VLOOKUP(C3836,'Clients List'!$A:$F,2,FALSE),"")</f>
        <v/>
      </c>
      <c r="F3836" s="1" t="str">
        <f>IF(OR(C3836="",NOT(ISNUMBER(SEARCH("Package",D3836)))),"",VLOOKUP(C3836,'Clients List'!$A:$F,4,FALSE)-SUMIFS($E$2:$E3836,$C$2:$C3836,C3836,$D$2:$D3836,"*Package*"))</f>
        <v/>
      </c>
      <c r="G3836" t="str">
        <f t="shared" si="93"/>
        <v/>
      </c>
      <c r="H3836" s="33">
        <f>IF(ISNUMBER(SEARCH("Group",D3836)),IF(G3836="",E3836,IFERROR(E3836/COUNTIF($G2:$G6000,G3836),E3836)),E3836)</f>
        <v>0</v>
      </c>
      <c r="I3836" s="1" t="str">
        <f>IFERROR(VLOOKUP(C3836,'Clients List'!A:F,6,FALSE),"")</f>
        <v/>
      </c>
    </row>
    <row r="3837" spans="4:9" x14ac:dyDescent="0.45">
      <c r="D3837" t="str">
        <f>IFERROR(VLOOKUP(C3837,'Clients List'!$A:$F,2,FALSE),"")</f>
        <v/>
      </c>
      <c r="F3837" s="1" t="str">
        <f>IF(OR(C3837="",NOT(ISNUMBER(SEARCH("Package",D3837)))),"",VLOOKUP(C3837,'Clients List'!$A:$F,4,FALSE)-SUMIFS($E$2:$E3837,$C$2:$C3837,C3837,$D$2:$D3837,"*Package*"))</f>
        <v/>
      </c>
      <c r="G3837" t="str">
        <f t="shared" si="93"/>
        <v/>
      </c>
      <c r="H3837" s="33">
        <f>IF(ISNUMBER(SEARCH("Group",D3837)),IF(G3837="",E3837,IFERROR(E3837/COUNTIF($G2:$G6000,G3837),E3837)),E3837)</f>
        <v>0</v>
      </c>
      <c r="I3837" s="1" t="str">
        <f>IFERROR(VLOOKUP(C3837,'Clients List'!A:F,6,FALSE),"")</f>
        <v/>
      </c>
    </row>
    <row r="3838" spans="4:9" x14ac:dyDescent="0.45">
      <c r="D3838" t="str">
        <f>IFERROR(VLOOKUP(C3838,'Clients List'!$A:$F,2,FALSE),"")</f>
        <v/>
      </c>
      <c r="F3838" s="1" t="str">
        <f>IF(OR(C3838="",NOT(ISNUMBER(SEARCH("Package",D3838)))),"",VLOOKUP(C3838,'Clients List'!$A:$F,4,FALSE)-SUMIFS($E$2:$E3838,$C$2:$C3838,C3838,$D$2:$D3838,"*Package*"))</f>
        <v/>
      </c>
      <c r="G3838" t="str">
        <f t="shared" si="93"/>
        <v/>
      </c>
      <c r="H3838" s="33">
        <f>IF(ISNUMBER(SEARCH("Group",D3838)),IF(G3838="",E3838,IFERROR(E3838/COUNTIF($G2:$G6000,G3838),E3838)),E3838)</f>
        <v>0</v>
      </c>
      <c r="I3838" s="1" t="str">
        <f>IFERROR(VLOOKUP(C3838,'Clients List'!A:F,6,FALSE),"")</f>
        <v/>
      </c>
    </row>
    <row r="3839" spans="4:9" x14ac:dyDescent="0.45">
      <c r="D3839" t="str">
        <f>IFERROR(VLOOKUP(C3839,'Clients List'!$A:$F,2,FALSE),"")</f>
        <v/>
      </c>
      <c r="F3839" s="1" t="str">
        <f>IF(OR(C3839="",NOT(ISNUMBER(SEARCH("Package",D3839)))),"",VLOOKUP(C3839,'Clients List'!$A:$F,4,FALSE)-SUMIFS($E$2:$E3839,$C$2:$C3839,C3839,$D$2:$D3839,"*Package*"))</f>
        <v/>
      </c>
      <c r="G3839" t="str">
        <f t="shared" si="93"/>
        <v/>
      </c>
      <c r="H3839" s="33">
        <f>IF(ISNUMBER(SEARCH("Group",D3839)),IF(G3839="",E3839,IFERROR(E3839/COUNTIF($G2:$G6000,G3839),E3839)),E3839)</f>
        <v>0</v>
      </c>
      <c r="I3839" s="1" t="str">
        <f>IFERROR(VLOOKUP(C3839,'Clients List'!A:F,6,FALSE),"")</f>
        <v/>
      </c>
    </row>
    <row r="3840" spans="4:9" x14ac:dyDescent="0.45">
      <c r="D3840" t="str">
        <f>IFERROR(VLOOKUP(C3840,'Clients List'!$A:$F,2,FALSE),"")</f>
        <v/>
      </c>
      <c r="F3840" s="1" t="str">
        <f>IF(OR(C3840="",NOT(ISNUMBER(SEARCH("Package",D3840)))),"",VLOOKUP(C3840,'Clients List'!$A:$F,4,FALSE)-SUMIFS($E$2:$E3840,$C$2:$C3840,C3840,$D$2:$D3840,"*Package*"))</f>
        <v/>
      </c>
      <c r="G3840" t="str">
        <f t="shared" si="93"/>
        <v/>
      </c>
      <c r="H3840" s="33">
        <f>IF(ISNUMBER(SEARCH("Group",D3840)),IF(G3840="",E3840,IFERROR(E3840/COUNTIF($G2:$G6000,G3840),E3840)),E3840)</f>
        <v>0</v>
      </c>
      <c r="I3840" s="1" t="str">
        <f>IFERROR(VLOOKUP(C3840,'Clients List'!A:F,6,FALSE),"")</f>
        <v/>
      </c>
    </row>
    <row r="3841" spans="4:9" x14ac:dyDescent="0.45">
      <c r="D3841" t="str">
        <f>IFERROR(VLOOKUP(C3841,'Clients List'!$A:$F,2,FALSE),"")</f>
        <v/>
      </c>
      <c r="F3841" s="1" t="str">
        <f>IF(OR(C3841="",NOT(ISNUMBER(SEARCH("Package",D3841)))),"",VLOOKUP(C3841,'Clients List'!$A:$F,4,FALSE)-SUMIFS($E$2:$E3841,$C$2:$C3841,C3841,$D$2:$D3841,"*Package*"))</f>
        <v/>
      </c>
      <c r="G3841" t="str">
        <f t="shared" si="93"/>
        <v/>
      </c>
      <c r="H3841" s="33">
        <f>IF(ISNUMBER(SEARCH("Group",D3841)),IF(G3841="",E3841,IFERROR(E3841/COUNTIF($G2:$G6000,G3841),E3841)),E3841)</f>
        <v>0</v>
      </c>
      <c r="I3841" s="1" t="str">
        <f>IFERROR(VLOOKUP(C3841,'Clients List'!A:F,6,FALSE),"")</f>
        <v/>
      </c>
    </row>
    <row r="3842" spans="4:9" x14ac:dyDescent="0.45">
      <c r="D3842" t="str">
        <f>IFERROR(VLOOKUP(C3842,'Clients List'!$A:$F,2,FALSE),"")</f>
        <v/>
      </c>
      <c r="F3842" s="1" t="str">
        <f>IF(OR(C3842="",NOT(ISNUMBER(SEARCH("Package",D3842)))),"",VLOOKUP(C3842,'Clients List'!$A:$F,4,FALSE)-SUMIFS($E$2:$E3842,$C$2:$C3842,C3842,$D$2:$D3842,"*Package*"))</f>
        <v/>
      </c>
      <c r="G3842" t="str">
        <f t="shared" si="93"/>
        <v/>
      </c>
      <c r="H3842" s="33">
        <f>IF(ISNUMBER(SEARCH("Group",D3842)),IF(G3842="",E3842,IFERROR(E3842/COUNTIF($G2:$G6000,G3842),E3842)),E3842)</f>
        <v>0</v>
      </c>
      <c r="I3842" s="1" t="str">
        <f>IFERROR(VLOOKUP(C3842,'Clients List'!A:F,6,FALSE),"")</f>
        <v/>
      </c>
    </row>
    <row r="3843" spans="4:9" x14ac:dyDescent="0.45">
      <c r="D3843" t="str">
        <f>IFERROR(VLOOKUP(C3843,'Clients List'!$A:$F,2,FALSE),"")</f>
        <v/>
      </c>
      <c r="F3843" s="1" t="str">
        <f>IF(OR(C3843="",NOT(ISNUMBER(SEARCH("Package",D3843)))),"",VLOOKUP(C3843,'Clients List'!$A:$F,4,FALSE)-SUMIFS($E$2:$E3843,$C$2:$C3843,C3843,$D$2:$D3843,"*Package*"))</f>
        <v/>
      </c>
      <c r="G3843" t="str">
        <f t="shared" si="93"/>
        <v/>
      </c>
      <c r="H3843" s="33">
        <f>IF(ISNUMBER(SEARCH("Group",D3843)),IF(G3843="",E3843,IFERROR(E3843/COUNTIF($G2:$G6000,G3843),E3843)),E3843)</f>
        <v>0</v>
      </c>
      <c r="I3843" s="1" t="str">
        <f>IFERROR(VLOOKUP(C3843,'Clients List'!A:F,6,FALSE),"")</f>
        <v/>
      </c>
    </row>
    <row r="3844" spans="4:9" x14ac:dyDescent="0.45">
      <c r="D3844" t="str">
        <f>IFERROR(VLOOKUP(C3844,'Clients List'!$A:$F,2,FALSE),"")</f>
        <v/>
      </c>
      <c r="F3844" s="1" t="str">
        <f>IF(OR(C3844="",NOT(ISNUMBER(SEARCH("Package",D3844)))),"",VLOOKUP(C3844,'Clients List'!$A:$F,4,FALSE)-SUMIFS($E$2:$E3844,$C$2:$C3844,C3844,$D$2:$D3844,"*Package*"))</f>
        <v/>
      </c>
      <c r="G3844" t="str">
        <f t="shared" si="93"/>
        <v/>
      </c>
      <c r="H3844" s="33">
        <f>IF(ISNUMBER(SEARCH("Group",D3844)),IF(G3844="",E3844,IFERROR(E3844/COUNTIF($G2:$G6000,G3844),E3844)),E3844)</f>
        <v>0</v>
      </c>
      <c r="I3844" s="1" t="str">
        <f>IFERROR(VLOOKUP(C3844,'Clients List'!A:F,6,FALSE),"")</f>
        <v/>
      </c>
    </row>
    <row r="3845" spans="4:9" x14ac:dyDescent="0.45">
      <c r="D3845" t="str">
        <f>IFERROR(VLOOKUP(C3845,'Clients List'!$A:$F,2,FALSE),"")</f>
        <v/>
      </c>
      <c r="F3845" s="1" t="str">
        <f>IF(OR(C3845="",NOT(ISNUMBER(SEARCH("Package",D3845)))),"",VLOOKUP(C3845,'Clients List'!$A:$F,4,FALSE)-SUMIFS($E$2:$E3845,$C$2:$C3845,C3845,$D$2:$D3845,"*Package*"))</f>
        <v/>
      </c>
      <c r="G3845" t="str">
        <f t="shared" si="93"/>
        <v/>
      </c>
      <c r="H3845" s="33">
        <f>IF(ISNUMBER(SEARCH("Group",D3845)),IF(G3845="",E3845,IFERROR(E3845/COUNTIF($G2:$G6000,G3845),E3845)),E3845)</f>
        <v>0</v>
      </c>
      <c r="I3845" s="1" t="str">
        <f>IFERROR(VLOOKUP(C3845,'Clients List'!A:F,6,FALSE),"")</f>
        <v/>
      </c>
    </row>
    <row r="3846" spans="4:9" x14ac:dyDescent="0.45">
      <c r="D3846" t="str">
        <f>IFERROR(VLOOKUP(C3846,'Clients List'!$A:$F,2,FALSE),"")</f>
        <v/>
      </c>
      <c r="F3846" s="1" t="str">
        <f>IF(OR(C3846="",NOT(ISNUMBER(SEARCH("Package",D3846)))),"",VLOOKUP(C3846,'Clients List'!$A:$F,4,FALSE)-SUMIFS($E$2:$E3846,$C$2:$C3846,C3846,$D$2:$D3846,"*Package*"))</f>
        <v/>
      </c>
      <c r="G3846" t="str">
        <f t="shared" si="93"/>
        <v/>
      </c>
      <c r="H3846" s="33">
        <f>IF(ISNUMBER(SEARCH("Group",D3846)),IF(G3846="",E3846,IFERROR(E3846/COUNTIF($G2:$G6000,G3846),E3846)),E3846)</f>
        <v>0</v>
      </c>
      <c r="I3846" s="1" t="str">
        <f>IFERROR(VLOOKUP(C3846,'Clients List'!A:F,6,FALSE),"")</f>
        <v/>
      </c>
    </row>
    <row r="3847" spans="4:9" x14ac:dyDescent="0.45">
      <c r="D3847" t="str">
        <f>IFERROR(VLOOKUP(C3847,'Clients List'!$A:$F,2,FALSE),"")</f>
        <v/>
      </c>
      <c r="F3847" s="1" t="str">
        <f>IF(OR(C3847="",NOT(ISNUMBER(SEARCH("Package",D3847)))),"",VLOOKUP(C3847,'Clients List'!$A:$F,4,FALSE)-SUMIFS($E$2:$E3847,$C$2:$C3847,C3847,$D$2:$D3847,"*Package*"))</f>
        <v/>
      </c>
      <c r="G3847" t="str">
        <f t="shared" si="93"/>
        <v/>
      </c>
      <c r="H3847" s="33">
        <f>IF(ISNUMBER(SEARCH("Group",D3847)),IF(G3847="",E3847,IFERROR(E3847/COUNTIF($G2:$G6000,G3847),E3847)),E3847)</f>
        <v>0</v>
      </c>
      <c r="I3847" s="1" t="str">
        <f>IFERROR(VLOOKUP(C3847,'Clients List'!A:F,6,FALSE),"")</f>
        <v/>
      </c>
    </row>
    <row r="3848" spans="4:9" x14ac:dyDescent="0.45">
      <c r="D3848" t="str">
        <f>IFERROR(VLOOKUP(C3848,'Clients List'!$A:$F,2,FALSE),"")</f>
        <v/>
      </c>
      <c r="F3848" s="1" t="str">
        <f>IF(OR(C3848="",NOT(ISNUMBER(SEARCH("Package",D3848)))),"",VLOOKUP(C3848,'Clients List'!$A:$F,4,FALSE)-SUMIFS($E$2:$E3848,$C$2:$C3848,C3848,$D$2:$D3848,"*Package*"))</f>
        <v/>
      </c>
      <c r="G3848" t="str">
        <f t="shared" si="93"/>
        <v/>
      </c>
      <c r="H3848" s="33">
        <f>IF(ISNUMBER(SEARCH("Group",D3848)),IF(G3848="",E3848,IFERROR(E3848/COUNTIF($G2:$G6000,G3848),E3848)),E3848)</f>
        <v>0</v>
      </c>
      <c r="I3848" s="1" t="str">
        <f>IFERROR(VLOOKUP(C3848,'Clients List'!A:F,6,FALSE),"")</f>
        <v/>
      </c>
    </row>
    <row r="3849" spans="4:9" x14ac:dyDescent="0.45">
      <c r="D3849" t="str">
        <f>IFERROR(VLOOKUP(C3849,'Clients List'!$A:$F,2,FALSE),"")</f>
        <v/>
      </c>
      <c r="F3849" s="1" t="str">
        <f>IF(OR(C3849="",NOT(ISNUMBER(SEARCH("Package",D3849)))),"",VLOOKUP(C3849,'Clients List'!$A:$F,4,FALSE)-SUMIFS($E$2:$E3849,$C$2:$C3849,C3849,$D$2:$D3849,"*Package*"))</f>
        <v/>
      </c>
      <c r="G3849" t="str">
        <f t="shared" si="93"/>
        <v/>
      </c>
      <c r="H3849" s="33">
        <f>IF(ISNUMBER(SEARCH("Group",D3849)),IF(G3849="",E3849,IFERROR(E3849/COUNTIF($G2:$G6000,G3849),E3849)),E3849)</f>
        <v>0</v>
      </c>
      <c r="I3849" s="1" t="str">
        <f>IFERROR(VLOOKUP(C3849,'Clients List'!A:F,6,FALSE),"")</f>
        <v/>
      </c>
    </row>
    <row r="3850" spans="4:9" x14ac:dyDescent="0.45">
      <c r="D3850" t="str">
        <f>IFERROR(VLOOKUP(C3850,'Clients List'!$A:$F,2,FALSE),"")</f>
        <v/>
      </c>
      <c r="F3850" s="1" t="str">
        <f>IF(OR(C3850="",NOT(ISNUMBER(SEARCH("Package",D3850)))),"",VLOOKUP(C3850,'Clients List'!$A:$F,4,FALSE)-SUMIFS($E$2:$E3850,$C$2:$C3850,C3850,$D$2:$D3850,"*Package*"))</f>
        <v/>
      </c>
      <c r="G3850" t="str">
        <f t="shared" si="93"/>
        <v/>
      </c>
      <c r="H3850" s="33">
        <f>IF(ISNUMBER(SEARCH("Group",D3850)),IF(G3850="",E3850,IFERROR(E3850/COUNTIF($G2:$G6000,G3850),E3850)),E3850)</f>
        <v>0</v>
      </c>
      <c r="I3850" s="1" t="str">
        <f>IFERROR(VLOOKUP(C3850,'Clients List'!A:F,6,FALSE),"")</f>
        <v/>
      </c>
    </row>
    <row r="3851" spans="4:9" x14ac:dyDescent="0.45">
      <c r="D3851" t="str">
        <f>IFERROR(VLOOKUP(C3851,'Clients List'!$A:$F,2,FALSE),"")</f>
        <v/>
      </c>
      <c r="F3851" s="1" t="str">
        <f>IF(OR(C3851="",NOT(ISNUMBER(SEARCH("Package",D3851)))),"",VLOOKUP(C3851,'Clients List'!$A:$F,4,FALSE)-SUMIFS($E$2:$E3851,$C$2:$C3851,C3851,$D$2:$D3851,"*Package*"))</f>
        <v/>
      </c>
      <c r="G3851" t="str">
        <f t="shared" si="93"/>
        <v/>
      </c>
      <c r="H3851" s="33">
        <f>IF(ISNUMBER(SEARCH("Group",D3851)),IF(G3851="",E3851,IFERROR(E3851/COUNTIF($G2:$G6000,G3851),E3851)),E3851)</f>
        <v>0</v>
      </c>
      <c r="I3851" s="1" t="str">
        <f>IFERROR(VLOOKUP(C3851,'Clients List'!A:F,6,FALSE),"")</f>
        <v/>
      </c>
    </row>
    <row r="3852" spans="4:9" x14ac:dyDescent="0.45">
      <c r="D3852" t="str">
        <f>IFERROR(VLOOKUP(C3852,'Clients List'!$A:$F,2,FALSE),"")</f>
        <v/>
      </c>
      <c r="F3852" s="1" t="str">
        <f>IF(OR(C3852="",NOT(ISNUMBER(SEARCH("Package",D3852)))),"",VLOOKUP(C3852,'Clients List'!$A:$F,4,FALSE)-SUMIFS($E$2:$E3852,$C$2:$C3852,C3852,$D$2:$D3852,"*Package*"))</f>
        <v/>
      </c>
      <c r="G3852" t="str">
        <f t="shared" si="93"/>
        <v/>
      </c>
      <c r="H3852" s="33">
        <f>IF(ISNUMBER(SEARCH("Group",D3852)),IF(G3852="",E3852,IFERROR(E3852/COUNTIF($G2:$G6000,G3852),E3852)),E3852)</f>
        <v>0</v>
      </c>
      <c r="I3852" s="1" t="str">
        <f>IFERROR(VLOOKUP(C3852,'Clients List'!A:F,6,FALSE),"")</f>
        <v/>
      </c>
    </row>
    <row r="3853" spans="4:9" x14ac:dyDescent="0.45">
      <c r="D3853" t="str">
        <f>IFERROR(VLOOKUP(C3853,'Clients List'!$A:$F,2,FALSE),"")</f>
        <v/>
      </c>
      <c r="F3853" s="1" t="str">
        <f>IF(OR(C3853="",NOT(ISNUMBER(SEARCH("Package",D3853)))),"",VLOOKUP(C3853,'Clients List'!$A:$F,4,FALSE)-SUMIFS($E$2:$E3853,$C$2:$C3853,C3853,$D$2:$D3853,"*Package*"))</f>
        <v/>
      </c>
      <c r="G3853" t="str">
        <f t="shared" si="93"/>
        <v/>
      </c>
      <c r="H3853" s="33">
        <f>IF(ISNUMBER(SEARCH("Group",D3853)),IF(G3853="",E3853,IFERROR(E3853/COUNTIF($G2:$G6000,G3853),E3853)),E3853)</f>
        <v>0</v>
      </c>
      <c r="I3853" s="1" t="str">
        <f>IFERROR(VLOOKUP(C3853,'Clients List'!A:F,6,FALSE),"")</f>
        <v/>
      </c>
    </row>
    <row r="3854" spans="4:9" x14ac:dyDescent="0.45">
      <c r="D3854" t="str">
        <f>IFERROR(VLOOKUP(C3854,'Clients List'!$A:$F,2,FALSE),"")</f>
        <v/>
      </c>
      <c r="F3854" s="1" t="str">
        <f>IF(OR(C3854="",NOT(ISNUMBER(SEARCH("Package",D3854)))),"",VLOOKUP(C3854,'Clients List'!$A:$F,4,FALSE)-SUMIFS($E$2:$E3854,$C$2:$C3854,C3854,$D$2:$D3854,"*Package*"))</f>
        <v/>
      </c>
      <c r="G3854" t="str">
        <f t="shared" si="93"/>
        <v/>
      </c>
      <c r="H3854" s="33">
        <f>IF(ISNUMBER(SEARCH("Group",D3854)),IF(G3854="",E3854,IFERROR(E3854/COUNTIF($G2:$G6000,G3854),E3854)),E3854)</f>
        <v>0</v>
      </c>
      <c r="I3854" s="1" t="str">
        <f>IFERROR(VLOOKUP(C3854,'Clients List'!A:F,6,FALSE),"")</f>
        <v/>
      </c>
    </row>
    <row r="3855" spans="4:9" x14ac:dyDescent="0.45">
      <c r="D3855" t="str">
        <f>IFERROR(VLOOKUP(C3855,'Clients List'!$A:$F,2,FALSE),"")</f>
        <v/>
      </c>
      <c r="F3855" s="1" t="str">
        <f>IF(OR(C3855="",NOT(ISNUMBER(SEARCH("Package",D3855)))),"",VLOOKUP(C3855,'Clients List'!$A:$F,4,FALSE)-SUMIFS($E$2:$E3855,$C$2:$C3855,C3855,$D$2:$D3855,"*Package*"))</f>
        <v/>
      </c>
      <c r="G3855" t="str">
        <f t="shared" si="93"/>
        <v/>
      </c>
      <c r="H3855" s="33">
        <f>IF(ISNUMBER(SEARCH("Group",D3855)),IF(G3855="",E3855,IFERROR(E3855/COUNTIF($G2:$G6000,G3855),E3855)),E3855)</f>
        <v>0</v>
      </c>
      <c r="I3855" s="1" t="str">
        <f>IFERROR(VLOOKUP(C3855,'Clients List'!A:F,6,FALSE),"")</f>
        <v/>
      </c>
    </row>
    <row r="3856" spans="4:9" x14ac:dyDescent="0.45">
      <c r="D3856" t="str">
        <f>IFERROR(VLOOKUP(C3856,'Clients List'!$A:$F,2,FALSE),"")</f>
        <v/>
      </c>
      <c r="F3856" s="1" t="str">
        <f>IF(OR(C3856="",NOT(ISNUMBER(SEARCH("Package",D3856)))),"",VLOOKUP(C3856,'Clients List'!$A:$F,4,FALSE)-SUMIFS($E$2:$E3856,$C$2:$C3856,C3856,$D$2:$D3856,"*Package*"))</f>
        <v/>
      </c>
      <c r="G3856" t="str">
        <f t="shared" si="93"/>
        <v/>
      </c>
      <c r="H3856" s="33">
        <f>IF(ISNUMBER(SEARCH("Group",D3856)),IF(G3856="",E3856,IFERROR(E3856/COUNTIF($G2:$G6000,G3856),E3856)),E3856)</f>
        <v>0</v>
      </c>
      <c r="I3856" s="1" t="str">
        <f>IFERROR(VLOOKUP(C3856,'Clients List'!A:F,6,FALSE),"")</f>
        <v/>
      </c>
    </row>
    <row r="3857" spans="4:9" x14ac:dyDescent="0.45">
      <c r="D3857" t="str">
        <f>IFERROR(VLOOKUP(C3857,'Clients List'!$A:$F,2,FALSE),"")</f>
        <v/>
      </c>
      <c r="F3857" s="1" t="str">
        <f>IF(OR(C3857="",NOT(ISNUMBER(SEARCH("Package",D3857)))),"",VLOOKUP(C3857,'Clients List'!$A:$F,4,FALSE)-SUMIFS($E$2:$E3857,$C$2:$C3857,C3857,$D$2:$D3857,"*Package*"))</f>
        <v/>
      </c>
      <c r="G3857" t="str">
        <f t="shared" si="93"/>
        <v/>
      </c>
      <c r="H3857" s="33">
        <f>IF(ISNUMBER(SEARCH("Group",D3857)),IF(G3857="",E3857,IFERROR(E3857/COUNTIF($G2:$G6000,G3857),E3857)),E3857)</f>
        <v>0</v>
      </c>
      <c r="I3857" s="1" t="str">
        <f>IFERROR(VLOOKUP(C3857,'Clients List'!A:F,6,FALSE),"")</f>
        <v/>
      </c>
    </row>
    <row r="3858" spans="4:9" x14ac:dyDescent="0.45">
      <c r="D3858" t="str">
        <f>IFERROR(VLOOKUP(C3858,'Clients List'!$A:$F,2,FALSE),"")</f>
        <v/>
      </c>
      <c r="F3858" s="1" t="str">
        <f>IF(OR(C3858="",NOT(ISNUMBER(SEARCH("Package",D3858)))),"",VLOOKUP(C3858,'Clients List'!$A:$F,4,FALSE)-SUMIFS($E$2:$E3858,$C$2:$C3858,C3858,$D$2:$D3858,"*Package*"))</f>
        <v/>
      </c>
      <c r="G3858" t="str">
        <f t="shared" si="93"/>
        <v/>
      </c>
      <c r="H3858" s="33">
        <f>IF(ISNUMBER(SEARCH("Group",D3858)),IF(G3858="",E3858,IFERROR(E3858/COUNTIF($G2:$G6000,G3858),E3858)),E3858)</f>
        <v>0</v>
      </c>
      <c r="I3858" s="1" t="str">
        <f>IFERROR(VLOOKUP(C3858,'Clients List'!A:F,6,FALSE),"")</f>
        <v/>
      </c>
    </row>
    <row r="3859" spans="4:9" x14ac:dyDescent="0.45">
      <c r="D3859" t="str">
        <f>IFERROR(VLOOKUP(C3859,'Clients List'!$A:$F,2,FALSE),"")</f>
        <v/>
      </c>
      <c r="F3859" s="1" t="str">
        <f>IF(OR(C3859="",NOT(ISNUMBER(SEARCH("Package",D3859)))),"",VLOOKUP(C3859,'Clients List'!$A:$F,4,FALSE)-SUMIFS($E$2:$E3859,$C$2:$C3859,C3859,$D$2:$D3859,"*Package*"))</f>
        <v/>
      </c>
      <c r="G3859" t="str">
        <f t="shared" si="93"/>
        <v/>
      </c>
      <c r="H3859" s="33">
        <f>IF(ISNUMBER(SEARCH("Group",D3859)),IF(G3859="",E3859,IFERROR(E3859/COUNTIF($G2:$G6000,G3859),E3859)),E3859)</f>
        <v>0</v>
      </c>
      <c r="I3859" s="1" t="str">
        <f>IFERROR(VLOOKUP(C3859,'Clients List'!A:F,6,FALSE),"")</f>
        <v/>
      </c>
    </row>
    <row r="3860" spans="4:9" x14ac:dyDescent="0.45">
      <c r="D3860" t="str">
        <f>IFERROR(VLOOKUP(C3860,'Clients List'!$A:$F,2,FALSE),"")</f>
        <v/>
      </c>
      <c r="F3860" s="1" t="str">
        <f>IF(OR(C3860="",NOT(ISNUMBER(SEARCH("Package",D3860)))),"",VLOOKUP(C3860,'Clients List'!$A:$F,4,FALSE)-SUMIFS($E$2:$E3860,$C$2:$C3860,C3860,$D$2:$D3860,"*Package*"))</f>
        <v/>
      </c>
      <c r="G3860" t="str">
        <f t="shared" si="93"/>
        <v/>
      </c>
      <c r="H3860" s="33">
        <f>IF(ISNUMBER(SEARCH("Group",D3860)),IF(G3860="",E3860,IFERROR(E3860/COUNTIF($G2:$G6000,G3860),E3860)),E3860)</f>
        <v>0</v>
      </c>
      <c r="I3860" s="1" t="str">
        <f>IFERROR(VLOOKUP(C3860,'Clients List'!A:F,6,FALSE),"")</f>
        <v/>
      </c>
    </row>
    <row r="3861" spans="4:9" x14ac:dyDescent="0.45">
      <c r="D3861" t="str">
        <f>IFERROR(VLOOKUP(C3861,'Clients List'!$A:$F,2,FALSE),"")</f>
        <v/>
      </c>
      <c r="F3861" s="1" t="str">
        <f>IF(OR(C3861="",NOT(ISNUMBER(SEARCH("Package",D3861)))),"",VLOOKUP(C3861,'Clients List'!$A:$F,4,FALSE)-SUMIFS($E$2:$E3861,$C$2:$C3861,C3861,$D$2:$D3861,"*Package*"))</f>
        <v/>
      </c>
      <c r="G3861" t="str">
        <f t="shared" si="93"/>
        <v/>
      </c>
      <c r="H3861" s="33">
        <f>IF(ISNUMBER(SEARCH("Group",D3861)),IF(G3861="",E3861,IFERROR(E3861/COUNTIF($G2:$G6000,G3861),E3861)),E3861)</f>
        <v>0</v>
      </c>
      <c r="I3861" s="1" t="str">
        <f>IFERROR(VLOOKUP(C3861,'Clients List'!A:F,6,FALSE),"")</f>
        <v/>
      </c>
    </row>
    <row r="3862" spans="4:9" x14ac:dyDescent="0.45">
      <c r="D3862" t="str">
        <f>IFERROR(VLOOKUP(C3862,'Clients List'!$A:$F,2,FALSE),"")</f>
        <v/>
      </c>
      <c r="F3862" s="1" t="str">
        <f>IF(OR(C3862="",NOT(ISNUMBER(SEARCH("Package",D3862)))),"",VLOOKUP(C3862,'Clients List'!$A:$F,4,FALSE)-SUMIFS($E$2:$E3862,$C$2:$C3862,C3862,$D$2:$D3862,"*Package*"))</f>
        <v/>
      </c>
      <c r="G3862" t="str">
        <f t="shared" si="93"/>
        <v/>
      </c>
      <c r="H3862" s="33">
        <f>IF(ISNUMBER(SEARCH("Group",D3862)),IF(G3862="",E3862,IFERROR(E3862/COUNTIF($G2:$G6000,G3862),E3862)),E3862)</f>
        <v>0</v>
      </c>
      <c r="I3862" s="1" t="str">
        <f>IFERROR(VLOOKUP(C3862,'Clients List'!A:F,6,FALSE),"")</f>
        <v/>
      </c>
    </row>
    <row r="3863" spans="4:9" x14ac:dyDescent="0.45">
      <c r="D3863" t="str">
        <f>IFERROR(VLOOKUP(C3863,'Clients List'!$A:$F,2,FALSE),"")</f>
        <v/>
      </c>
      <c r="F3863" s="1" t="str">
        <f>IF(OR(C3863="",NOT(ISNUMBER(SEARCH("Package",D3863)))),"",VLOOKUP(C3863,'Clients List'!$A:$F,4,FALSE)-SUMIFS($E$2:$E3863,$C$2:$C3863,C3863,$D$2:$D3863,"*Package*"))</f>
        <v/>
      </c>
      <c r="G3863" t="str">
        <f t="shared" si="93"/>
        <v/>
      </c>
      <c r="H3863" s="33">
        <f>IF(ISNUMBER(SEARCH("Group",D3863)),IF(G3863="",E3863,IFERROR(E3863/COUNTIF($G2:$G6000,G3863),E3863)),E3863)</f>
        <v>0</v>
      </c>
      <c r="I3863" s="1" t="str">
        <f>IFERROR(VLOOKUP(C3863,'Clients List'!A:F,6,FALSE),"")</f>
        <v/>
      </c>
    </row>
    <row r="3864" spans="4:9" x14ac:dyDescent="0.45">
      <c r="D3864" t="str">
        <f>IFERROR(VLOOKUP(C3864,'Clients List'!$A:$F,2,FALSE),"")</f>
        <v/>
      </c>
      <c r="F3864" s="1" t="str">
        <f>IF(OR(C3864="",NOT(ISNUMBER(SEARCH("Package",D3864)))),"",VLOOKUP(C3864,'Clients List'!$A:$F,4,FALSE)-SUMIFS($E$2:$E3864,$C$2:$C3864,C3864,$D$2:$D3864,"*Package*"))</f>
        <v/>
      </c>
      <c r="G3864" t="str">
        <f t="shared" si="93"/>
        <v/>
      </c>
      <c r="H3864" s="33">
        <f>IF(ISNUMBER(SEARCH("Group",D3864)),IF(G3864="",E3864,IFERROR(E3864/COUNTIF($G2:$G6000,G3864),E3864)),E3864)</f>
        <v>0</v>
      </c>
      <c r="I3864" s="1" t="str">
        <f>IFERROR(VLOOKUP(C3864,'Clients List'!A:F,6,FALSE),"")</f>
        <v/>
      </c>
    </row>
    <row r="3865" spans="4:9" x14ac:dyDescent="0.45">
      <c r="D3865" t="str">
        <f>IFERROR(VLOOKUP(C3865,'Clients List'!$A:$F,2,FALSE),"")</f>
        <v/>
      </c>
      <c r="F3865" s="1" t="str">
        <f>IF(OR(C3865="",NOT(ISNUMBER(SEARCH("Package",D3865)))),"",VLOOKUP(C3865,'Clients List'!$A:$F,4,FALSE)-SUMIFS($E$2:$E3865,$C$2:$C3865,C3865,$D$2:$D3865,"*Package*"))</f>
        <v/>
      </c>
      <c r="G3865" t="str">
        <f t="shared" si="93"/>
        <v/>
      </c>
      <c r="H3865" s="33">
        <f>IF(ISNUMBER(SEARCH("Group",D3865)),IF(G3865="",E3865,IFERROR(E3865/COUNTIF($G2:$G6000,G3865),E3865)),E3865)</f>
        <v>0</v>
      </c>
      <c r="I3865" s="1" t="str">
        <f>IFERROR(VLOOKUP(C3865,'Clients List'!A:F,6,FALSE),"")</f>
        <v/>
      </c>
    </row>
    <row r="3866" spans="4:9" x14ac:dyDescent="0.45">
      <c r="D3866" t="str">
        <f>IFERROR(VLOOKUP(C3866,'Clients List'!$A:$F,2,FALSE),"")</f>
        <v/>
      </c>
      <c r="F3866" s="1" t="str">
        <f>IF(OR(C3866="",NOT(ISNUMBER(SEARCH("Package",D3866)))),"",VLOOKUP(C3866,'Clients List'!$A:$F,4,FALSE)-SUMIFS($E$2:$E3866,$C$2:$C3866,C3866,$D$2:$D3866,"*Package*"))</f>
        <v/>
      </c>
      <c r="G3866" t="str">
        <f t="shared" si="93"/>
        <v/>
      </c>
      <c r="H3866" s="33">
        <f>IF(ISNUMBER(SEARCH("Group",D3866)),IF(G3866="",E3866,IFERROR(E3866/COUNTIF($G2:$G6000,G3866),E3866)),E3866)</f>
        <v>0</v>
      </c>
      <c r="I3866" s="1" t="str">
        <f>IFERROR(VLOOKUP(C3866,'Clients List'!A:F,6,FALSE),"")</f>
        <v/>
      </c>
    </row>
    <row r="3867" spans="4:9" x14ac:dyDescent="0.45">
      <c r="D3867" t="str">
        <f>IFERROR(VLOOKUP(C3867,'Clients List'!$A:$F,2,FALSE),"")</f>
        <v/>
      </c>
      <c r="F3867" s="1" t="str">
        <f>IF(OR(C3867="",NOT(ISNUMBER(SEARCH("Package",D3867)))),"",VLOOKUP(C3867,'Clients List'!$A:$F,4,FALSE)-SUMIFS($E$2:$E3867,$C$2:$C3867,C3867,$D$2:$D3867,"*Package*"))</f>
        <v/>
      </c>
      <c r="G3867" t="str">
        <f t="shared" si="93"/>
        <v/>
      </c>
      <c r="H3867" s="33">
        <f>IF(ISNUMBER(SEARCH("Group",D3867)),IF(G3867="",E3867,IFERROR(E3867/COUNTIF($G2:$G6000,G3867),E3867)),E3867)</f>
        <v>0</v>
      </c>
      <c r="I3867" s="1" t="str">
        <f>IFERROR(VLOOKUP(C3867,'Clients List'!A:F,6,FALSE),"")</f>
        <v/>
      </c>
    </row>
    <row r="3868" spans="4:9" x14ac:dyDescent="0.45">
      <c r="D3868" t="str">
        <f>IFERROR(VLOOKUP(C3868,'Clients List'!$A:$F,2,FALSE),"")</f>
        <v/>
      </c>
      <c r="F3868" s="1" t="str">
        <f>IF(OR(C3868="",NOT(ISNUMBER(SEARCH("Package",D3868)))),"",VLOOKUP(C3868,'Clients List'!$A:$F,4,FALSE)-SUMIFS($E$2:$E3868,$C$2:$C3868,C3868,$D$2:$D3868,"*Package*"))</f>
        <v/>
      </c>
      <c r="G3868" t="str">
        <f t="shared" si="93"/>
        <v/>
      </c>
      <c r="H3868" s="33">
        <f>IF(ISNUMBER(SEARCH("Group",D3868)),IF(G3868="",E3868,IFERROR(E3868/COUNTIF($G2:$G6000,G3868),E3868)),E3868)</f>
        <v>0</v>
      </c>
      <c r="I3868" s="1" t="str">
        <f>IFERROR(VLOOKUP(C3868,'Clients List'!A:F,6,FALSE),"")</f>
        <v/>
      </c>
    </row>
    <row r="3869" spans="4:9" x14ac:dyDescent="0.45">
      <c r="D3869" t="str">
        <f>IFERROR(VLOOKUP(C3869,'Clients List'!$A:$F,2,FALSE),"")</f>
        <v/>
      </c>
      <c r="F3869" s="1" t="str">
        <f>IF(OR(C3869="",NOT(ISNUMBER(SEARCH("Package",D3869)))),"",VLOOKUP(C3869,'Clients List'!$A:$F,4,FALSE)-SUMIFS($E$2:$E3869,$C$2:$C3869,C3869,$D$2:$D3869,"*Package*"))</f>
        <v/>
      </c>
      <c r="G3869" t="str">
        <f t="shared" si="93"/>
        <v/>
      </c>
      <c r="H3869" s="33">
        <f>IF(ISNUMBER(SEARCH("Group",D3869)),IF(G3869="",E3869,IFERROR(E3869/COUNTIF($G2:$G6000,G3869),E3869)),E3869)</f>
        <v>0</v>
      </c>
      <c r="I3869" s="1" t="str">
        <f>IFERROR(VLOOKUP(C3869,'Clients List'!A:F,6,FALSE),"")</f>
        <v/>
      </c>
    </row>
    <row r="3870" spans="4:9" x14ac:dyDescent="0.45">
      <c r="D3870" t="str">
        <f>IFERROR(VLOOKUP(C3870,'Clients List'!$A:$F,2,FALSE),"")</f>
        <v/>
      </c>
      <c r="F3870" s="1" t="str">
        <f>IF(OR(C3870="",NOT(ISNUMBER(SEARCH("Package",D3870)))),"",VLOOKUP(C3870,'Clients List'!$A:$F,4,FALSE)-SUMIFS($E$2:$E3870,$C$2:$C3870,C3870,$D$2:$D3870,"*Package*"))</f>
        <v/>
      </c>
      <c r="G3870" t="str">
        <f t="shared" si="93"/>
        <v/>
      </c>
      <c r="H3870" s="33">
        <f>IF(ISNUMBER(SEARCH("Group",D3870)),IF(G3870="",E3870,IFERROR(E3870/COUNTIF($G2:$G6000,G3870),E3870)),E3870)</f>
        <v>0</v>
      </c>
      <c r="I3870" s="1" t="str">
        <f>IFERROR(VLOOKUP(C3870,'Clients List'!A:F,6,FALSE),"")</f>
        <v/>
      </c>
    </row>
    <row r="3871" spans="4:9" x14ac:dyDescent="0.45">
      <c r="D3871" t="str">
        <f>IFERROR(VLOOKUP(C3871,'Clients List'!$A:$F,2,FALSE),"")</f>
        <v/>
      </c>
      <c r="F3871" s="1" t="str">
        <f>IF(OR(C3871="",NOT(ISNUMBER(SEARCH("Package",D3871)))),"",VLOOKUP(C3871,'Clients List'!$A:$F,4,FALSE)-SUMIFS($E$2:$E3871,$C$2:$C3871,C3871,$D$2:$D3871,"*Package*"))</f>
        <v/>
      </c>
      <c r="G3871" t="str">
        <f t="shared" si="93"/>
        <v/>
      </c>
      <c r="H3871" s="33">
        <f>IF(ISNUMBER(SEARCH("Group",D3871)),IF(G3871="",E3871,IFERROR(E3871/COUNTIF($G2:$G6000,G3871),E3871)),E3871)</f>
        <v>0</v>
      </c>
      <c r="I3871" s="1" t="str">
        <f>IFERROR(VLOOKUP(C3871,'Clients List'!A:F,6,FALSE),"")</f>
        <v/>
      </c>
    </row>
    <row r="3872" spans="4:9" x14ac:dyDescent="0.45">
      <c r="D3872" t="str">
        <f>IFERROR(VLOOKUP(C3872,'Clients List'!$A:$F,2,FALSE),"")</f>
        <v/>
      </c>
      <c r="F3872" s="1" t="str">
        <f>IF(OR(C3872="",NOT(ISNUMBER(SEARCH("Package",D3872)))),"",VLOOKUP(C3872,'Clients List'!$A:$F,4,FALSE)-SUMIFS($E$2:$E3872,$C$2:$C3872,C3872,$D$2:$D3872,"*Package*"))</f>
        <v/>
      </c>
      <c r="G3872" t="str">
        <f t="shared" si="93"/>
        <v/>
      </c>
      <c r="H3872" s="33">
        <f>IF(ISNUMBER(SEARCH("Group",D3872)),IF(G3872="",E3872,IFERROR(E3872/COUNTIF($G2:$G6000,G3872),E3872)),E3872)</f>
        <v>0</v>
      </c>
      <c r="I3872" s="1" t="str">
        <f>IFERROR(VLOOKUP(C3872,'Clients List'!A:F,6,FALSE),"")</f>
        <v/>
      </c>
    </row>
    <row r="3873" spans="4:9" x14ac:dyDescent="0.45">
      <c r="D3873" t="str">
        <f>IFERROR(VLOOKUP(C3873,'Clients List'!$A:$F,2,FALSE),"")</f>
        <v/>
      </c>
      <c r="F3873" s="1" t="str">
        <f>IF(OR(C3873="",NOT(ISNUMBER(SEARCH("Package",D3873)))),"",VLOOKUP(C3873,'Clients List'!$A:$F,4,FALSE)-SUMIFS($E$2:$E3873,$C$2:$C3873,C3873,$D$2:$D3873,"*Package*"))</f>
        <v/>
      </c>
      <c r="G3873" t="str">
        <f t="shared" si="93"/>
        <v/>
      </c>
      <c r="H3873" s="33">
        <f>IF(ISNUMBER(SEARCH("Group",D3873)),IF(G3873="",E3873,IFERROR(E3873/COUNTIF($G2:$G6000,G3873),E3873)),E3873)</f>
        <v>0</v>
      </c>
      <c r="I3873" s="1" t="str">
        <f>IFERROR(VLOOKUP(C3873,'Clients List'!A:F,6,FALSE),"")</f>
        <v/>
      </c>
    </row>
    <row r="3874" spans="4:9" x14ac:dyDescent="0.45">
      <c r="D3874" t="str">
        <f>IFERROR(VLOOKUP(C3874,'Clients List'!$A:$F,2,FALSE),"")</f>
        <v/>
      </c>
      <c r="F3874" s="1" t="str">
        <f>IF(OR(C3874="",NOT(ISNUMBER(SEARCH("Package",D3874)))),"",VLOOKUP(C3874,'Clients List'!$A:$F,4,FALSE)-SUMIFS($E$2:$E3874,$C$2:$C3874,C3874,$D$2:$D3874,"*Package*"))</f>
        <v/>
      </c>
      <c r="G3874" t="str">
        <f t="shared" si="93"/>
        <v/>
      </c>
      <c r="H3874" s="33">
        <f>IF(ISNUMBER(SEARCH("Group",D3874)),IF(G3874="",E3874,IFERROR(E3874/COUNTIF($G2:$G6000,G3874),E3874)),E3874)</f>
        <v>0</v>
      </c>
      <c r="I3874" s="1" t="str">
        <f>IFERROR(VLOOKUP(C3874,'Clients List'!A:F,6,FALSE),"")</f>
        <v/>
      </c>
    </row>
    <row r="3875" spans="4:9" x14ac:dyDescent="0.45">
      <c r="D3875" t="str">
        <f>IFERROR(VLOOKUP(C3875,'Clients List'!$A:$F,2,FALSE),"")</f>
        <v/>
      </c>
      <c r="F3875" s="1" t="str">
        <f>IF(OR(C3875="",NOT(ISNUMBER(SEARCH("Package",D3875)))),"",VLOOKUP(C3875,'Clients List'!$A:$F,4,FALSE)-SUMIFS($E$2:$E3875,$C$2:$C3875,C3875,$D$2:$D3875,"*Package*"))</f>
        <v/>
      </c>
      <c r="G3875" t="str">
        <f t="shared" si="93"/>
        <v/>
      </c>
      <c r="H3875" s="33">
        <f>IF(ISNUMBER(SEARCH("Group",D3875)),IF(G3875="",E3875,IFERROR(E3875/COUNTIF($G2:$G6000,G3875),E3875)),E3875)</f>
        <v>0</v>
      </c>
      <c r="I3875" s="1" t="str">
        <f>IFERROR(VLOOKUP(C3875,'Clients List'!A:F,6,FALSE),"")</f>
        <v/>
      </c>
    </row>
    <row r="3876" spans="4:9" x14ac:dyDescent="0.45">
      <c r="D3876" t="str">
        <f>IFERROR(VLOOKUP(C3876,'Clients List'!$A:$F,2,FALSE),"")</f>
        <v/>
      </c>
      <c r="F3876" s="1" t="str">
        <f>IF(OR(C3876="",NOT(ISNUMBER(SEARCH("Package",D3876)))),"",VLOOKUP(C3876,'Clients List'!$A:$F,4,FALSE)-SUMIFS($E$2:$E3876,$C$2:$C3876,C3876,$D$2:$D3876,"*Package*"))</f>
        <v/>
      </c>
      <c r="G3876" t="str">
        <f t="shared" si="93"/>
        <v/>
      </c>
      <c r="H3876" s="33">
        <f>IF(ISNUMBER(SEARCH("Group",D3876)),IF(G3876="",E3876,IFERROR(E3876/COUNTIF($G2:$G6000,G3876),E3876)),E3876)</f>
        <v>0</v>
      </c>
      <c r="I3876" s="1" t="str">
        <f>IFERROR(VLOOKUP(C3876,'Clients List'!A:F,6,FALSE),"")</f>
        <v/>
      </c>
    </row>
    <row r="3877" spans="4:9" x14ac:dyDescent="0.45">
      <c r="D3877" t="str">
        <f>IFERROR(VLOOKUP(C3877,'Clients List'!$A:$F,2,FALSE),"")</f>
        <v/>
      </c>
      <c r="F3877" s="1" t="str">
        <f>IF(OR(C3877="",NOT(ISNUMBER(SEARCH("Package",D3877)))),"",VLOOKUP(C3877,'Clients List'!$A:$F,4,FALSE)-SUMIFS($E$2:$E3877,$C$2:$C3877,C3877,$D$2:$D3877,"*Package*"))</f>
        <v/>
      </c>
      <c r="G3877" t="str">
        <f t="shared" si="93"/>
        <v/>
      </c>
      <c r="H3877" s="33">
        <f>IF(ISNUMBER(SEARCH("Group",D3877)),IF(G3877="",E3877,IFERROR(E3877/COUNTIF($G2:$G6000,G3877),E3877)),E3877)</f>
        <v>0</v>
      </c>
      <c r="I3877" s="1" t="str">
        <f>IFERROR(VLOOKUP(C3877,'Clients List'!A:F,6,FALSE),"")</f>
        <v/>
      </c>
    </row>
    <row r="3878" spans="4:9" x14ac:dyDescent="0.45">
      <c r="D3878" t="str">
        <f>IFERROR(VLOOKUP(C3878,'Clients List'!$A:$F,2,FALSE),"")</f>
        <v/>
      </c>
      <c r="F3878" s="1" t="str">
        <f>IF(OR(C3878="",NOT(ISNUMBER(SEARCH("Package",D3878)))),"",VLOOKUP(C3878,'Clients List'!$A:$F,4,FALSE)-SUMIFS($E$2:$E3878,$C$2:$C3878,C3878,$D$2:$D3878,"*Package*"))</f>
        <v/>
      </c>
      <c r="G3878" t="str">
        <f t="shared" si="93"/>
        <v/>
      </c>
      <c r="H3878" s="33">
        <f>IF(ISNUMBER(SEARCH("Group",D3878)),IF(G3878="",E3878,IFERROR(E3878/COUNTIF($G2:$G6000,G3878),E3878)),E3878)</f>
        <v>0</v>
      </c>
      <c r="I3878" s="1" t="str">
        <f>IFERROR(VLOOKUP(C3878,'Clients List'!A:F,6,FALSE),"")</f>
        <v/>
      </c>
    </row>
    <row r="3879" spans="4:9" x14ac:dyDescent="0.45">
      <c r="D3879" t="str">
        <f>IFERROR(VLOOKUP(C3879,'Clients List'!$A:$F,2,FALSE),"")</f>
        <v/>
      </c>
      <c r="F3879" s="1" t="str">
        <f>IF(OR(C3879="",NOT(ISNUMBER(SEARCH("Package",D3879)))),"",VLOOKUP(C3879,'Clients List'!$A:$F,4,FALSE)-SUMIFS($E$2:$E3879,$C$2:$C3879,C3879,$D$2:$D3879,"*Package*"))</f>
        <v/>
      </c>
      <c r="G3879" t="str">
        <f t="shared" si="93"/>
        <v/>
      </c>
      <c r="H3879" s="33">
        <f>IF(ISNUMBER(SEARCH("Group",D3879)),IF(G3879="",E3879,IFERROR(E3879/COUNTIF($G2:$G6000,G3879),E3879)),E3879)</f>
        <v>0</v>
      </c>
      <c r="I3879" s="1" t="str">
        <f>IFERROR(VLOOKUP(C3879,'Clients List'!A:F,6,FALSE),"")</f>
        <v/>
      </c>
    </row>
    <row r="3880" spans="4:9" x14ac:dyDescent="0.45">
      <c r="D3880" t="str">
        <f>IFERROR(VLOOKUP(C3880,'Clients List'!$A:$F,2,FALSE),"")</f>
        <v/>
      </c>
      <c r="F3880" s="1" t="str">
        <f>IF(OR(C3880="",NOT(ISNUMBER(SEARCH("Package",D3880)))),"",VLOOKUP(C3880,'Clients List'!$A:$F,4,FALSE)-SUMIFS($E$2:$E3880,$C$2:$C3880,C3880,$D$2:$D3880,"*Package*"))</f>
        <v/>
      </c>
      <c r="G3880" t="str">
        <f t="shared" si="93"/>
        <v/>
      </c>
      <c r="H3880" s="33">
        <f>IF(ISNUMBER(SEARCH("Group",D3880)),IF(G3880="",E3880,IFERROR(E3880/COUNTIF($G2:$G6000,G3880),E3880)),E3880)</f>
        <v>0</v>
      </c>
      <c r="I3880" s="1" t="str">
        <f>IFERROR(VLOOKUP(C3880,'Clients List'!A:F,6,FALSE),"")</f>
        <v/>
      </c>
    </row>
    <row r="3881" spans="4:9" x14ac:dyDescent="0.45">
      <c r="D3881" t="str">
        <f>IFERROR(VLOOKUP(C3881,'Clients List'!$A:$F,2,FALSE),"")</f>
        <v/>
      </c>
      <c r="F3881" s="1" t="str">
        <f>IF(OR(C3881="",NOT(ISNUMBER(SEARCH("Package",D3881)))),"",VLOOKUP(C3881,'Clients List'!$A:$F,4,FALSE)-SUMIFS($E$2:$E3881,$C$2:$C3881,C3881,$D$2:$D3881,"*Package*"))</f>
        <v/>
      </c>
      <c r="G3881" t="str">
        <f t="shared" si="93"/>
        <v/>
      </c>
      <c r="H3881" s="33">
        <f>IF(ISNUMBER(SEARCH("Group",D3881)),IF(G3881="",E3881,IFERROR(E3881/COUNTIF($G2:$G6000,G3881),E3881)),E3881)</f>
        <v>0</v>
      </c>
      <c r="I3881" s="1" t="str">
        <f>IFERROR(VLOOKUP(C3881,'Clients List'!A:F,6,FALSE),"")</f>
        <v/>
      </c>
    </row>
    <row r="3882" spans="4:9" x14ac:dyDescent="0.45">
      <c r="D3882" t="str">
        <f>IFERROR(VLOOKUP(C3882,'Clients List'!$A:$F,2,FALSE),"")</f>
        <v/>
      </c>
      <c r="F3882" s="1" t="str">
        <f>IF(OR(C3882="",NOT(ISNUMBER(SEARCH("Package",D3882)))),"",VLOOKUP(C3882,'Clients List'!$A:$F,4,FALSE)-SUMIFS($E$2:$E3882,$C$2:$C3882,C3882,$D$2:$D3882,"*Package*"))</f>
        <v/>
      </c>
      <c r="G3882" t="str">
        <f t="shared" si="93"/>
        <v/>
      </c>
      <c r="H3882" s="33">
        <f>IF(ISNUMBER(SEARCH("Group",D3882)),IF(G3882="",E3882,IFERROR(E3882/COUNTIF($G2:$G6000,G3882),E3882)),E3882)</f>
        <v>0</v>
      </c>
      <c r="I3882" s="1" t="str">
        <f>IFERROR(VLOOKUP(C3882,'Clients List'!A:F,6,FALSE),"")</f>
        <v/>
      </c>
    </row>
    <row r="3883" spans="4:9" x14ac:dyDescent="0.45">
      <c r="D3883" t="str">
        <f>IFERROR(VLOOKUP(C3883,'Clients List'!$A:$F,2,FALSE),"")</f>
        <v/>
      </c>
      <c r="F3883" s="1" t="str">
        <f>IF(OR(C3883="",NOT(ISNUMBER(SEARCH("Package",D3883)))),"",VLOOKUP(C3883,'Clients List'!$A:$F,4,FALSE)-SUMIFS($E$2:$E3883,$C$2:$C3883,C3883,$D$2:$D3883,"*Package*"))</f>
        <v/>
      </c>
      <c r="G3883" t="str">
        <f t="shared" si="93"/>
        <v/>
      </c>
      <c r="H3883" s="33">
        <f>IF(ISNUMBER(SEARCH("Group",D3883)),IF(G3883="",E3883,IFERROR(E3883/COUNTIF($G2:$G6000,G3883),E3883)),E3883)</f>
        <v>0</v>
      </c>
      <c r="I3883" s="1" t="str">
        <f>IFERROR(VLOOKUP(C3883,'Clients List'!A:F,6,FALSE),"")</f>
        <v/>
      </c>
    </row>
    <row r="3884" spans="4:9" x14ac:dyDescent="0.45">
      <c r="D3884" t="str">
        <f>IFERROR(VLOOKUP(C3884,'Clients List'!$A:$F,2,FALSE),"")</f>
        <v/>
      </c>
      <c r="F3884" s="1" t="str">
        <f>IF(OR(C3884="",NOT(ISNUMBER(SEARCH("Package",D3884)))),"",VLOOKUP(C3884,'Clients List'!$A:$F,4,FALSE)-SUMIFS($E$2:$E3884,$C$2:$C3884,C3884,$D$2:$D3884,"*Package*"))</f>
        <v/>
      </c>
      <c r="G3884" t="str">
        <f t="shared" si="93"/>
        <v/>
      </c>
      <c r="H3884" s="33">
        <f>IF(ISNUMBER(SEARCH("Group",D3884)),IF(G3884="",E3884,IFERROR(E3884/COUNTIF($G2:$G6000,G3884),E3884)),E3884)</f>
        <v>0</v>
      </c>
      <c r="I3884" s="1" t="str">
        <f>IFERROR(VLOOKUP(C3884,'Clients List'!A:F,6,FALSE),"")</f>
        <v/>
      </c>
    </row>
    <row r="3885" spans="4:9" x14ac:dyDescent="0.45">
      <c r="D3885" t="str">
        <f>IFERROR(VLOOKUP(C3885,'Clients List'!$A:$F,2,FALSE),"")</f>
        <v/>
      </c>
      <c r="F3885" s="1" t="str">
        <f>IF(OR(C3885="",NOT(ISNUMBER(SEARCH("Package",D3885)))),"",VLOOKUP(C3885,'Clients List'!$A:$F,4,FALSE)-SUMIFS($E$2:$E3885,$C$2:$C3885,C3885,$D$2:$D3885,"*Package*"))</f>
        <v/>
      </c>
      <c r="G3885" t="str">
        <f t="shared" si="93"/>
        <v/>
      </c>
      <c r="H3885" s="33">
        <f>IF(ISNUMBER(SEARCH("Group",D3885)),IF(G3885="",E3885,IFERROR(E3885/COUNTIF($G2:$G6000,G3885),E3885)),E3885)</f>
        <v>0</v>
      </c>
      <c r="I3885" s="1" t="str">
        <f>IFERROR(VLOOKUP(C3885,'Clients List'!A:F,6,FALSE),"")</f>
        <v/>
      </c>
    </row>
    <row r="3886" spans="4:9" x14ac:dyDescent="0.45">
      <c r="D3886" t="str">
        <f>IFERROR(VLOOKUP(C3886,'Clients List'!$A:$F,2,FALSE),"")</f>
        <v/>
      </c>
      <c r="F3886" s="1" t="str">
        <f>IF(OR(C3886="",NOT(ISNUMBER(SEARCH("Package",D3886)))),"",VLOOKUP(C3886,'Clients List'!$A:$F,4,FALSE)-SUMIFS($E$2:$E3886,$C$2:$C3886,C3886,$D$2:$D3886,"*Package*"))</f>
        <v/>
      </c>
      <c r="G3886" t="str">
        <f t="shared" si="93"/>
        <v/>
      </c>
      <c r="H3886" s="33">
        <f>IF(ISNUMBER(SEARCH("Group",D3886)),IF(G3886="",E3886,IFERROR(E3886/COUNTIF($G2:$G6000,G3886),E3886)),E3886)</f>
        <v>0</v>
      </c>
      <c r="I3886" s="1" t="str">
        <f>IFERROR(VLOOKUP(C3886,'Clients List'!A:F,6,FALSE),"")</f>
        <v/>
      </c>
    </row>
    <row r="3887" spans="4:9" x14ac:dyDescent="0.45">
      <c r="D3887" t="str">
        <f>IFERROR(VLOOKUP(C3887,'Clients List'!$A:$F,2,FALSE),"")</f>
        <v/>
      </c>
      <c r="F3887" s="1" t="str">
        <f>IF(OR(C3887="",NOT(ISNUMBER(SEARCH("Package",D3887)))),"",VLOOKUP(C3887,'Clients List'!$A:$F,4,FALSE)-SUMIFS($E$2:$E3887,$C$2:$C3887,C3887,$D$2:$D3887,"*Package*"))</f>
        <v/>
      </c>
      <c r="G3887" t="str">
        <f t="shared" si="93"/>
        <v/>
      </c>
      <c r="H3887" s="33">
        <f>IF(ISNUMBER(SEARCH("Group",D3887)),IF(G3887="",E3887,IFERROR(E3887/COUNTIF($G2:$G6000,G3887),E3887)),E3887)</f>
        <v>0</v>
      </c>
      <c r="I3887" s="1" t="str">
        <f>IFERROR(VLOOKUP(C3887,'Clients List'!A:F,6,FALSE),"")</f>
        <v/>
      </c>
    </row>
    <row r="3888" spans="4:9" x14ac:dyDescent="0.45">
      <c r="D3888" t="str">
        <f>IFERROR(VLOOKUP(C3888,'Clients List'!$A:$F,2,FALSE),"")</f>
        <v/>
      </c>
      <c r="F3888" s="1" t="str">
        <f>IF(OR(C3888="",NOT(ISNUMBER(SEARCH("Package",D3888)))),"",VLOOKUP(C3888,'Clients List'!$A:$F,4,FALSE)-SUMIFS($E$2:$E3888,$C$2:$C3888,C3888,$D$2:$D3888,"*Package*"))</f>
        <v/>
      </c>
      <c r="G3888" t="str">
        <f t="shared" si="93"/>
        <v/>
      </c>
      <c r="H3888" s="33">
        <f>IF(ISNUMBER(SEARCH("Group",D3888)),IF(G3888="",E3888,IFERROR(E3888/COUNTIF($G2:$G6000,G3888),E3888)),E3888)</f>
        <v>0</v>
      </c>
      <c r="I3888" s="1" t="str">
        <f>IFERROR(VLOOKUP(C3888,'Clients List'!A:F,6,FALSE),"")</f>
        <v/>
      </c>
    </row>
    <row r="3889" spans="4:9" x14ac:dyDescent="0.45">
      <c r="D3889" t="str">
        <f>IFERROR(VLOOKUP(C3889,'Clients List'!$A:$F,2,FALSE),"")</f>
        <v/>
      </c>
      <c r="F3889" s="1" t="str">
        <f>IF(OR(C3889="",NOT(ISNUMBER(SEARCH("Package",D3889)))),"",VLOOKUP(C3889,'Clients List'!$A:$F,4,FALSE)-SUMIFS($E$2:$E3889,$C$2:$C3889,C3889,$D$2:$D3889,"*Package*"))</f>
        <v/>
      </c>
      <c r="G3889" t="str">
        <f t="shared" si="93"/>
        <v/>
      </c>
      <c r="H3889" s="33">
        <f>IF(ISNUMBER(SEARCH("Group",D3889)),IF(G3889="",E3889,IFERROR(E3889/COUNTIF($G2:$G6000,G3889),E3889)),E3889)</f>
        <v>0</v>
      </c>
      <c r="I3889" s="1" t="str">
        <f>IFERROR(VLOOKUP(C3889,'Clients List'!A:F,6,FALSE),"")</f>
        <v/>
      </c>
    </row>
    <row r="3890" spans="4:9" x14ac:dyDescent="0.45">
      <c r="D3890" t="str">
        <f>IFERROR(VLOOKUP(C3890,'Clients List'!$A:$F,2,FALSE),"")</f>
        <v/>
      </c>
      <c r="F3890" s="1" t="str">
        <f>IF(OR(C3890="",NOT(ISNUMBER(SEARCH("Package",D3890)))),"",VLOOKUP(C3890,'Clients List'!$A:$F,4,FALSE)-SUMIFS($E$2:$E3890,$C$2:$C3890,C3890,$D$2:$D3890,"*Package*"))</f>
        <v/>
      </c>
      <c r="G3890" t="str">
        <f t="shared" si="93"/>
        <v/>
      </c>
      <c r="H3890" s="33">
        <f>IF(ISNUMBER(SEARCH("Group",D3890)),IF(G3890="",E3890,IFERROR(E3890/COUNTIF($G2:$G6000,G3890),E3890)),E3890)</f>
        <v>0</v>
      </c>
      <c r="I3890" s="1" t="str">
        <f>IFERROR(VLOOKUP(C3890,'Clients List'!A:F,6,FALSE),"")</f>
        <v/>
      </c>
    </row>
    <row r="3891" spans="4:9" x14ac:dyDescent="0.45">
      <c r="D3891" t="str">
        <f>IFERROR(VLOOKUP(C3891,'Clients List'!$A:$F,2,FALSE),"")</f>
        <v/>
      </c>
      <c r="F3891" s="1" t="str">
        <f>IF(OR(C3891="",NOT(ISNUMBER(SEARCH("Package",D3891)))),"",VLOOKUP(C3891,'Clients List'!$A:$F,4,FALSE)-SUMIFS($E$2:$E3891,$C$2:$C3891,C3891,$D$2:$D3891,"*Package*"))</f>
        <v/>
      </c>
      <c r="G3891" t="str">
        <f t="shared" si="93"/>
        <v/>
      </c>
      <c r="H3891" s="33">
        <f>IF(ISNUMBER(SEARCH("Group",D3891)),IF(G3891="",E3891,IFERROR(E3891/COUNTIF($G2:$G6000,G3891),E3891)),E3891)</f>
        <v>0</v>
      </c>
      <c r="I3891" s="1" t="str">
        <f>IFERROR(VLOOKUP(C3891,'Clients List'!A:F,6,FALSE),"")</f>
        <v/>
      </c>
    </row>
    <row r="3892" spans="4:9" x14ac:dyDescent="0.45">
      <c r="D3892" t="str">
        <f>IFERROR(VLOOKUP(C3892,'Clients List'!$A:$F,2,FALSE),"")</f>
        <v/>
      </c>
      <c r="F3892" s="1" t="str">
        <f>IF(OR(C3892="",NOT(ISNUMBER(SEARCH("Package",D3892)))),"",VLOOKUP(C3892,'Clients List'!$A:$F,4,FALSE)-SUMIFS($E$2:$E3892,$C$2:$C3892,C3892,$D$2:$D3892,"*Package*"))</f>
        <v/>
      </c>
      <c r="G3892" t="str">
        <f t="shared" si="93"/>
        <v/>
      </c>
      <c r="H3892" s="33">
        <f>IF(ISNUMBER(SEARCH("Group",D3892)),IF(G3892="",E3892,IFERROR(E3892/COUNTIF($G2:$G6000,G3892),E3892)),E3892)</f>
        <v>0</v>
      </c>
      <c r="I3892" s="1" t="str">
        <f>IFERROR(VLOOKUP(C3892,'Clients List'!A:F,6,FALSE),"")</f>
        <v/>
      </c>
    </row>
    <row r="3893" spans="4:9" x14ac:dyDescent="0.45">
      <c r="D3893" t="str">
        <f>IFERROR(VLOOKUP(C3893,'Clients List'!$A:$F,2,FALSE),"")</f>
        <v/>
      </c>
      <c r="F3893" s="1" t="str">
        <f>IF(OR(C3893="",NOT(ISNUMBER(SEARCH("Package",D3893)))),"",VLOOKUP(C3893,'Clients List'!$A:$F,4,FALSE)-SUMIFS($E$2:$E3893,$C$2:$C3893,C3893,$D$2:$D3893,"*Package*"))</f>
        <v/>
      </c>
      <c r="G3893" t="str">
        <f t="shared" ref="G3893:G3956" si="94">IF(ISNUMBER(SEARCH("Group",D3893)),IFERROR("GRP-"&amp;TEXT(IF(ISNUMBER(A3893),A3893,DATEVALUE(A3893)),"yyyymmdd"),""),"" )</f>
        <v/>
      </c>
      <c r="H3893" s="33">
        <f>IF(ISNUMBER(SEARCH("Group",D3893)),IF(G3893="",E3893,IFERROR(E3893/COUNTIF($G2:$G6000,G3893),E3893)),E3893)</f>
        <v>0</v>
      </c>
      <c r="I3893" s="1" t="str">
        <f>IFERROR(VLOOKUP(C3893,'Clients List'!A:F,6,FALSE),"")</f>
        <v/>
      </c>
    </row>
    <row r="3894" spans="4:9" x14ac:dyDescent="0.45">
      <c r="D3894" t="str">
        <f>IFERROR(VLOOKUP(C3894,'Clients List'!$A:$F,2,FALSE),"")</f>
        <v/>
      </c>
      <c r="F3894" s="1" t="str">
        <f>IF(OR(C3894="",NOT(ISNUMBER(SEARCH("Package",D3894)))),"",VLOOKUP(C3894,'Clients List'!$A:$F,4,FALSE)-SUMIFS($E$2:$E3894,$C$2:$C3894,C3894,$D$2:$D3894,"*Package*"))</f>
        <v/>
      </c>
      <c r="G3894" t="str">
        <f t="shared" si="94"/>
        <v/>
      </c>
      <c r="H3894" s="33">
        <f>IF(ISNUMBER(SEARCH("Group",D3894)),IF(G3894="",E3894,IFERROR(E3894/COUNTIF($G2:$G6000,G3894),E3894)),E3894)</f>
        <v>0</v>
      </c>
      <c r="I3894" s="1" t="str">
        <f>IFERROR(VLOOKUP(C3894,'Clients List'!A:F,6,FALSE),"")</f>
        <v/>
      </c>
    </row>
    <row r="3895" spans="4:9" x14ac:dyDescent="0.45">
      <c r="D3895" t="str">
        <f>IFERROR(VLOOKUP(C3895,'Clients List'!$A:$F,2,FALSE),"")</f>
        <v/>
      </c>
      <c r="F3895" s="1" t="str">
        <f>IF(OR(C3895="",NOT(ISNUMBER(SEARCH("Package",D3895)))),"",VLOOKUP(C3895,'Clients List'!$A:$F,4,FALSE)-SUMIFS($E$2:$E3895,$C$2:$C3895,C3895,$D$2:$D3895,"*Package*"))</f>
        <v/>
      </c>
      <c r="G3895" t="str">
        <f t="shared" si="94"/>
        <v/>
      </c>
      <c r="H3895" s="33">
        <f>IF(ISNUMBER(SEARCH("Group",D3895)),IF(G3895="",E3895,IFERROR(E3895/COUNTIF($G2:$G6000,G3895),E3895)),E3895)</f>
        <v>0</v>
      </c>
      <c r="I3895" s="1" t="str">
        <f>IFERROR(VLOOKUP(C3895,'Clients List'!A:F,6,FALSE),"")</f>
        <v/>
      </c>
    </row>
    <row r="3896" spans="4:9" x14ac:dyDescent="0.45">
      <c r="D3896" t="str">
        <f>IFERROR(VLOOKUP(C3896,'Clients List'!$A:$F,2,FALSE),"")</f>
        <v/>
      </c>
      <c r="F3896" s="1" t="str">
        <f>IF(OR(C3896="",NOT(ISNUMBER(SEARCH("Package",D3896)))),"",VLOOKUP(C3896,'Clients List'!$A:$F,4,FALSE)-SUMIFS($E$2:$E3896,$C$2:$C3896,C3896,$D$2:$D3896,"*Package*"))</f>
        <v/>
      </c>
      <c r="G3896" t="str">
        <f t="shared" si="94"/>
        <v/>
      </c>
      <c r="H3896" s="33">
        <f>IF(ISNUMBER(SEARCH("Group",D3896)),IF(G3896="",E3896,IFERROR(E3896/COUNTIF($G2:$G6000,G3896),E3896)),E3896)</f>
        <v>0</v>
      </c>
      <c r="I3896" s="1" t="str">
        <f>IFERROR(VLOOKUP(C3896,'Clients List'!A:F,6,FALSE),"")</f>
        <v/>
      </c>
    </row>
    <row r="3897" spans="4:9" x14ac:dyDescent="0.45">
      <c r="D3897" t="str">
        <f>IFERROR(VLOOKUP(C3897,'Clients List'!$A:$F,2,FALSE),"")</f>
        <v/>
      </c>
      <c r="F3897" s="1" t="str">
        <f>IF(OR(C3897="",NOT(ISNUMBER(SEARCH("Package",D3897)))),"",VLOOKUP(C3897,'Clients List'!$A:$F,4,FALSE)-SUMIFS($E$2:$E3897,$C$2:$C3897,C3897,$D$2:$D3897,"*Package*"))</f>
        <v/>
      </c>
      <c r="G3897" t="str">
        <f t="shared" si="94"/>
        <v/>
      </c>
      <c r="H3897" s="33">
        <f>IF(ISNUMBER(SEARCH("Group",D3897)),IF(G3897="",E3897,IFERROR(E3897/COUNTIF($G2:$G6000,G3897),E3897)),E3897)</f>
        <v>0</v>
      </c>
      <c r="I3897" s="1" t="str">
        <f>IFERROR(VLOOKUP(C3897,'Clients List'!A:F,6,FALSE),"")</f>
        <v/>
      </c>
    </row>
    <row r="3898" spans="4:9" x14ac:dyDescent="0.45">
      <c r="D3898" t="str">
        <f>IFERROR(VLOOKUP(C3898,'Clients List'!$A:$F,2,FALSE),"")</f>
        <v/>
      </c>
      <c r="F3898" s="1" t="str">
        <f>IF(OR(C3898="",NOT(ISNUMBER(SEARCH("Package",D3898)))),"",VLOOKUP(C3898,'Clients List'!$A:$F,4,FALSE)-SUMIFS($E$2:$E3898,$C$2:$C3898,C3898,$D$2:$D3898,"*Package*"))</f>
        <v/>
      </c>
      <c r="G3898" t="str">
        <f t="shared" si="94"/>
        <v/>
      </c>
      <c r="H3898" s="33">
        <f>IF(ISNUMBER(SEARCH("Group",D3898)),IF(G3898="",E3898,IFERROR(E3898/COUNTIF($G2:$G6000,G3898),E3898)),E3898)</f>
        <v>0</v>
      </c>
      <c r="I3898" s="1" t="str">
        <f>IFERROR(VLOOKUP(C3898,'Clients List'!A:F,6,FALSE),"")</f>
        <v/>
      </c>
    </row>
    <row r="3899" spans="4:9" x14ac:dyDescent="0.45">
      <c r="D3899" t="str">
        <f>IFERROR(VLOOKUP(C3899,'Clients List'!$A:$F,2,FALSE),"")</f>
        <v/>
      </c>
      <c r="F3899" s="1" t="str">
        <f>IF(OR(C3899="",NOT(ISNUMBER(SEARCH("Package",D3899)))),"",VLOOKUP(C3899,'Clients List'!$A:$F,4,FALSE)-SUMIFS($E$2:$E3899,$C$2:$C3899,C3899,$D$2:$D3899,"*Package*"))</f>
        <v/>
      </c>
      <c r="G3899" t="str">
        <f t="shared" si="94"/>
        <v/>
      </c>
      <c r="H3899" s="33">
        <f>IF(ISNUMBER(SEARCH("Group",D3899)),IF(G3899="",E3899,IFERROR(E3899/COUNTIF($G2:$G6000,G3899),E3899)),E3899)</f>
        <v>0</v>
      </c>
      <c r="I3899" s="1" t="str">
        <f>IFERROR(VLOOKUP(C3899,'Clients List'!A:F,6,FALSE),"")</f>
        <v/>
      </c>
    </row>
    <row r="3900" spans="4:9" x14ac:dyDescent="0.45">
      <c r="D3900" t="str">
        <f>IFERROR(VLOOKUP(C3900,'Clients List'!$A:$F,2,FALSE),"")</f>
        <v/>
      </c>
      <c r="F3900" s="1" t="str">
        <f>IF(OR(C3900="",NOT(ISNUMBER(SEARCH("Package",D3900)))),"",VLOOKUP(C3900,'Clients List'!$A:$F,4,FALSE)-SUMIFS($E$2:$E3900,$C$2:$C3900,C3900,$D$2:$D3900,"*Package*"))</f>
        <v/>
      </c>
      <c r="G3900" t="str">
        <f t="shared" si="94"/>
        <v/>
      </c>
      <c r="H3900" s="33">
        <f>IF(ISNUMBER(SEARCH("Group",D3900)),IF(G3900="",E3900,IFERROR(E3900/COUNTIF($G2:$G6000,G3900),E3900)),E3900)</f>
        <v>0</v>
      </c>
      <c r="I3900" s="1" t="str">
        <f>IFERROR(VLOOKUP(C3900,'Clients List'!A:F,6,FALSE),"")</f>
        <v/>
      </c>
    </row>
    <row r="3901" spans="4:9" x14ac:dyDescent="0.45">
      <c r="D3901" t="str">
        <f>IFERROR(VLOOKUP(C3901,'Clients List'!$A:$F,2,FALSE),"")</f>
        <v/>
      </c>
      <c r="F3901" s="1" t="str">
        <f>IF(OR(C3901="",NOT(ISNUMBER(SEARCH("Package",D3901)))),"",VLOOKUP(C3901,'Clients List'!$A:$F,4,FALSE)-SUMIFS($E$2:$E3901,$C$2:$C3901,C3901,$D$2:$D3901,"*Package*"))</f>
        <v/>
      </c>
      <c r="G3901" t="str">
        <f t="shared" si="94"/>
        <v/>
      </c>
      <c r="H3901" s="33">
        <f>IF(ISNUMBER(SEARCH("Group",D3901)),IF(G3901="",E3901,IFERROR(E3901/COUNTIF($G2:$G6000,G3901),E3901)),E3901)</f>
        <v>0</v>
      </c>
      <c r="I3901" s="1" t="str">
        <f>IFERROR(VLOOKUP(C3901,'Clients List'!A:F,6,FALSE),"")</f>
        <v/>
      </c>
    </row>
    <row r="3902" spans="4:9" x14ac:dyDescent="0.45">
      <c r="D3902" t="str">
        <f>IFERROR(VLOOKUP(C3902,'Clients List'!$A:$F,2,FALSE),"")</f>
        <v/>
      </c>
      <c r="F3902" s="1" t="str">
        <f>IF(OR(C3902="",NOT(ISNUMBER(SEARCH("Package",D3902)))),"",VLOOKUP(C3902,'Clients List'!$A:$F,4,FALSE)-SUMIFS($E$2:$E3902,$C$2:$C3902,C3902,$D$2:$D3902,"*Package*"))</f>
        <v/>
      </c>
      <c r="G3902" t="str">
        <f t="shared" si="94"/>
        <v/>
      </c>
      <c r="H3902" s="33">
        <f>IF(ISNUMBER(SEARCH("Group",D3902)),IF(G3902="",E3902,IFERROR(E3902/COUNTIF($G2:$G6000,G3902),E3902)),E3902)</f>
        <v>0</v>
      </c>
      <c r="I3902" s="1" t="str">
        <f>IFERROR(VLOOKUP(C3902,'Clients List'!A:F,6,FALSE),"")</f>
        <v/>
      </c>
    </row>
    <row r="3903" spans="4:9" x14ac:dyDescent="0.45">
      <c r="D3903" t="str">
        <f>IFERROR(VLOOKUP(C3903,'Clients List'!$A:$F,2,FALSE),"")</f>
        <v/>
      </c>
      <c r="F3903" s="1" t="str">
        <f>IF(OR(C3903="",NOT(ISNUMBER(SEARCH("Package",D3903)))),"",VLOOKUP(C3903,'Clients List'!$A:$F,4,FALSE)-SUMIFS($E$2:$E3903,$C$2:$C3903,C3903,$D$2:$D3903,"*Package*"))</f>
        <v/>
      </c>
      <c r="G3903" t="str">
        <f t="shared" si="94"/>
        <v/>
      </c>
      <c r="H3903" s="33">
        <f>IF(ISNUMBER(SEARCH("Group",D3903)),IF(G3903="",E3903,IFERROR(E3903/COUNTIF($G2:$G6000,G3903),E3903)),E3903)</f>
        <v>0</v>
      </c>
      <c r="I3903" s="1" t="str">
        <f>IFERROR(VLOOKUP(C3903,'Clients List'!A:F,6,FALSE),"")</f>
        <v/>
      </c>
    </row>
    <row r="3904" spans="4:9" x14ac:dyDescent="0.45">
      <c r="D3904" t="str">
        <f>IFERROR(VLOOKUP(C3904,'Clients List'!$A:$F,2,FALSE),"")</f>
        <v/>
      </c>
      <c r="F3904" s="1" t="str">
        <f>IF(OR(C3904="",NOT(ISNUMBER(SEARCH("Package",D3904)))),"",VLOOKUP(C3904,'Clients List'!$A:$F,4,FALSE)-SUMIFS($E$2:$E3904,$C$2:$C3904,C3904,$D$2:$D3904,"*Package*"))</f>
        <v/>
      </c>
      <c r="G3904" t="str">
        <f t="shared" si="94"/>
        <v/>
      </c>
      <c r="H3904" s="33">
        <f>IF(ISNUMBER(SEARCH("Group",D3904)),IF(G3904="",E3904,IFERROR(E3904/COUNTIF($G2:$G6000,G3904),E3904)),E3904)</f>
        <v>0</v>
      </c>
      <c r="I3904" s="1" t="str">
        <f>IFERROR(VLOOKUP(C3904,'Clients List'!A:F,6,FALSE),"")</f>
        <v/>
      </c>
    </row>
    <row r="3905" spans="4:9" x14ac:dyDescent="0.45">
      <c r="D3905" t="str">
        <f>IFERROR(VLOOKUP(C3905,'Clients List'!$A:$F,2,FALSE),"")</f>
        <v/>
      </c>
      <c r="F3905" s="1" t="str">
        <f>IF(OR(C3905="",NOT(ISNUMBER(SEARCH("Package",D3905)))),"",VLOOKUP(C3905,'Clients List'!$A:$F,4,FALSE)-SUMIFS($E$2:$E3905,$C$2:$C3905,C3905,$D$2:$D3905,"*Package*"))</f>
        <v/>
      </c>
      <c r="G3905" t="str">
        <f t="shared" si="94"/>
        <v/>
      </c>
      <c r="H3905" s="33">
        <f>IF(ISNUMBER(SEARCH("Group",D3905)),IF(G3905="",E3905,IFERROR(E3905/COUNTIF($G2:$G6000,G3905),E3905)),E3905)</f>
        <v>0</v>
      </c>
      <c r="I3905" s="1" t="str">
        <f>IFERROR(VLOOKUP(C3905,'Clients List'!A:F,6,FALSE),"")</f>
        <v/>
      </c>
    </row>
    <row r="3906" spans="4:9" x14ac:dyDescent="0.45">
      <c r="D3906" t="str">
        <f>IFERROR(VLOOKUP(C3906,'Clients List'!$A:$F,2,FALSE),"")</f>
        <v/>
      </c>
      <c r="F3906" s="1" t="str">
        <f>IF(OR(C3906="",NOT(ISNUMBER(SEARCH("Package",D3906)))),"",VLOOKUP(C3906,'Clients List'!$A:$F,4,FALSE)-SUMIFS($E$2:$E3906,$C$2:$C3906,C3906,$D$2:$D3906,"*Package*"))</f>
        <v/>
      </c>
      <c r="G3906" t="str">
        <f t="shared" si="94"/>
        <v/>
      </c>
      <c r="H3906" s="33">
        <f>IF(ISNUMBER(SEARCH("Group",D3906)),IF(G3906="",E3906,IFERROR(E3906/COUNTIF($G2:$G6000,G3906),E3906)),E3906)</f>
        <v>0</v>
      </c>
      <c r="I3906" s="1" t="str">
        <f>IFERROR(VLOOKUP(C3906,'Clients List'!A:F,6,FALSE),"")</f>
        <v/>
      </c>
    </row>
    <row r="3907" spans="4:9" x14ac:dyDescent="0.45">
      <c r="D3907" t="str">
        <f>IFERROR(VLOOKUP(C3907,'Clients List'!$A:$F,2,FALSE),"")</f>
        <v/>
      </c>
      <c r="F3907" s="1" t="str">
        <f>IF(OR(C3907="",NOT(ISNUMBER(SEARCH("Package",D3907)))),"",VLOOKUP(C3907,'Clients List'!$A:$F,4,FALSE)-SUMIFS($E$2:$E3907,$C$2:$C3907,C3907,$D$2:$D3907,"*Package*"))</f>
        <v/>
      </c>
      <c r="G3907" t="str">
        <f t="shared" si="94"/>
        <v/>
      </c>
      <c r="H3907" s="33">
        <f>IF(ISNUMBER(SEARCH("Group",D3907)),IF(G3907="",E3907,IFERROR(E3907/COUNTIF($G2:$G6000,G3907),E3907)),E3907)</f>
        <v>0</v>
      </c>
      <c r="I3907" s="1" t="str">
        <f>IFERROR(VLOOKUP(C3907,'Clients List'!A:F,6,FALSE),"")</f>
        <v/>
      </c>
    </row>
    <row r="3908" spans="4:9" x14ac:dyDescent="0.45">
      <c r="D3908" t="str">
        <f>IFERROR(VLOOKUP(C3908,'Clients List'!$A:$F,2,FALSE),"")</f>
        <v/>
      </c>
      <c r="F3908" s="1" t="str">
        <f>IF(OR(C3908="",NOT(ISNUMBER(SEARCH("Package",D3908)))),"",VLOOKUP(C3908,'Clients List'!$A:$F,4,FALSE)-SUMIFS($E$2:$E3908,$C$2:$C3908,C3908,$D$2:$D3908,"*Package*"))</f>
        <v/>
      </c>
      <c r="G3908" t="str">
        <f t="shared" si="94"/>
        <v/>
      </c>
      <c r="H3908" s="33">
        <f>IF(ISNUMBER(SEARCH("Group",D3908)),IF(G3908="",E3908,IFERROR(E3908/COUNTIF($G2:$G6000,G3908),E3908)),E3908)</f>
        <v>0</v>
      </c>
      <c r="I3908" s="1" t="str">
        <f>IFERROR(VLOOKUP(C3908,'Clients List'!A:F,6,FALSE),"")</f>
        <v/>
      </c>
    </row>
    <row r="3909" spans="4:9" x14ac:dyDescent="0.45">
      <c r="D3909" t="str">
        <f>IFERROR(VLOOKUP(C3909,'Clients List'!$A:$F,2,FALSE),"")</f>
        <v/>
      </c>
      <c r="F3909" s="1" t="str">
        <f>IF(OR(C3909="",NOT(ISNUMBER(SEARCH("Package",D3909)))),"",VLOOKUP(C3909,'Clients List'!$A:$F,4,FALSE)-SUMIFS($E$2:$E3909,$C$2:$C3909,C3909,$D$2:$D3909,"*Package*"))</f>
        <v/>
      </c>
      <c r="G3909" t="str">
        <f t="shared" si="94"/>
        <v/>
      </c>
      <c r="H3909" s="33">
        <f>IF(ISNUMBER(SEARCH("Group",D3909)),IF(G3909="",E3909,IFERROR(E3909/COUNTIF($G2:$G6000,G3909),E3909)),E3909)</f>
        <v>0</v>
      </c>
      <c r="I3909" s="1" t="str">
        <f>IFERROR(VLOOKUP(C3909,'Clients List'!A:F,6,FALSE),"")</f>
        <v/>
      </c>
    </row>
    <row r="3910" spans="4:9" x14ac:dyDescent="0.45">
      <c r="D3910" t="str">
        <f>IFERROR(VLOOKUP(C3910,'Clients List'!$A:$F,2,FALSE),"")</f>
        <v/>
      </c>
      <c r="F3910" s="1" t="str">
        <f>IF(OR(C3910="",NOT(ISNUMBER(SEARCH("Package",D3910)))),"",VLOOKUP(C3910,'Clients List'!$A:$F,4,FALSE)-SUMIFS($E$2:$E3910,$C$2:$C3910,C3910,$D$2:$D3910,"*Package*"))</f>
        <v/>
      </c>
      <c r="G3910" t="str">
        <f t="shared" si="94"/>
        <v/>
      </c>
      <c r="H3910" s="33">
        <f>IF(ISNUMBER(SEARCH("Group",D3910)),IF(G3910="",E3910,IFERROR(E3910/COUNTIF($G2:$G6000,G3910),E3910)),E3910)</f>
        <v>0</v>
      </c>
      <c r="I3910" s="1" t="str">
        <f>IFERROR(VLOOKUP(C3910,'Clients List'!A:F,6,FALSE),"")</f>
        <v/>
      </c>
    </row>
    <row r="3911" spans="4:9" x14ac:dyDescent="0.45">
      <c r="D3911" t="str">
        <f>IFERROR(VLOOKUP(C3911,'Clients List'!$A:$F,2,FALSE),"")</f>
        <v/>
      </c>
      <c r="F3911" s="1" t="str">
        <f>IF(OR(C3911="",NOT(ISNUMBER(SEARCH("Package",D3911)))),"",VLOOKUP(C3911,'Clients List'!$A:$F,4,FALSE)-SUMIFS($E$2:$E3911,$C$2:$C3911,C3911,$D$2:$D3911,"*Package*"))</f>
        <v/>
      </c>
      <c r="G3911" t="str">
        <f t="shared" si="94"/>
        <v/>
      </c>
      <c r="H3911" s="33">
        <f>IF(ISNUMBER(SEARCH("Group",D3911)),IF(G3911="",E3911,IFERROR(E3911/COUNTIF($G2:$G6000,G3911),E3911)),E3911)</f>
        <v>0</v>
      </c>
      <c r="I3911" s="1" t="str">
        <f>IFERROR(VLOOKUP(C3911,'Clients List'!A:F,6,FALSE),"")</f>
        <v/>
      </c>
    </row>
    <row r="3912" spans="4:9" x14ac:dyDescent="0.45">
      <c r="D3912" t="str">
        <f>IFERROR(VLOOKUP(C3912,'Clients List'!$A:$F,2,FALSE),"")</f>
        <v/>
      </c>
      <c r="F3912" s="1" t="str">
        <f>IF(OR(C3912="",NOT(ISNUMBER(SEARCH("Package",D3912)))),"",VLOOKUP(C3912,'Clients List'!$A:$F,4,FALSE)-SUMIFS($E$2:$E3912,$C$2:$C3912,C3912,$D$2:$D3912,"*Package*"))</f>
        <v/>
      </c>
      <c r="G3912" t="str">
        <f t="shared" si="94"/>
        <v/>
      </c>
      <c r="H3912" s="33">
        <f>IF(ISNUMBER(SEARCH("Group",D3912)),IF(G3912="",E3912,IFERROR(E3912/COUNTIF($G2:$G6000,G3912),E3912)),E3912)</f>
        <v>0</v>
      </c>
      <c r="I3912" s="1" t="str">
        <f>IFERROR(VLOOKUP(C3912,'Clients List'!A:F,6,FALSE),"")</f>
        <v/>
      </c>
    </row>
    <row r="3913" spans="4:9" x14ac:dyDescent="0.45">
      <c r="D3913" t="str">
        <f>IFERROR(VLOOKUP(C3913,'Clients List'!$A:$F,2,FALSE),"")</f>
        <v/>
      </c>
      <c r="F3913" s="1" t="str">
        <f>IF(OR(C3913="",NOT(ISNUMBER(SEARCH("Package",D3913)))),"",VLOOKUP(C3913,'Clients List'!$A:$F,4,FALSE)-SUMIFS($E$2:$E3913,$C$2:$C3913,C3913,$D$2:$D3913,"*Package*"))</f>
        <v/>
      </c>
      <c r="G3913" t="str">
        <f t="shared" si="94"/>
        <v/>
      </c>
      <c r="H3913" s="33">
        <f>IF(ISNUMBER(SEARCH("Group",D3913)),IF(G3913="",E3913,IFERROR(E3913/COUNTIF($G2:$G6000,G3913),E3913)),E3913)</f>
        <v>0</v>
      </c>
      <c r="I3913" s="1" t="str">
        <f>IFERROR(VLOOKUP(C3913,'Clients List'!A:F,6,FALSE),"")</f>
        <v/>
      </c>
    </row>
    <row r="3914" spans="4:9" x14ac:dyDescent="0.45">
      <c r="D3914" t="str">
        <f>IFERROR(VLOOKUP(C3914,'Clients List'!$A:$F,2,FALSE),"")</f>
        <v/>
      </c>
      <c r="F3914" s="1" t="str">
        <f>IF(OR(C3914="",NOT(ISNUMBER(SEARCH("Package",D3914)))),"",VLOOKUP(C3914,'Clients List'!$A:$F,4,FALSE)-SUMIFS($E$2:$E3914,$C$2:$C3914,C3914,$D$2:$D3914,"*Package*"))</f>
        <v/>
      </c>
      <c r="G3914" t="str">
        <f t="shared" si="94"/>
        <v/>
      </c>
      <c r="H3914" s="33">
        <f>IF(ISNUMBER(SEARCH("Group",D3914)),IF(G3914="",E3914,IFERROR(E3914/COUNTIF($G2:$G6000,G3914),E3914)),E3914)</f>
        <v>0</v>
      </c>
      <c r="I3914" s="1" t="str">
        <f>IFERROR(VLOOKUP(C3914,'Clients List'!A:F,6,FALSE),"")</f>
        <v/>
      </c>
    </row>
    <row r="3915" spans="4:9" x14ac:dyDescent="0.45">
      <c r="D3915" t="str">
        <f>IFERROR(VLOOKUP(C3915,'Clients List'!$A:$F,2,FALSE),"")</f>
        <v/>
      </c>
      <c r="F3915" s="1" t="str">
        <f>IF(OR(C3915="",NOT(ISNUMBER(SEARCH("Package",D3915)))),"",VLOOKUP(C3915,'Clients List'!$A:$F,4,FALSE)-SUMIFS($E$2:$E3915,$C$2:$C3915,C3915,$D$2:$D3915,"*Package*"))</f>
        <v/>
      </c>
      <c r="G3915" t="str">
        <f t="shared" si="94"/>
        <v/>
      </c>
      <c r="H3915" s="33">
        <f>IF(ISNUMBER(SEARCH("Group",D3915)),IF(G3915="",E3915,IFERROR(E3915/COUNTIF($G2:$G6000,G3915),E3915)),E3915)</f>
        <v>0</v>
      </c>
      <c r="I3915" s="1" t="str">
        <f>IFERROR(VLOOKUP(C3915,'Clients List'!A:F,6,FALSE),"")</f>
        <v/>
      </c>
    </row>
    <row r="3916" spans="4:9" x14ac:dyDescent="0.45">
      <c r="D3916" t="str">
        <f>IFERROR(VLOOKUP(C3916,'Clients List'!$A:$F,2,FALSE),"")</f>
        <v/>
      </c>
      <c r="F3916" s="1" t="str">
        <f>IF(OR(C3916="",NOT(ISNUMBER(SEARCH("Package",D3916)))),"",VLOOKUP(C3916,'Clients List'!$A:$F,4,FALSE)-SUMIFS($E$2:$E3916,$C$2:$C3916,C3916,$D$2:$D3916,"*Package*"))</f>
        <v/>
      </c>
      <c r="G3916" t="str">
        <f t="shared" si="94"/>
        <v/>
      </c>
      <c r="H3916" s="33">
        <f>IF(ISNUMBER(SEARCH("Group",D3916)),IF(G3916="",E3916,IFERROR(E3916/COUNTIF($G2:$G6000,G3916),E3916)),E3916)</f>
        <v>0</v>
      </c>
      <c r="I3916" s="1" t="str">
        <f>IFERROR(VLOOKUP(C3916,'Clients List'!A:F,6,FALSE),"")</f>
        <v/>
      </c>
    </row>
    <row r="3917" spans="4:9" x14ac:dyDescent="0.45">
      <c r="D3917" t="str">
        <f>IFERROR(VLOOKUP(C3917,'Clients List'!$A:$F,2,FALSE),"")</f>
        <v/>
      </c>
      <c r="F3917" s="1" t="str">
        <f>IF(OR(C3917="",NOT(ISNUMBER(SEARCH("Package",D3917)))),"",VLOOKUP(C3917,'Clients List'!$A:$F,4,FALSE)-SUMIFS($E$2:$E3917,$C$2:$C3917,C3917,$D$2:$D3917,"*Package*"))</f>
        <v/>
      </c>
      <c r="G3917" t="str">
        <f t="shared" si="94"/>
        <v/>
      </c>
      <c r="H3917" s="33">
        <f>IF(ISNUMBER(SEARCH("Group",D3917)),IF(G3917="",E3917,IFERROR(E3917/COUNTIF($G2:$G6000,G3917),E3917)),E3917)</f>
        <v>0</v>
      </c>
      <c r="I3917" s="1" t="str">
        <f>IFERROR(VLOOKUP(C3917,'Clients List'!A:F,6,FALSE),"")</f>
        <v/>
      </c>
    </row>
    <row r="3918" spans="4:9" x14ac:dyDescent="0.45">
      <c r="D3918" t="str">
        <f>IFERROR(VLOOKUP(C3918,'Clients List'!$A:$F,2,FALSE),"")</f>
        <v/>
      </c>
      <c r="F3918" s="1" t="str">
        <f>IF(OR(C3918="",NOT(ISNUMBER(SEARCH("Package",D3918)))),"",VLOOKUP(C3918,'Clients List'!$A:$F,4,FALSE)-SUMIFS($E$2:$E3918,$C$2:$C3918,C3918,$D$2:$D3918,"*Package*"))</f>
        <v/>
      </c>
      <c r="G3918" t="str">
        <f t="shared" si="94"/>
        <v/>
      </c>
      <c r="H3918" s="33">
        <f>IF(ISNUMBER(SEARCH("Group",D3918)),IF(G3918="",E3918,IFERROR(E3918/COUNTIF($G2:$G6000,G3918),E3918)),E3918)</f>
        <v>0</v>
      </c>
      <c r="I3918" s="1" t="str">
        <f>IFERROR(VLOOKUP(C3918,'Clients List'!A:F,6,FALSE),"")</f>
        <v/>
      </c>
    </row>
    <row r="3919" spans="4:9" x14ac:dyDescent="0.45">
      <c r="D3919" t="str">
        <f>IFERROR(VLOOKUP(C3919,'Clients List'!$A:$F,2,FALSE),"")</f>
        <v/>
      </c>
      <c r="F3919" s="1" t="str">
        <f>IF(OR(C3919="",NOT(ISNUMBER(SEARCH("Package",D3919)))),"",VLOOKUP(C3919,'Clients List'!$A:$F,4,FALSE)-SUMIFS($E$2:$E3919,$C$2:$C3919,C3919,$D$2:$D3919,"*Package*"))</f>
        <v/>
      </c>
      <c r="G3919" t="str">
        <f t="shared" si="94"/>
        <v/>
      </c>
      <c r="H3919" s="33">
        <f>IF(ISNUMBER(SEARCH("Group",D3919)),IF(G3919="",E3919,IFERROR(E3919/COUNTIF($G2:$G6000,G3919),E3919)),E3919)</f>
        <v>0</v>
      </c>
      <c r="I3919" s="1" t="str">
        <f>IFERROR(VLOOKUP(C3919,'Clients List'!A:F,6,FALSE),"")</f>
        <v/>
      </c>
    </row>
    <row r="3920" spans="4:9" x14ac:dyDescent="0.45">
      <c r="D3920" t="str">
        <f>IFERROR(VLOOKUP(C3920,'Clients List'!$A:$F,2,FALSE),"")</f>
        <v/>
      </c>
      <c r="F3920" s="1" t="str">
        <f>IF(OR(C3920="",NOT(ISNUMBER(SEARCH("Package",D3920)))),"",VLOOKUP(C3920,'Clients List'!$A:$F,4,FALSE)-SUMIFS($E$2:$E3920,$C$2:$C3920,C3920,$D$2:$D3920,"*Package*"))</f>
        <v/>
      </c>
      <c r="G3920" t="str">
        <f t="shared" si="94"/>
        <v/>
      </c>
      <c r="H3920" s="33">
        <f>IF(ISNUMBER(SEARCH("Group",D3920)),IF(G3920="",E3920,IFERROR(E3920/COUNTIF($G2:$G6000,G3920),E3920)),E3920)</f>
        <v>0</v>
      </c>
      <c r="I3920" s="1" t="str">
        <f>IFERROR(VLOOKUP(C3920,'Clients List'!A:F,6,FALSE),"")</f>
        <v/>
      </c>
    </row>
    <row r="3921" spans="4:9" x14ac:dyDescent="0.45">
      <c r="D3921" t="str">
        <f>IFERROR(VLOOKUP(C3921,'Clients List'!$A:$F,2,FALSE),"")</f>
        <v/>
      </c>
      <c r="F3921" s="1" t="str">
        <f>IF(OR(C3921="",NOT(ISNUMBER(SEARCH("Package",D3921)))),"",VLOOKUP(C3921,'Clients List'!$A:$F,4,FALSE)-SUMIFS($E$2:$E3921,$C$2:$C3921,C3921,$D$2:$D3921,"*Package*"))</f>
        <v/>
      </c>
      <c r="G3921" t="str">
        <f t="shared" si="94"/>
        <v/>
      </c>
      <c r="H3921" s="33">
        <f>IF(ISNUMBER(SEARCH("Group",D3921)),IF(G3921="",E3921,IFERROR(E3921/COUNTIF($G2:$G6000,G3921),E3921)),E3921)</f>
        <v>0</v>
      </c>
      <c r="I3921" s="1" t="str">
        <f>IFERROR(VLOOKUP(C3921,'Clients List'!A:F,6,FALSE),"")</f>
        <v/>
      </c>
    </row>
    <row r="3922" spans="4:9" x14ac:dyDescent="0.45">
      <c r="D3922" t="str">
        <f>IFERROR(VLOOKUP(C3922,'Clients List'!$A:$F,2,FALSE),"")</f>
        <v/>
      </c>
      <c r="F3922" s="1" t="str">
        <f>IF(OR(C3922="",NOT(ISNUMBER(SEARCH("Package",D3922)))),"",VLOOKUP(C3922,'Clients List'!$A:$F,4,FALSE)-SUMIFS($E$2:$E3922,$C$2:$C3922,C3922,$D$2:$D3922,"*Package*"))</f>
        <v/>
      </c>
      <c r="G3922" t="str">
        <f t="shared" si="94"/>
        <v/>
      </c>
      <c r="H3922" s="33">
        <f>IF(ISNUMBER(SEARCH("Group",D3922)),IF(G3922="",E3922,IFERROR(E3922/COUNTIF($G2:$G6000,G3922),E3922)),E3922)</f>
        <v>0</v>
      </c>
      <c r="I3922" s="1" t="str">
        <f>IFERROR(VLOOKUP(C3922,'Clients List'!A:F,6,FALSE),"")</f>
        <v/>
      </c>
    </row>
    <row r="3923" spans="4:9" x14ac:dyDescent="0.45">
      <c r="D3923" t="str">
        <f>IFERROR(VLOOKUP(C3923,'Clients List'!$A:$F,2,FALSE),"")</f>
        <v/>
      </c>
      <c r="F3923" s="1" t="str">
        <f>IF(OR(C3923="",NOT(ISNUMBER(SEARCH("Package",D3923)))),"",VLOOKUP(C3923,'Clients List'!$A:$F,4,FALSE)-SUMIFS($E$2:$E3923,$C$2:$C3923,C3923,$D$2:$D3923,"*Package*"))</f>
        <v/>
      </c>
      <c r="G3923" t="str">
        <f t="shared" si="94"/>
        <v/>
      </c>
      <c r="H3923" s="33">
        <f>IF(ISNUMBER(SEARCH("Group",D3923)),IF(G3923="",E3923,IFERROR(E3923/COUNTIF($G2:$G6000,G3923),E3923)),E3923)</f>
        <v>0</v>
      </c>
      <c r="I3923" s="1" t="str">
        <f>IFERROR(VLOOKUP(C3923,'Clients List'!A:F,6,FALSE),"")</f>
        <v/>
      </c>
    </row>
    <row r="3924" spans="4:9" x14ac:dyDescent="0.45">
      <c r="D3924" t="str">
        <f>IFERROR(VLOOKUP(C3924,'Clients List'!$A:$F,2,FALSE),"")</f>
        <v/>
      </c>
      <c r="F3924" s="1" t="str">
        <f>IF(OR(C3924="",NOT(ISNUMBER(SEARCH("Package",D3924)))),"",VLOOKUP(C3924,'Clients List'!$A:$F,4,FALSE)-SUMIFS($E$2:$E3924,$C$2:$C3924,C3924,$D$2:$D3924,"*Package*"))</f>
        <v/>
      </c>
      <c r="G3924" t="str">
        <f t="shared" si="94"/>
        <v/>
      </c>
      <c r="H3924" s="33">
        <f>IF(ISNUMBER(SEARCH("Group",D3924)),IF(G3924="",E3924,IFERROR(E3924/COUNTIF($G2:$G6000,G3924),E3924)),E3924)</f>
        <v>0</v>
      </c>
      <c r="I3924" s="1" t="str">
        <f>IFERROR(VLOOKUP(C3924,'Clients List'!A:F,6,FALSE),"")</f>
        <v/>
      </c>
    </row>
    <row r="3925" spans="4:9" x14ac:dyDescent="0.45">
      <c r="D3925" t="str">
        <f>IFERROR(VLOOKUP(C3925,'Clients List'!$A:$F,2,FALSE),"")</f>
        <v/>
      </c>
      <c r="F3925" s="1" t="str">
        <f>IF(OR(C3925="",NOT(ISNUMBER(SEARCH("Package",D3925)))),"",VLOOKUP(C3925,'Clients List'!$A:$F,4,FALSE)-SUMIFS($E$2:$E3925,$C$2:$C3925,C3925,$D$2:$D3925,"*Package*"))</f>
        <v/>
      </c>
      <c r="G3925" t="str">
        <f t="shared" si="94"/>
        <v/>
      </c>
      <c r="H3925" s="33">
        <f>IF(ISNUMBER(SEARCH("Group",D3925)),IF(G3925="",E3925,IFERROR(E3925/COUNTIF($G2:$G6000,G3925),E3925)),E3925)</f>
        <v>0</v>
      </c>
      <c r="I3925" s="1" t="str">
        <f>IFERROR(VLOOKUP(C3925,'Clients List'!A:F,6,FALSE),"")</f>
        <v/>
      </c>
    </row>
    <row r="3926" spans="4:9" x14ac:dyDescent="0.45">
      <c r="D3926" t="str">
        <f>IFERROR(VLOOKUP(C3926,'Clients List'!$A:$F,2,FALSE),"")</f>
        <v/>
      </c>
      <c r="F3926" s="1" t="str">
        <f>IF(OR(C3926="",NOT(ISNUMBER(SEARCH("Package",D3926)))),"",VLOOKUP(C3926,'Clients List'!$A:$F,4,FALSE)-SUMIFS($E$2:$E3926,$C$2:$C3926,C3926,$D$2:$D3926,"*Package*"))</f>
        <v/>
      </c>
      <c r="G3926" t="str">
        <f t="shared" si="94"/>
        <v/>
      </c>
      <c r="H3926" s="33">
        <f>IF(ISNUMBER(SEARCH("Group",D3926)),IF(G3926="",E3926,IFERROR(E3926/COUNTIF($G2:$G6000,G3926),E3926)),E3926)</f>
        <v>0</v>
      </c>
      <c r="I3926" s="1" t="str">
        <f>IFERROR(VLOOKUP(C3926,'Clients List'!A:F,6,FALSE),"")</f>
        <v/>
      </c>
    </row>
    <row r="3927" spans="4:9" x14ac:dyDescent="0.45">
      <c r="D3927" t="str">
        <f>IFERROR(VLOOKUP(C3927,'Clients List'!$A:$F,2,FALSE),"")</f>
        <v/>
      </c>
      <c r="F3927" s="1" t="str">
        <f>IF(OR(C3927="",NOT(ISNUMBER(SEARCH("Package",D3927)))),"",VLOOKUP(C3927,'Clients List'!$A:$F,4,FALSE)-SUMIFS($E$2:$E3927,$C$2:$C3927,C3927,$D$2:$D3927,"*Package*"))</f>
        <v/>
      </c>
      <c r="G3927" t="str">
        <f t="shared" si="94"/>
        <v/>
      </c>
      <c r="H3927" s="33">
        <f>IF(ISNUMBER(SEARCH("Group",D3927)),IF(G3927="",E3927,IFERROR(E3927/COUNTIF($G2:$G6000,G3927),E3927)),E3927)</f>
        <v>0</v>
      </c>
      <c r="I3927" s="1" t="str">
        <f>IFERROR(VLOOKUP(C3927,'Clients List'!A:F,6,FALSE),"")</f>
        <v/>
      </c>
    </row>
    <row r="3928" spans="4:9" x14ac:dyDescent="0.45">
      <c r="D3928" t="str">
        <f>IFERROR(VLOOKUP(C3928,'Clients List'!$A:$F,2,FALSE),"")</f>
        <v/>
      </c>
      <c r="F3928" s="1" t="str">
        <f>IF(OR(C3928="",NOT(ISNUMBER(SEARCH("Package",D3928)))),"",VLOOKUP(C3928,'Clients List'!$A:$F,4,FALSE)-SUMIFS($E$2:$E3928,$C$2:$C3928,C3928,$D$2:$D3928,"*Package*"))</f>
        <v/>
      </c>
      <c r="G3928" t="str">
        <f t="shared" si="94"/>
        <v/>
      </c>
      <c r="H3928" s="33">
        <f>IF(ISNUMBER(SEARCH("Group",D3928)),IF(G3928="",E3928,IFERROR(E3928/COUNTIF($G2:$G6000,G3928),E3928)),E3928)</f>
        <v>0</v>
      </c>
      <c r="I3928" s="1" t="str">
        <f>IFERROR(VLOOKUP(C3928,'Clients List'!A:F,6,FALSE),"")</f>
        <v/>
      </c>
    </row>
    <row r="3929" spans="4:9" x14ac:dyDescent="0.45">
      <c r="D3929" t="str">
        <f>IFERROR(VLOOKUP(C3929,'Clients List'!$A:$F,2,FALSE),"")</f>
        <v/>
      </c>
      <c r="F3929" s="1" t="str">
        <f>IF(OR(C3929="",NOT(ISNUMBER(SEARCH("Package",D3929)))),"",VLOOKUP(C3929,'Clients List'!$A:$F,4,FALSE)-SUMIFS($E$2:$E3929,$C$2:$C3929,C3929,$D$2:$D3929,"*Package*"))</f>
        <v/>
      </c>
      <c r="G3929" t="str">
        <f t="shared" si="94"/>
        <v/>
      </c>
      <c r="H3929" s="33">
        <f>IF(ISNUMBER(SEARCH("Group",D3929)),IF(G3929="",E3929,IFERROR(E3929/COUNTIF($G2:$G6000,G3929),E3929)),E3929)</f>
        <v>0</v>
      </c>
      <c r="I3929" s="1" t="str">
        <f>IFERROR(VLOOKUP(C3929,'Clients List'!A:F,6,FALSE),"")</f>
        <v/>
      </c>
    </row>
    <row r="3930" spans="4:9" x14ac:dyDescent="0.45">
      <c r="D3930" t="str">
        <f>IFERROR(VLOOKUP(C3930,'Clients List'!$A:$F,2,FALSE),"")</f>
        <v/>
      </c>
      <c r="F3930" s="1" t="str">
        <f>IF(OR(C3930="",NOT(ISNUMBER(SEARCH("Package",D3930)))),"",VLOOKUP(C3930,'Clients List'!$A:$F,4,FALSE)-SUMIFS($E$2:$E3930,$C$2:$C3930,C3930,$D$2:$D3930,"*Package*"))</f>
        <v/>
      </c>
      <c r="G3930" t="str">
        <f t="shared" si="94"/>
        <v/>
      </c>
      <c r="H3930" s="33">
        <f>IF(ISNUMBER(SEARCH("Group",D3930)),IF(G3930="",E3930,IFERROR(E3930/COUNTIF($G2:$G6000,G3930),E3930)),E3930)</f>
        <v>0</v>
      </c>
      <c r="I3930" s="1" t="str">
        <f>IFERROR(VLOOKUP(C3930,'Clients List'!A:F,6,FALSE),"")</f>
        <v/>
      </c>
    </row>
    <row r="3931" spans="4:9" x14ac:dyDescent="0.45">
      <c r="D3931" t="str">
        <f>IFERROR(VLOOKUP(C3931,'Clients List'!$A:$F,2,FALSE),"")</f>
        <v/>
      </c>
      <c r="F3931" s="1" t="str">
        <f>IF(OR(C3931="",NOT(ISNUMBER(SEARCH("Package",D3931)))),"",VLOOKUP(C3931,'Clients List'!$A:$F,4,FALSE)-SUMIFS($E$2:$E3931,$C$2:$C3931,C3931,$D$2:$D3931,"*Package*"))</f>
        <v/>
      </c>
      <c r="G3931" t="str">
        <f t="shared" si="94"/>
        <v/>
      </c>
      <c r="H3931" s="33">
        <f>IF(ISNUMBER(SEARCH("Group",D3931)),IF(G3931="",E3931,IFERROR(E3931/COUNTIF($G2:$G6000,G3931),E3931)),E3931)</f>
        <v>0</v>
      </c>
      <c r="I3931" s="1" t="str">
        <f>IFERROR(VLOOKUP(C3931,'Clients List'!A:F,6,FALSE),"")</f>
        <v/>
      </c>
    </row>
    <row r="3932" spans="4:9" x14ac:dyDescent="0.45">
      <c r="D3932" t="str">
        <f>IFERROR(VLOOKUP(C3932,'Clients List'!$A:$F,2,FALSE),"")</f>
        <v/>
      </c>
      <c r="F3932" s="1" t="str">
        <f>IF(OR(C3932="",NOT(ISNUMBER(SEARCH("Package",D3932)))),"",VLOOKUP(C3932,'Clients List'!$A:$F,4,FALSE)-SUMIFS($E$2:$E3932,$C$2:$C3932,C3932,$D$2:$D3932,"*Package*"))</f>
        <v/>
      </c>
      <c r="G3932" t="str">
        <f t="shared" si="94"/>
        <v/>
      </c>
      <c r="H3932" s="33">
        <f>IF(ISNUMBER(SEARCH("Group",D3932)),IF(G3932="",E3932,IFERROR(E3932/COUNTIF($G2:$G6000,G3932),E3932)),E3932)</f>
        <v>0</v>
      </c>
      <c r="I3932" s="1" t="str">
        <f>IFERROR(VLOOKUP(C3932,'Clients List'!A:F,6,FALSE),"")</f>
        <v/>
      </c>
    </row>
    <row r="3933" spans="4:9" x14ac:dyDescent="0.45">
      <c r="D3933" t="str">
        <f>IFERROR(VLOOKUP(C3933,'Clients List'!$A:$F,2,FALSE),"")</f>
        <v/>
      </c>
      <c r="F3933" s="1" t="str">
        <f>IF(OR(C3933="",NOT(ISNUMBER(SEARCH("Package",D3933)))),"",VLOOKUP(C3933,'Clients List'!$A:$F,4,FALSE)-SUMIFS($E$2:$E3933,$C$2:$C3933,C3933,$D$2:$D3933,"*Package*"))</f>
        <v/>
      </c>
      <c r="G3933" t="str">
        <f t="shared" si="94"/>
        <v/>
      </c>
      <c r="H3933" s="33">
        <f>IF(ISNUMBER(SEARCH("Group",D3933)),IF(G3933="",E3933,IFERROR(E3933/COUNTIF($G2:$G6000,G3933),E3933)),E3933)</f>
        <v>0</v>
      </c>
      <c r="I3933" s="1" t="str">
        <f>IFERROR(VLOOKUP(C3933,'Clients List'!A:F,6,FALSE),"")</f>
        <v/>
      </c>
    </row>
    <row r="3934" spans="4:9" x14ac:dyDescent="0.45">
      <c r="D3934" t="str">
        <f>IFERROR(VLOOKUP(C3934,'Clients List'!$A:$F,2,FALSE),"")</f>
        <v/>
      </c>
      <c r="F3934" s="1" t="str">
        <f>IF(OR(C3934="",NOT(ISNUMBER(SEARCH("Package",D3934)))),"",VLOOKUP(C3934,'Clients List'!$A:$F,4,FALSE)-SUMIFS($E$2:$E3934,$C$2:$C3934,C3934,$D$2:$D3934,"*Package*"))</f>
        <v/>
      </c>
      <c r="G3934" t="str">
        <f t="shared" si="94"/>
        <v/>
      </c>
      <c r="H3934" s="33">
        <f>IF(ISNUMBER(SEARCH("Group",D3934)),IF(G3934="",E3934,IFERROR(E3934/COUNTIF($G2:$G6000,G3934),E3934)),E3934)</f>
        <v>0</v>
      </c>
      <c r="I3934" s="1" t="str">
        <f>IFERROR(VLOOKUP(C3934,'Clients List'!A:F,6,FALSE),"")</f>
        <v/>
      </c>
    </row>
    <row r="3935" spans="4:9" x14ac:dyDescent="0.45">
      <c r="D3935" t="str">
        <f>IFERROR(VLOOKUP(C3935,'Clients List'!$A:$F,2,FALSE),"")</f>
        <v/>
      </c>
      <c r="F3935" s="1" t="str">
        <f>IF(OR(C3935="",NOT(ISNUMBER(SEARCH("Package",D3935)))),"",VLOOKUP(C3935,'Clients List'!$A:$F,4,FALSE)-SUMIFS($E$2:$E3935,$C$2:$C3935,C3935,$D$2:$D3935,"*Package*"))</f>
        <v/>
      </c>
      <c r="G3935" t="str">
        <f t="shared" si="94"/>
        <v/>
      </c>
      <c r="H3935" s="33">
        <f>IF(ISNUMBER(SEARCH("Group",D3935)),IF(G3935="",E3935,IFERROR(E3935/COUNTIF($G2:$G6000,G3935),E3935)),E3935)</f>
        <v>0</v>
      </c>
      <c r="I3935" s="1" t="str">
        <f>IFERROR(VLOOKUP(C3935,'Clients List'!A:F,6,FALSE),"")</f>
        <v/>
      </c>
    </row>
    <row r="3936" spans="4:9" x14ac:dyDescent="0.45">
      <c r="D3936" t="str">
        <f>IFERROR(VLOOKUP(C3936,'Clients List'!$A:$F,2,FALSE),"")</f>
        <v/>
      </c>
      <c r="F3936" s="1" t="str">
        <f>IF(OR(C3936="",NOT(ISNUMBER(SEARCH("Package",D3936)))),"",VLOOKUP(C3936,'Clients List'!$A:$F,4,FALSE)-SUMIFS($E$2:$E3936,$C$2:$C3936,C3936,$D$2:$D3936,"*Package*"))</f>
        <v/>
      </c>
      <c r="G3936" t="str">
        <f t="shared" si="94"/>
        <v/>
      </c>
      <c r="H3936" s="33">
        <f>IF(ISNUMBER(SEARCH("Group",D3936)),IF(G3936="",E3936,IFERROR(E3936/COUNTIF($G2:$G6000,G3936),E3936)),E3936)</f>
        <v>0</v>
      </c>
      <c r="I3936" s="1" t="str">
        <f>IFERROR(VLOOKUP(C3936,'Clients List'!A:F,6,FALSE),"")</f>
        <v/>
      </c>
    </row>
    <row r="3937" spans="4:9" x14ac:dyDescent="0.45">
      <c r="D3937" t="str">
        <f>IFERROR(VLOOKUP(C3937,'Clients List'!$A:$F,2,FALSE),"")</f>
        <v/>
      </c>
      <c r="F3937" s="1" t="str">
        <f>IF(OR(C3937="",NOT(ISNUMBER(SEARCH("Package",D3937)))),"",VLOOKUP(C3937,'Clients List'!$A:$F,4,FALSE)-SUMIFS($E$2:$E3937,$C$2:$C3937,C3937,$D$2:$D3937,"*Package*"))</f>
        <v/>
      </c>
      <c r="G3937" t="str">
        <f t="shared" si="94"/>
        <v/>
      </c>
      <c r="H3937" s="33">
        <f>IF(ISNUMBER(SEARCH("Group",D3937)),IF(G3937="",E3937,IFERROR(E3937/COUNTIF($G2:$G6000,G3937),E3937)),E3937)</f>
        <v>0</v>
      </c>
      <c r="I3937" s="1" t="str">
        <f>IFERROR(VLOOKUP(C3937,'Clients List'!A:F,6,FALSE),"")</f>
        <v/>
      </c>
    </row>
    <row r="3938" spans="4:9" x14ac:dyDescent="0.45">
      <c r="D3938" t="str">
        <f>IFERROR(VLOOKUP(C3938,'Clients List'!$A:$F,2,FALSE),"")</f>
        <v/>
      </c>
      <c r="F3938" s="1" t="str">
        <f>IF(OR(C3938="",NOT(ISNUMBER(SEARCH("Package",D3938)))),"",VLOOKUP(C3938,'Clients List'!$A:$F,4,FALSE)-SUMIFS($E$2:$E3938,$C$2:$C3938,C3938,$D$2:$D3938,"*Package*"))</f>
        <v/>
      </c>
      <c r="G3938" t="str">
        <f t="shared" si="94"/>
        <v/>
      </c>
      <c r="H3938" s="33">
        <f>IF(ISNUMBER(SEARCH("Group",D3938)),IF(G3938="",E3938,IFERROR(E3938/COUNTIF($G2:$G6000,G3938),E3938)),E3938)</f>
        <v>0</v>
      </c>
      <c r="I3938" s="1" t="str">
        <f>IFERROR(VLOOKUP(C3938,'Clients List'!A:F,6,FALSE),"")</f>
        <v/>
      </c>
    </row>
    <row r="3939" spans="4:9" x14ac:dyDescent="0.45">
      <c r="D3939" t="str">
        <f>IFERROR(VLOOKUP(C3939,'Clients List'!$A:$F,2,FALSE),"")</f>
        <v/>
      </c>
      <c r="F3939" s="1" t="str">
        <f>IF(OR(C3939="",NOT(ISNUMBER(SEARCH("Package",D3939)))),"",VLOOKUP(C3939,'Clients List'!$A:$F,4,FALSE)-SUMIFS($E$2:$E3939,$C$2:$C3939,C3939,$D$2:$D3939,"*Package*"))</f>
        <v/>
      </c>
      <c r="G3939" t="str">
        <f t="shared" si="94"/>
        <v/>
      </c>
      <c r="H3939" s="33">
        <f>IF(ISNUMBER(SEARCH("Group",D3939)),IF(G3939="",E3939,IFERROR(E3939/COUNTIF($G2:$G6000,G3939),E3939)),E3939)</f>
        <v>0</v>
      </c>
      <c r="I3939" s="1" t="str">
        <f>IFERROR(VLOOKUP(C3939,'Clients List'!A:F,6,FALSE),"")</f>
        <v/>
      </c>
    </row>
    <row r="3940" spans="4:9" x14ac:dyDescent="0.45">
      <c r="D3940" t="str">
        <f>IFERROR(VLOOKUP(C3940,'Clients List'!$A:$F,2,FALSE),"")</f>
        <v/>
      </c>
      <c r="F3940" s="1" t="str">
        <f>IF(OR(C3940="",NOT(ISNUMBER(SEARCH("Package",D3940)))),"",VLOOKUP(C3940,'Clients List'!$A:$F,4,FALSE)-SUMIFS($E$2:$E3940,$C$2:$C3940,C3940,$D$2:$D3940,"*Package*"))</f>
        <v/>
      </c>
      <c r="G3940" t="str">
        <f t="shared" si="94"/>
        <v/>
      </c>
      <c r="H3940" s="33">
        <f>IF(ISNUMBER(SEARCH("Group",D3940)),IF(G3940="",E3940,IFERROR(E3940/COUNTIF($G2:$G6000,G3940),E3940)),E3940)</f>
        <v>0</v>
      </c>
      <c r="I3940" s="1" t="str">
        <f>IFERROR(VLOOKUP(C3940,'Clients List'!A:F,6,FALSE),"")</f>
        <v/>
      </c>
    </row>
    <row r="3941" spans="4:9" x14ac:dyDescent="0.45">
      <c r="D3941" t="str">
        <f>IFERROR(VLOOKUP(C3941,'Clients List'!$A:$F,2,FALSE),"")</f>
        <v/>
      </c>
      <c r="F3941" s="1" t="str">
        <f>IF(OR(C3941="",NOT(ISNUMBER(SEARCH("Package",D3941)))),"",VLOOKUP(C3941,'Clients List'!$A:$F,4,FALSE)-SUMIFS($E$2:$E3941,$C$2:$C3941,C3941,$D$2:$D3941,"*Package*"))</f>
        <v/>
      </c>
      <c r="G3941" t="str">
        <f t="shared" si="94"/>
        <v/>
      </c>
      <c r="H3941" s="33">
        <f>IF(ISNUMBER(SEARCH("Group",D3941)),IF(G3941="",E3941,IFERROR(E3941/COUNTIF($G2:$G6000,G3941),E3941)),E3941)</f>
        <v>0</v>
      </c>
      <c r="I3941" s="1" t="str">
        <f>IFERROR(VLOOKUP(C3941,'Clients List'!A:F,6,FALSE),"")</f>
        <v/>
      </c>
    </row>
    <row r="3942" spans="4:9" x14ac:dyDescent="0.45">
      <c r="D3942" t="str">
        <f>IFERROR(VLOOKUP(C3942,'Clients List'!$A:$F,2,FALSE),"")</f>
        <v/>
      </c>
      <c r="F3942" s="1" t="str">
        <f>IF(OR(C3942="",NOT(ISNUMBER(SEARCH("Package",D3942)))),"",VLOOKUP(C3942,'Clients List'!$A:$F,4,FALSE)-SUMIFS($E$2:$E3942,$C$2:$C3942,C3942,$D$2:$D3942,"*Package*"))</f>
        <v/>
      </c>
      <c r="G3942" t="str">
        <f t="shared" si="94"/>
        <v/>
      </c>
      <c r="H3942" s="33">
        <f>IF(ISNUMBER(SEARCH("Group",D3942)),IF(G3942="",E3942,IFERROR(E3942/COUNTIF($G2:$G6000,G3942),E3942)),E3942)</f>
        <v>0</v>
      </c>
      <c r="I3942" s="1" t="str">
        <f>IFERROR(VLOOKUP(C3942,'Clients List'!A:F,6,FALSE),"")</f>
        <v/>
      </c>
    </row>
    <row r="3943" spans="4:9" x14ac:dyDescent="0.45">
      <c r="D3943" t="str">
        <f>IFERROR(VLOOKUP(C3943,'Clients List'!$A:$F,2,FALSE),"")</f>
        <v/>
      </c>
      <c r="F3943" s="1" t="str">
        <f>IF(OR(C3943="",NOT(ISNUMBER(SEARCH("Package",D3943)))),"",VLOOKUP(C3943,'Clients List'!$A:$F,4,FALSE)-SUMIFS($E$2:$E3943,$C$2:$C3943,C3943,$D$2:$D3943,"*Package*"))</f>
        <v/>
      </c>
      <c r="G3943" t="str">
        <f t="shared" si="94"/>
        <v/>
      </c>
      <c r="H3943" s="33">
        <f>IF(ISNUMBER(SEARCH("Group",D3943)),IF(G3943="",E3943,IFERROR(E3943/COUNTIF($G2:$G6000,G3943),E3943)),E3943)</f>
        <v>0</v>
      </c>
      <c r="I3943" s="1" t="str">
        <f>IFERROR(VLOOKUP(C3943,'Clients List'!A:F,6,FALSE),"")</f>
        <v/>
      </c>
    </row>
    <row r="3944" spans="4:9" x14ac:dyDescent="0.45">
      <c r="D3944" t="str">
        <f>IFERROR(VLOOKUP(C3944,'Clients List'!$A:$F,2,FALSE),"")</f>
        <v/>
      </c>
      <c r="F3944" s="1" t="str">
        <f>IF(OR(C3944="",NOT(ISNUMBER(SEARCH("Package",D3944)))),"",VLOOKUP(C3944,'Clients List'!$A:$F,4,FALSE)-SUMIFS($E$2:$E3944,$C$2:$C3944,C3944,$D$2:$D3944,"*Package*"))</f>
        <v/>
      </c>
      <c r="G3944" t="str">
        <f t="shared" si="94"/>
        <v/>
      </c>
      <c r="H3944" s="33">
        <f>IF(ISNUMBER(SEARCH("Group",D3944)),IF(G3944="",E3944,IFERROR(E3944/COUNTIF($G2:$G6000,G3944),E3944)),E3944)</f>
        <v>0</v>
      </c>
      <c r="I3944" s="1" t="str">
        <f>IFERROR(VLOOKUP(C3944,'Clients List'!A:F,6,FALSE),"")</f>
        <v/>
      </c>
    </row>
    <row r="3945" spans="4:9" x14ac:dyDescent="0.45">
      <c r="D3945" t="str">
        <f>IFERROR(VLOOKUP(C3945,'Clients List'!$A:$F,2,FALSE),"")</f>
        <v/>
      </c>
      <c r="F3945" s="1" t="str">
        <f>IF(OR(C3945="",NOT(ISNUMBER(SEARCH("Package",D3945)))),"",VLOOKUP(C3945,'Clients List'!$A:$F,4,FALSE)-SUMIFS($E$2:$E3945,$C$2:$C3945,C3945,$D$2:$D3945,"*Package*"))</f>
        <v/>
      </c>
      <c r="G3945" t="str">
        <f t="shared" si="94"/>
        <v/>
      </c>
      <c r="H3945" s="33">
        <f>IF(ISNUMBER(SEARCH("Group",D3945)),IF(G3945="",E3945,IFERROR(E3945/COUNTIF($G2:$G6000,G3945),E3945)),E3945)</f>
        <v>0</v>
      </c>
      <c r="I3945" s="1" t="str">
        <f>IFERROR(VLOOKUP(C3945,'Clients List'!A:F,6,FALSE),"")</f>
        <v/>
      </c>
    </row>
    <row r="3946" spans="4:9" x14ac:dyDescent="0.45">
      <c r="D3946" t="str">
        <f>IFERROR(VLOOKUP(C3946,'Clients List'!$A:$F,2,FALSE),"")</f>
        <v/>
      </c>
      <c r="F3946" s="1" t="str">
        <f>IF(OR(C3946="",NOT(ISNUMBER(SEARCH("Package",D3946)))),"",VLOOKUP(C3946,'Clients List'!$A:$F,4,FALSE)-SUMIFS($E$2:$E3946,$C$2:$C3946,C3946,$D$2:$D3946,"*Package*"))</f>
        <v/>
      </c>
      <c r="G3946" t="str">
        <f t="shared" si="94"/>
        <v/>
      </c>
      <c r="H3946" s="33">
        <f>IF(ISNUMBER(SEARCH("Group",D3946)),IF(G3946="",E3946,IFERROR(E3946/COUNTIF($G2:$G6000,G3946),E3946)),E3946)</f>
        <v>0</v>
      </c>
      <c r="I3946" s="1" t="str">
        <f>IFERROR(VLOOKUP(C3946,'Clients List'!A:F,6,FALSE),"")</f>
        <v/>
      </c>
    </row>
    <row r="3947" spans="4:9" x14ac:dyDescent="0.45">
      <c r="D3947" t="str">
        <f>IFERROR(VLOOKUP(C3947,'Clients List'!$A:$F,2,FALSE),"")</f>
        <v/>
      </c>
      <c r="F3947" s="1" t="str">
        <f>IF(OR(C3947="",NOT(ISNUMBER(SEARCH("Package",D3947)))),"",VLOOKUP(C3947,'Clients List'!$A:$F,4,FALSE)-SUMIFS($E$2:$E3947,$C$2:$C3947,C3947,$D$2:$D3947,"*Package*"))</f>
        <v/>
      </c>
      <c r="G3947" t="str">
        <f t="shared" si="94"/>
        <v/>
      </c>
      <c r="H3947" s="33">
        <f>IF(ISNUMBER(SEARCH("Group",D3947)),IF(G3947="",E3947,IFERROR(E3947/COUNTIF($G2:$G6000,G3947),E3947)),E3947)</f>
        <v>0</v>
      </c>
      <c r="I3947" s="1" t="str">
        <f>IFERROR(VLOOKUP(C3947,'Clients List'!A:F,6,FALSE),"")</f>
        <v/>
      </c>
    </row>
    <row r="3948" spans="4:9" x14ac:dyDescent="0.45">
      <c r="D3948" t="str">
        <f>IFERROR(VLOOKUP(C3948,'Clients List'!$A:$F,2,FALSE),"")</f>
        <v/>
      </c>
      <c r="F3948" s="1" t="str">
        <f>IF(OR(C3948="",NOT(ISNUMBER(SEARCH("Package",D3948)))),"",VLOOKUP(C3948,'Clients List'!$A:$F,4,FALSE)-SUMIFS($E$2:$E3948,$C$2:$C3948,C3948,$D$2:$D3948,"*Package*"))</f>
        <v/>
      </c>
      <c r="G3948" t="str">
        <f t="shared" si="94"/>
        <v/>
      </c>
      <c r="H3948" s="33">
        <f>IF(ISNUMBER(SEARCH("Group",D3948)),IF(G3948="",E3948,IFERROR(E3948/COUNTIF($G2:$G6000,G3948),E3948)),E3948)</f>
        <v>0</v>
      </c>
      <c r="I3948" s="1" t="str">
        <f>IFERROR(VLOOKUP(C3948,'Clients List'!A:F,6,FALSE),"")</f>
        <v/>
      </c>
    </row>
    <row r="3949" spans="4:9" x14ac:dyDescent="0.45">
      <c r="D3949" t="str">
        <f>IFERROR(VLOOKUP(C3949,'Clients List'!$A:$F,2,FALSE),"")</f>
        <v/>
      </c>
      <c r="F3949" s="1" t="str">
        <f>IF(OR(C3949="",NOT(ISNUMBER(SEARCH("Package",D3949)))),"",VLOOKUP(C3949,'Clients List'!$A:$F,4,FALSE)-SUMIFS($E$2:$E3949,$C$2:$C3949,C3949,$D$2:$D3949,"*Package*"))</f>
        <v/>
      </c>
      <c r="G3949" t="str">
        <f t="shared" si="94"/>
        <v/>
      </c>
      <c r="H3949" s="33">
        <f>IF(ISNUMBER(SEARCH("Group",D3949)),IF(G3949="",E3949,IFERROR(E3949/COUNTIF($G2:$G6000,G3949),E3949)),E3949)</f>
        <v>0</v>
      </c>
      <c r="I3949" s="1" t="str">
        <f>IFERROR(VLOOKUP(C3949,'Clients List'!A:F,6,FALSE),"")</f>
        <v/>
      </c>
    </row>
    <row r="3950" spans="4:9" x14ac:dyDescent="0.45">
      <c r="D3950" t="str">
        <f>IFERROR(VLOOKUP(C3950,'Clients List'!$A:$F,2,FALSE),"")</f>
        <v/>
      </c>
      <c r="F3950" s="1" t="str">
        <f>IF(OR(C3950="",NOT(ISNUMBER(SEARCH("Package",D3950)))),"",VLOOKUP(C3950,'Clients List'!$A:$F,4,FALSE)-SUMIFS($E$2:$E3950,$C$2:$C3950,C3950,$D$2:$D3950,"*Package*"))</f>
        <v/>
      </c>
      <c r="G3950" t="str">
        <f t="shared" si="94"/>
        <v/>
      </c>
      <c r="H3950" s="33">
        <f>IF(ISNUMBER(SEARCH("Group",D3950)),IF(G3950="",E3950,IFERROR(E3950/COUNTIF($G2:$G6000,G3950),E3950)),E3950)</f>
        <v>0</v>
      </c>
      <c r="I3950" s="1" t="str">
        <f>IFERROR(VLOOKUP(C3950,'Clients List'!A:F,6,FALSE),"")</f>
        <v/>
      </c>
    </row>
    <row r="3951" spans="4:9" x14ac:dyDescent="0.45">
      <c r="D3951" t="str">
        <f>IFERROR(VLOOKUP(C3951,'Clients List'!$A:$F,2,FALSE),"")</f>
        <v/>
      </c>
      <c r="F3951" s="1" t="str">
        <f>IF(OR(C3951="",NOT(ISNUMBER(SEARCH("Package",D3951)))),"",VLOOKUP(C3951,'Clients List'!$A:$F,4,FALSE)-SUMIFS($E$2:$E3951,$C$2:$C3951,C3951,$D$2:$D3951,"*Package*"))</f>
        <v/>
      </c>
      <c r="G3951" t="str">
        <f t="shared" si="94"/>
        <v/>
      </c>
      <c r="H3951" s="33">
        <f>IF(ISNUMBER(SEARCH("Group",D3951)),IF(G3951="",E3951,IFERROR(E3951/COUNTIF($G2:$G6000,G3951),E3951)),E3951)</f>
        <v>0</v>
      </c>
      <c r="I3951" s="1" t="str">
        <f>IFERROR(VLOOKUP(C3951,'Clients List'!A:F,6,FALSE),"")</f>
        <v/>
      </c>
    </row>
    <row r="3952" spans="4:9" x14ac:dyDescent="0.45">
      <c r="D3952" t="str">
        <f>IFERROR(VLOOKUP(C3952,'Clients List'!$A:$F,2,FALSE),"")</f>
        <v/>
      </c>
      <c r="F3952" s="1" t="str">
        <f>IF(OR(C3952="",NOT(ISNUMBER(SEARCH("Package",D3952)))),"",VLOOKUP(C3952,'Clients List'!$A:$F,4,FALSE)-SUMIFS($E$2:$E3952,$C$2:$C3952,C3952,$D$2:$D3952,"*Package*"))</f>
        <v/>
      </c>
      <c r="G3952" t="str">
        <f t="shared" si="94"/>
        <v/>
      </c>
      <c r="H3952" s="33">
        <f>IF(ISNUMBER(SEARCH("Group",D3952)),IF(G3952="",E3952,IFERROR(E3952/COUNTIF($G2:$G6000,G3952),E3952)),E3952)</f>
        <v>0</v>
      </c>
      <c r="I3952" s="1" t="str">
        <f>IFERROR(VLOOKUP(C3952,'Clients List'!A:F,6,FALSE),"")</f>
        <v/>
      </c>
    </row>
    <row r="3953" spans="4:9" x14ac:dyDescent="0.45">
      <c r="D3953" t="str">
        <f>IFERROR(VLOOKUP(C3953,'Clients List'!$A:$F,2,FALSE),"")</f>
        <v/>
      </c>
      <c r="F3953" s="1" t="str">
        <f>IF(OR(C3953="",NOT(ISNUMBER(SEARCH("Package",D3953)))),"",VLOOKUP(C3953,'Clients List'!$A:$F,4,FALSE)-SUMIFS($E$2:$E3953,$C$2:$C3953,C3953,$D$2:$D3953,"*Package*"))</f>
        <v/>
      </c>
      <c r="G3953" t="str">
        <f t="shared" si="94"/>
        <v/>
      </c>
      <c r="H3953" s="33">
        <f>IF(ISNUMBER(SEARCH("Group",D3953)),IF(G3953="",E3953,IFERROR(E3953/COUNTIF($G2:$G6000,G3953),E3953)),E3953)</f>
        <v>0</v>
      </c>
      <c r="I3953" s="1" t="str">
        <f>IFERROR(VLOOKUP(C3953,'Clients List'!A:F,6,FALSE),"")</f>
        <v/>
      </c>
    </row>
    <row r="3954" spans="4:9" x14ac:dyDescent="0.45">
      <c r="D3954" t="str">
        <f>IFERROR(VLOOKUP(C3954,'Clients List'!$A:$F,2,FALSE),"")</f>
        <v/>
      </c>
      <c r="F3954" s="1" t="str">
        <f>IF(OR(C3954="",NOT(ISNUMBER(SEARCH("Package",D3954)))),"",VLOOKUP(C3954,'Clients List'!$A:$F,4,FALSE)-SUMIFS($E$2:$E3954,$C$2:$C3954,C3954,$D$2:$D3954,"*Package*"))</f>
        <v/>
      </c>
      <c r="G3954" t="str">
        <f t="shared" si="94"/>
        <v/>
      </c>
      <c r="H3954" s="33">
        <f>IF(ISNUMBER(SEARCH("Group",D3954)),IF(G3954="",E3954,IFERROR(E3954/COUNTIF($G2:$G6000,G3954),E3954)),E3954)</f>
        <v>0</v>
      </c>
      <c r="I3954" s="1" t="str">
        <f>IFERROR(VLOOKUP(C3954,'Clients List'!A:F,6,FALSE),"")</f>
        <v/>
      </c>
    </row>
    <row r="3955" spans="4:9" x14ac:dyDescent="0.45">
      <c r="D3955" t="str">
        <f>IFERROR(VLOOKUP(C3955,'Clients List'!$A:$F,2,FALSE),"")</f>
        <v/>
      </c>
      <c r="F3955" s="1" t="str">
        <f>IF(OR(C3955="",NOT(ISNUMBER(SEARCH("Package",D3955)))),"",VLOOKUP(C3955,'Clients List'!$A:$F,4,FALSE)-SUMIFS($E$2:$E3955,$C$2:$C3955,C3955,$D$2:$D3955,"*Package*"))</f>
        <v/>
      </c>
      <c r="G3955" t="str">
        <f t="shared" si="94"/>
        <v/>
      </c>
      <c r="H3955" s="33">
        <f>IF(ISNUMBER(SEARCH("Group",D3955)),IF(G3955="",E3955,IFERROR(E3955/COUNTIF($G2:$G6000,G3955),E3955)),E3955)</f>
        <v>0</v>
      </c>
      <c r="I3955" s="1" t="str">
        <f>IFERROR(VLOOKUP(C3955,'Clients List'!A:F,6,FALSE),"")</f>
        <v/>
      </c>
    </row>
    <row r="3956" spans="4:9" x14ac:dyDescent="0.45">
      <c r="D3956" t="str">
        <f>IFERROR(VLOOKUP(C3956,'Clients List'!$A:$F,2,FALSE),"")</f>
        <v/>
      </c>
      <c r="F3956" s="1" t="str">
        <f>IF(OR(C3956="",NOT(ISNUMBER(SEARCH("Package",D3956)))),"",VLOOKUP(C3956,'Clients List'!$A:$F,4,FALSE)-SUMIFS($E$2:$E3956,$C$2:$C3956,C3956,$D$2:$D3956,"*Package*"))</f>
        <v/>
      </c>
      <c r="G3956" t="str">
        <f t="shared" si="94"/>
        <v/>
      </c>
      <c r="H3956" s="33">
        <f>IF(ISNUMBER(SEARCH("Group",D3956)),IF(G3956="",E3956,IFERROR(E3956/COUNTIF($G2:$G6000,G3956),E3956)),E3956)</f>
        <v>0</v>
      </c>
      <c r="I3956" s="1" t="str">
        <f>IFERROR(VLOOKUP(C3956,'Clients List'!A:F,6,FALSE),"")</f>
        <v/>
      </c>
    </row>
    <row r="3957" spans="4:9" x14ac:dyDescent="0.45">
      <c r="D3957" t="str">
        <f>IFERROR(VLOOKUP(C3957,'Clients List'!$A:$F,2,FALSE),"")</f>
        <v/>
      </c>
      <c r="F3957" s="1" t="str">
        <f>IF(OR(C3957="",NOT(ISNUMBER(SEARCH("Package",D3957)))),"",VLOOKUP(C3957,'Clients List'!$A:$F,4,FALSE)-SUMIFS($E$2:$E3957,$C$2:$C3957,C3957,$D$2:$D3957,"*Package*"))</f>
        <v/>
      </c>
      <c r="G3957" t="str">
        <f t="shared" ref="G3957:G4020" si="95">IF(ISNUMBER(SEARCH("Group",D3957)),IFERROR("GRP-"&amp;TEXT(IF(ISNUMBER(A3957),A3957,DATEVALUE(A3957)),"yyyymmdd"),""),"" )</f>
        <v/>
      </c>
      <c r="H3957" s="33">
        <f>IF(ISNUMBER(SEARCH("Group",D3957)),IF(G3957="",E3957,IFERROR(E3957/COUNTIF($G2:$G6000,G3957),E3957)),E3957)</f>
        <v>0</v>
      </c>
      <c r="I3957" s="1" t="str">
        <f>IFERROR(VLOOKUP(C3957,'Clients List'!A:F,6,FALSE),"")</f>
        <v/>
      </c>
    </row>
    <row r="3958" spans="4:9" x14ac:dyDescent="0.45">
      <c r="D3958" t="str">
        <f>IFERROR(VLOOKUP(C3958,'Clients List'!$A:$F,2,FALSE),"")</f>
        <v/>
      </c>
      <c r="F3958" s="1" t="str">
        <f>IF(OR(C3958="",NOT(ISNUMBER(SEARCH("Package",D3958)))),"",VLOOKUP(C3958,'Clients List'!$A:$F,4,FALSE)-SUMIFS($E$2:$E3958,$C$2:$C3958,C3958,$D$2:$D3958,"*Package*"))</f>
        <v/>
      </c>
      <c r="G3958" t="str">
        <f t="shared" si="95"/>
        <v/>
      </c>
      <c r="H3958" s="33">
        <f>IF(ISNUMBER(SEARCH("Group",D3958)),IF(G3958="",E3958,IFERROR(E3958/COUNTIF($G2:$G6000,G3958),E3958)),E3958)</f>
        <v>0</v>
      </c>
      <c r="I3958" s="1" t="str">
        <f>IFERROR(VLOOKUP(C3958,'Clients List'!A:F,6,FALSE),"")</f>
        <v/>
      </c>
    </row>
    <row r="3959" spans="4:9" x14ac:dyDescent="0.45">
      <c r="D3959" t="str">
        <f>IFERROR(VLOOKUP(C3959,'Clients List'!$A:$F,2,FALSE),"")</f>
        <v/>
      </c>
      <c r="F3959" s="1" t="str">
        <f>IF(OR(C3959="",NOT(ISNUMBER(SEARCH("Package",D3959)))),"",VLOOKUP(C3959,'Clients List'!$A:$F,4,FALSE)-SUMIFS($E$2:$E3959,$C$2:$C3959,C3959,$D$2:$D3959,"*Package*"))</f>
        <v/>
      </c>
      <c r="G3959" t="str">
        <f t="shared" si="95"/>
        <v/>
      </c>
      <c r="H3959" s="33">
        <f>IF(ISNUMBER(SEARCH("Group",D3959)),IF(G3959="",E3959,IFERROR(E3959/COUNTIF($G2:$G6000,G3959),E3959)),E3959)</f>
        <v>0</v>
      </c>
      <c r="I3959" s="1" t="str">
        <f>IFERROR(VLOOKUP(C3959,'Clients List'!A:F,6,FALSE),"")</f>
        <v/>
      </c>
    </row>
    <row r="3960" spans="4:9" x14ac:dyDescent="0.45">
      <c r="D3960" t="str">
        <f>IFERROR(VLOOKUP(C3960,'Clients List'!$A:$F,2,FALSE),"")</f>
        <v/>
      </c>
      <c r="F3960" s="1" t="str">
        <f>IF(OR(C3960="",NOT(ISNUMBER(SEARCH("Package",D3960)))),"",VLOOKUP(C3960,'Clients List'!$A:$F,4,FALSE)-SUMIFS($E$2:$E3960,$C$2:$C3960,C3960,$D$2:$D3960,"*Package*"))</f>
        <v/>
      </c>
      <c r="G3960" t="str">
        <f t="shared" si="95"/>
        <v/>
      </c>
      <c r="H3960" s="33">
        <f>IF(ISNUMBER(SEARCH("Group",D3960)),IF(G3960="",E3960,IFERROR(E3960/COUNTIF($G2:$G6000,G3960),E3960)),E3960)</f>
        <v>0</v>
      </c>
      <c r="I3960" s="1" t="str">
        <f>IFERROR(VLOOKUP(C3960,'Clients List'!A:F,6,FALSE),"")</f>
        <v/>
      </c>
    </row>
    <row r="3961" spans="4:9" x14ac:dyDescent="0.45">
      <c r="D3961" t="str">
        <f>IFERROR(VLOOKUP(C3961,'Clients List'!$A:$F,2,FALSE),"")</f>
        <v/>
      </c>
      <c r="F3961" s="1" t="str">
        <f>IF(OR(C3961="",NOT(ISNUMBER(SEARCH("Package",D3961)))),"",VLOOKUP(C3961,'Clients List'!$A:$F,4,FALSE)-SUMIFS($E$2:$E3961,$C$2:$C3961,C3961,$D$2:$D3961,"*Package*"))</f>
        <v/>
      </c>
      <c r="G3961" t="str">
        <f t="shared" si="95"/>
        <v/>
      </c>
      <c r="H3961" s="33">
        <f>IF(ISNUMBER(SEARCH("Group",D3961)),IF(G3961="",E3961,IFERROR(E3961/COUNTIF($G2:$G6000,G3961),E3961)),E3961)</f>
        <v>0</v>
      </c>
      <c r="I3961" s="1" t="str">
        <f>IFERROR(VLOOKUP(C3961,'Clients List'!A:F,6,FALSE),"")</f>
        <v/>
      </c>
    </row>
    <row r="3962" spans="4:9" x14ac:dyDescent="0.45">
      <c r="D3962" t="str">
        <f>IFERROR(VLOOKUP(C3962,'Clients List'!$A:$F,2,FALSE),"")</f>
        <v/>
      </c>
      <c r="F3962" s="1" t="str">
        <f>IF(OR(C3962="",NOT(ISNUMBER(SEARCH("Package",D3962)))),"",VLOOKUP(C3962,'Clients List'!$A:$F,4,FALSE)-SUMIFS($E$2:$E3962,$C$2:$C3962,C3962,$D$2:$D3962,"*Package*"))</f>
        <v/>
      </c>
      <c r="G3962" t="str">
        <f t="shared" si="95"/>
        <v/>
      </c>
      <c r="H3962" s="33">
        <f>IF(ISNUMBER(SEARCH("Group",D3962)),IF(G3962="",E3962,IFERROR(E3962/COUNTIF($G2:$G6000,G3962),E3962)),E3962)</f>
        <v>0</v>
      </c>
      <c r="I3962" s="1" t="str">
        <f>IFERROR(VLOOKUP(C3962,'Clients List'!A:F,6,FALSE),"")</f>
        <v/>
      </c>
    </row>
    <row r="3963" spans="4:9" x14ac:dyDescent="0.45">
      <c r="D3963" t="str">
        <f>IFERROR(VLOOKUP(C3963,'Clients List'!$A:$F,2,FALSE),"")</f>
        <v/>
      </c>
      <c r="F3963" s="1" t="str">
        <f>IF(OR(C3963="",NOT(ISNUMBER(SEARCH("Package",D3963)))),"",VLOOKUP(C3963,'Clients List'!$A:$F,4,FALSE)-SUMIFS($E$2:$E3963,$C$2:$C3963,C3963,$D$2:$D3963,"*Package*"))</f>
        <v/>
      </c>
      <c r="G3963" t="str">
        <f t="shared" si="95"/>
        <v/>
      </c>
      <c r="H3963" s="33">
        <f>IF(ISNUMBER(SEARCH("Group",D3963)),IF(G3963="",E3963,IFERROR(E3963/COUNTIF($G2:$G6000,G3963),E3963)),E3963)</f>
        <v>0</v>
      </c>
      <c r="I3963" s="1" t="str">
        <f>IFERROR(VLOOKUP(C3963,'Clients List'!A:F,6,FALSE),"")</f>
        <v/>
      </c>
    </row>
    <row r="3964" spans="4:9" x14ac:dyDescent="0.45">
      <c r="D3964" t="str">
        <f>IFERROR(VLOOKUP(C3964,'Clients List'!$A:$F,2,FALSE),"")</f>
        <v/>
      </c>
      <c r="F3964" s="1" t="str">
        <f>IF(OR(C3964="",NOT(ISNUMBER(SEARCH("Package",D3964)))),"",VLOOKUP(C3964,'Clients List'!$A:$F,4,FALSE)-SUMIFS($E$2:$E3964,$C$2:$C3964,C3964,$D$2:$D3964,"*Package*"))</f>
        <v/>
      </c>
      <c r="G3964" t="str">
        <f t="shared" si="95"/>
        <v/>
      </c>
      <c r="H3964" s="33">
        <f>IF(ISNUMBER(SEARCH("Group",D3964)),IF(G3964="",E3964,IFERROR(E3964/COUNTIF($G2:$G6000,G3964),E3964)),E3964)</f>
        <v>0</v>
      </c>
      <c r="I3964" s="1" t="str">
        <f>IFERROR(VLOOKUP(C3964,'Clients List'!A:F,6,FALSE),"")</f>
        <v/>
      </c>
    </row>
    <row r="3965" spans="4:9" x14ac:dyDescent="0.45">
      <c r="D3965" t="str">
        <f>IFERROR(VLOOKUP(C3965,'Clients List'!$A:$F,2,FALSE),"")</f>
        <v/>
      </c>
      <c r="F3965" s="1" t="str">
        <f>IF(OR(C3965="",NOT(ISNUMBER(SEARCH("Package",D3965)))),"",VLOOKUP(C3965,'Clients List'!$A:$F,4,FALSE)-SUMIFS($E$2:$E3965,$C$2:$C3965,C3965,$D$2:$D3965,"*Package*"))</f>
        <v/>
      </c>
      <c r="G3965" t="str">
        <f t="shared" si="95"/>
        <v/>
      </c>
      <c r="H3965" s="33">
        <f>IF(ISNUMBER(SEARCH("Group",D3965)),IF(G3965="",E3965,IFERROR(E3965/COUNTIF($G2:$G6000,G3965),E3965)),E3965)</f>
        <v>0</v>
      </c>
      <c r="I3965" s="1" t="str">
        <f>IFERROR(VLOOKUP(C3965,'Clients List'!A:F,6,FALSE),"")</f>
        <v/>
      </c>
    </row>
    <row r="3966" spans="4:9" x14ac:dyDescent="0.45">
      <c r="D3966" t="str">
        <f>IFERROR(VLOOKUP(C3966,'Clients List'!$A:$F,2,FALSE),"")</f>
        <v/>
      </c>
      <c r="F3966" s="1" t="str">
        <f>IF(OR(C3966="",NOT(ISNUMBER(SEARCH("Package",D3966)))),"",VLOOKUP(C3966,'Clients List'!$A:$F,4,FALSE)-SUMIFS($E$2:$E3966,$C$2:$C3966,C3966,$D$2:$D3966,"*Package*"))</f>
        <v/>
      </c>
      <c r="G3966" t="str">
        <f t="shared" si="95"/>
        <v/>
      </c>
      <c r="H3966" s="33">
        <f>IF(ISNUMBER(SEARCH("Group",D3966)),IF(G3966="",E3966,IFERROR(E3966/COUNTIF($G2:$G6000,G3966),E3966)),E3966)</f>
        <v>0</v>
      </c>
      <c r="I3966" s="1" t="str">
        <f>IFERROR(VLOOKUP(C3966,'Clients List'!A:F,6,FALSE),"")</f>
        <v/>
      </c>
    </row>
    <row r="3967" spans="4:9" x14ac:dyDescent="0.45">
      <c r="D3967" t="str">
        <f>IFERROR(VLOOKUP(C3967,'Clients List'!$A:$F,2,FALSE),"")</f>
        <v/>
      </c>
      <c r="F3967" s="1" t="str">
        <f>IF(OR(C3967="",NOT(ISNUMBER(SEARCH("Package",D3967)))),"",VLOOKUP(C3967,'Clients List'!$A:$F,4,FALSE)-SUMIFS($E$2:$E3967,$C$2:$C3967,C3967,$D$2:$D3967,"*Package*"))</f>
        <v/>
      </c>
      <c r="G3967" t="str">
        <f t="shared" si="95"/>
        <v/>
      </c>
      <c r="H3967" s="33">
        <f>IF(ISNUMBER(SEARCH("Group",D3967)),IF(G3967="",E3967,IFERROR(E3967/COUNTIF($G2:$G6000,G3967),E3967)),E3967)</f>
        <v>0</v>
      </c>
      <c r="I3967" s="1" t="str">
        <f>IFERROR(VLOOKUP(C3967,'Clients List'!A:F,6,FALSE),"")</f>
        <v/>
      </c>
    </row>
    <row r="3968" spans="4:9" x14ac:dyDescent="0.45">
      <c r="D3968" t="str">
        <f>IFERROR(VLOOKUP(C3968,'Clients List'!$A:$F,2,FALSE),"")</f>
        <v/>
      </c>
      <c r="F3968" s="1" t="str">
        <f>IF(OR(C3968="",NOT(ISNUMBER(SEARCH("Package",D3968)))),"",VLOOKUP(C3968,'Clients List'!$A:$F,4,FALSE)-SUMIFS($E$2:$E3968,$C$2:$C3968,C3968,$D$2:$D3968,"*Package*"))</f>
        <v/>
      </c>
      <c r="G3968" t="str">
        <f t="shared" si="95"/>
        <v/>
      </c>
      <c r="H3968" s="33">
        <f>IF(ISNUMBER(SEARCH("Group",D3968)),IF(G3968="",E3968,IFERROR(E3968/COUNTIF($G2:$G6000,G3968),E3968)),E3968)</f>
        <v>0</v>
      </c>
      <c r="I3968" s="1" t="str">
        <f>IFERROR(VLOOKUP(C3968,'Clients List'!A:F,6,FALSE),"")</f>
        <v/>
      </c>
    </row>
    <row r="3969" spans="4:9" x14ac:dyDescent="0.45">
      <c r="D3969" t="str">
        <f>IFERROR(VLOOKUP(C3969,'Clients List'!$A:$F,2,FALSE),"")</f>
        <v/>
      </c>
      <c r="F3969" s="1" t="str">
        <f>IF(OR(C3969="",NOT(ISNUMBER(SEARCH("Package",D3969)))),"",VLOOKUP(C3969,'Clients List'!$A:$F,4,FALSE)-SUMIFS($E$2:$E3969,$C$2:$C3969,C3969,$D$2:$D3969,"*Package*"))</f>
        <v/>
      </c>
      <c r="G3969" t="str">
        <f t="shared" si="95"/>
        <v/>
      </c>
      <c r="H3969" s="33">
        <f>IF(ISNUMBER(SEARCH("Group",D3969)),IF(G3969="",E3969,IFERROR(E3969/COUNTIF($G2:$G6000,G3969),E3969)),E3969)</f>
        <v>0</v>
      </c>
      <c r="I3969" s="1" t="str">
        <f>IFERROR(VLOOKUP(C3969,'Clients List'!A:F,6,FALSE),"")</f>
        <v/>
      </c>
    </row>
    <row r="3970" spans="4:9" x14ac:dyDescent="0.45">
      <c r="D3970" t="str">
        <f>IFERROR(VLOOKUP(C3970,'Clients List'!$A:$F,2,FALSE),"")</f>
        <v/>
      </c>
      <c r="F3970" s="1" t="str">
        <f>IF(OR(C3970="",NOT(ISNUMBER(SEARCH("Package",D3970)))),"",VLOOKUP(C3970,'Clients List'!$A:$F,4,FALSE)-SUMIFS($E$2:$E3970,$C$2:$C3970,C3970,$D$2:$D3970,"*Package*"))</f>
        <v/>
      </c>
      <c r="G3970" t="str">
        <f t="shared" si="95"/>
        <v/>
      </c>
      <c r="H3970" s="33">
        <f>IF(ISNUMBER(SEARCH("Group",D3970)),IF(G3970="",E3970,IFERROR(E3970/COUNTIF($G2:$G6000,G3970),E3970)),E3970)</f>
        <v>0</v>
      </c>
      <c r="I3970" s="1" t="str">
        <f>IFERROR(VLOOKUP(C3970,'Clients List'!A:F,6,FALSE),"")</f>
        <v/>
      </c>
    </row>
    <row r="3971" spans="4:9" x14ac:dyDescent="0.45">
      <c r="D3971" t="str">
        <f>IFERROR(VLOOKUP(C3971,'Clients List'!$A:$F,2,FALSE),"")</f>
        <v/>
      </c>
      <c r="F3971" s="1" t="str">
        <f>IF(OR(C3971="",NOT(ISNUMBER(SEARCH("Package",D3971)))),"",VLOOKUP(C3971,'Clients List'!$A:$F,4,FALSE)-SUMIFS($E$2:$E3971,$C$2:$C3971,C3971,$D$2:$D3971,"*Package*"))</f>
        <v/>
      </c>
      <c r="G3971" t="str">
        <f t="shared" si="95"/>
        <v/>
      </c>
      <c r="H3971" s="33">
        <f>IF(ISNUMBER(SEARCH("Group",D3971)),IF(G3971="",E3971,IFERROR(E3971/COUNTIF($G2:$G6000,G3971),E3971)),E3971)</f>
        <v>0</v>
      </c>
      <c r="I3971" s="1" t="str">
        <f>IFERROR(VLOOKUP(C3971,'Clients List'!A:F,6,FALSE),"")</f>
        <v/>
      </c>
    </row>
    <row r="3972" spans="4:9" x14ac:dyDescent="0.45">
      <c r="D3972" t="str">
        <f>IFERROR(VLOOKUP(C3972,'Clients List'!$A:$F,2,FALSE),"")</f>
        <v/>
      </c>
      <c r="F3972" s="1" t="str">
        <f>IF(OR(C3972="",NOT(ISNUMBER(SEARCH("Package",D3972)))),"",VLOOKUP(C3972,'Clients List'!$A:$F,4,FALSE)-SUMIFS($E$2:$E3972,$C$2:$C3972,C3972,$D$2:$D3972,"*Package*"))</f>
        <v/>
      </c>
      <c r="G3972" t="str">
        <f t="shared" si="95"/>
        <v/>
      </c>
      <c r="H3972" s="33">
        <f>IF(ISNUMBER(SEARCH("Group",D3972)),IF(G3972="",E3972,IFERROR(E3972/COUNTIF($G2:$G6000,G3972),E3972)),E3972)</f>
        <v>0</v>
      </c>
      <c r="I3972" s="1" t="str">
        <f>IFERROR(VLOOKUP(C3972,'Clients List'!A:F,6,FALSE),"")</f>
        <v/>
      </c>
    </row>
    <row r="3973" spans="4:9" x14ac:dyDescent="0.45">
      <c r="D3973" t="str">
        <f>IFERROR(VLOOKUP(C3973,'Clients List'!$A:$F,2,FALSE),"")</f>
        <v/>
      </c>
      <c r="F3973" s="1" t="str">
        <f>IF(OR(C3973="",NOT(ISNUMBER(SEARCH("Package",D3973)))),"",VLOOKUP(C3973,'Clients List'!$A:$F,4,FALSE)-SUMIFS($E$2:$E3973,$C$2:$C3973,C3973,$D$2:$D3973,"*Package*"))</f>
        <v/>
      </c>
      <c r="G3973" t="str">
        <f t="shared" si="95"/>
        <v/>
      </c>
      <c r="H3973" s="33">
        <f>IF(ISNUMBER(SEARCH("Group",D3973)),IF(G3973="",E3973,IFERROR(E3973/COUNTIF($G2:$G6000,G3973),E3973)),E3973)</f>
        <v>0</v>
      </c>
      <c r="I3973" s="1" t="str">
        <f>IFERROR(VLOOKUP(C3973,'Clients List'!A:F,6,FALSE),"")</f>
        <v/>
      </c>
    </row>
    <row r="3974" spans="4:9" x14ac:dyDescent="0.45">
      <c r="D3974" t="str">
        <f>IFERROR(VLOOKUP(C3974,'Clients List'!$A:$F,2,FALSE),"")</f>
        <v/>
      </c>
      <c r="F3974" s="1" t="str">
        <f>IF(OR(C3974="",NOT(ISNUMBER(SEARCH("Package",D3974)))),"",VLOOKUP(C3974,'Clients List'!$A:$F,4,FALSE)-SUMIFS($E$2:$E3974,$C$2:$C3974,C3974,$D$2:$D3974,"*Package*"))</f>
        <v/>
      </c>
      <c r="G3974" t="str">
        <f t="shared" si="95"/>
        <v/>
      </c>
      <c r="H3974" s="33">
        <f>IF(ISNUMBER(SEARCH("Group",D3974)),IF(G3974="",E3974,IFERROR(E3974/COUNTIF($G2:$G6000,G3974),E3974)),E3974)</f>
        <v>0</v>
      </c>
      <c r="I3974" s="1" t="str">
        <f>IFERROR(VLOOKUP(C3974,'Clients List'!A:F,6,FALSE),"")</f>
        <v/>
      </c>
    </row>
    <row r="3975" spans="4:9" x14ac:dyDescent="0.45">
      <c r="D3975" t="str">
        <f>IFERROR(VLOOKUP(C3975,'Clients List'!$A:$F,2,FALSE),"")</f>
        <v/>
      </c>
      <c r="F3975" s="1" t="str">
        <f>IF(OR(C3975="",NOT(ISNUMBER(SEARCH("Package",D3975)))),"",VLOOKUP(C3975,'Clients List'!$A:$F,4,FALSE)-SUMIFS($E$2:$E3975,$C$2:$C3975,C3975,$D$2:$D3975,"*Package*"))</f>
        <v/>
      </c>
      <c r="G3975" t="str">
        <f t="shared" si="95"/>
        <v/>
      </c>
      <c r="H3975" s="33">
        <f>IF(ISNUMBER(SEARCH("Group",D3975)),IF(G3975="",E3975,IFERROR(E3975/COUNTIF($G2:$G6000,G3975),E3975)),E3975)</f>
        <v>0</v>
      </c>
      <c r="I3975" s="1" t="str">
        <f>IFERROR(VLOOKUP(C3975,'Clients List'!A:F,6,FALSE),"")</f>
        <v/>
      </c>
    </row>
    <row r="3976" spans="4:9" x14ac:dyDescent="0.45">
      <c r="D3976" t="str">
        <f>IFERROR(VLOOKUP(C3976,'Clients List'!$A:$F,2,FALSE),"")</f>
        <v/>
      </c>
      <c r="F3976" s="1" t="str">
        <f>IF(OR(C3976="",NOT(ISNUMBER(SEARCH("Package",D3976)))),"",VLOOKUP(C3976,'Clients List'!$A:$F,4,FALSE)-SUMIFS($E$2:$E3976,$C$2:$C3976,C3976,$D$2:$D3976,"*Package*"))</f>
        <v/>
      </c>
      <c r="G3976" t="str">
        <f t="shared" si="95"/>
        <v/>
      </c>
      <c r="H3976" s="33">
        <f>IF(ISNUMBER(SEARCH("Group",D3976)),IF(G3976="",E3976,IFERROR(E3976/COUNTIF($G2:$G6000,G3976),E3976)),E3976)</f>
        <v>0</v>
      </c>
      <c r="I3976" s="1" t="str">
        <f>IFERROR(VLOOKUP(C3976,'Clients List'!A:F,6,FALSE),"")</f>
        <v/>
      </c>
    </row>
    <row r="3977" spans="4:9" x14ac:dyDescent="0.45">
      <c r="D3977" t="str">
        <f>IFERROR(VLOOKUP(C3977,'Clients List'!$A:$F,2,FALSE),"")</f>
        <v/>
      </c>
      <c r="F3977" s="1" t="str">
        <f>IF(OR(C3977="",NOT(ISNUMBER(SEARCH("Package",D3977)))),"",VLOOKUP(C3977,'Clients List'!$A:$F,4,FALSE)-SUMIFS($E$2:$E3977,$C$2:$C3977,C3977,$D$2:$D3977,"*Package*"))</f>
        <v/>
      </c>
      <c r="G3977" t="str">
        <f t="shared" si="95"/>
        <v/>
      </c>
      <c r="H3977" s="33">
        <f>IF(ISNUMBER(SEARCH("Group",D3977)),IF(G3977="",E3977,IFERROR(E3977/COUNTIF($G2:$G6000,G3977),E3977)),E3977)</f>
        <v>0</v>
      </c>
      <c r="I3977" s="1" t="str">
        <f>IFERROR(VLOOKUP(C3977,'Clients List'!A:F,6,FALSE),"")</f>
        <v/>
      </c>
    </row>
    <row r="3978" spans="4:9" x14ac:dyDescent="0.45">
      <c r="D3978" t="str">
        <f>IFERROR(VLOOKUP(C3978,'Clients List'!$A:$F,2,FALSE),"")</f>
        <v/>
      </c>
      <c r="F3978" s="1" t="str">
        <f>IF(OR(C3978="",NOT(ISNUMBER(SEARCH("Package",D3978)))),"",VLOOKUP(C3978,'Clients List'!$A:$F,4,FALSE)-SUMIFS($E$2:$E3978,$C$2:$C3978,C3978,$D$2:$D3978,"*Package*"))</f>
        <v/>
      </c>
      <c r="G3978" t="str">
        <f t="shared" si="95"/>
        <v/>
      </c>
      <c r="H3978" s="33">
        <f>IF(ISNUMBER(SEARCH("Group",D3978)),IF(G3978="",E3978,IFERROR(E3978/COUNTIF($G2:$G6000,G3978),E3978)),E3978)</f>
        <v>0</v>
      </c>
      <c r="I3978" s="1" t="str">
        <f>IFERROR(VLOOKUP(C3978,'Clients List'!A:F,6,FALSE),"")</f>
        <v/>
      </c>
    </row>
    <row r="3979" spans="4:9" x14ac:dyDescent="0.45">
      <c r="D3979" t="str">
        <f>IFERROR(VLOOKUP(C3979,'Clients List'!$A:$F,2,FALSE),"")</f>
        <v/>
      </c>
      <c r="F3979" s="1" t="str">
        <f>IF(OR(C3979="",NOT(ISNUMBER(SEARCH("Package",D3979)))),"",VLOOKUP(C3979,'Clients List'!$A:$F,4,FALSE)-SUMIFS($E$2:$E3979,$C$2:$C3979,C3979,$D$2:$D3979,"*Package*"))</f>
        <v/>
      </c>
      <c r="G3979" t="str">
        <f t="shared" si="95"/>
        <v/>
      </c>
      <c r="H3979" s="33">
        <f>IF(ISNUMBER(SEARCH("Group",D3979)),IF(G3979="",E3979,IFERROR(E3979/COUNTIF($G2:$G6000,G3979),E3979)),E3979)</f>
        <v>0</v>
      </c>
      <c r="I3979" s="1" t="str">
        <f>IFERROR(VLOOKUP(C3979,'Clients List'!A:F,6,FALSE),"")</f>
        <v/>
      </c>
    </row>
    <row r="3980" spans="4:9" x14ac:dyDescent="0.45">
      <c r="D3980" t="str">
        <f>IFERROR(VLOOKUP(C3980,'Clients List'!$A:$F,2,FALSE),"")</f>
        <v/>
      </c>
      <c r="F3980" s="1" t="str">
        <f>IF(OR(C3980="",NOT(ISNUMBER(SEARCH("Package",D3980)))),"",VLOOKUP(C3980,'Clients List'!$A:$F,4,FALSE)-SUMIFS($E$2:$E3980,$C$2:$C3980,C3980,$D$2:$D3980,"*Package*"))</f>
        <v/>
      </c>
      <c r="G3980" t="str">
        <f t="shared" si="95"/>
        <v/>
      </c>
      <c r="H3980" s="33">
        <f>IF(ISNUMBER(SEARCH("Group",D3980)),IF(G3980="",E3980,IFERROR(E3980/COUNTIF($G2:$G6000,G3980),E3980)),E3980)</f>
        <v>0</v>
      </c>
      <c r="I3980" s="1" t="str">
        <f>IFERROR(VLOOKUP(C3980,'Clients List'!A:F,6,FALSE),"")</f>
        <v/>
      </c>
    </row>
    <row r="3981" spans="4:9" x14ac:dyDescent="0.45">
      <c r="D3981" t="str">
        <f>IFERROR(VLOOKUP(C3981,'Clients List'!$A:$F,2,FALSE),"")</f>
        <v/>
      </c>
      <c r="F3981" s="1" t="str">
        <f>IF(OR(C3981="",NOT(ISNUMBER(SEARCH("Package",D3981)))),"",VLOOKUP(C3981,'Clients List'!$A:$F,4,FALSE)-SUMIFS($E$2:$E3981,$C$2:$C3981,C3981,$D$2:$D3981,"*Package*"))</f>
        <v/>
      </c>
      <c r="G3981" t="str">
        <f t="shared" si="95"/>
        <v/>
      </c>
      <c r="H3981" s="33">
        <f>IF(ISNUMBER(SEARCH("Group",D3981)),IF(G3981="",E3981,IFERROR(E3981/COUNTIF($G2:$G6000,G3981),E3981)),E3981)</f>
        <v>0</v>
      </c>
      <c r="I3981" s="1" t="str">
        <f>IFERROR(VLOOKUP(C3981,'Clients List'!A:F,6,FALSE),"")</f>
        <v/>
      </c>
    </row>
    <row r="3982" spans="4:9" x14ac:dyDescent="0.45">
      <c r="D3982" t="str">
        <f>IFERROR(VLOOKUP(C3982,'Clients List'!$A:$F,2,FALSE),"")</f>
        <v/>
      </c>
      <c r="F3982" s="1" t="str">
        <f>IF(OR(C3982="",NOT(ISNUMBER(SEARCH("Package",D3982)))),"",VLOOKUP(C3982,'Clients List'!$A:$F,4,FALSE)-SUMIFS($E$2:$E3982,$C$2:$C3982,C3982,$D$2:$D3982,"*Package*"))</f>
        <v/>
      </c>
      <c r="G3982" t="str">
        <f t="shared" si="95"/>
        <v/>
      </c>
      <c r="H3982" s="33">
        <f>IF(ISNUMBER(SEARCH("Group",D3982)),IF(G3982="",E3982,IFERROR(E3982/COUNTIF($G2:$G6000,G3982),E3982)),E3982)</f>
        <v>0</v>
      </c>
      <c r="I3982" s="1" t="str">
        <f>IFERROR(VLOOKUP(C3982,'Clients List'!A:F,6,FALSE),"")</f>
        <v/>
      </c>
    </row>
    <row r="3983" spans="4:9" x14ac:dyDescent="0.45">
      <c r="D3983" t="str">
        <f>IFERROR(VLOOKUP(C3983,'Clients List'!$A:$F,2,FALSE),"")</f>
        <v/>
      </c>
      <c r="F3983" s="1" t="str">
        <f>IF(OR(C3983="",NOT(ISNUMBER(SEARCH("Package",D3983)))),"",VLOOKUP(C3983,'Clients List'!$A:$F,4,FALSE)-SUMIFS($E$2:$E3983,$C$2:$C3983,C3983,$D$2:$D3983,"*Package*"))</f>
        <v/>
      </c>
      <c r="G3983" t="str">
        <f t="shared" si="95"/>
        <v/>
      </c>
      <c r="H3983" s="33">
        <f>IF(ISNUMBER(SEARCH("Group",D3983)),IF(G3983="",E3983,IFERROR(E3983/COUNTIF($G2:$G6000,G3983),E3983)),E3983)</f>
        <v>0</v>
      </c>
      <c r="I3983" s="1" t="str">
        <f>IFERROR(VLOOKUP(C3983,'Clients List'!A:F,6,FALSE),"")</f>
        <v/>
      </c>
    </row>
    <row r="3984" spans="4:9" x14ac:dyDescent="0.45">
      <c r="D3984" t="str">
        <f>IFERROR(VLOOKUP(C3984,'Clients List'!$A:$F,2,FALSE),"")</f>
        <v/>
      </c>
      <c r="F3984" s="1" t="str">
        <f>IF(OR(C3984="",NOT(ISNUMBER(SEARCH("Package",D3984)))),"",VLOOKUP(C3984,'Clients List'!$A:$F,4,FALSE)-SUMIFS($E$2:$E3984,$C$2:$C3984,C3984,$D$2:$D3984,"*Package*"))</f>
        <v/>
      </c>
      <c r="G3984" t="str">
        <f t="shared" si="95"/>
        <v/>
      </c>
      <c r="H3984" s="33">
        <f>IF(ISNUMBER(SEARCH("Group",D3984)),IF(G3984="",E3984,IFERROR(E3984/COUNTIF($G2:$G6000,G3984),E3984)),E3984)</f>
        <v>0</v>
      </c>
      <c r="I3984" s="1" t="str">
        <f>IFERROR(VLOOKUP(C3984,'Clients List'!A:F,6,FALSE),"")</f>
        <v/>
      </c>
    </row>
    <row r="3985" spans="4:9" x14ac:dyDescent="0.45">
      <c r="D3985" t="str">
        <f>IFERROR(VLOOKUP(C3985,'Clients List'!$A:$F,2,FALSE),"")</f>
        <v/>
      </c>
      <c r="F3985" s="1" t="str">
        <f>IF(OR(C3985="",NOT(ISNUMBER(SEARCH("Package",D3985)))),"",VLOOKUP(C3985,'Clients List'!$A:$F,4,FALSE)-SUMIFS($E$2:$E3985,$C$2:$C3985,C3985,$D$2:$D3985,"*Package*"))</f>
        <v/>
      </c>
      <c r="G3985" t="str">
        <f t="shared" si="95"/>
        <v/>
      </c>
      <c r="H3985" s="33">
        <f>IF(ISNUMBER(SEARCH("Group",D3985)),IF(G3985="",E3985,IFERROR(E3985/COUNTIF($G2:$G6000,G3985),E3985)),E3985)</f>
        <v>0</v>
      </c>
      <c r="I3985" s="1" t="str">
        <f>IFERROR(VLOOKUP(C3985,'Clients List'!A:F,6,FALSE),"")</f>
        <v/>
      </c>
    </row>
    <row r="3986" spans="4:9" x14ac:dyDescent="0.45">
      <c r="D3986" t="str">
        <f>IFERROR(VLOOKUP(C3986,'Clients List'!$A:$F,2,FALSE),"")</f>
        <v/>
      </c>
      <c r="F3986" s="1" t="str">
        <f>IF(OR(C3986="",NOT(ISNUMBER(SEARCH("Package",D3986)))),"",VLOOKUP(C3986,'Clients List'!$A:$F,4,FALSE)-SUMIFS($E$2:$E3986,$C$2:$C3986,C3986,$D$2:$D3986,"*Package*"))</f>
        <v/>
      </c>
      <c r="G3986" t="str">
        <f t="shared" si="95"/>
        <v/>
      </c>
      <c r="H3986" s="33">
        <f>IF(ISNUMBER(SEARCH("Group",D3986)),IF(G3986="",E3986,IFERROR(E3986/COUNTIF($G2:$G6000,G3986),E3986)),E3986)</f>
        <v>0</v>
      </c>
      <c r="I3986" s="1" t="str">
        <f>IFERROR(VLOOKUP(C3986,'Clients List'!A:F,6,FALSE),"")</f>
        <v/>
      </c>
    </row>
    <row r="3987" spans="4:9" x14ac:dyDescent="0.45">
      <c r="D3987" t="str">
        <f>IFERROR(VLOOKUP(C3987,'Clients List'!$A:$F,2,FALSE),"")</f>
        <v/>
      </c>
      <c r="F3987" s="1" t="str">
        <f>IF(OR(C3987="",NOT(ISNUMBER(SEARCH("Package",D3987)))),"",VLOOKUP(C3987,'Clients List'!$A:$F,4,FALSE)-SUMIFS($E$2:$E3987,$C$2:$C3987,C3987,$D$2:$D3987,"*Package*"))</f>
        <v/>
      </c>
      <c r="G3987" t="str">
        <f t="shared" si="95"/>
        <v/>
      </c>
      <c r="H3987" s="33">
        <f>IF(ISNUMBER(SEARCH("Group",D3987)),IF(G3987="",E3987,IFERROR(E3987/COUNTIF($G2:$G6000,G3987),E3987)),E3987)</f>
        <v>0</v>
      </c>
      <c r="I3987" s="1" t="str">
        <f>IFERROR(VLOOKUP(C3987,'Clients List'!A:F,6,FALSE),"")</f>
        <v/>
      </c>
    </row>
    <row r="3988" spans="4:9" x14ac:dyDescent="0.45">
      <c r="D3988" t="str">
        <f>IFERROR(VLOOKUP(C3988,'Clients List'!$A:$F,2,FALSE),"")</f>
        <v/>
      </c>
      <c r="F3988" s="1" t="str">
        <f>IF(OR(C3988="",NOT(ISNUMBER(SEARCH("Package",D3988)))),"",VLOOKUP(C3988,'Clients List'!$A:$F,4,FALSE)-SUMIFS($E$2:$E3988,$C$2:$C3988,C3988,$D$2:$D3988,"*Package*"))</f>
        <v/>
      </c>
      <c r="G3988" t="str">
        <f t="shared" si="95"/>
        <v/>
      </c>
      <c r="H3988" s="33">
        <f>IF(ISNUMBER(SEARCH("Group",D3988)),IF(G3988="",E3988,IFERROR(E3988/COUNTIF($G2:$G6000,G3988),E3988)),E3988)</f>
        <v>0</v>
      </c>
      <c r="I3988" s="1" t="str">
        <f>IFERROR(VLOOKUP(C3988,'Clients List'!A:F,6,FALSE),"")</f>
        <v/>
      </c>
    </row>
    <row r="3989" spans="4:9" x14ac:dyDescent="0.45">
      <c r="D3989" t="str">
        <f>IFERROR(VLOOKUP(C3989,'Clients List'!$A:$F,2,FALSE),"")</f>
        <v/>
      </c>
      <c r="F3989" s="1" t="str">
        <f>IF(OR(C3989="",NOT(ISNUMBER(SEARCH("Package",D3989)))),"",VLOOKUP(C3989,'Clients List'!$A:$F,4,FALSE)-SUMIFS($E$2:$E3989,$C$2:$C3989,C3989,$D$2:$D3989,"*Package*"))</f>
        <v/>
      </c>
      <c r="G3989" t="str">
        <f t="shared" si="95"/>
        <v/>
      </c>
      <c r="H3989" s="33">
        <f>IF(ISNUMBER(SEARCH("Group",D3989)),IF(G3989="",E3989,IFERROR(E3989/COUNTIF($G2:$G6000,G3989),E3989)),E3989)</f>
        <v>0</v>
      </c>
      <c r="I3989" s="1" t="str">
        <f>IFERROR(VLOOKUP(C3989,'Clients List'!A:F,6,FALSE),"")</f>
        <v/>
      </c>
    </row>
    <row r="3990" spans="4:9" x14ac:dyDescent="0.45">
      <c r="D3990" t="str">
        <f>IFERROR(VLOOKUP(C3990,'Clients List'!$A:$F,2,FALSE),"")</f>
        <v/>
      </c>
      <c r="F3990" s="1" t="str">
        <f>IF(OR(C3990="",NOT(ISNUMBER(SEARCH("Package",D3990)))),"",VLOOKUP(C3990,'Clients List'!$A:$F,4,FALSE)-SUMIFS($E$2:$E3990,$C$2:$C3990,C3990,$D$2:$D3990,"*Package*"))</f>
        <v/>
      </c>
      <c r="G3990" t="str">
        <f t="shared" si="95"/>
        <v/>
      </c>
      <c r="H3990" s="33">
        <f>IF(ISNUMBER(SEARCH("Group",D3990)),IF(G3990="",E3990,IFERROR(E3990/COUNTIF($G2:$G6000,G3990),E3990)),E3990)</f>
        <v>0</v>
      </c>
      <c r="I3990" s="1" t="str">
        <f>IFERROR(VLOOKUP(C3990,'Clients List'!A:F,6,FALSE),"")</f>
        <v/>
      </c>
    </row>
    <row r="3991" spans="4:9" x14ac:dyDescent="0.45">
      <c r="D3991" t="str">
        <f>IFERROR(VLOOKUP(C3991,'Clients List'!$A:$F,2,FALSE),"")</f>
        <v/>
      </c>
      <c r="F3991" s="1" t="str">
        <f>IF(OR(C3991="",NOT(ISNUMBER(SEARCH("Package",D3991)))),"",VLOOKUP(C3991,'Clients List'!$A:$F,4,FALSE)-SUMIFS($E$2:$E3991,$C$2:$C3991,C3991,$D$2:$D3991,"*Package*"))</f>
        <v/>
      </c>
      <c r="G3991" t="str">
        <f t="shared" si="95"/>
        <v/>
      </c>
      <c r="H3991" s="33">
        <f>IF(ISNUMBER(SEARCH("Group",D3991)),IF(G3991="",E3991,IFERROR(E3991/COUNTIF($G2:$G6000,G3991),E3991)),E3991)</f>
        <v>0</v>
      </c>
      <c r="I3991" s="1" t="str">
        <f>IFERROR(VLOOKUP(C3991,'Clients List'!A:F,6,FALSE),"")</f>
        <v/>
      </c>
    </row>
    <row r="3992" spans="4:9" x14ac:dyDescent="0.45">
      <c r="D3992" t="str">
        <f>IFERROR(VLOOKUP(C3992,'Clients List'!$A:$F,2,FALSE),"")</f>
        <v/>
      </c>
      <c r="F3992" s="1" t="str">
        <f>IF(OR(C3992="",NOT(ISNUMBER(SEARCH("Package",D3992)))),"",VLOOKUP(C3992,'Clients List'!$A:$F,4,FALSE)-SUMIFS($E$2:$E3992,$C$2:$C3992,C3992,$D$2:$D3992,"*Package*"))</f>
        <v/>
      </c>
      <c r="G3992" t="str">
        <f t="shared" si="95"/>
        <v/>
      </c>
      <c r="H3992" s="33">
        <f>IF(ISNUMBER(SEARCH("Group",D3992)),IF(G3992="",E3992,IFERROR(E3992/COUNTIF($G2:$G6000,G3992),E3992)),E3992)</f>
        <v>0</v>
      </c>
      <c r="I3992" s="1" t="str">
        <f>IFERROR(VLOOKUP(C3992,'Clients List'!A:F,6,FALSE),"")</f>
        <v/>
      </c>
    </row>
    <row r="3993" spans="4:9" x14ac:dyDescent="0.45">
      <c r="D3993" t="str">
        <f>IFERROR(VLOOKUP(C3993,'Clients List'!$A:$F,2,FALSE),"")</f>
        <v/>
      </c>
      <c r="F3993" s="1" t="str">
        <f>IF(OR(C3993="",NOT(ISNUMBER(SEARCH("Package",D3993)))),"",VLOOKUP(C3993,'Clients List'!$A:$F,4,FALSE)-SUMIFS($E$2:$E3993,$C$2:$C3993,C3993,$D$2:$D3993,"*Package*"))</f>
        <v/>
      </c>
      <c r="G3993" t="str">
        <f t="shared" si="95"/>
        <v/>
      </c>
      <c r="H3993" s="33">
        <f>IF(ISNUMBER(SEARCH("Group",D3993)),IF(G3993="",E3993,IFERROR(E3993/COUNTIF($G2:$G6000,G3993),E3993)),E3993)</f>
        <v>0</v>
      </c>
      <c r="I3993" s="1" t="str">
        <f>IFERROR(VLOOKUP(C3993,'Clients List'!A:F,6,FALSE),"")</f>
        <v/>
      </c>
    </row>
    <row r="3994" spans="4:9" x14ac:dyDescent="0.45">
      <c r="D3994" t="str">
        <f>IFERROR(VLOOKUP(C3994,'Clients List'!$A:$F,2,FALSE),"")</f>
        <v/>
      </c>
      <c r="F3994" s="1" t="str">
        <f>IF(OR(C3994="",NOT(ISNUMBER(SEARCH("Package",D3994)))),"",VLOOKUP(C3994,'Clients List'!$A:$F,4,FALSE)-SUMIFS($E$2:$E3994,$C$2:$C3994,C3994,$D$2:$D3994,"*Package*"))</f>
        <v/>
      </c>
      <c r="G3994" t="str">
        <f t="shared" si="95"/>
        <v/>
      </c>
      <c r="H3994" s="33">
        <f>IF(ISNUMBER(SEARCH("Group",D3994)),IF(G3994="",E3994,IFERROR(E3994/COUNTIF($G2:$G6000,G3994),E3994)),E3994)</f>
        <v>0</v>
      </c>
      <c r="I3994" s="1" t="str">
        <f>IFERROR(VLOOKUP(C3994,'Clients List'!A:F,6,FALSE),"")</f>
        <v/>
      </c>
    </row>
    <row r="3995" spans="4:9" x14ac:dyDescent="0.45">
      <c r="D3995" t="str">
        <f>IFERROR(VLOOKUP(C3995,'Clients List'!$A:$F,2,FALSE),"")</f>
        <v/>
      </c>
      <c r="F3995" s="1" t="str">
        <f>IF(OR(C3995="",NOT(ISNUMBER(SEARCH("Package",D3995)))),"",VLOOKUP(C3995,'Clients List'!$A:$F,4,FALSE)-SUMIFS($E$2:$E3995,$C$2:$C3995,C3995,$D$2:$D3995,"*Package*"))</f>
        <v/>
      </c>
      <c r="G3995" t="str">
        <f t="shared" si="95"/>
        <v/>
      </c>
      <c r="H3995" s="33">
        <f>IF(ISNUMBER(SEARCH("Group",D3995)),IF(G3995="",E3995,IFERROR(E3995/COUNTIF($G2:$G6000,G3995),E3995)),E3995)</f>
        <v>0</v>
      </c>
      <c r="I3995" s="1" t="str">
        <f>IFERROR(VLOOKUP(C3995,'Clients List'!A:F,6,FALSE),"")</f>
        <v/>
      </c>
    </row>
    <row r="3996" spans="4:9" x14ac:dyDescent="0.45">
      <c r="D3996" t="str">
        <f>IFERROR(VLOOKUP(C3996,'Clients List'!$A:$F,2,FALSE),"")</f>
        <v/>
      </c>
      <c r="F3996" s="1" t="str">
        <f>IF(OR(C3996="",NOT(ISNUMBER(SEARCH("Package",D3996)))),"",VLOOKUP(C3996,'Clients List'!$A:$F,4,FALSE)-SUMIFS($E$2:$E3996,$C$2:$C3996,C3996,$D$2:$D3996,"*Package*"))</f>
        <v/>
      </c>
      <c r="G3996" t="str">
        <f t="shared" si="95"/>
        <v/>
      </c>
      <c r="H3996" s="33">
        <f>IF(ISNUMBER(SEARCH("Group",D3996)),IF(G3996="",E3996,IFERROR(E3996/COUNTIF($G2:$G6000,G3996),E3996)),E3996)</f>
        <v>0</v>
      </c>
      <c r="I3996" s="1" t="str">
        <f>IFERROR(VLOOKUP(C3996,'Clients List'!A:F,6,FALSE),"")</f>
        <v/>
      </c>
    </row>
    <row r="3997" spans="4:9" x14ac:dyDescent="0.45">
      <c r="D3997" t="str">
        <f>IFERROR(VLOOKUP(C3997,'Clients List'!$A:$F,2,FALSE),"")</f>
        <v/>
      </c>
      <c r="F3997" s="1" t="str">
        <f>IF(OR(C3997="",NOT(ISNUMBER(SEARCH("Package",D3997)))),"",VLOOKUP(C3997,'Clients List'!$A:$F,4,FALSE)-SUMIFS($E$2:$E3997,$C$2:$C3997,C3997,$D$2:$D3997,"*Package*"))</f>
        <v/>
      </c>
      <c r="G3997" t="str">
        <f t="shared" si="95"/>
        <v/>
      </c>
      <c r="H3997" s="33">
        <f>IF(ISNUMBER(SEARCH("Group",D3997)),IF(G3997="",E3997,IFERROR(E3997/COUNTIF($G2:$G6000,G3997),E3997)),E3997)</f>
        <v>0</v>
      </c>
      <c r="I3997" s="1" t="str">
        <f>IFERROR(VLOOKUP(C3997,'Clients List'!A:F,6,FALSE),"")</f>
        <v/>
      </c>
    </row>
    <row r="3998" spans="4:9" x14ac:dyDescent="0.45">
      <c r="D3998" t="str">
        <f>IFERROR(VLOOKUP(C3998,'Clients List'!$A:$F,2,FALSE),"")</f>
        <v/>
      </c>
      <c r="F3998" s="1" t="str">
        <f>IF(OR(C3998="",NOT(ISNUMBER(SEARCH("Package",D3998)))),"",VLOOKUP(C3998,'Clients List'!$A:$F,4,FALSE)-SUMIFS($E$2:$E3998,$C$2:$C3998,C3998,$D$2:$D3998,"*Package*"))</f>
        <v/>
      </c>
      <c r="G3998" t="str">
        <f t="shared" si="95"/>
        <v/>
      </c>
      <c r="H3998" s="33">
        <f>IF(ISNUMBER(SEARCH("Group",D3998)),IF(G3998="",E3998,IFERROR(E3998/COUNTIF($G2:$G6000,G3998),E3998)),E3998)</f>
        <v>0</v>
      </c>
      <c r="I3998" s="1" t="str">
        <f>IFERROR(VLOOKUP(C3998,'Clients List'!A:F,6,FALSE),"")</f>
        <v/>
      </c>
    </row>
    <row r="3999" spans="4:9" x14ac:dyDescent="0.45">
      <c r="D3999" t="str">
        <f>IFERROR(VLOOKUP(C3999,'Clients List'!$A:$F,2,FALSE),"")</f>
        <v/>
      </c>
      <c r="F3999" s="1" t="str">
        <f>IF(OR(C3999="",NOT(ISNUMBER(SEARCH("Package",D3999)))),"",VLOOKUP(C3999,'Clients List'!$A:$F,4,FALSE)-SUMIFS($E$2:$E3999,$C$2:$C3999,C3999,$D$2:$D3999,"*Package*"))</f>
        <v/>
      </c>
      <c r="G3999" t="str">
        <f t="shared" si="95"/>
        <v/>
      </c>
      <c r="H3999" s="33">
        <f>IF(ISNUMBER(SEARCH("Group",D3999)),IF(G3999="",E3999,IFERROR(E3999/COUNTIF($G2:$G6000,G3999),E3999)),E3999)</f>
        <v>0</v>
      </c>
      <c r="I3999" s="1" t="str">
        <f>IFERROR(VLOOKUP(C3999,'Clients List'!A:F,6,FALSE),"")</f>
        <v/>
      </c>
    </row>
    <row r="4000" spans="4:9" x14ac:dyDescent="0.45">
      <c r="D4000" t="str">
        <f>IFERROR(VLOOKUP(C4000,'Clients List'!$A:$F,2,FALSE),"")</f>
        <v/>
      </c>
      <c r="F4000" s="1" t="str">
        <f>IF(OR(C4000="",NOT(ISNUMBER(SEARCH("Package",D4000)))),"",VLOOKUP(C4000,'Clients List'!$A:$F,4,FALSE)-SUMIFS($E$2:$E4000,$C$2:$C4000,C4000,$D$2:$D4000,"*Package*"))</f>
        <v/>
      </c>
      <c r="G4000" t="str">
        <f t="shared" si="95"/>
        <v/>
      </c>
      <c r="H4000" s="33">
        <f>IF(ISNUMBER(SEARCH("Group",D4000)),IF(G4000="",E4000,IFERROR(E4000/COUNTIF($G2:$G6000,G4000),E4000)),E4000)</f>
        <v>0</v>
      </c>
      <c r="I4000" s="1" t="str">
        <f>IFERROR(VLOOKUP(C4000,'Clients List'!A:F,6,FALSE),"")</f>
        <v/>
      </c>
    </row>
    <row r="4001" spans="4:9" x14ac:dyDescent="0.45">
      <c r="D4001" t="str">
        <f>IFERROR(VLOOKUP(C4001,'Clients List'!$A:$F,2,FALSE),"")</f>
        <v/>
      </c>
      <c r="F4001" s="1" t="str">
        <f>IF(OR(C4001="",NOT(ISNUMBER(SEARCH("Package",D4001)))),"",VLOOKUP(C4001,'Clients List'!$A:$F,4,FALSE)-SUMIFS($E$2:$E4001,$C$2:$C4001,C4001,$D$2:$D4001,"*Package*"))</f>
        <v/>
      </c>
      <c r="G4001" t="str">
        <f t="shared" si="95"/>
        <v/>
      </c>
      <c r="H4001" s="33">
        <f>IF(ISNUMBER(SEARCH("Group",D4001)),IF(G4001="",E4001,IFERROR(E4001/COUNTIF($G2:$G6000,G4001),E4001)),E4001)</f>
        <v>0</v>
      </c>
      <c r="I4001" s="1" t="str">
        <f>IFERROR(VLOOKUP(C4001,'Clients List'!A:F,6,FALSE),"")</f>
        <v/>
      </c>
    </row>
    <row r="4002" spans="4:9" x14ac:dyDescent="0.45">
      <c r="D4002" t="str">
        <f>IFERROR(VLOOKUP(C4002,'Clients List'!$A:$F,2,FALSE),"")</f>
        <v/>
      </c>
      <c r="F4002" s="1" t="str">
        <f>IF(OR(C4002="",NOT(ISNUMBER(SEARCH("Package",D4002)))),"",VLOOKUP(C4002,'Clients List'!$A:$F,4,FALSE)-SUMIFS($E$2:$E4002,$C$2:$C4002,C4002,$D$2:$D4002,"*Package*"))</f>
        <v/>
      </c>
      <c r="G4002" t="str">
        <f t="shared" si="95"/>
        <v/>
      </c>
      <c r="H4002" s="33">
        <f>IF(ISNUMBER(SEARCH("Group",D4002)),IF(G4002="",E4002,IFERROR(E4002/COUNTIF($G2:$G6000,G4002),E4002)),E4002)</f>
        <v>0</v>
      </c>
      <c r="I4002" s="1" t="str">
        <f>IFERROR(VLOOKUP(C4002,'Clients List'!A:F,6,FALSE),"")</f>
        <v/>
      </c>
    </row>
    <row r="4003" spans="4:9" x14ac:dyDescent="0.45">
      <c r="D4003" t="str">
        <f>IFERROR(VLOOKUP(C4003,'Clients List'!$A:$F,2,FALSE),"")</f>
        <v/>
      </c>
      <c r="F4003" s="1" t="str">
        <f>IF(OR(C4003="",NOT(ISNUMBER(SEARCH("Package",D4003)))),"",VLOOKUP(C4003,'Clients List'!$A:$F,4,FALSE)-SUMIFS($E$2:$E4003,$C$2:$C4003,C4003,$D$2:$D4003,"*Package*"))</f>
        <v/>
      </c>
      <c r="G4003" t="str">
        <f t="shared" si="95"/>
        <v/>
      </c>
      <c r="H4003" s="33">
        <f>IF(ISNUMBER(SEARCH("Group",D4003)),IF(G4003="",E4003,IFERROR(E4003/COUNTIF($G2:$G6000,G4003),E4003)),E4003)</f>
        <v>0</v>
      </c>
      <c r="I4003" s="1" t="str">
        <f>IFERROR(VLOOKUP(C4003,'Clients List'!A:F,6,FALSE),"")</f>
        <v/>
      </c>
    </row>
    <row r="4004" spans="4:9" x14ac:dyDescent="0.45">
      <c r="D4004" t="str">
        <f>IFERROR(VLOOKUP(C4004,'Clients List'!$A:$F,2,FALSE),"")</f>
        <v/>
      </c>
      <c r="F4004" s="1" t="str">
        <f>IF(OR(C4004="",NOT(ISNUMBER(SEARCH("Package",D4004)))),"",VLOOKUP(C4004,'Clients List'!$A:$F,4,FALSE)-SUMIFS($E$2:$E4004,$C$2:$C4004,C4004,$D$2:$D4004,"*Package*"))</f>
        <v/>
      </c>
      <c r="G4004" t="str">
        <f t="shared" si="95"/>
        <v/>
      </c>
      <c r="H4004" s="33">
        <f>IF(ISNUMBER(SEARCH("Group",D4004)),IF(G4004="",E4004,IFERROR(E4004/COUNTIF($G2:$G6000,G4004),E4004)),E4004)</f>
        <v>0</v>
      </c>
      <c r="I4004" s="1" t="str">
        <f>IFERROR(VLOOKUP(C4004,'Clients List'!A:F,6,FALSE),"")</f>
        <v/>
      </c>
    </row>
    <row r="4005" spans="4:9" x14ac:dyDescent="0.45">
      <c r="D4005" t="str">
        <f>IFERROR(VLOOKUP(C4005,'Clients List'!$A:$F,2,FALSE),"")</f>
        <v/>
      </c>
      <c r="F4005" s="1" t="str">
        <f>IF(OR(C4005="",NOT(ISNUMBER(SEARCH("Package",D4005)))),"",VLOOKUP(C4005,'Clients List'!$A:$F,4,FALSE)-SUMIFS($E$2:$E4005,$C$2:$C4005,C4005,$D$2:$D4005,"*Package*"))</f>
        <v/>
      </c>
      <c r="G4005" t="str">
        <f t="shared" si="95"/>
        <v/>
      </c>
      <c r="H4005" s="33">
        <f>IF(ISNUMBER(SEARCH("Group",D4005)),IF(G4005="",E4005,IFERROR(E4005/COUNTIF($G2:$G6000,G4005),E4005)),E4005)</f>
        <v>0</v>
      </c>
      <c r="I4005" s="1" t="str">
        <f>IFERROR(VLOOKUP(C4005,'Clients List'!A:F,6,FALSE),"")</f>
        <v/>
      </c>
    </row>
    <row r="4006" spans="4:9" x14ac:dyDescent="0.45">
      <c r="D4006" t="str">
        <f>IFERROR(VLOOKUP(C4006,'Clients List'!$A:$F,2,FALSE),"")</f>
        <v/>
      </c>
      <c r="F4006" s="1" t="str">
        <f>IF(OR(C4006="",NOT(ISNUMBER(SEARCH("Package",D4006)))),"",VLOOKUP(C4006,'Clients List'!$A:$F,4,FALSE)-SUMIFS($E$2:$E4006,$C$2:$C4006,C4006,$D$2:$D4006,"*Package*"))</f>
        <v/>
      </c>
      <c r="G4006" t="str">
        <f t="shared" si="95"/>
        <v/>
      </c>
      <c r="H4006" s="33">
        <f>IF(ISNUMBER(SEARCH("Group",D4006)),IF(G4006="",E4006,IFERROR(E4006/COUNTIF($G2:$G6000,G4006),E4006)),E4006)</f>
        <v>0</v>
      </c>
      <c r="I4006" s="1" t="str">
        <f>IFERROR(VLOOKUP(C4006,'Clients List'!A:F,6,FALSE),"")</f>
        <v/>
      </c>
    </row>
    <row r="4007" spans="4:9" x14ac:dyDescent="0.45">
      <c r="D4007" t="str">
        <f>IFERROR(VLOOKUP(C4007,'Clients List'!$A:$F,2,FALSE),"")</f>
        <v/>
      </c>
      <c r="F4007" s="1" t="str">
        <f>IF(OR(C4007="",NOT(ISNUMBER(SEARCH("Package",D4007)))),"",VLOOKUP(C4007,'Clients List'!$A:$F,4,FALSE)-SUMIFS($E$2:$E4007,$C$2:$C4007,C4007,$D$2:$D4007,"*Package*"))</f>
        <v/>
      </c>
      <c r="G4007" t="str">
        <f t="shared" si="95"/>
        <v/>
      </c>
      <c r="H4007" s="33">
        <f>IF(ISNUMBER(SEARCH("Group",D4007)),IF(G4007="",E4007,IFERROR(E4007/COUNTIF($G2:$G6000,G4007),E4007)),E4007)</f>
        <v>0</v>
      </c>
      <c r="I4007" s="1" t="str">
        <f>IFERROR(VLOOKUP(C4007,'Clients List'!A:F,6,FALSE),"")</f>
        <v/>
      </c>
    </row>
    <row r="4008" spans="4:9" x14ac:dyDescent="0.45">
      <c r="D4008" t="str">
        <f>IFERROR(VLOOKUP(C4008,'Clients List'!$A:$F,2,FALSE),"")</f>
        <v/>
      </c>
      <c r="F4008" s="1" t="str">
        <f>IF(OR(C4008="",NOT(ISNUMBER(SEARCH("Package",D4008)))),"",VLOOKUP(C4008,'Clients List'!$A:$F,4,FALSE)-SUMIFS($E$2:$E4008,$C$2:$C4008,C4008,$D$2:$D4008,"*Package*"))</f>
        <v/>
      </c>
      <c r="G4008" t="str">
        <f t="shared" si="95"/>
        <v/>
      </c>
      <c r="H4008" s="33">
        <f>IF(ISNUMBER(SEARCH("Group",D4008)),IF(G4008="",E4008,IFERROR(E4008/COUNTIF($G2:$G6000,G4008),E4008)),E4008)</f>
        <v>0</v>
      </c>
      <c r="I4008" s="1" t="str">
        <f>IFERROR(VLOOKUP(C4008,'Clients List'!A:F,6,FALSE),"")</f>
        <v/>
      </c>
    </row>
    <row r="4009" spans="4:9" x14ac:dyDescent="0.45">
      <c r="D4009" t="str">
        <f>IFERROR(VLOOKUP(C4009,'Clients List'!$A:$F,2,FALSE),"")</f>
        <v/>
      </c>
      <c r="F4009" s="1" t="str">
        <f>IF(OR(C4009="",NOT(ISNUMBER(SEARCH("Package",D4009)))),"",VLOOKUP(C4009,'Clients List'!$A:$F,4,FALSE)-SUMIFS($E$2:$E4009,$C$2:$C4009,C4009,$D$2:$D4009,"*Package*"))</f>
        <v/>
      </c>
      <c r="G4009" t="str">
        <f t="shared" si="95"/>
        <v/>
      </c>
      <c r="H4009" s="33">
        <f>IF(ISNUMBER(SEARCH("Group",D4009)),IF(G4009="",E4009,IFERROR(E4009/COUNTIF($G2:$G6000,G4009),E4009)),E4009)</f>
        <v>0</v>
      </c>
      <c r="I4009" s="1" t="str">
        <f>IFERROR(VLOOKUP(C4009,'Clients List'!A:F,6,FALSE),"")</f>
        <v/>
      </c>
    </row>
    <row r="4010" spans="4:9" x14ac:dyDescent="0.45">
      <c r="D4010" t="str">
        <f>IFERROR(VLOOKUP(C4010,'Clients List'!$A:$F,2,FALSE),"")</f>
        <v/>
      </c>
      <c r="F4010" s="1" t="str">
        <f>IF(OR(C4010="",NOT(ISNUMBER(SEARCH("Package",D4010)))),"",VLOOKUP(C4010,'Clients List'!$A:$F,4,FALSE)-SUMIFS($E$2:$E4010,$C$2:$C4010,C4010,$D$2:$D4010,"*Package*"))</f>
        <v/>
      </c>
      <c r="G4010" t="str">
        <f t="shared" si="95"/>
        <v/>
      </c>
      <c r="H4010" s="33">
        <f>IF(ISNUMBER(SEARCH("Group",D4010)),IF(G4010="",E4010,IFERROR(E4010/COUNTIF($G2:$G6000,G4010),E4010)),E4010)</f>
        <v>0</v>
      </c>
      <c r="I4010" s="1" t="str">
        <f>IFERROR(VLOOKUP(C4010,'Clients List'!A:F,6,FALSE),"")</f>
        <v/>
      </c>
    </row>
    <row r="4011" spans="4:9" x14ac:dyDescent="0.45">
      <c r="D4011" t="str">
        <f>IFERROR(VLOOKUP(C4011,'Clients List'!$A:$F,2,FALSE),"")</f>
        <v/>
      </c>
      <c r="F4011" s="1" t="str">
        <f>IF(OR(C4011="",NOT(ISNUMBER(SEARCH("Package",D4011)))),"",VLOOKUP(C4011,'Clients List'!$A:$F,4,FALSE)-SUMIFS($E$2:$E4011,$C$2:$C4011,C4011,$D$2:$D4011,"*Package*"))</f>
        <v/>
      </c>
      <c r="G4011" t="str">
        <f t="shared" si="95"/>
        <v/>
      </c>
      <c r="H4011" s="33">
        <f>IF(ISNUMBER(SEARCH("Group",D4011)),IF(G4011="",E4011,IFERROR(E4011/COUNTIF($G2:$G6000,G4011),E4011)),E4011)</f>
        <v>0</v>
      </c>
      <c r="I4011" s="1" t="str">
        <f>IFERROR(VLOOKUP(C4011,'Clients List'!A:F,6,FALSE),"")</f>
        <v/>
      </c>
    </row>
    <row r="4012" spans="4:9" x14ac:dyDescent="0.45">
      <c r="D4012" t="str">
        <f>IFERROR(VLOOKUP(C4012,'Clients List'!$A:$F,2,FALSE),"")</f>
        <v/>
      </c>
      <c r="F4012" s="1" t="str">
        <f>IF(OR(C4012="",NOT(ISNUMBER(SEARCH("Package",D4012)))),"",VLOOKUP(C4012,'Clients List'!$A:$F,4,FALSE)-SUMIFS($E$2:$E4012,$C$2:$C4012,C4012,$D$2:$D4012,"*Package*"))</f>
        <v/>
      </c>
      <c r="G4012" t="str">
        <f t="shared" si="95"/>
        <v/>
      </c>
      <c r="H4012" s="33">
        <f>IF(ISNUMBER(SEARCH("Group",D4012)),IF(G4012="",E4012,IFERROR(E4012/COUNTIF($G2:$G6000,G4012),E4012)),E4012)</f>
        <v>0</v>
      </c>
      <c r="I4012" s="1" t="str">
        <f>IFERROR(VLOOKUP(C4012,'Clients List'!A:F,6,FALSE),"")</f>
        <v/>
      </c>
    </row>
    <row r="4013" spans="4:9" x14ac:dyDescent="0.45">
      <c r="D4013" t="str">
        <f>IFERROR(VLOOKUP(C4013,'Clients List'!$A:$F,2,FALSE),"")</f>
        <v/>
      </c>
      <c r="F4013" s="1" t="str">
        <f>IF(OR(C4013="",NOT(ISNUMBER(SEARCH("Package",D4013)))),"",VLOOKUP(C4013,'Clients List'!$A:$F,4,FALSE)-SUMIFS($E$2:$E4013,$C$2:$C4013,C4013,$D$2:$D4013,"*Package*"))</f>
        <v/>
      </c>
      <c r="G4013" t="str">
        <f t="shared" si="95"/>
        <v/>
      </c>
      <c r="H4013" s="33">
        <f>IF(ISNUMBER(SEARCH("Group",D4013)),IF(G4013="",E4013,IFERROR(E4013/COUNTIF($G2:$G6000,G4013),E4013)),E4013)</f>
        <v>0</v>
      </c>
      <c r="I4013" s="1" t="str">
        <f>IFERROR(VLOOKUP(C4013,'Clients List'!A:F,6,FALSE),"")</f>
        <v/>
      </c>
    </row>
    <row r="4014" spans="4:9" x14ac:dyDescent="0.45">
      <c r="D4014" t="str">
        <f>IFERROR(VLOOKUP(C4014,'Clients List'!$A:$F,2,FALSE),"")</f>
        <v/>
      </c>
      <c r="F4014" s="1" t="str">
        <f>IF(OR(C4014="",NOT(ISNUMBER(SEARCH("Package",D4014)))),"",VLOOKUP(C4014,'Clients List'!$A:$F,4,FALSE)-SUMIFS($E$2:$E4014,$C$2:$C4014,C4014,$D$2:$D4014,"*Package*"))</f>
        <v/>
      </c>
      <c r="G4014" t="str">
        <f t="shared" si="95"/>
        <v/>
      </c>
      <c r="H4014" s="33">
        <f>IF(ISNUMBER(SEARCH("Group",D4014)),IF(G4014="",E4014,IFERROR(E4014/COUNTIF($G2:$G6000,G4014),E4014)),E4014)</f>
        <v>0</v>
      </c>
      <c r="I4014" s="1" t="str">
        <f>IFERROR(VLOOKUP(C4014,'Clients List'!A:F,6,FALSE),"")</f>
        <v/>
      </c>
    </row>
    <row r="4015" spans="4:9" x14ac:dyDescent="0.45">
      <c r="D4015" t="str">
        <f>IFERROR(VLOOKUP(C4015,'Clients List'!$A:$F,2,FALSE),"")</f>
        <v/>
      </c>
      <c r="F4015" s="1" t="str">
        <f>IF(OR(C4015="",NOT(ISNUMBER(SEARCH("Package",D4015)))),"",VLOOKUP(C4015,'Clients List'!$A:$F,4,FALSE)-SUMIFS($E$2:$E4015,$C$2:$C4015,C4015,$D$2:$D4015,"*Package*"))</f>
        <v/>
      </c>
      <c r="G4015" t="str">
        <f t="shared" si="95"/>
        <v/>
      </c>
      <c r="H4015" s="33">
        <f>IF(ISNUMBER(SEARCH("Group",D4015)),IF(G4015="",E4015,IFERROR(E4015/COUNTIF($G2:$G6000,G4015),E4015)),E4015)</f>
        <v>0</v>
      </c>
      <c r="I4015" s="1" t="str">
        <f>IFERROR(VLOOKUP(C4015,'Clients List'!A:F,6,FALSE),"")</f>
        <v/>
      </c>
    </row>
    <row r="4016" spans="4:9" x14ac:dyDescent="0.45">
      <c r="D4016" t="str">
        <f>IFERROR(VLOOKUP(C4016,'Clients List'!$A:$F,2,FALSE),"")</f>
        <v/>
      </c>
      <c r="F4016" s="1" t="str">
        <f>IF(OR(C4016="",NOT(ISNUMBER(SEARCH("Package",D4016)))),"",VLOOKUP(C4016,'Clients List'!$A:$F,4,FALSE)-SUMIFS($E$2:$E4016,$C$2:$C4016,C4016,$D$2:$D4016,"*Package*"))</f>
        <v/>
      </c>
      <c r="G4016" t="str">
        <f t="shared" si="95"/>
        <v/>
      </c>
      <c r="H4016" s="33">
        <f>IF(ISNUMBER(SEARCH("Group",D4016)),IF(G4016="",E4016,IFERROR(E4016/COUNTIF($G2:$G6000,G4016),E4016)),E4016)</f>
        <v>0</v>
      </c>
      <c r="I4016" s="1" t="str">
        <f>IFERROR(VLOOKUP(C4016,'Clients List'!A:F,6,FALSE),"")</f>
        <v/>
      </c>
    </row>
    <row r="4017" spans="4:9" x14ac:dyDescent="0.45">
      <c r="D4017" t="str">
        <f>IFERROR(VLOOKUP(C4017,'Clients List'!$A:$F,2,FALSE),"")</f>
        <v/>
      </c>
      <c r="F4017" s="1" t="str">
        <f>IF(OR(C4017="",NOT(ISNUMBER(SEARCH("Package",D4017)))),"",VLOOKUP(C4017,'Clients List'!$A:$F,4,FALSE)-SUMIFS($E$2:$E4017,$C$2:$C4017,C4017,$D$2:$D4017,"*Package*"))</f>
        <v/>
      </c>
      <c r="G4017" t="str">
        <f t="shared" si="95"/>
        <v/>
      </c>
      <c r="H4017" s="33">
        <f>IF(ISNUMBER(SEARCH("Group",D4017)),IF(G4017="",E4017,IFERROR(E4017/COUNTIF($G2:$G6000,G4017),E4017)),E4017)</f>
        <v>0</v>
      </c>
      <c r="I4017" s="1" t="str">
        <f>IFERROR(VLOOKUP(C4017,'Clients List'!A:F,6,FALSE),"")</f>
        <v/>
      </c>
    </row>
    <row r="4018" spans="4:9" x14ac:dyDescent="0.45">
      <c r="D4018" t="str">
        <f>IFERROR(VLOOKUP(C4018,'Clients List'!$A:$F,2,FALSE),"")</f>
        <v/>
      </c>
      <c r="F4018" s="1" t="str">
        <f>IF(OR(C4018="",NOT(ISNUMBER(SEARCH("Package",D4018)))),"",VLOOKUP(C4018,'Clients List'!$A:$F,4,FALSE)-SUMIFS($E$2:$E4018,$C$2:$C4018,C4018,$D$2:$D4018,"*Package*"))</f>
        <v/>
      </c>
      <c r="G4018" t="str">
        <f t="shared" si="95"/>
        <v/>
      </c>
      <c r="H4018" s="33">
        <f>IF(ISNUMBER(SEARCH("Group",D4018)),IF(G4018="",E4018,IFERROR(E4018/COUNTIF($G2:$G6000,G4018),E4018)),E4018)</f>
        <v>0</v>
      </c>
      <c r="I4018" s="1" t="str">
        <f>IFERROR(VLOOKUP(C4018,'Clients List'!A:F,6,FALSE),"")</f>
        <v/>
      </c>
    </row>
    <row r="4019" spans="4:9" x14ac:dyDescent="0.45">
      <c r="D4019" t="str">
        <f>IFERROR(VLOOKUP(C4019,'Clients List'!$A:$F,2,FALSE),"")</f>
        <v/>
      </c>
      <c r="F4019" s="1" t="str">
        <f>IF(OR(C4019="",NOT(ISNUMBER(SEARCH("Package",D4019)))),"",VLOOKUP(C4019,'Clients List'!$A:$F,4,FALSE)-SUMIFS($E$2:$E4019,$C$2:$C4019,C4019,$D$2:$D4019,"*Package*"))</f>
        <v/>
      </c>
      <c r="G4019" t="str">
        <f t="shared" si="95"/>
        <v/>
      </c>
      <c r="H4019" s="33">
        <f>IF(ISNUMBER(SEARCH("Group",D4019)),IF(G4019="",E4019,IFERROR(E4019/COUNTIF($G2:$G6000,G4019),E4019)),E4019)</f>
        <v>0</v>
      </c>
      <c r="I4019" s="1" t="str">
        <f>IFERROR(VLOOKUP(C4019,'Clients List'!A:F,6,FALSE),"")</f>
        <v/>
      </c>
    </row>
    <row r="4020" spans="4:9" x14ac:dyDescent="0.45">
      <c r="D4020" t="str">
        <f>IFERROR(VLOOKUP(C4020,'Clients List'!$A:$F,2,FALSE),"")</f>
        <v/>
      </c>
      <c r="F4020" s="1" t="str">
        <f>IF(OR(C4020="",NOT(ISNUMBER(SEARCH("Package",D4020)))),"",VLOOKUP(C4020,'Clients List'!$A:$F,4,FALSE)-SUMIFS($E$2:$E4020,$C$2:$C4020,C4020,$D$2:$D4020,"*Package*"))</f>
        <v/>
      </c>
      <c r="G4020" t="str">
        <f t="shared" si="95"/>
        <v/>
      </c>
      <c r="H4020" s="33">
        <f>IF(ISNUMBER(SEARCH("Group",D4020)),IF(G4020="",E4020,IFERROR(E4020/COUNTIF($G2:$G6000,G4020),E4020)),E4020)</f>
        <v>0</v>
      </c>
      <c r="I4020" s="1" t="str">
        <f>IFERROR(VLOOKUP(C4020,'Clients List'!A:F,6,FALSE),"")</f>
        <v/>
      </c>
    </row>
    <row r="4021" spans="4:9" x14ac:dyDescent="0.45">
      <c r="D4021" t="str">
        <f>IFERROR(VLOOKUP(C4021,'Clients List'!$A:$F,2,FALSE),"")</f>
        <v/>
      </c>
      <c r="F4021" s="1" t="str">
        <f>IF(OR(C4021="",NOT(ISNUMBER(SEARCH("Package",D4021)))),"",VLOOKUP(C4021,'Clients List'!$A:$F,4,FALSE)-SUMIFS($E$2:$E4021,$C$2:$C4021,C4021,$D$2:$D4021,"*Package*"))</f>
        <v/>
      </c>
      <c r="G4021" t="str">
        <f t="shared" ref="G4021:G4084" si="96">IF(ISNUMBER(SEARCH("Group",D4021)),IFERROR("GRP-"&amp;TEXT(IF(ISNUMBER(A4021),A4021,DATEVALUE(A4021)),"yyyymmdd"),""),"" )</f>
        <v/>
      </c>
      <c r="H4021" s="33">
        <f>IF(ISNUMBER(SEARCH("Group",D4021)),IF(G4021="",E4021,IFERROR(E4021/COUNTIF($G2:$G6000,G4021),E4021)),E4021)</f>
        <v>0</v>
      </c>
      <c r="I4021" s="1" t="str">
        <f>IFERROR(VLOOKUP(C4021,'Clients List'!A:F,6,FALSE),"")</f>
        <v/>
      </c>
    </row>
    <row r="4022" spans="4:9" x14ac:dyDescent="0.45">
      <c r="D4022" t="str">
        <f>IFERROR(VLOOKUP(C4022,'Clients List'!$A:$F,2,FALSE),"")</f>
        <v/>
      </c>
      <c r="F4022" s="1" t="str">
        <f>IF(OR(C4022="",NOT(ISNUMBER(SEARCH("Package",D4022)))),"",VLOOKUP(C4022,'Clients List'!$A:$F,4,FALSE)-SUMIFS($E$2:$E4022,$C$2:$C4022,C4022,$D$2:$D4022,"*Package*"))</f>
        <v/>
      </c>
      <c r="G4022" t="str">
        <f t="shared" si="96"/>
        <v/>
      </c>
      <c r="H4022" s="33">
        <f>IF(ISNUMBER(SEARCH("Group",D4022)),IF(G4022="",E4022,IFERROR(E4022/COUNTIF($G2:$G6000,G4022),E4022)),E4022)</f>
        <v>0</v>
      </c>
      <c r="I4022" s="1" t="str">
        <f>IFERROR(VLOOKUP(C4022,'Clients List'!A:F,6,FALSE),"")</f>
        <v/>
      </c>
    </row>
    <row r="4023" spans="4:9" x14ac:dyDescent="0.45">
      <c r="D4023" t="str">
        <f>IFERROR(VLOOKUP(C4023,'Clients List'!$A:$F,2,FALSE),"")</f>
        <v/>
      </c>
      <c r="F4023" s="1" t="str">
        <f>IF(OR(C4023="",NOT(ISNUMBER(SEARCH("Package",D4023)))),"",VLOOKUP(C4023,'Clients List'!$A:$F,4,FALSE)-SUMIFS($E$2:$E4023,$C$2:$C4023,C4023,$D$2:$D4023,"*Package*"))</f>
        <v/>
      </c>
      <c r="G4023" t="str">
        <f t="shared" si="96"/>
        <v/>
      </c>
      <c r="H4023" s="33">
        <f>IF(ISNUMBER(SEARCH("Group",D4023)),IF(G4023="",E4023,IFERROR(E4023/COUNTIF($G2:$G6000,G4023),E4023)),E4023)</f>
        <v>0</v>
      </c>
      <c r="I4023" s="1" t="str">
        <f>IFERROR(VLOOKUP(C4023,'Clients List'!A:F,6,FALSE),"")</f>
        <v/>
      </c>
    </row>
    <row r="4024" spans="4:9" x14ac:dyDescent="0.45">
      <c r="D4024" t="str">
        <f>IFERROR(VLOOKUP(C4024,'Clients List'!$A:$F,2,FALSE),"")</f>
        <v/>
      </c>
      <c r="F4024" s="1" t="str">
        <f>IF(OR(C4024="",NOT(ISNUMBER(SEARCH("Package",D4024)))),"",VLOOKUP(C4024,'Clients List'!$A:$F,4,FALSE)-SUMIFS($E$2:$E4024,$C$2:$C4024,C4024,$D$2:$D4024,"*Package*"))</f>
        <v/>
      </c>
      <c r="G4024" t="str">
        <f t="shared" si="96"/>
        <v/>
      </c>
      <c r="H4024" s="33">
        <f>IF(ISNUMBER(SEARCH("Group",D4024)),IF(G4024="",E4024,IFERROR(E4024/COUNTIF($G2:$G6000,G4024),E4024)),E4024)</f>
        <v>0</v>
      </c>
      <c r="I4024" s="1" t="str">
        <f>IFERROR(VLOOKUP(C4024,'Clients List'!A:F,6,FALSE),"")</f>
        <v/>
      </c>
    </row>
    <row r="4025" spans="4:9" x14ac:dyDescent="0.45">
      <c r="D4025" t="str">
        <f>IFERROR(VLOOKUP(C4025,'Clients List'!$A:$F,2,FALSE),"")</f>
        <v/>
      </c>
      <c r="F4025" s="1" t="str">
        <f>IF(OR(C4025="",NOT(ISNUMBER(SEARCH("Package",D4025)))),"",VLOOKUP(C4025,'Clients List'!$A:$F,4,FALSE)-SUMIFS($E$2:$E4025,$C$2:$C4025,C4025,$D$2:$D4025,"*Package*"))</f>
        <v/>
      </c>
      <c r="G4025" t="str">
        <f t="shared" si="96"/>
        <v/>
      </c>
      <c r="H4025" s="33">
        <f>IF(ISNUMBER(SEARCH("Group",D4025)),IF(G4025="",E4025,IFERROR(E4025/COUNTIF($G2:$G6000,G4025),E4025)),E4025)</f>
        <v>0</v>
      </c>
      <c r="I4025" s="1" t="str">
        <f>IFERROR(VLOOKUP(C4025,'Clients List'!A:F,6,FALSE),"")</f>
        <v/>
      </c>
    </row>
    <row r="4026" spans="4:9" x14ac:dyDescent="0.45">
      <c r="D4026" t="str">
        <f>IFERROR(VLOOKUP(C4026,'Clients List'!$A:$F,2,FALSE),"")</f>
        <v/>
      </c>
      <c r="F4026" s="1" t="str">
        <f>IF(OR(C4026="",NOT(ISNUMBER(SEARCH("Package",D4026)))),"",VLOOKUP(C4026,'Clients List'!$A:$F,4,FALSE)-SUMIFS($E$2:$E4026,$C$2:$C4026,C4026,$D$2:$D4026,"*Package*"))</f>
        <v/>
      </c>
      <c r="G4026" t="str">
        <f t="shared" si="96"/>
        <v/>
      </c>
      <c r="H4026" s="33">
        <f>IF(ISNUMBER(SEARCH("Group",D4026)),IF(G4026="",E4026,IFERROR(E4026/COUNTIF($G2:$G6000,G4026),E4026)),E4026)</f>
        <v>0</v>
      </c>
      <c r="I4026" s="1" t="str">
        <f>IFERROR(VLOOKUP(C4026,'Clients List'!A:F,6,FALSE),"")</f>
        <v/>
      </c>
    </row>
    <row r="4027" spans="4:9" x14ac:dyDescent="0.45">
      <c r="D4027" t="str">
        <f>IFERROR(VLOOKUP(C4027,'Clients List'!$A:$F,2,FALSE),"")</f>
        <v/>
      </c>
      <c r="F4027" s="1" t="str">
        <f>IF(OR(C4027="",NOT(ISNUMBER(SEARCH("Package",D4027)))),"",VLOOKUP(C4027,'Clients List'!$A:$F,4,FALSE)-SUMIFS($E$2:$E4027,$C$2:$C4027,C4027,$D$2:$D4027,"*Package*"))</f>
        <v/>
      </c>
      <c r="G4027" t="str">
        <f t="shared" si="96"/>
        <v/>
      </c>
      <c r="H4027" s="33">
        <f>IF(ISNUMBER(SEARCH("Group",D4027)),IF(G4027="",E4027,IFERROR(E4027/COUNTIF($G2:$G6000,G4027),E4027)),E4027)</f>
        <v>0</v>
      </c>
      <c r="I4027" s="1" t="str">
        <f>IFERROR(VLOOKUP(C4027,'Clients List'!A:F,6,FALSE),"")</f>
        <v/>
      </c>
    </row>
    <row r="4028" spans="4:9" x14ac:dyDescent="0.45">
      <c r="D4028" t="str">
        <f>IFERROR(VLOOKUP(C4028,'Clients List'!$A:$F,2,FALSE),"")</f>
        <v/>
      </c>
      <c r="F4028" s="1" t="str">
        <f>IF(OR(C4028="",NOT(ISNUMBER(SEARCH("Package",D4028)))),"",VLOOKUP(C4028,'Clients List'!$A:$F,4,FALSE)-SUMIFS($E$2:$E4028,$C$2:$C4028,C4028,$D$2:$D4028,"*Package*"))</f>
        <v/>
      </c>
      <c r="G4028" t="str">
        <f t="shared" si="96"/>
        <v/>
      </c>
      <c r="H4028" s="33">
        <f>IF(ISNUMBER(SEARCH("Group",D4028)),IF(G4028="",E4028,IFERROR(E4028/COUNTIF($G2:$G6000,G4028),E4028)),E4028)</f>
        <v>0</v>
      </c>
      <c r="I4028" s="1" t="str">
        <f>IFERROR(VLOOKUP(C4028,'Clients List'!A:F,6,FALSE),"")</f>
        <v/>
      </c>
    </row>
    <row r="4029" spans="4:9" x14ac:dyDescent="0.45">
      <c r="D4029" t="str">
        <f>IFERROR(VLOOKUP(C4029,'Clients List'!$A:$F,2,FALSE),"")</f>
        <v/>
      </c>
      <c r="F4029" s="1" t="str">
        <f>IF(OR(C4029="",NOT(ISNUMBER(SEARCH("Package",D4029)))),"",VLOOKUP(C4029,'Clients List'!$A:$F,4,FALSE)-SUMIFS($E$2:$E4029,$C$2:$C4029,C4029,$D$2:$D4029,"*Package*"))</f>
        <v/>
      </c>
      <c r="G4029" t="str">
        <f t="shared" si="96"/>
        <v/>
      </c>
      <c r="H4029" s="33">
        <f>IF(ISNUMBER(SEARCH("Group",D4029)),IF(G4029="",E4029,IFERROR(E4029/COUNTIF($G2:$G6000,G4029),E4029)),E4029)</f>
        <v>0</v>
      </c>
      <c r="I4029" s="1" t="str">
        <f>IFERROR(VLOOKUP(C4029,'Clients List'!A:F,6,FALSE),"")</f>
        <v/>
      </c>
    </row>
    <row r="4030" spans="4:9" x14ac:dyDescent="0.45">
      <c r="D4030" t="str">
        <f>IFERROR(VLOOKUP(C4030,'Clients List'!$A:$F,2,FALSE),"")</f>
        <v/>
      </c>
      <c r="F4030" s="1" t="str">
        <f>IF(OR(C4030="",NOT(ISNUMBER(SEARCH("Package",D4030)))),"",VLOOKUP(C4030,'Clients List'!$A:$F,4,FALSE)-SUMIFS($E$2:$E4030,$C$2:$C4030,C4030,$D$2:$D4030,"*Package*"))</f>
        <v/>
      </c>
      <c r="G4030" t="str">
        <f t="shared" si="96"/>
        <v/>
      </c>
      <c r="H4030" s="33">
        <f>IF(ISNUMBER(SEARCH("Group",D4030)),IF(G4030="",E4030,IFERROR(E4030/COUNTIF($G2:$G6000,G4030),E4030)),E4030)</f>
        <v>0</v>
      </c>
      <c r="I4030" s="1" t="str">
        <f>IFERROR(VLOOKUP(C4030,'Clients List'!A:F,6,FALSE),"")</f>
        <v/>
      </c>
    </row>
    <row r="4031" spans="4:9" x14ac:dyDescent="0.45">
      <c r="D4031" t="str">
        <f>IFERROR(VLOOKUP(C4031,'Clients List'!$A:$F,2,FALSE),"")</f>
        <v/>
      </c>
      <c r="F4031" s="1" t="str">
        <f>IF(OR(C4031="",NOT(ISNUMBER(SEARCH("Package",D4031)))),"",VLOOKUP(C4031,'Clients List'!$A:$F,4,FALSE)-SUMIFS($E$2:$E4031,$C$2:$C4031,C4031,$D$2:$D4031,"*Package*"))</f>
        <v/>
      </c>
      <c r="G4031" t="str">
        <f t="shared" si="96"/>
        <v/>
      </c>
      <c r="H4031" s="33">
        <f>IF(ISNUMBER(SEARCH("Group",D4031)),IF(G4031="",E4031,IFERROR(E4031/COUNTIF($G2:$G6000,G4031),E4031)),E4031)</f>
        <v>0</v>
      </c>
      <c r="I4031" s="1" t="str">
        <f>IFERROR(VLOOKUP(C4031,'Clients List'!A:F,6,FALSE),"")</f>
        <v/>
      </c>
    </row>
    <row r="4032" spans="4:9" x14ac:dyDescent="0.45">
      <c r="D4032" t="str">
        <f>IFERROR(VLOOKUP(C4032,'Clients List'!$A:$F,2,FALSE),"")</f>
        <v/>
      </c>
      <c r="F4032" s="1" t="str">
        <f>IF(OR(C4032="",NOT(ISNUMBER(SEARCH("Package",D4032)))),"",VLOOKUP(C4032,'Clients List'!$A:$F,4,FALSE)-SUMIFS($E$2:$E4032,$C$2:$C4032,C4032,$D$2:$D4032,"*Package*"))</f>
        <v/>
      </c>
      <c r="G4032" t="str">
        <f t="shared" si="96"/>
        <v/>
      </c>
      <c r="H4032" s="33">
        <f>IF(ISNUMBER(SEARCH("Group",D4032)),IF(G4032="",E4032,IFERROR(E4032/COUNTIF($G2:$G6000,G4032),E4032)),E4032)</f>
        <v>0</v>
      </c>
      <c r="I4032" s="1" t="str">
        <f>IFERROR(VLOOKUP(C4032,'Clients List'!A:F,6,FALSE),"")</f>
        <v/>
      </c>
    </row>
    <row r="4033" spans="4:9" x14ac:dyDescent="0.45">
      <c r="D4033" t="str">
        <f>IFERROR(VLOOKUP(C4033,'Clients List'!$A:$F,2,FALSE),"")</f>
        <v/>
      </c>
      <c r="F4033" s="1" t="str">
        <f>IF(OR(C4033="",NOT(ISNUMBER(SEARCH("Package",D4033)))),"",VLOOKUP(C4033,'Clients List'!$A:$F,4,FALSE)-SUMIFS($E$2:$E4033,$C$2:$C4033,C4033,$D$2:$D4033,"*Package*"))</f>
        <v/>
      </c>
      <c r="G4033" t="str">
        <f t="shared" si="96"/>
        <v/>
      </c>
      <c r="H4033" s="33">
        <f>IF(ISNUMBER(SEARCH("Group",D4033)),IF(G4033="",E4033,IFERROR(E4033/COUNTIF($G2:$G6000,G4033),E4033)),E4033)</f>
        <v>0</v>
      </c>
      <c r="I4033" s="1" t="str">
        <f>IFERROR(VLOOKUP(C4033,'Clients List'!A:F,6,FALSE),"")</f>
        <v/>
      </c>
    </row>
    <row r="4034" spans="4:9" x14ac:dyDescent="0.45">
      <c r="D4034" t="str">
        <f>IFERROR(VLOOKUP(C4034,'Clients List'!$A:$F,2,FALSE),"")</f>
        <v/>
      </c>
      <c r="F4034" s="1" t="str">
        <f>IF(OR(C4034="",NOT(ISNUMBER(SEARCH("Package",D4034)))),"",VLOOKUP(C4034,'Clients List'!$A:$F,4,FALSE)-SUMIFS($E$2:$E4034,$C$2:$C4034,C4034,$D$2:$D4034,"*Package*"))</f>
        <v/>
      </c>
      <c r="G4034" t="str">
        <f t="shared" si="96"/>
        <v/>
      </c>
      <c r="H4034" s="33">
        <f>IF(ISNUMBER(SEARCH("Group",D4034)),IF(G4034="",E4034,IFERROR(E4034/COUNTIF($G2:$G6000,G4034),E4034)),E4034)</f>
        <v>0</v>
      </c>
      <c r="I4034" s="1" t="str">
        <f>IFERROR(VLOOKUP(C4034,'Clients List'!A:F,6,FALSE),"")</f>
        <v/>
      </c>
    </row>
    <row r="4035" spans="4:9" x14ac:dyDescent="0.45">
      <c r="D4035" t="str">
        <f>IFERROR(VLOOKUP(C4035,'Clients List'!$A:$F,2,FALSE),"")</f>
        <v/>
      </c>
      <c r="F4035" s="1" t="str">
        <f>IF(OR(C4035="",NOT(ISNUMBER(SEARCH("Package",D4035)))),"",VLOOKUP(C4035,'Clients List'!$A:$F,4,FALSE)-SUMIFS($E$2:$E4035,$C$2:$C4035,C4035,$D$2:$D4035,"*Package*"))</f>
        <v/>
      </c>
      <c r="G4035" t="str">
        <f t="shared" si="96"/>
        <v/>
      </c>
      <c r="H4035" s="33">
        <f>IF(ISNUMBER(SEARCH("Group",D4035)),IF(G4035="",E4035,IFERROR(E4035/COUNTIF($G2:$G6000,G4035),E4035)),E4035)</f>
        <v>0</v>
      </c>
      <c r="I4035" s="1" t="str">
        <f>IFERROR(VLOOKUP(C4035,'Clients List'!A:F,6,FALSE),"")</f>
        <v/>
      </c>
    </row>
    <row r="4036" spans="4:9" x14ac:dyDescent="0.45">
      <c r="D4036" t="str">
        <f>IFERROR(VLOOKUP(C4036,'Clients List'!$A:$F,2,FALSE),"")</f>
        <v/>
      </c>
      <c r="F4036" s="1" t="str">
        <f>IF(OR(C4036="",NOT(ISNUMBER(SEARCH("Package",D4036)))),"",VLOOKUP(C4036,'Clients List'!$A:$F,4,FALSE)-SUMIFS($E$2:$E4036,$C$2:$C4036,C4036,$D$2:$D4036,"*Package*"))</f>
        <v/>
      </c>
      <c r="G4036" t="str">
        <f t="shared" si="96"/>
        <v/>
      </c>
      <c r="H4036" s="33">
        <f>IF(ISNUMBER(SEARCH("Group",D4036)),IF(G4036="",E4036,IFERROR(E4036/COUNTIF($G2:$G6000,G4036),E4036)),E4036)</f>
        <v>0</v>
      </c>
      <c r="I4036" s="1" t="str">
        <f>IFERROR(VLOOKUP(C4036,'Clients List'!A:F,6,FALSE),"")</f>
        <v/>
      </c>
    </row>
    <row r="4037" spans="4:9" x14ac:dyDescent="0.45">
      <c r="D4037" t="str">
        <f>IFERROR(VLOOKUP(C4037,'Clients List'!$A:$F,2,FALSE),"")</f>
        <v/>
      </c>
      <c r="F4037" s="1" t="str">
        <f>IF(OR(C4037="",NOT(ISNUMBER(SEARCH("Package",D4037)))),"",VLOOKUP(C4037,'Clients List'!$A:$F,4,FALSE)-SUMIFS($E$2:$E4037,$C$2:$C4037,C4037,$D$2:$D4037,"*Package*"))</f>
        <v/>
      </c>
      <c r="G4037" t="str">
        <f t="shared" si="96"/>
        <v/>
      </c>
      <c r="H4037" s="33">
        <f>IF(ISNUMBER(SEARCH("Group",D4037)),IF(G4037="",E4037,IFERROR(E4037/COUNTIF($G2:$G6000,G4037),E4037)),E4037)</f>
        <v>0</v>
      </c>
      <c r="I4037" s="1" t="str">
        <f>IFERROR(VLOOKUP(C4037,'Clients List'!A:F,6,FALSE),"")</f>
        <v/>
      </c>
    </row>
    <row r="4038" spans="4:9" x14ac:dyDescent="0.45">
      <c r="D4038" t="str">
        <f>IFERROR(VLOOKUP(C4038,'Clients List'!$A:$F,2,FALSE),"")</f>
        <v/>
      </c>
      <c r="F4038" s="1" t="str">
        <f>IF(OR(C4038="",NOT(ISNUMBER(SEARCH("Package",D4038)))),"",VLOOKUP(C4038,'Clients List'!$A:$F,4,FALSE)-SUMIFS($E$2:$E4038,$C$2:$C4038,C4038,$D$2:$D4038,"*Package*"))</f>
        <v/>
      </c>
      <c r="G4038" t="str">
        <f t="shared" si="96"/>
        <v/>
      </c>
      <c r="H4038" s="33">
        <f>IF(ISNUMBER(SEARCH("Group",D4038)),IF(G4038="",E4038,IFERROR(E4038/COUNTIF($G2:$G6000,G4038),E4038)),E4038)</f>
        <v>0</v>
      </c>
      <c r="I4038" s="1" t="str">
        <f>IFERROR(VLOOKUP(C4038,'Clients List'!A:F,6,FALSE),"")</f>
        <v/>
      </c>
    </row>
    <row r="4039" spans="4:9" x14ac:dyDescent="0.45">
      <c r="D4039" t="str">
        <f>IFERROR(VLOOKUP(C4039,'Clients List'!$A:$F,2,FALSE),"")</f>
        <v/>
      </c>
      <c r="F4039" s="1" t="str">
        <f>IF(OR(C4039="",NOT(ISNUMBER(SEARCH("Package",D4039)))),"",VLOOKUP(C4039,'Clients List'!$A:$F,4,FALSE)-SUMIFS($E$2:$E4039,$C$2:$C4039,C4039,$D$2:$D4039,"*Package*"))</f>
        <v/>
      </c>
      <c r="G4039" t="str">
        <f t="shared" si="96"/>
        <v/>
      </c>
      <c r="H4039" s="33">
        <f>IF(ISNUMBER(SEARCH("Group",D4039)),IF(G4039="",E4039,IFERROR(E4039/COUNTIF($G2:$G6000,G4039),E4039)),E4039)</f>
        <v>0</v>
      </c>
      <c r="I4039" s="1" t="str">
        <f>IFERROR(VLOOKUP(C4039,'Clients List'!A:F,6,FALSE),"")</f>
        <v/>
      </c>
    </row>
    <row r="4040" spans="4:9" x14ac:dyDescent="0.45">
      <c r="D4040" t="str">
        <f>IFERROR(VLOOKUP(C4040,'Clients List'!$A:$F,2,FALSE),"")</f>
        <v/>
      </c>
      <c r="F4040" s="1" t="str">
        <f>IF(OR(C4040="",NOT(ISNUMBER(SEARCH("Package",D4040)))),"",VLOOKUP(C4040,'Clients List'!$A:$F,4,FALSE)-SUMIFS($E$2:$E4040,$C$2:$C4040,C4040,$D$2:$D4040,"*Package*"))</f>
        <v/>
      </c>
      <c r="G4040" t="str">
        <f t="shared" si="96"/>
        <v/>
      </c>
      <c r="H4040" s="33">
        <f>IF(ISNUMBER(SEARCH("Group",D4040)),IF(G4040="",E4040,IFERROR(E4040/COUNTIF($G2:$G6000,G4040),E4040)),E4040)</f>
        <v>0</v>
      </c>
      <c r="I4040" s="1" t="str">
        <f>IFERROR(VLOOKUP(C4040,'Clients List'!A:F,6,FALSE),"")</f>
        <v/>
      </c>
    </row>
    <row r="4041" spans="4:9" x14ac:dyDescent="0.45">
      <c r="D4041" t="str">
        <f>IFERROR(VLOOKUP(C4041,'Clients List'!$A:$F,2,FALSE),"")</f>
        <v/>
      </c>
      <c r="F4041" s="1" t="str">
        <f>IF(OR(C4041="",NOT(ISNUMBER(SEARCH("Package",D4041)))),"",VLOOKUP(C4041,'Clients List'!$A:$F,4,FALSE)-SUMIFS($E$2:$E4041,$C$2:$C4041,C4041,$D$2:$D4041,"*Package*"))</f>
        <v/>
      </c>
      <c r="G4041" t="str">
        <f t="shared" si="96"/>
        <v/>
      </c>
      <c r="H4041" s="33">
        <f>IF(ISNUMBER(SEARCH("Group",D4041)),IF(G4041="",E4041,IFERROR(E4041/COUNTIF($G2:$G6000,G4041),E4041)),E4041)</f>
        <v>0</v>
      </c>
      <c r="I4041" s="1" t="str">
        <f>IFERROR(VLOOKUP(C4041,'Clients List'!A:F,6,FALSE),"")</f>
        <v/>
      </c>
    </row>
    <row r="4042" spans="4:9" x14ac:dyDescent="0.45">
      <c r="D4042" t="str">
        <f>IFERROR(VLOOKUP(C4042,'Clients List'!$A:$F,2,FALSE),"")</f>
        <v/>
      </c>
      <c r="F4042" s="1" t="str">
        <f>IF(OR(C4042="",NOT(ISNUMBER(SEARCH("Package",D4042)))),"",VLOOKUP(C4042,'Clients List'!$A:$F,4,FALSE)-SUMIFS($E$2:$E4042,$C$2:$C4042,C4042,$D$2:$D4042,"*Package*"))</f>
        <v/>
      </c>
      <c r="G4042" t="str">
        <f t="shared" si="96"/>
        <v/>
      </c>
      <c r="H4042" s="33">
        <f>IF(ISNUMBER(SEARCH("Group",D4042)),IF(G4042="",E4042,IFERROR(E4042/COUNTIF($G2:$G6000,G4042),E4042)),E4042)</f>
        <v>0</v>
      </c>
      <c r="I4042" s="1" t="str">
        <f>IFERROR(VLOOKUP(C4042,'Clients List'!A:F,6,FALSE),"")</f>
        <v/>
      </c>
    </row>
    <row r="4043" spans="4:9" x14ac:dyDescent="0.45">
      <c r="D4043" t="str">
        <f>IFERROR(VLOOKUP(C4043,'Clients List'!$A:$F,2,FALSE),"")</f>
        <v/>
      </c>
      <c r="F4043" s="1" t="str">
        <f>IF(OR(C4043="",NOT(ISNUMBER(SEARCH("Package",D4043)))),"",VLOOKUP(C4043,'Clients List'!$A:$F,4,FALSE)-SUMIFS($E$2:$E4043,$C$2:$C4043,C4043,$D$2:$D4043,"*Package*"))</f>
        <v/>
      </c>
      <c r="G4043" t="str">
        <f t="shared" si="96"/>
        <v/>
      </c>
      <c r="H4043" s="33">
        <f>IF(ISNUMBER(SEARCH("Group",D4043)),IF(G4043="",E4043,IFERROR(E4043/COUNTIF($G2:$G6000,G4043),E4043)),E4043)</f>
        <v>0</v>
      </c>
      <c r="I4043" s="1" t="str">
        <f>IFERROR(VLOOKUP(C4043,'Clients List'!A:F,6,FALSE),"")</f>
        <v/>
      </c>
    </row>
    <row r="4044" spans="4:9" x14ac:dyDescent="0.45">
      <c r="D4044" t="str">
        <f>IFERROR(VLOOKUP(C4044,'Clients List'!$A:$F,2,FALSE),"")</f>
        <v/>
      </c>
      <c r="F4044" s="1" t="str">
        <f>IF(OR(C4044="",NOT(ISNUMBER(SEARCH("Package",D4044)))),"",VLOOKUP(C4044,'Clients List'!$A:$F,4,FALSE)-SUMIFS($E$2:$E4044,$C$2:$C4044,C4044,$D$2:$D4044,"*Package*"))</f>
        <v/>
      </c>
      <c r="G4044" t="str">
        <f t="shared" si="96"/>
        <v/>
      </c>
      <c r="H4044" s="33">
        <f>IF(ISNUMBER(SEARCH("Group",D4044)),IF(G4044="",E4044,IFERROR(E4044/COUNTIF($G2:$G6000,G4044),E4044)),E4044)</f>
        <v>0</v>
      </c>
      <c r="I4044" s="1" t="str">
        <f>IFERROR(VLOOKUP(C4044,'Clients List'!A:F,6,FALSE),"")</f>
        <v/>
      </c>
    </row>
    <row r="4045" spans="4:9" x14ac:dyDescent="0.45">
      <c r="D4045" t="str">
        <f>IFERROR(VLOOKUP(C4045,'Clients List'!$A:$F,2,FALSE),"")</f>
        <v/>
      </c>
      <c r="F4045" s="1" t="str">
        <f>IF(OR(C4045="",NOT(ISNUMBER(SEARCH("Package",D4045)))),"",VLOOKUP(C4045,'Clients List'!$A:$F,4,FALSE)-SUMIFS($E$2:$E4045,$C$2:$C4045,C4045,$D$2:$D4045,"*Package*"))</f>
        <v/>
      </c>
      <c r="G4045" t="str">
        <f t="shared" si="96"/>
        <v/>
      </c>
      <c r="H4045" s="33">
        <f>IF(ISNUMBER(SEARCH("Group",D4045)),IF(G4045="",E4045,IFERROR(E4045/COUNTIF($G2:$G6000,G4045),E4045)),E4045)</f>
        <v>0</v>
      </c>
      <c r="I4045" s="1" t="str">
        <f>IFERROR(VLOOKUP(C4045,'Clients List'!A:F,6,FALSE),"")</f>
        <v/>
      </c>
    </row>
    <row r="4046" spans="4:9" x14ac:dyDescent="0.45">
      <c r="D4046" t="str">
        <f>IFERROR(VLOOKUP(C4046,'Clients List'!$A:$F,2,FALSE),"")</f>
        <v/>
      </c>
      <c r="F4046" s="1" t="str">
        <f>IF(OR(C4046="",NOT(ISNUMBER(SEARCH("Package",D4046)))),"",VLOOKUP(C4046,'Clients List'!$A:$F,4,FALSE)-SUMIFS($E$2:$E4046,$C$2:$C4046,C4046,$D$2:$D4046,"*Package*"))</f>
        <v/>
      </c>
      <c r="G4046" t="str">
        <f t="shared" si="96"/>
        <v/>
      </c>
      <c r="H4046" s="33">
        <f>IF(ISNUMBER(SEARCH("Group",D4046)),IF(G4046="",E4046,IFERROR(E4046/COUNTIF($G2:$G6000,G4046),E4046)),E4046)</f>
        <v>0</v>
      </c>
      <c r="I4046" s="1" t="str">
        <f>IFERROR(VLOOKUP(C4046,'Clients List'!A:F,6,FALSE),"")</f>
        <v/>
      </c>
    </row>
    <row r="4047" spans="4:9" x14ac:dyDescent="0.45">
      <c r="D4047" t="str">
        <f>IFERROR(VLOOKUP(C4047,'Clients List'!$A:$F,2,FALSE),"")</f>
        <v/>
      </c>
      <c r="F4047" s="1" t="str">
        <f>IF(OR(C4047="",NOT(ISNUMBER(SEARCH("Package",D4047)))),"",VLOOKUP(C4047,'Clients List'!$A:$F,4,FALSE)-SUMIFS($E$2:$E4047,$C$2:$C4047,C4047,$D$2:$D4047,"*Package*"))</f>
        <v/>
      </c>
      <c r="G4047" t="str">
        <f t="shared" si="96"/>
        <v/>
      </c>
      <c r="H4047" s="33">
        <f>IF(ISNUMBER(SEARCH("Group",D4047)),IF(G4047="",E4047,IFERROR(E4047/COUNTIF($G2:$G6000,G4047),E4047)),E4047)</f>
        <v>0</v>
      </c>
      <c r="I4047" s="1" t="str">
        <f>IFERROR(VLOOKUP(C4047,'Clients List'!A:F,6,FALSE),"")</f>
        <v/>
      </c>
    </row>
    <row r="4048" spans="4:9" x14ac:dyDescent="0.45">
      <c r="D4048" t="str">
        <f>IFERROR(VLOOKUP(C4048,'Clients List'!$A:$F,2,FALSE),"")</f>
        <v/>
      </c>
      <c r="F4048" s="1" t="str">
        <f>IF(OR(C4048="",NOT(ISNUMBER(SEARCH("Package",D4048)))),"",VLOOKUP(C4048,'Clients List'!$A:$F,4,FALSE)-SUMIFS($E$2:$E4048,$C$2:$C4048,C4048,$D$2:$D4048,"*Package*"))</f>
        <v/>
      </c>
      <c r="G4048" t="str">
        <f t="shared" si="96"/>
        <v/>
      </c>
      <c r="H4048" s="33">
        <f>IF(ISNUMBER(SEARCH("Group",D4048)),IF(G4048="",E4048,IFERROR(E4048/COUNTIF($G2:$G6000,G4048),E4048)),E4048)</f>
        <v>0</v>
      </c>
      <c r="I4048" s="1" t="str">
        <f>IFERROR(VLOOKUP(C4048,'Clients List'!A:F,6,FALSE),"")</f>
        <v/>
      </c>
    </row>
    <row r="4049" spans="4:9" x14ac:dyDescent="0.45">
      <c r="D4049" t="str">
        <f>IFERROR(VLOOKUP(C4049,'Clients List'!$A:$F,2,FALSE),"")</f>
        <v/>
      </c>
      <c r="F4049" s="1" t="str">
        <f>IF(OR(C4049="",NOT(ISNUMBER(SEARCH("Package",D4049)))),"",VLOOKUP(C4049,'Clients List'!$A:$F,4,FALSE)-SUMIFS($E$2:$E4049,$C$2:$C4049,C4049,$D$2:$D4049,"*Package*"))</f>
        <v/>
      </c>
      <c r="G4049" t="str">
        <f t="shared" si="96"/>
        <v/>
      </c>
      <c r="H4049" s="33">
        <f>IF(ISNUMBER(SEARCH("Group",D4049)),IF(G4049="",E4049,IFERROR(E4049/COUNTIF($G2:$G6000,G4049),E4049)),E4049)</f>
        <v>0</v>
      </c>
      <c r="I4049" s="1" t="str">
        <f>IFERROR(VLOOKUP(C4049,'Clients List'!A:F,6,FALSE),"")</f>
        <v/>
      </c>
    </row>
    <row r="4050" spans="4:9" x14ac:dyDescent="0.45">
      <c r="D4050" t="str">
        <f>IFERROR(VLOOKUP(C4050,'Clients List'!$A:$F,2,FALSE),"")</f>
        <v/>
      </c>
      <c r="F4050" s="1" t="str">
        <f>IF(OR(C4050="",NOT(ISNUMBER(SEARCH("Package",D4050)))),"",VLOOKUP(C4050,'Clients List'!$A:$F,4,FALSE)-SUMIFS($E$2:$E4050,$C$2:$C4050,C4050,$D$2:$D4050,"*Package*"))</f>
        <v/>
      </c>
      <c r="G4050" t="str">
        <f t="shared" si="96"/>
        <v/>
      </c>
      <c r="H4050" s="33">
        <f>IF(ISNUMBER(SEARCH("Group",D4050)),IF(G4050="",E4050,IFERROR(E4050/COUNTIF($G2:$G6000,G4050),E4050)),E4050)</f>
        <v>0</v>
      </c>
      <c r="I4050" s="1" t="str">
        <f>IFERROR(VLOOKUP(C4050,'Clients List'!A:F,6,FALSE),"")</f>
        <v/>
      </c>
    </row>
    <row r="4051" spans="4:9" x14ac:dyDescent="0.45">
      <c r="D4051" t="str">
        <f>IFERROR(VLOOKUP(C4051,'Clients List'!$A:$F,2,FALSE),"")</f>
        <v/>
      </c>
      <c r="F4051" s="1" t="str">
        <f>IF(OR(C4051="",NOT(ISNUMBER(SEARCH("Package",D4051)))),"",VLOOKUP(C4051,'Clients List'!$A:$F,4,FALSE)-SUMIFS($E$2:$E4051,$C$2:$C4051,C4051,$D$2:$D4051,"*Package*"))</f>
        <v/>
      </c>
      <c r="G4051" t="str">
        <f t="shared" si="96"/>
        <v/>
      </c>
      <c r="H4051" s="33">
        <f>IF(ISNUMBER(SEARCH("Group",D4051)),IF(G4051="",E4051,IFERROR(E4051/COUNTIF($G2:$G6000,G4051),E4051)),E4051)</f>
        <v>0</v>
      </c>
      <c r="I4051" s="1" t="str">
        <f>IFERROR(VLOOKUP(C4051,'Clients List'!A:F,6,FALSE),"")</f>
        <v/>
      </c>
    </row>
    <row r="4052" spans="4:9" x14ac:dyDescent="0.45">
      <c r="D4052" t="str">
        <f>IFERROR(VLOOKUP(C4052,'Clients List'!$A:$F,2,FALSE),"")</f>
        <v/>
      </c>
      <c r="F4052" s="1" t="str">
        <f>IF(OR(C4052="",NOT(ISNUMBER(SEARCH("Package",D4052)))),"",VLOOKUP(C4052,'Clients List'!$A:$F,4,FALSE)-SUMIFS($E$2:$E4052,$C$2:$C4052,C4052,$D$2:$D4052,"*Package*"))</f>
        <v/>
      </c>
      <c r="G4052" t="str">
        <f t="shared" si="96"/>
        <v/>
      </c>
      <c r="H4052" s="33">
        <f>IF(ISNUMBER(SEARCH("Group",D4052)),IF(G4052="",E4052,IFERROR(E4052/COUNTIF($G2:$G6000,G4052),E4052)),E4052)</f>
        <v>0</v>
      </c>
      <c r="I4052" s="1" t="str">
        <f>IFERROR(VLOOKUP(C4052,'Clients List'!A:F,6,FALSE),"")</f>
        <v/>
      </c>
    </row>
    <row r="4053" spans="4:9" x14ac:dyDescent="0.45">
      <c r="D4053" t="str">
        <f>IFERROR(VLOOKUP(C4053,'Clients List'!$A:$F,2,FALSE),"")</f>
        <v/>
      </c>
      <c r="F4053" s="1" t="str">
        <f>IF(OR(C4053="",NOT(ISNUMBER(SEARCH("Package",D4053)))),"",VLOOKUP(C4053,'Clients List'!$A:$F,4,FALSE)-SUMIFS($E$2:$E4053,$C$2:$C4053,C4053,$D$2:$D4053,"*Package*"))</f>
        <v/>
      </c>
      <c r="G4053" t="str">
        <f t="shared" si="96"/>
        <v/>
      </c>
      <c r="H4053" s="33">
        <f>IF(ISNUMBER(SEARCH("Group",D4053)),IF(G4053="",E4053,IFERROR(E4053/COUNTIF($G2:$G6000,G4053),E4053)),E4053)</f>
        <v>0</v>
      </c>
      <c r="I4053" s="1" t="str">
        <f>IFERROR(VLOOKUP(C4053,'Clients List'!A:F,6,FALSE),"")</f>
        <v/>
      </c>
    </row>
    <row r="4054" spans="4:9" x14ac:dyDescent="0.45">
      <c r="D4054" t="str">
        <f>IFERROR(VLOOKUP(C4054,'Clients List'!$A:$F,2,FALSE),"")</f>
        <v/>
      </c>
      <c r="F4054" s="1" t="str">
        <f>IF(OR(C4054="",NOT(ISNUMBER(SEARCH("Package",D4054)))),"",VLOOKUP(C4054,'Clients List'!$A:$F,4,FALSE)-SUMIFS($E$2:$E4054,$C$2:$C4054,C4054,$D$2:$D4054,"*Package*"))</f>
        <v/>
      </c>
      <c r="G4054" t="str">
        <f t="shared" si="96"/>
        <v/>
      </c>
      <c r="H4054" s="33">
        <f>IF(ISNUMBER(SEARCH("Group",D4054)),IF(G4054="",E4054,IFERROR(E4054/COUNTIF($G2:$G6000,G4054),E4054)),E4054)</f>
        <v>0</v>
      </c>
      <c r="I4054" s="1" t="str">
        <f>IFERROR(VLOOKUP(C4054,'Clients List'!A:F,6,FALSE),"")</f>
        <v/>
      </c>
    </row>
    <row r="4055" spans="4:9" x14ac:dyDescent="0.45">
      <c r="D4055" t="str">
        <f>IFERROR(VLOOKUP(C4055,'Clients List'!$A:$F,2,FALSE),"")</f>
        <v/>
      </c>
      <c r="F4055" s="1" t="str">
        <f>IF(OR(C4055="",NOT(ISNUMBER(SEARCH("Package",D4055)))),"",VLOOKUP(C4055,'Clients List'!$A:$F,4,FALSE)-SUMIFS($E$2:$E4055,$C$2:$C4055,C4055,$D$2:$D4055,"*Package*"))</f>
        <v/>
      </c>
      <c r="G4055" t="str">
        <f t="shared" si="96"/>
        <v/>
      </c>
      <c r="H4055" s="33">
        <f>IF(ISNUMBER(SEARCH("Group",D4055)),IF(G4055="",E4055,IFERROR(E4055/COUNTIF($G2:$G6000,G4055),E4055)),E4055)</f>
        <v>0</v>
      </c>
      <c r="I4055" s="1" t="str">
        <f>IFERROR(VLOOKUP(C4055,'Clients List'!A:F,6,FALSE),"")</f>
        <v/>
      </c>
    </row>
    <row r="4056" spans="4:9" x14ac:dyDescent="0.45">
      <c r="D4056" t="str">
        <f>IFERROR(VLOOKUP(C4056,'Clients List'!$A:$F,2,FALSE),"")</f>
        <v/>
      </c>
      <c r="F4056" s="1" t="str">
        <f>IF(OR(C4056="",NOT(ISNUMBER(SEARCH("Package",D4056)))),"",VLOOKUP(C4056,'Clients List'!$A:$F,4,FALSE)-SUMIFS($E$2:$E4056,$C$2:$C4056,C4056,$D$2:$D4056,"*Package*"))</f>
        <v/>
      </c>
      <c r="G4056" t="str">
        <f t="shared" si="96"/>
        <v/>
      </c>
      <c r="H4056" s="33">
        <f>IF(ISNUMBER(SEARCH("Group",D4056)),IF(G4056="",E4056,IFERROR(E4056/COUNTIF($G2:$G6000,G4056),E4056)),E4056)</f>
        <v>0</v>
      </c>
      <c r="I4056" s="1" t="str">
        <f>IFERROR(VLOOKUP(C4056,'Clients List'!A:F,6,FALSE),"")</f>
        <v/>
      </c>
    </row>
    <row r="4057" spans="4:9" x14ac:dyDescent="0.45">
      <c r="D4057" t="str">
        <f>IFERROR(VLOOKUP(C4057,'Clients List'!$A:$F,2,FALSE),"")</f>
        <v/>
      </c>
      <c r="F4057" s="1" t="str">
        <f>IF(OR(C4057="",NOT(ISNUMBER(SEARCH("Package",D4057)))),"",VLOOKUP(C4057,'Clients List'!$A:$F,4,FALSE)-SUMIFS($E$2:$E4057,$C$2:$C4057,C4057,$D$2:$D4057,"*Package*"))</f>
        <v/>
      </c>
      <c r="G4057" t="str">
        <f t="shared" si="96"/>
        <v/>
      </c>
      <c r="H4057" s="33">
        <f>IF(ISNUMBER(SEARCH("Group",D4057)),IF(G4057="",E4057,IFERROR(E4057/COUNTIF($G2:$G6000,G4057),E4057)),E4057)</f>
        <v>0</v>
      </c>
      <c r="I4057" s="1" t="str">
        <f>IFERROR(VLOOKUP(C4057,'Clients List'!A:F,6,FALSE),"")</f>
        <v/>
      </c>
    </row>
    <row r="4058" spans="4:9" x14ac:dyDescent="0.45">
      <c r="D4058" t="str">
        <f>IFERROR(VLOOKUP(C4058,'Clients List'!$A:$F,2,FALSE),"")</f>
        <v/>
      </c>
      <c r="F4058" s="1" t="str">
        <f>IF(OR(C4058="",NOT(ISNUMBER(SEARCH("Package",D4058)))),"",VLOOKUP(C4058,'Clients List'!$A:$F,4,FALSE)-SUMIFS($E$2:$E4058,$C$2:$C4058,C4058,$D$2:$D4058,"*Package*"))</f>
        <v/>
      </c>
      <c r="G4058" t="str">
        <f t="shared" si="96"/>
        <v/>
      </c>
      <c r="H4058" s="33">
        <f>IF(ISNUMBER(SEARCH("Group",D4058)),IF(G4058="",E4058,IFERROR(E4058/COUNTIF($G2:$G6000,G4058),E4058)),E4058)</f>
        <v>0</v>
      </c>
      <c r="I4058" s="1" t="str">
        <f>IFERROR(VLOOKUP(C4058,'Clients List'!A:F,6,FALSE),"")</f>
        <v/>
      </c>
    </row>
    <row r="4059" spans="4:9" x14ac:dyDescent="0.45">
      <c r="D4059" t="str">
        <f>IFERROR(VLOOKUP(C4059,'Clients List'!$A:$F,2,FALSE),"")</f>
        <v/>
      </c>
      <c r="F4059" s="1" t="str">
        <f>IF(OR(C4059="",NOT(ISNUMBER(SEARCH("Package",D4059)))),"",VLOOKUP(C4059,'Clients List'!$A:$F,4,FALSE)-SUMIFS($E$2:$E4059,$C$2:$C4059,C4059,$D$2:$D4059,"*Package*"))</f>
        <v/>
      </c>
      <c r="G4059" t="str">
        <f t="shared" si="96"/>
        <v/>
      </c>
      <c r="H4059" s="33">
        <f>IF(ISNUMBER(SEARCH("Group",D4059)),IF(G4059="",E4059,IFERROR(E4059/COUNTIF($G2:$G6000,G4059),E4059)),E4059)</f>
        <v>0</v>
      </c>
      <c r="I4059" s="1" t="str">
        <f>IFERROR(VLOOKUP(C4059,'Clients List'!A:F,6,FALSE),"")</f>
        <v/>
      </c>
    </row>
    <row r="4060" spans="4:9" x14ac:dyDescent="0.45">
      <c r="D4060" t="str">
        <f>IFERROR(VLOOKUP(C4060,'Clients List'!$A:$F,2,FALSE),"")</f>
        <v/>
      </c>
      <c r="F4060" s="1" t="str">
        <f>IF(OR(C4060="",NOT(ISNUMBER(SEARCH("Package",D4060)))),"",VLOOKUP(C4060,'Clients List'!$A:$F,4,FALSE)-SUMIFS($E$2:$E4060,$C$2:$C4060,C4060,$D$2:$D4060,"*Package*"))</f>
        <v/>
      </c>
      <c r="G4060" t="str">
        <f t="shared" si="96"/>
        <v/>
      </c>
      <c r="H4060" s="33">
        <f>IF(ISNUMBER(SEARCH("Group",D4060)),IF(G4060="",E4060,IFERROR(E4060/COUNTIF($G2:$G6000,G4060),E4060)),E4060)</f>
        <v>0</v>
      </c>
      <c r="I4060" s="1" t="str">
        <f>IFERROR(VLOOKUP(C4060,'Clients List'!A:F,6,FALSE),"")</f>
        <v/>
      </c>
    </row>
    <row r="4061" spans="4:9" x14ac:dyDescent="0.45">
      <c r="D4061" t="str">
        <f>IFERROR(VLOOKUP(C4061,'Clients List'!$A:$F,2,FALSE),"")</f>
        <v/>
      </c>
      <c r="F4061" s="1" t="str">
        <f>IF(OR(C4061="",NOT(ISNUMBER(SEARCH("Package",D4061)))),"",VLOOKUP(C4061,'Clients List'!$A:$F,4,FALSE)-SUMIFS($E$2:$E4061,$C$2:$C4061,C4061,$D$2:$D4061,"*Package*"))</f>
        <v/>
      </c>
      <c r="G4061" t="str">
        <f t="shared" si="96"/>
        <v/>
      </c>
      <c r="H4061" s="33">
        <f>IF(ISNUMBER(SEARCH("Group",D4061)),IF(G4061="",E4061,IFERROR(E4061/COUNTIF($G2:$G6000,G4061),E4061)),E4061)</f>
        <v>0</v>
      </c>
      <c r="I4061" s="1" t="str">
        <f>IFERROR(VLOOKUP(C4061,'Clients List'!A:F,6,FALSE),"")</f>
        <v/>
      </c>
    </row>
    <row r="4062" spans="4:9" x14ac:dyDescent="0.45">
      <c r="D4062" t="str">
        <f>IFERROR(VLOOKUP(C4062,'Clients List'!$A:$F,2,FALSE),"")</f>
        <v/>
      </c>
      <c r="F4062" s="1" t="str">
        <f>IF(OR(C4062="",NOT(ISNUMBER(SEARCH("Package",D4062)))),"",VLOOKUP(C4062,'Clients List'!$A:$F,4,FALSE)-SUMIFS($E$2:$E4062,$C$2:$C4062,C4062,$D$2:$D4062,"*Package*"))</f>
        <v/>
      </c>
      <c r="G4062" t="str">
        <f t="shared" si="96"/>
        <v/>
      </c>
      <c r="H4062" s="33">
        <f>IF(ISNUMBER(SEARCH("Group",D4062)),IF(G4062="",E4062,IFERROR(E4062/COUNTIF($G2:$G6000,G4062),E4062)),E4062)</f>
        <v>0</v>
      </c>
      <c r="I4062" s="1" t="str">
        <f>IFERROR(VLOOKUP(C4062,'Clients List'!A:F,6,FALSE),"")</f>
        <v/>
      </c>
    </row>
    <row r="4063" spans="4:9" x14ac:dyDescent="0.45">
      <c r="D4063" t="str">
        <f>IFERROR(VLOOKUP(C4063,'Clients List'!$A:$F,2,FALSE),"")</f>
        <v/>
      </c>
      <c r="F4063" s="1" t="str">
        <f>IF(OR(C4063="",NOT(ISNUMBER(SEARCH("Package",D4063)))),"",VLOOKUP(C4063,'Clients List'!$A:$F,4,FALSE)-SUMIFS($E$2:$E4063,$C$2:$C4063,C4063,$D$2:$D4063,"*Package*"))</f>
        <v/>
      </c>
      <c r="G4063" t="str">
        <f t="shared" si="96"/>
        <v/>
      </c>
      <c r="H4063" s="33">
        <f>IF(ISNUMBER(SEARCH("Group",D4063)),IF(G4063="",E4063,IFERROR(E4063/COUNTIF($G2:$G6000,G4063),E4063)),E4063)</f>
        <v>0</v>
      </c>
      <c r="I4063" s="1" t="str">
        <f>IFERROR(VLOOKUP(C4063,'Clients List'!A:F,6,FALSE),"")</f>
        <v/>
      </c>
    </row>
    <row r="4064" spans="4:9" x14ac:dyDescent="0.45">
      <c r="D4064" t="str">
        <f>IFERROR(VLOOKUP(C4064,'Clients List'!$A:$F,2,FALSE),"")</f>
        <v/>
      </c>
      <c r="F4064" s="1" t="str">
        <f>IF(OR(C4064="",NOT(ISNUMBER(SEARCH("Package",D4064)))),"",VLOOKUP(C4064,'Clients List'!$A:$F,4,FALSE)-SUMIFS($E$2:$E4064,$C$2:$C4064,C4064,$D$2:$D4064,"*Package*"))</f>
        <v/>
      </c>
      <c r="G4064" t="str">
        <f t="shared" si="96"/>
        <v/>
      </c>
      <c r="H4064" s="33">
        <f>IF(ISNUMBER(SEARCH("Group",D4064)),IF(G4064="",E4064,IFERROR(E4064/COUNTIF($G2:$G6000,G4064),E4064)),E4064)</f>
        <v>0</v>
      </c>
      <c r="I4064" s="1" t="str">
        <f>IFERROR(VLOOKUP(C4064,'Clients List'!A:F,6,FALSE),"")</f>
        <v/>
      </c>
    </row>
    <row r="4065" spans="4:9" x14ac:dyDescent="0.45">
      <c r="D4065" t="str">
        <f>IFERROR(VLOOKUP(C4065,'Clients List'!$A:$F,2,FALSE),"")</f>
        <v/>
      </c>
      <c r="F4065" s="1" t="str">
        <f>IF(OR(C4065="",NOT(ISNUMBER(SEARCH("Package",D4065)))),"",VLOOKUP(C4065,'Clients List'!$A:$F,4,FALSE)-SUMIFS($E$2:$E4065,$C$2:$C4065,C4065,$D$2:$D4065,"*Package*"))</f>
        <v/>
      </c>
      <c r="G4065" t="str">
        <f t="shared" si="96"/>
        <v/>
      </c>
      <c r="H4065" s="33">
        <f>IF(ISNUMBER(SEARCH("Group",D4065)),IF(G4065="",E4065,IFERROR(E4065/COUNTIF($G2:$G6000,G4065),E4065)),E4065)</f>
        <v>0</v>
      </c>
      <c r="I4065" s="1" t="str">
        <f>IFERROR(VLOOKUP(C4065,'Clients List'!A:F,6,FALSE),"")</f>
        <v/>
      </c>
    </row>
    <row r="4066" spans="4:9" x14ac:dyDescent="0.45">
      <c r="D4066" t="str">
        <f>IFERROR(VLOOKUP(C4066,'Clients List'!$A:$F,2,FALSE),"")</f>
        <v/>
      </c>
      <c r="F4066" s="1" t="str">
        <f>IF(OR(C4066="",NOT(ISNUMBER(SEARCH("Package",D4066)))),"",VLOOKUP(C4066,'Clients List'!$A:$F,4,FALSE)-SUMIFS($E$2:$E4066,$C$2:$C4066,C4066,$D$2:$D4066,"*Package*"))</f>
        <v/>
      </c>
      <c r="G4066" t="str">
        <f t="shared" si="96"/>
        <v/>
      </c>
      <c r="H4066" s="33">
        <f>IF(ISNUMBER(SEARCH("Group",D4066)),IF(G4066="",E4066,IFERROR(E4066/COUNTIF($G2:$G6000,G4066),E4066)),E4066)</f>
        <v>0</v>
      </c>
      <c r="I4066" s="1" t="str">
        <f>IFERROR(VLOOKUP(C4066,'Clients List'!A:F,6,FALSE),"")</f>
        <v/>
      </c>
    </row>
    <row r="4067" spans="4:9" x14ac:dyDescent="0.45">
      <c r="D4067" t="str">
        <f>IFERROR(VLOOKUP(C4067,'Clients List'!$A:$F,2,FALSE),"")</f>
        <v/>
      </c>
      <c r="F4067" s="1" t="str">
        <f>IF(OR(C4067="",NOT(ISNUMBER(SEARCH("Package",D4067)))),"",VLOOKUP(C4067,'Clients List'!$A:$F,4,FALSE)-SUMIFS($E$2:$E4067,$C$2:$C4067,C4067,$D$2:$D4067,"*Package*"))</f>
        <v/>
      </c>
      <c r="G4067" t="str">
        <f t="shared" si="96"/>
        <v/>
      </c>
      <c r="H4067" s="33">
        <f>IF(ISNUMBER(SEARCH("Group",D4067)),IF(G4067="",E4067,IFERROR(E4067/COUNTIF($G2:$G6000,G4067),E4067)),E4067)</f>
        <v>0</v>
      </c>
      <c r="I4067" s="1" t="str">
        <f>IFERROR(VLOOKUP(C4067,'Clients List'!A:F,6,FALSE),"")</f>
        <v/>
      </c>
    </row>
    <row r="4068" spans="4:9" x14ac:dyDescent="0.45">
      <c r="D4068" t="str">
        <f>IFERROR(VLOOKUP(C4068,'Clients List'!$A:$F,2,FALSE),"")</f>
        <v/>
      </c>
      <c r="F4068" s="1" t="str">
        <f>IF(OR(C4068="",NOT(ISNUMBER(SEARCH("Package",D4068)))),"",VLOOKUP(C4068,'Clients List'!$A:$F,4,FALSE)-SUMIFS($E$2:$E4068,$C$2:$C4068,C4068,$D$2:$D4068,"*Package*"))</f>
        <v/>
      </c>
      <c r="G4068" t="str">
        <f t="shared" si="96"/>
        <v/>
      </c>
      <c r="H4068" s="33">
        <f>IF(ISNUMBER(SEARCH("Group",D4068)),IF(G4068="",E4068,IFERROR(E4068/COUNTIF($G2:$G6000,G4068),E4068)),E4068)</f>
        <v>0</v>
      </c>
      <c r="I4068" s="1" t="str">
        <f>IFERROR(VLOOKUP(C4068,'Clients List'!A:F,6,FALSE),"")</f>
        <v/>
      </c>
    </row>
    <row r="4069" spans="4:9" x14ac:dyDescent="0.45">
      <c r="D4069" t="str">
        <f>IFERROR(VLOOKUP(C4069,'Clients List'!$A:$F,2,FALSE),"")</f>
        <v/>
      </c>
      <c r="F4069" s="1" t="str">
        <f>IF(OR(C4069="",NOT(ISNUMBER(SEARCH("Package",D4069)))),"",VLOOKUP(C4069,'Clients List'!$A:$F,4,FALSE)-SUMIFS($E$2:$E4069,$C$2:$C4069,C4069,$D$2:$D4069,"*Package*"))</f>
        <v/>
      </c>
      <c r="G4069" t="str">
        <f t="shared" si="96"/>
        <v/>
      </c>
      <c r="H4069" s="33">
        <f>IF(ISNUMBER(SEARCH("Group",D4069)),IF(G4069="",E4069,IFERROR(E4069/COUNTIF($G2:$G6000,G4069),E4069)),E4069)</f>
        <v>0</v>
      </c>
      <c r="I4069" s="1" t="str">
        <f>IFERROR(VLOOKUP(C4069,'Clients List'!A:F,6,FALSE),"")</f>
        <v/>
      </c>
    </row>
    <row r="4070" spans="4:9" x14ac:dyDescent="0.45">
      <c r="D4070" t="str">
        <f>IFERROR(VLOOKUP(C4070,'Clients List'!$A:$F,2,FALSE),"")</f>
        <v/>
      </c>
      <c r="F4070" s="1" t="str">
        <f>IF(OR(C4070="",NOT(ISNUMBER(SEARCH("Package",D4070)))),"",VLOOKUP(C4070,'Clients List'!$A:$F,4,FALSE)-SUMIFS($E$2:$E4070,$C$2:$C4070,C4070,$D$2:$D4070,"*Package*"))</f>
        <v/>
      </c>
      <c r="G4070" t="str">
        <f t="shared" si="96"/>
        <v/>
      </c>
      <c r="H4070" s="33">
        <f>IF(ISNUMBER(SEARCH("Group",D4070)),IF(G4070="",E4070,IFERROR(E4070/COUNTIF($G2:$G6000,G4070),E4070)),E4070)</f>
        <v>0</v>
      </c>
      <c r="I4070" s="1" t="str">
        <f>IFERROR(VLOOKUP(C4070,'Clients List'!A:F,6,FALSE),"")</f>
        <v/>
      </c>
    </row>
    <row r="4071" spans="4:9" x14ac:dyDescent="0.45">
      <c r="D4071" t="str">
        <f>IFERROR(VLOOKUP(C4071,'Clients List'!$A:$F,2,FALSE),"")</f>
        <v/>
      </c>
      <c r="F4071" s="1" t="str">
        <f>IF(OR(C4071="",NOT(ISNUMBER(SEARCH("Package",D4071)))),"",VLOOKUP(C4071,'Clients List'!$A:$F,4,FALSE)-SUMIFS($E$2:$E4071,$C$2:$C4071,C4071,$D$2:$D4071,"*Package*"))</f>
        <v/>
      </c>
      <c r="G4071" t="str">
        <f t="shared" si="96"/>
        <v/>
      </c>
      <c r="H4071" s="33">
        <f>IF(ISNUMBER(SEARCH("Group",D4071)),IF(G4071="",E4071,IFERROR(E4071/COUNTIF($G2:$G6000,G4071),E4071)),E4071)</f>
        <v>0</v>
      </c>
      <c r="I4071" s="1" t="str">
        <f>IFERROR(VLOOKUP(C4071,'Clients List'!A:F,6,FALSE),"")</f>
        <v/>
      </c>
    </row>
    <row r="4072" spans="4:9" x14ac:dyDescent="0.45">
      <c r="D4072" t="str">
        <f>IFERROR(VLOOKUP(C4072,'Clients List'!$A:$F,2,FALSE),"")</f>
        <v/>
      </c>
      <c r="F4072" s="1" t="str">
        <f>IF(OR(C4072="",NOT(ISNUMBER(SEARCH("Package",D4072)))),"",VLOOKUP(C4072,'Clients List'!$A:$F,4,FALSE)-SUMIFS($E$2:$E4072,$C$2:$C4072,C4072,$D$2:$D4072,"*Package*"))</f>
        <v/>
      </c>
      <c r="G4072" t="str">
        <f t="shared" si="96"/>
        <v/>
      </c>
      <c r="H4072" s="33">
        <f>IF(ISNUMBER(SEARCH("Group",D4072)),IF(G4072="",E4072,IFERROR(E4072/COUNTIF($G2:$G6000,G4072),E4072)),E4072)</f>
        <v>0</v>
      </c>
      <c r="I4072" s="1" t="str">
        <f>IFERROR(VLOOKUP(C4072,'Clients List'!A:F,6,FALSE),"")</f>
        <v/>
      </c>
    </row>
    <row r="4073" spans="4:9" x14ac:dyDescent="0.45">
      <c r="D4073" t="str">
        <f>IFERROR(VLOOKUP(C4073,'Clients List'!$A:$F,2,FALSE),"")</f>
        <v/>
      </c>
      <c r="F4073" s="1" t="str">
        <f>IF(OR(C4073="",NOT(ISNUMBER(SEARCH("Package",D4073)))),"",VLOOKUP(C4073,'Clients List'!$A:$F,4,FALSE)-SUMIFS($E$2:$E4073,$C$2:$C4073,C4073,$D$2:$D4073,"*Package*"))</f>
        <v/>
      </c>
      <c r="G4073" t="str">
        <f t="shared" si="96"/>
        <v/>
      </c>
      <c r="H4073" s="33">
        <f>IF(ISNUMBER(SEARCH("Group",D4073)),IF(G4073="",E4073,IFERROR(E4073/COUNTIF($G2:$G6000,G4073),E4073)),E4073)</f>
        <v>0</v>
      </c>
      <c r="I4073" s="1" t="str">
        <f>IFERROR(VLOOKUP(C4073,'Clients List'!A:F,6,FALSE),"")</f>
        <v/>
      </c>
    </row>
    <row r="4074" spans="4:9" x14ac:dyDescent="0.45">
      <c r="D4074" t="str">
        <f>IFERROR(VLOOKUP(C4074,'Clients List'!$A:$F,2,FALSE),"")</f>
        <v/>
      </c>
      <c r="F4074" s="1" t="str">
        <f>IF(OR(C4074="",NOT(ISNUMBER(SEARCH("Package",D4074)))),"",VLOOKUP(C4074,'Clients List'!$A:$F,4,FALSE)-SUMIFS($E$2:$E4074,$C$2:$C4074,C4074,$D$2:$D4074,"*Package*"))</f>
        <v/>
      </c>
      <c r="G4074" t="str">
        <f t="shared" si="96"/>
        <v/>
      </c>
      <c r="H4074" s="33">
        <f>IF(ISNUMBER(SEARCH("Group",D4074)),IF(G4074="",E4074,IFERROR(E4074/COUNTIF($G2:$G6000,G4074),E4074)),E4074)</f>
        <v>0</v>
      </c>
      <c r="I4074" s="1" t="str">
        <f>IFERROR(VLOOKUP(C4074,'Clients List'!A:F,6,FALSE),"")</f>
        <v/>
      </c>
    </row>
    <row r="4075" spans="4:9" x14ac:dyDescent="0.45">
      <c r="D4075" t="str">
        <f>IFERROR(VLOOKUP(C4075,'Clients List'!$A:$F,2,FALSE),"")</f>
        <v/>
      </c>
      <c r="F4075" s="1" t="str">
        <f>IF(OR(C4075="",NOT(ISNUMBER(SEARCH("Package",D4075)))),"",VLOOKUP(C4075,'Clients List'!$A:$F,4,FALSE)-SUMIFS($E$2:$E4075,$C$2:$C4075,C4075,$D$2:$D4075,"*Package*"))</f>
        <v/>
      </c>
      <c r="G4075" t="str">
        <f t="shared" si="96"/>
        <v/>
      </c>
      <c r="H4075" s="33">
        <f>IF(ISNUMBER(SEARCH("Group",D4075)),IF(G4075="",E4075,IFERROR(E4075/COUNTIF($G2:$G6000,G4075),E4075)),E4075)</f>
        <v>0</v>
      </c>
      <c r="I4075" s="1" t="str">
        <f>IFERROR(VLOOKUP(C4075,'Clients List'!A:F,6,FALSE),"")</f>
        <v/>
      </c>
    </row>
    <row r="4076" spans="4:9" x14ac:dyDescent="0.45">
      <c r="D4076" t="str">
        <f>IFERROR(VLOOKUP(C4076,'Clients List'!$A:$F,2,FALSE),"")</f>
        <v/>
      </c>
      <c r="F4076" s="1" t="str">
        <f>IF(OR(C4076="",NOT(ISNUMBER(SEARCH("Package",D4076)))),"",VLOOKUP(C4076,'Clients List'!$A:$F,4,FALSE)-SUMIFS($E$2:$E4076,$C$2:$C4076,C4076,$D$2:$D4076,"*Package*"))</f>
        <v/>
      </c>
      <c r="G4076" t="str">
        <f t="shared" si="96"/>
        <v/>
      </c>
      <c r="H4076" s="33">
        <f>IF(ISNUMBER(SEARCH("Group",D4076)),IF(G4076="",E4076,IFERROR(E4076/COUNTIF($G2:$G6000,G4076),E4076)),E4076)</f>
        <v>0</v>
      </c>
      <c r="I4076" s="1" t="str">
        <f>IFERROR(VLOOKUP(C4076,'Clients List'!A:F,6,FALSE),"")</f>
        <v/>
      </c>
    </row>
    <row r="4077" spans="4:9" x14ac:dyDescent="0.45">
      <c r="D4077" t="str">
        <f>IFERROR(VLOOKUP(C4077,'Clients List'!$A:$F,2,FALSE),"")</f>
        <v/>
      </c>
      <c r="F4077" s="1" t="str">
        <f>IF(OR(C4077="",NOT(ISNUMBER(SEARCH("Package",D4077)))),"",VLOOKUP(C4077,'Clients List'!$A:$F,4,FALSE)-SUMIFS($E$2:$E4077,$C$2:$C4077,C4077,$D$2:$D4077,"*Package*"))</f>
        <v/>
      </c>
      <c r="G4077" t="str">
        <f t="shared" si="96"/>
        <v/>
      </c>
      <c r="H4077" s="33">
        <f>IF(ISNUMBER(SEARCH("Group",D4077)),IF(G4077="",E4077,IFERROR(E4077/COUNTIF($G2:$G6000,G4077),E4077)),E4077)</f>
        <v>0</v>
      </c>
      <c r="I4077" s="1" t="str">
        <f>IFERROR(VLOOKUP(C4077,'Clients List'!A:F,6,FALSE),"")</f>
        <v/>
      </c>
    </row>
    <row r="4078" spans="4:9" x14ac:dyDescent="0.45">
      <c r="D4078" t="str">
        <f>IFERROR(VLOOKUP(C4078,'Clients List'!$A:$F,2,FALSE),"")</f>
        <v/>
      </c>
      <c r="F4078" s="1" t="str">
        <f>IF(OR(C4078="",NOT(ISNUMBER(SEARCH("Package",D4078)))),"",VLOOKUP(C4078,'Clients List'!$A:$F,4,FALSE)-SUMIFS($E$2:$E4078,$C$2:$C4078,C4078,$D$2:$D4078,"*Package*"))</f>
        <v/>
      </c>
      <c r="G4078" t="str">
        <f t="shared" si="96"/>
        <v/>
      </c>
      <c r="H4078" s="33">
        <f>IF(ISNUMBER(SEARCH("Group",D4078)),IF(G4078="",E4078,IFERROR(E4078/COUNTIF($G2:$G6000,G4078),E4078)),E4078)</f>
        <v>0</v>
      </c>
      <c r="I4078" s="1" t="str">
        <f>IFERROR(VLOOKUP(C4078,'Clients List'!A:F,6,FALSE),"")</f>
        <v/>
      </c>
    </row>
    <row r="4079" spans="4:9" x14ac:dyDescent="0.45">
      <c r="D4079" t="str">
        <f>IFERROR(VLOOKUP(C4079,'Clients List'!$A:$F,2,FALSE),"")</f>
        <v/>
      </c>
      <c r="F4079" s="1" t="str">
        <f>IF(OR(C4079="",NOT(ISNUMBER(SEARCH("Package",D4079)))),"",VLOOKUP(C4079,'Clients List'!$A:$F,4,FALSE)-SUMIFS($E$2:$E4079,$C$2:$C4079,C4079,$D$2:$D4079,"*Package*"))</f>
        <v/>
      </c>
      <c r="G4079" t="str">
        <f t="shared" si="96"/>
        <v/>
      </c>
      <c r="H4079" s="33">
        <f>IF(ISNUMBER(SEARCH("Group",D4079)),IF(G4079="",E4079,IFERROR(E4079/COUNTIF($G2:$G6000,G4079),E4079)),E4079)</f>
        <v>0</v>
      </c>
      <c r="I4079" s="1" t="str">
        <f>IFERROR(VLOOKUP(C4079,'Clients List'!A:F,6,FALSE),"")</f>
        <v/>
      </c>
    </row>
    <row r="4080" spans="4:9" x14ac:dyDescent="0.45">
      <c r="D4080" t="str">
        <f>IFERROR(VLOOKUP(C4080,'Clients List'!$A:$F,2,FALSE),"")</f>
        <v/>
      </c>
      <c r="F4080" s="1" t="str">
        <f>IF(OR(C4080="",NOT(ISNUMBER(SEARCH("Package",D4080)))),"",VLOOKUP(C4080,'Clients List'!$A:$F,4,FALSE)-SUMIFS($E$2:$E4080,$C$2:$C4080,C4080,$D$2:$D4080,"*Package*"))</f>
        <v/>
      </c>
      <c r="G4080" t="str">
        <f t="shared" si="96"/>
        <v/>
      </c>
      <c r="H4080" s="33">
        <f>IF(ISNUMBER(SEARCH("Group",D4080)),IF(G4080="",E4080,IFERROR(E4080/COUNTIF($G2:$G6000,G4080),E4080)),E4080)</f>
        <v>0</v>
      </c>
      <c r="I4080" s="1" t="str">
        <f>IFERROR(VLOOKUP(C4080,'Clients List'!A:F,6,FALSE),"")</f>
        <v/>
      </c>
    </row>
    <row r="4081" spans="4:9" x14ac:dyDescent="0.45">
      <c r="D4081" t="str">
        <f>IFERROR(VLOOKUP(C4081,'Clients List'!$A:$F,2,FALSE),"")</f>
        <v/>
      </c>
      <c r="F4081" s="1" t="str">
        <f>IF(OR(C4081="",NOT(ISNUMBER(SEARCH("Package",D4081)))),"",VLOOKUP(C4081,'Clients List'!$A:$F,4,FALSE)-SUMIFS($E$2:$E4081,$C$2:$C4081,C4081,$D$2:$D4081,"*Package*"))</f>
        <v/>
      </c>
      <c r="G4081" t="str">
        <f t="shared" si="96"/>
        <v/>
      </c>
      <c r="H4081" s="33">
        <f>IF(ISNUMBER(SEARCH("Group",D4081)),IF(G4081="",E4081,IFERROR(E4081/COUNTIF($G2:$G6000,G4081),E4081)),E4081)</f>
        <v>0</v>
      </c>
      <c r="I4081" s="1" t="str">
        <f>IFERROR(VLOOKUP(C4081,'Clients List'!A:F,6,FALSE),"")</f>
        <v/>
      </c>
    </row>
    <row r="4082" spans="4:9" x14ac:dyDescent="0.45">
      <c r="D4082" t="str">
        <f>IFERROR(VLOOKUP(C4082,'Clients List'!$A:$F,2,FALSE),"")</f>
        <v/>
      </c>
      <c r="F4082" s="1" t="str">
        <f>IF(OR(C4082="",NOT(ISNUMBER(SEARCH("Package",D4082)))),"",VLOOKUP(C4082,'Clients List'!$A:$F,4,FALSE)-SUMIFS($E$2:$E4082,$C$2:$C4082,C4082,$D$2:$D4082,"*Package*"))</f>
        <v/>
      </c>
      <c r="G4082" t="str">
        <f t="shared" si="96"/>
        <v/>
      </c>
      <c r="H4082" s="33">
        <f>IF(ISNUMBER(SEARCH("Group",D4082)),IF(G4082="",E4082,IFERROR(E4082/COUNTIF($G2:$G6000,G4082),E4082)),E4082)</f>
        <v>0</v>
      </c>
      <c r="I4082" s="1" t="str">
        <f>IFERROR(VLOOKUP(C4082,'Clients List'!A:F,6,FALSE),"")</f>
        <v/>
      </c>
    </row>
    <row r="4083" spans="4:9" x14ac:dyDescent="0.45">
      <c r="D4083" t="str">
        <f>IFERROR(VLOOKUP(C4083,'Clients List'!$A:$F,2,FALSE),"")</f>
        <v/>
      </c>
      <c r="F4083" s="1" t="str">
        <f>IF(OR(C4083="",NOT(ISNUMBER(SEARCH("Package",D4083)))),"",VLOOKUP(C4083,'Clients List'!$A:$F,4,FALSE)-SUMIFS($E$2:$E4083,$C$2:$C4083,C4083,$D$2:$D4083,"*Package*"))</f>
        <v/>
      </c>
      <c r="G4083" t="str">
        <f t="shared" si="96"/>
        <v/>
      </c>
      <c r="H4083" s="33">
        <f>IF(ISNUMBER(SEARCH("Group",D4083)),IF(G4083="",E4083,IFERROR(E4083/COUNTIF($G2:$G6000,G4083),E4083)),E4083)</f>
        <v>0</v>
      </c>
      <c r="I4083" s="1" t="str">
        <f>IFERROR(VLOOKUP(C4083,'Clients List'!A:F,6,FALSE),"")</f>
        <v/>
      </c>
    </row>
    <row r="4084" spans="4:9" x14ac:dyDescent="0.45">
      <c r="D4084" t="str">
        <f>IFERROR(VLOOKUP(C4084,'Clients List'!$A:$F,2,FALSE),"")</f>
        <v/>
      </c>
      <c r="F4084" s="1" t="str">
        <f>IF(OR(C4084="",NOT(ISNUMBER(SEARCH("Package",D4084)))),"",VLOOKUP(C4084,'Clients List'!$A:$F,4,FALSE)-SUMIFS($E$2:$E4084,$C$2:$C4084,C4084,$D$2:$D4084,"*Package*"))</f>
        <v/>
      </c>
      <c r="G4084" t="str">
        <f t="shared" si="96"/>
        <v/>
      </c>
      <c r="H4084" s="33">
        <f>IF(ISNUMBER(SEARCH("Group",D4084)),IF(G4084="",E4084,IFERROR(E4084/COUNTIF($G2:$G6000,G4084),E4084)),E4084)</f>
        <v>0</v>
      </c>
      <c r="I4084" s="1" t="str">
        <f>IFERROR(VLOOKUP(C4084,'Clients List'!A:F,6,FALSE),"")</f>
        <v/>
      </c>
    </row>
    <row r="4085" spans="4:9" x14ac:dyDescent="0.45">
      <c r="D4085" t="str">
        <f>IFERROR(VLOOKUP(C4085,'Clients List'!$A:$F,2,FALSE),"")</f>
        <v/>
      </c>
      <c r="F4085" s="1" t="str">
        <f>IF(OR(C4085="",NOT(ISNUMBER(SEARCH("Package",D4085)))),"",VLOOKUP(C4085,'Clients List'!$A:$F,4,FALSE)-SUMIFS($E$2:$E4085,$C$2:$C4085,C4085,$D$2:$D4085,"*Package*"))</f>
        <v/>
      </c>
      <c r="G4085" t="str">
        <f t="shared" ref="G4085:G4148" si="97">IF(ISNUMBER(SEARCH("Group",D4085)),IFERROR("GRP-"&amp;TEXT(IF(ISNUMBER(A4085),A4085,DATEVALUE(A4085)),"yyyymmdd"),""),"" )</f>
        <v/>
      </c>
      <c r="H4085" s="33">
        <f>IF(ISNUMBER(SEARCH("Group",D4085)),IF(G4085="",E4085,IFERROR(E4085/COUNTIF($G2:$G6000,G4085),E4085)),E4085)</f>
        <v>0</v>
      </c>
      <c r="I4085" s="1" t="str">
        <f>IFERROR(VLOOKUP(C4085,'Clients List'!A:F,6,FALSE),"")</f>
        <v/>
      </c>
    </row>
    <row r="4086" spans="4:9" x14ac:dyDescent="0.45">
      <c r="D4086" t="str">
        <f>IFERROR(VLOOKUP(C4086,'Clients List'!$A:$F,2,FALSE),"")</f>
        <v/>
      </c>
      <c r="F4086" s="1" t="str">
        <f>IF(OR(C4086="",NOT(ISNUMBER(SEARCH("Package",D4086)))),"",VLOOKUP(C4086,'Clients List'!$A:$F,4,FALSE)-SUMIFS($E$2:$E4086,$C$2:$C4086,C4086,$D$2:$D4086,"*Package*"))</f>
        <v/>
      </c>
      <c r="G4086" t="str">
        <f t="shared" si="97"/>
        <v/>
      </c>
      <c r="H4086" s="33">
        <f>IF(ISNUMBER(SEARCH("Group",D4086)),IF(G4086="",E4086,IFERROR(E4086/COUNTIF($G2:$G6000,G4086),E4086)),E4086)</f>
        <v>0</v>
      </c>
      <c r="I4086" s="1" t="str">
        <f>IFERROR(VLOOKUP(C4086,'Clients List'!A:F,6,FALSE),"")</f>
        <v/>
      </c>
    </row>
    <row r="4087" spans="4:9" x14ac:dyDescent="0.45">
      <c r="D4087" t="str">
        <f>IFERROR(VLOOKUP(C4087,'Clients List'!$A:$F,2,FALSE),"")</f>
        <v/>
      </c>
      <c r="F4087" s="1" t="str">
        <f>IF(OR(C4087="",NOT(ISNUMBER(SEARCH("Package",D4087)))),"",VLOOKUP(C4087,'Clients List'!$A:$F,4,FALSE)-SUMIFS($E$2:$E4087,$C$2:$C4087,C4087,$D$2:$D4087,"*Package*"))</f>
        <v/>
      </c>
      <c r="G4087" t="str">
        <f t="shared" si="97"/>
        <v/>
      </c>
      <c r="H4087" s="33">
        <f>IF(ISNUMBER(SEARCH("Group",D4087)),IF(G4087="",E4087,IFERROR(E4087/COUNTIF($G2:$G6000,G4087),E4087)),E4087)</f>
        <v>0</v>
      </c>
      <c r="I4087" s="1" t="str">
        <f>IFERROR(VLOOKUP(C4087,'Clients List'!A:F,6,FALSE),"")</f>
        <v/>
      </c>
    </row>
    <row r="4088" spans="4:9" x14ac:dyDescent="0.45">
      <c r="D4088" t="str">
        <f>IFERROR(VLOOKUP(C4088,'Clients List'!$A:$F,2,FALSE),"")</f>
        <v/>
      </c>
      <c r="F4088" s="1" t="str">
        <f>IF(OR(C4088="",NOT(ISNUMBER(SEARCH("Package",D4088)))),"",VLOOKUP(C4088,'Clients List'!$A:$F,4,FALSE)-SUMIFS($E$2:$E4088,$C$2:$C4088,C4088,$D$2:$D4088,"*Package*"))</f>
        <v/>
      </c>
      <c r="G4088" t="str">
        <f t="shared" si="97"/>
        <v/>
      </c>
      <c r="H4088" s="33">
        <f>IF(ISNUMBER(SEARCH("Group",D4088)),IF(G4088="",E4088,IFERROR(E4088/COUNTIF($G2:$G6000,G4088),E4088)),E4088)</f>
        <v>0</v>
      </c>
      <c r="I4088" s="1" t="str">
        <f>IFERROR(VLOOKUP(C4088,'Clients List'!A:F,6,FALSE),"")</f>
        <v/>
      </c>
    </row>
    <row r="4089" spans="4:9" x14ac:dyDescent="0.45">
      <c r="D4089" t="str">
        <f>IFERROR(VLOOKUP(C4089,'Clients List'!$A:$F,2,FALSE),"")</f>
        <v/>
      </c>
      <c r="F4089" s="1" t="str">
        <f>IF(OR(C4089="",NOT(ISNUMBER(SEARCH("Package",D4089)))),"",VLOOKUP(C4089,'Clients List'!$A:$F,4,FALSE)-SUMIFS($E$2:$E4089,$C$2:$C4089,C4089,$D$2:$D4089,"*Package*"))</f>
        <v/>
      </c>
      <c r="G4089" t="str">
        <f t="shared" si="97"/>
        <v/>
      </c>
      <c r="H4089" s="33">
        <f>IF(ISNUMBER(SEARCH("Group",D4089)),IF(G4089="",E4089,IFERROR(E4089/COUNTIF($G2:$G6000,G4089),E4089)),E4089)</f>
        <v>0</v>
      </c>
      <c r="I4089" s="1" t="str">
        <f>IFERROR(VLOOKUP(C4089,'Clients List'!A:F,6,FALSE),"")</f>
        <v/>
      </c>
    </row>
    <row r="4090" spans="4:9" x14ac:dyDescent="0.45">
      <c r="D4090" t="str">
        <f>IFERROR(VLOOKUP(C4090,'Clients List'!$A:$F,2,FALSE),"")</f>
        <v/>
      </c>
      <c r="F4090" s="1" t="str">
        <f>IF(OR(C4090="",NOT(ISNUMBER(SEARCH("Package",D4090)))),"",VLOOKUP(C4090,'Clients List'!$A:$F,4,FALSE)-SUMIFS($E$2:$E4090,$C$2:$C4090,C4090,$D$2:$D4090,"*Package*"))</f>
        <v/>
      </c>
      <c r="G4090" t="str">
        <f t="shared" si="97"/>
        <v/>
      </c>
      <c r="H4090" s="33">
        <f>IF(ISNUMBER(SEARCH("Group",D4090)),IF(G4090="",E4090,IFERROR(E4090/COUNTIF($G2:$G6000,G4090),E4090)),E4090)</f>
        <v>0</v>
      </c>
      <c r="I4090" s="1" t="str">
        <f>IFERROR(VLOOKUP(C4090,'Clients List'!A:F,6,FALSE),"")</f>
        <v/>
      </c>
    </row>
    <row r="4091" spans="4:9" x14ac:dyDescent="0.45">
      <c r="D4091" t="str">
        <f>IFERROR(VLOOKUP(C4091,'Clients List'!$A:$F,2,FALSE),"")</f>
        <v/>
      </c>
      <c r="F4091" s="1" t="str">
        <f>IF(OR(C4091="",NOT(ISNUMBER(SEARCH("Package",D4091)))),"",VLOOKUP(C4091,'Clients List'!$A:$F,4,FALSE)-SUMIFS($E$2:$E4091,$C$2:$C4091,C4091,$D$2:$D4091,"*Package*"))</f>
        <v/>
      </c>
      <c r="G4091" t="str">
        <f t="shared" si="97"/>
        <v/>
      </c>
      <c r="H4091" s="33">
        <f>IF(ISNUMBER(SEARCH("Group",D4091)),IF(G4091="",E4091,IFERROR(E4091/COUNTIF($G2:$G6000,G4091),E4091)),E4091)</f>
        <v>0</v>
      </c>
      <c r="I4091" s="1" t="str">
        <f>IFERROR(VLOOKUP(C4091,'Clients List'!A:F,6,FALSE),"")</f>
        <v/>
      </c>
    </row>
    <row r="4092" spans="4:9" x14ac:dyDescent="0.45">
      <c r="D4092" t="str">
        <f>IFERROR(VLOOKUP(C4092,'Clients List'!$A:$F,2,FALSE),"")</f>
        <v/>
      </c>
      <c r="F4092" s="1" t="str">
        <f>IF(OR(C4092="",NOT(ISNUMBER(SEARCH("Package",D4092)))),"",VLOOKUP(C4092,'Clients List'!$A:$F,4,FALSE)-SUMIFS($E$2:$E4092,$C$2:$C4092,C4092,$D$2:$D4092,"*Package*"))</f>
        <v/>
      </c>
      <c r="G4092" t="str">
        <f t="shared" si="97"/>
        <v/>
      </c>
      <c r="H4092" s="33">
        <f>IF(ISNUMBER(SEARCH("Group",D4092)),IF(G4092="",E4092,IFERROR(E4092/COUNTIF($G2:$G6000,G4092),E4092)),E4092)</f>
        <v>0</v>
      </c>
      <c r="I4092" s="1" t="str">
        <f>IFERROR(VLOOKUP(C4092,'Clients List'!A:F,6,FALSE),"")</f>
        <v/>
      </c>
    </row>
    <row r="4093" spans="4:9" x14ac:dyDescent="0.45">
      <c r="D4093" t="str">
        <f>IFERROR(VLOOKUP(C4093,'Clients List'!$A:$F,2,FALSE),"")</f>
        <v/>
      </c>
      <c r="F4093" s="1" t="str">
        <f>IF(OR(C4093="",NOT(ISNUMBER(SEARCH("Package",D4093)))),"",VLOOKUP(C4093,'Clients List'!$A:$F,4,FALSE)-SUMIFS($E$2:$E4093,$C$2:$C4093,C4093,$D$2:$D4093,"*Package*"))</f>
        <v/>
      </c>
      <c r="G4093" t="str">
        <f t="shared" si="97"/>
        <v/>
      </c>
      <c r="H4093" s="33">
        <f>IF(ISNUMBER(SEARCH("Group",D4093)),IF(G4093="",E4093,IFERROR(E4093/COUNTIF($G2:$G6000,G4093),E4093)),E4093)</f>
        <v>0</v>
      </c>
      <c r="I4093" s="1" t="str">
        <f>IFERROR(VLOOKUP(C4093,'Clients List'!A:F,6,FALSE),"")</f>
        <v/>
      </c>
    </row>
    <row r="4094" spans="4:9" x14ac:dyDescent="0.45">
      <c r="D4094" t="str">
        <f>IFERROR(VLOOKUP(C4094,'Clients List'!$A:$F,2,FALSE),"")</f>
        <v/>
      </c>
      <c r="F4094" s="1" t="str">
        <f>IF(OR(C4094="",NOT(ISNUMBER(SEARCH("Package",D4094)))),"",VLOOKUP(C4094,'Clients List'!$A:$F,4,FALSE)-SUMIFS($E$2:$E4094,$C$2:$C4094,C4094,$D$2:$D4094,"*Package*"))</f>
        <v/>
      </c>
      <c r="G4094" t="str">
        <f t="shared" si="97"/>
        <v/>
      </c>
      <c r="H4094" s="33">
        <f>IF(ISNUMBER(SEARCH("Group",D4094)),IF(G4094="",E4094,IFERROR(E4094/COUNTIF($G2:$G6000,G4094),E4094)),E4094)</f>
        <v>0</v>
      </c>
      <c r="I4094" s="1" t="str">
        <f>IFERROR(VLOOKUP(C4094,'Clients List'!A:F,6,FALSE),"")</f>
        <v/>
      </c>
    </row>
    <row r="4095" spans="4:9" x14ac:dyDescent="0.45">
      <c r="D4095" t="str">
        <f>IFERROR(VLOOKUP(C4095,'Clients List'!$A:$F,2,FALSE),"")</f>
        <v/>
      </c>
      <c r="F4095" s="1" t="str">
        <f>IF(OR(C4095="",NOT(ISNUMBER(SEARCH("Package",D4095)))),"",VLOOKUP(C4095,'Clients List'!$A:$F,4,FALSE)-SUMIFS($E$2:$E4095,$C$2:$C4095,C4095,$D$2:$D4095,"*Package*"))</f>
        <v/>
      </c>
      <c r="G4095" t="str">
        <f t="shared" si="97"/>
        <v/>
      </c>
      <c r="H4095" s="33">
        <f>IF(ISNUMBER(SEARCH("Group",D4095)),IF(G4095="",E4095,IFERROR(E4095/COUNTIF($G2:$G6000,G4095),E4095)),E4095)</f>
        <v>0</v>
      </c>
      <c r="I4095" s="1" t="str">
        <f>IFERROR(VLOOKUP(C4095,'Clients List'!A:F,6,FALSE),"")</f>
        <v/>
      </c>
    </row>
    <row r="4096" spans="4:9" x14ac:dyDescent="0.45">
      <c r="D4096" t="str">
        <f>IFERROR(VLOOKUP(C4096,'Clients List'!$A:$F,2,FALSE),"")</f>
        <v/>
      </c>
      <c r="F4096" s="1" t="str">
        <f>IF(OR(C4096="",NOT(ISNUMBER(SEARCH("Package",D4096)))),"",VLOOKUP(C4096,'Clients List'!$A:$F,4,FALSE)-SUMIFS($E$2:$E4096,$C$2:$C4096,C4096,$D$2:$D4096,"*Package*"))</f>
        <v/>
      </c>
      <c r="G4096" t="str">
        <f t="shared" si="97"/>
        <v/>
      </c>
      <c r="H4096" s="33">
        <f>IF(ISNUMBER(SEARCH("Group",D4096)),IF(G4096="",E4096,IFERROR(E4096/COUNTIF($G2:$G6000,G4096),E4096)),E4096)</f>
        <v>0</v>
      </c>
      <c r="I4096" s="1" t="str">
        <f>IFERROR(VLOOKUP(C4096,'Clients List'!A:F,6,FALSE),"")</f>
        <v/>
      </c>
    </row>
    <row r="4097" spans="4:9" x14ac:dyDescent="0.45">
      <c r="D4097" t="str">
        <f>IFERROR(VLOOKUP(C4097,'Clients List'!$A:$F,2,FALSE),"")</f>
        <v/>
      </c>
      <c r="F4097" s="1" t="str">
        <f>IF(OR(C4097="",NOT(ISNUMBER(SEARCH("Package",D4097)))),"",VLOOKUP(C4097,'Clients List'!$A:$F,4,FALSE)-SUMIFS($E$2:$E4097,$C$2:$C4097,C4097,$D$2:$D4097,"*Package*"))</f>
        <v/>
      </c>
      <c r="G4097" t="str">
        <f t="shared" si="97"/>
        <v/>
      </c>
      <c r="H4097" s="33">
        <f>IF(ISNUMBER(SEARCH("Group",D4097)),IF(G4097="",E4097,IFERROR(E4097/COUNTIF($G2:$G6000,G4097),E4097)),E4097)</f>
        <v>0</v>
      </c>
      <c r="I4097" s="1" t="str">
        <f>IFERROR(VLOOKUP(C4097,'Clients List'!A:F,6,FALSE),"")</f>
        <v/>
      </c>
    </row>
    <row r="4098" spans="4:9" x14ac:dyDescent="0.45">
      <c r="D4098" t="str">
        <f>IFERROR(VLOOKUP(C4098,'Clients List'!$A:$F,2,FALSE),"")</f>
        <v/>
      </c>
      <c r="F4098" s="1" t="str">
        <f>IF(OR(C4098="",NOT(ISNUMBER(SEARCH("Package",D4098)))),"",VLOOKUP(C4098,'Clients List'!$A:$F,4,FALSE)-SUMIFS($E$2:$E4098,$C$2:$C4098,C4098,$D$2:$D4098,"*Package*"))</f>
        <v/>
      </c>
      <c r="G4098" t="str">
        <f t="shared" si="97"/>
        <v/>
      </c>
      <c r="H4098" s="33">
        <f>IF(ISNUMBER(SEARCH("Group",D4098)),IF(G4098="",E4098,IFERROR(E4098/COUNTIF($G2:$G6000,G4098),E4098)),E4098)</f>
        <v>0</v>
      </c>
      <c r="I4098" s="1" t="str">
        <f>IFERROR(VLOOKUP(C4098,'Clients List'!A:F,6,FALSE),"")</f>
        <v/>
      </c>
    </row>
    <row r="4099" spans="4:9" x14ac:dyDescent="0.45">
      <c r="D4099" t="str">
        <f>IFERROR(VLOOKUP(C4099,'Clients List'!$A:$F,2,FALSE),"")</f>
        <v/>
      </c>
      <c r="F4099" s="1" t="str">
        <f>IF(OR(C4099="",NOT(ISNUMBER(SEARCH("Package",D4099)))),"",VLOOKUP(C4099,'Clients List'!$A:$F,4,FALSE)-SUMIFS($E$2:$E4099,$C$2:$C4099,C4099,$D$2:$D4099,"*Package*"))</f>
        <v/>
      </c>
      <c r="G4099" t="str">
        <f t="shared" si="97"/>
        <v/>
      </c>
      <c r="H4099" s="33">
        <f>IF(ISNUMBER(SEARCH("Group",D4099)),IF(G4099="",E4099,IFERROR(E4099/COUNTIF($G2:$G6000,G4099),E4099)),E4099)</f>
        <v>0</v>
      </c>
      <c r="I4099" s="1" t="str">
        <f>IFERROR(VLOOKUP(C4099,'Clients List'!A:F,6,FALSE),"")</f>
        <v/>
      </c>
    </row>
    <row r="4100" spans="4:9" x14ac:dyDescent="0.45">
      <c r="D4100" t="str">
        <f>IFERROR(VLOOKUP(C4100,'Clients List'!$A:$F,2,FALSE),"")</f>
        <v/>
      </c>
      <c r="F4100" s="1" t="str">
        <f>IF(OR(C4100="",NOT(ISNUMBER(SEARCH("Package",D4100)))),"",VLOOKUP(C4100,'Clients List'!$A:$F,4,FALSE)-SUMIFS($E$2:$E4100,$C$2:$C4100,C4100,$D$2:$D4100,"*Package*"))</f>
        <v/>
      </c>
      <c r="G4100" t="str">
        <f t="shared" si="97"/>
        <v/>
      </c>
      <c r="H4100" s="33">
        <f>IF(ISNUMBER(SEARCH("Group",D4100)),IF(G4100="",E4100,IFERROR(E4100/COUNTIF($G2:$G6000,G4100),E4100)),E4100)</f>
        <v>0</v>
      </c>
      <c r="I4100" s="1" t="str">
        <f>IFERROR(VLOOKUP(C4100,'Clients List'!A:F,6,FALSE),"")</f>
        <v/>
      </c>
    </row>
    <row r="4101" spans="4:9" x14ac:dyDescent="0.45">
      <c r="D4101" t="str">
        <f>IFERROR(VLOOKUP(C4101,'Clients List'!$A:$F,2,FALSE),"")</f>
        <v/>
      </c>
      <c r="F4101" s="1" t="str">
        <f>IF(OR(C4101="",NOT(ISNUMBER(SEARCH("Package",D4101)))),"",VLOOKUP(C4101,'Clients List'!$A:$F,4,FALSE)-SUMIFS($E$2:$E4101,$C$2:$C4101,C4101,$D$2:$D4101,"*Package*"))</f>
        <v/>
      </c>
      <c r="G4101" t="str">
        <f t="shared" si="97"/>
        <v/>
      </c>
      <c r="H4101" s="33">
        <f>IF(ISNUMBER(SEARCH("Group",D4101)),IF(G4101="",E4101,IFERROR(E4101/COUNTIF($G2:$G6000,G4101),E4101)),E4101)</f>
        <v>0</v>
      </c>
      <c r="I4101" s="1" t="str">
        <f>IFERROR(VLOOKUP(C4101,'Clients List'!A:F,6,FALSE),"")</f>
        <v/>
      </c>
    </row>
    <row r="4102" spans="4:9" x14ac:dyDescent="0.45">
      <c r="D4102" t="str">
        <f>IFERROR(VLOOKUP(C4102,'Clients List'!$A:$F,2,FALSE),"")</f>
        <v/>
      </c>
      <c r="F4102" s="1" t="str">
        <f>IF(OR(C4102="",NOT(ISNUMBER(SEARCH("Package",D4102)))),"",VLOOKUP(C4102,'Clients List'!$A:$F,4,FALSE)-SUMIFS($E$2:$E4102,$C$2:$C4102,C4102,$D$2:$D4102,"*Package*"))</f>
        <v/>
      </c>
      <c r="G4102" t="str">
        <f t="shared" si="97"/>
        <v/>
      </c>
      <c r="H4102" s="33">
        <f>IF(ISNUMBER(SEARCH("Group",D4102)),IF(G4102="",E4102,IFERROR(E4102/COUNTIF($G2:$G6000,G4102),E4102)),E4102)</f>
        <v>0</v>
      </c>
      <c r="I4102" s="1" t="str">
        <f>IFERROR(VLOOKUP(C4102,'Clients List'!A:F,6,FALSE),"")</f>
        <v/>
      </c>
    </row>
    <row r="4103" spans="4:9" x14ac:dyDescent="0.45">
      <c r="D4103" t="str">
        <f>IFERROR(VLOOKUP(C4103,'Clients List'!$A:$F,2,FALSE),"")</f>
        <v/>
      </c>
      <c r="F4103" s="1" t="str">
        <f>IF(OR(C4103="",NOT(ISNUMBER(SEARCH("Package",D4103)))),"",VLOOKUP(C4103,'Clients List'!$A:$F,4,FALSE)-SUMIFS($E$2:$E4103,$C$2:$C4103,C4103,$D$2:$D4103,"*Package*"))</f>
        <v/>
      </c>
      <c r="G4103" t="str">
        <f t="shared" si="97"/>
        <v/>
      </c>
      <c r="H4103" s="33">
        <f>IF(ISNUMBER(SEARCH("Group",D4103)),IF(G4103="",E4103,IFERROR(E4103/COUNTIF($G2:$G6000,G4103),E4103)),E4103)</f>
        <v>0</v>
      </c>
      <c r="I4103" s="1" t="str">
        <f>IFERROR(VLOOKUP(C4103,'Clients List'!A:F,6,FALSE),"")</f>
        <v/>
      </c>
    </row>
    <row r="4104" spans="4:9" x14ac:dyDescent="0.45">
      <c r="D4104" t="str">
        <f>IFERROR(VLOOKUP(C4104,'Clients List'!$A:$F,2,FALSE),"")</f>
        <v/>
      </c>
      <c r="F4104" s="1" t="str">
        <f>IF(OR(C4104="",NOT(ISNUMBER(SEARCH("Package",D4104)))),"",VLOOKUP(C4104,'Clients List'!$A:$F,4,FALSE)-SUMIFS($E$2:$E4104,$C$2:$C4104,C4104,$D$2:$D4104,"*Package*"))</f>
        <v/>
      </c>
      <c r="G4104" t="str">
        <f t="shared" si="97"/>
        <v/>
      </c>
      <c r="H4104" s="33">
        <f>IF(ISNUMBER(SEARCH("Group",D4104)),IF(G4104="",E4104,IFERROR(E4104/COUNTIF($G2:$G6000,G4104),E4104)),E4104)</f>
        <v>0</v>
      </c>
      <c r="I4104" s="1" t="str">
        <f>IFERROR(VLOOKUP(C4104,'Clients List'!A:F,6,FALSE),"")</f>
        <v/>
      </c>
    </row>
    <row r="4105" spans="4:9" x14ac:dyDescent="0.45">
      <c r="D4105" t="str">
        <f>IFERROR(VLOOKUP(C4105,'Clients List'!$A:$F,2,FALSE),"")</f>
        <v/>
      </c>
      <c r="F4105" s="1" t="str">
        <f>IF(OR(C4105="",NOT(ISNUMBER(SEARCH("Package",D4105)))),"",VLOOKUP(C4105,'Clients List'!$A:$F,4,FALSE)-SUMIFS($E$2:$E4105,$C$2:$C4105,C4105,$D$2:$D4105,"*Package*"))</f>
        <v/>
      </c>
      <c r="G4105" t="str">
        <f t="shared" si="97"/>
        <v/>
      </c>
      <c r="H4105" s="33">
        <f>IF(ISNUMBER(SEARCH("Group",D4105)),IF(G4105="",E4105,IFERROR(E4105/COUNTIF($G2:$G6000,G4105),E4105)),E4105)</f>
        <v>0</v>
      </c>
      <c r="I4105" s="1" t="str">
        <f>IFERROR(VLOOKUP(C4105,'Clients List'!A:F,6,FALSE),"")</f>
        <v/>
      </c>
    </row>
    <row r="4106" spans="4:9" x14ac:dyDescent="0.45">
      <c r="D4106" t="str">
        <f>IFERROR(VLOOKUP(C4106,'Clients List'!$A:$F,2,FALSE),"")</f>
        <v/>
      </c>
      <c r="F4106" s="1" t="str">
        <f>IF(OR(C4106="",NOT(ISNUMBER(SEARCH("Package",D4106)))),"",VLOOKUP(C4106,'Clients List'!$A:$F,4,FALSE)-SUMIFS($E$2:$E4106,$C$2:$C4106,C4106,$D$2:$D4106,"*Package*"))</f>
        <v/>
      </c>
      <c r="G4106" t="str">
        <f t="shared" si="97"/>
        <v/>
      </c>
      <c r="H4106" s="33">
        <f>IF(ISNUMBER(SEARCH("Group",D4106)),IF(G4106="",E4106,IFERROR(E4106/COUNTIF($G2:$G6000,G4106),E4106)),E4106)</f>
        <v>0</v>
      </c>
      <c r="I4106" s="1" t="str">
        <f>IFERROR(VLOOKUP(C4106,'Clients List'!A:F,6,FALSE),"")</f>
        <v/>
      </c>
    </row>
    <row r="4107" spans="4:9" x14ac:dyDescent="0.45">
      <c r="D4107" t="str">
        <f>IFERROR(VLOOKUP(C4107,'Clients List'!$A:$F,2,FALSE),"")</f>
        <v/>
      </c>
      <c r="F4107" s="1" t="str">
        <f>IF(OR(C4107="",NOT(ISNUMBER(SEARCH("Package",D4107)))),"",VLOOKUP(C4107,'Clients List'!$A:$F,4,FALSE)-SUMIFS($E$2:$E4107,$C$2:$C4107,C4107,$D$2:$D4107,"*Package*"))</f>
        <v/>
      </c>
      <c r="G4107" t="str">
        <f t="shared" si="97"/>
        <v/>
      </c>
      <c r="H4107" s="33">
        <f>IF(ISNUMBER(SEARCH("Group",D4107)),IF(G4107="",E4107,IFERROR(E4107/COUNTIF($G2:$G6000,G4107),E4107)),E4107)</f>
        <v>0</v>
      </c>
      <c r="I4107" s="1" t="str">
        <f>IFERROR(VLOOKUP(C4107,'Clients List'!A:F,6,FALSE),"")</f>
        <v/>
      </c>
    </row>
    <row r="4108" spans="4:9" x14ac:dyDescent="0.45">
      <c r="D4108" t="str">
        <f>IFERROR(VLOOKUP(C4108,'Clients List'!$A:$F,2,FALSE),"")</f>
        <v/>
      </c>
      <c r="F4108" s="1" t="str">
        <f>IF(OR(C4108="",NOT(ISNUMBER(SEARCH("Package",D4108)))),"",VLOOKUP(C4108,'Clients List'!$A:$F,4,FALSE)-SUMIFS($E$2:$E4108,$C$2:$C4108,C4108,$D$2:$D4108,"*Package*"))</f>
        <v/>
      </c>
      <c r="G4108" t="str">
        <f t="shared" si="97"/>
        <v/>
      </c>
      <c r="H4108" s="33">
        <f>IF(ISNUMBER(SEARCH("Group",D4108)),IF(G4108="",E4108,IFERROR(E4108/COUNTIF($G2:$G6000,G4108),E4108)),E4108)</f>
        <v>0</v>
      </c>
      <c r="I4108" s="1" t="str">
        <f>IFERROR(VLOOKUP(C4108,'Clients List'!A:F,6,FALSE),"")</f>
        <v/>
      </c>
    </row>
    <row r="4109" spans="4:9" x14ac:dyDescent="0.45">
      <c r="D4109" t="str">
        <f>IFERROR(VLOOKUP(C4109,'Clients List'!$A:$F,2,FALSE),"")</f>
        <v/>
      </c>
      <c r="F4109" s="1" t="str">
        <f>IF(OR(C4109="",NOT(ISNUMBER(SEARCH("Package",D4109)))),"",VLOOKUP(C4109,'Clients List'!$A:$F,4,FALSE)-SUMIFS($E$2:$E4109,$C$2:$C4109,C4109,$D$2:$D4109,"*Package*"))</f>
        <v/>
      </c>
      <c r="G4109" t="str">
        <f t="shared" si="97"/>
        <v/>
      </c>
      <c r="H4109" s="33">
        <f>IF(ISNUMBER(SEARCH("Group",D4109)),IF(G4109="",E4109,IFERROR(E4109/COUNTIF($G2:$G6000,G4109),E4109)),E4109)</f>
        <v>0</v>
      </c>
      <c r="I4109" s="1" t="str">
        <f>IFERROR(VLOOKUP(C4109,'Clients List'!A:F,6,FALSE),"")</f>
        <v/>
      </c>
    </row>
    <row r="4110" spans="4:9" x14ac:dyDescent="0.45">
      <c r="D4110" t="str">
        <f>IFERROR(VLOOKUP(C4110,'Clients List'!$A:$F,2,FALSE),"")</f>
        <v/>
      </c>
      <c r="F4110" s="1" t="str">
        <f>IF(OR(C4110="",NOT(ISNUMBER(SEARCH("Package",D4110)))),"",VLOOKUP(C4110,'Clients List'!$A:$F,4,FALSE)-SUMIFS($E$2:$E4110,$C$2:$C4110,C4110,$D$2:$D4110,"*Package*"))</f>
        <v/>
      </c>
      <c r="G4110" t="str">
        <f t="shared" si="97"/>
        <v/>
      </c>
      <c r="H4110" s="33">
        <f>IF(ISNUMBER(SEARCH("Group",D4110)),IF(G4110="",E4110,IFERROR(E4110/COUNTIF($G2:$G6000,G4110),E4110)),E4110)</f>
        <v>0</v>
      </c>
      <c r="I4110" s="1" t="str">
        <f>IFERROR(VLOOKUP(C4110,'Clients List'!A:F,6,FALSE),"")</f>
        <v/>
      </c>
    </row>
    <row r="4111" spans="4:9" x14ac:dyDescent="0.45">
      <c r="D4111" t="str">
        <f>IFERROR(VLOOKUP(C4111,'Clients List'!$A:$F,2,FALSE),"")</f>
        <v/>
      </c>
      <c r="F4111" s="1" t="str">
        <f>IF(OR(C4111="",NOT(ISNUMBER(SEARCH("Package",D4111)))),"",VLOOKUP(C4111,'Clients List'!$A:$F,4,FALSE)-SUMIFS($E$2:$E4111,$C$2:$C4111,C4111,$D$2:$D4111,"*Package*"))</f>
        <v/>
      </c>
      <c r="G4111" t="str">
        <f t="shared" si="97"/>
        <v/>
      </c>
      <c r="H4111" s="33">
        <f>IF(ISNUMBER(SEARCH("Group",D4111)),IF(G4111="",E4111,IFERROR(E4111/COUNTIF($G2:$G6000,G4111),E4111)),E4111)</f>
        <v>0</v>
      </c>
      <c r="I4111" s="1" t="str">
        <f>IFERROR(VLOOKUP(C4111,'Clients List'!A:F,6,FALSE),"")</f>
        <v/>
      </c>
    </row>
    <row r="4112" spans="4:9" x14ac:dyDescent="0.45">
      <c r="D4112" t="str">
        <f>IFERROR(VLOOKUP(C4112,'Clients List'!$A:$F,2,FALSE),"")</f>
        <v/>
      </c>
      <c r="F4112" s="1" t="str">
        <f>IF(OR(C4112="",NOT(ISNUMBER(SEARCH("Package",D4112)))),"",VLOOKUP(C4112,'Clients List'!$A:$F,4,FALSE)-SUMIFS($E$2:$E4112,$C$2:$C4112,C4112,$D$2:$D4112,"*Package*"))</f>
        <v/>
      </c>
      <c r="G4112" t="str">
        <f t="shared" si="97"/>
        <v/>
      </c>
      <c r="H4112" s="33">
        <f>IF(ISNUMBER(SEARCH("Group",D4112)),IF(G4112="",E4112,IFERROR(E4112/COUNTIF($G2:$G6000,G4112),E4112)),E4112)</f>
        <v>0</v>
      </c>
      <c r="I4112" s="1" t="str">
        <f>IFERROR(VLOOKUP(C4112,'Clients List'!A:F,6,FALSE),"")</f>
        <v/>
      </c>
    </row>
    <row r="4113" spans="4:9" x14ac:dyDescent="0.45">
      <c r="D4113" t="str">
        <f>IFERROR(VLOOKUP(C4113,'Clients List'!$A:$F,2,FALSE),"")</f>
        <v/>
      </c>
      <c r="F4113" s="1" t="str">
        <f>IF(OR(C4113="",NOT(ISNUMBER(SEARCH("Package",D4113)))),"",VLOOKUP(C4113,'Clients List'!$A:$F,4,FALSE)-SUMIFS($E$2:$E4113,$C$2:$C4113,C4113,$D$2:$D4113,"*Package*"))</f>
        <v/>
      </c>
      <c r="G4113" t="str">
        <f t="shared" si="97"/>
        <v/>
      </c>
      <c r="H4113" s="33">
        <f>IF(ISNUMBER(SEARCH("Group",D4113)),IF(G4113="",E4113,IFERROR(E4113/COUNTIF($G2:$G6000,G4113),E4113)),E4113)</f>
        <v>0</v>
      </c>
      <c r="I4113" s="1" t="str">
        <f>IFERROR(VLOOKUP(C4113,'Clients List'!A:F,6,FALSE),"")</f>
        <v/>
      </c>
    </row>
    <row r="4114" spans="4:9" x14ac:dyDescent="0.45">
      <c r="D4114" t="str">
        <f>IFERROR(VLOOKUP(C4114,'Clients List'!$A:$F,2,FALSE),"")</f>
        <v/>
      </c>
      <c r="F4114" s="1" t="str">
        <f>IF(OR(C4114="",NOT(ISNUMBER(SEARCH("Package",D4114)))),"",VLOOKUP(C4114,'Clients List'!$A:$F,4,FALSE)-SUMIFS($E$2:$E4114,$C$2:$C4114,C4114,$D$2:$D4114,"*Package*"))</f>
        <v/>
      </c>
      <c r="G4114" t="str">
        <f t="shared" si="97"/>
        <v/>
      </c>
      <c r="H4114" s="33">
        <f>IF(ISNUMBER(SEARCH("Group",D4114)),IF(G4114="",E4114,IFERROR(E4114/COUNTIF($G2:$G6000,G4114),E4114)),E4114)</f>
        <v>0</v>
      </c>
      <c r="I4114" s="1" t="str">
        <f>IFERROR(VLOOKUP(C4114,'Clients List'!A:F,6,FALSE),"")</f>
        <v/>
      </c>
    </row>
    <row r="4115" spans="4:9" x14ac:dyDescent="0.45">
      <c r="D4115" t="str">
        <f>IFERROR(VLOOKUP(C4115,'Clients List'!$A:$F,2,FALSE),"")</f>
        <v/>
      </c>
      <c r="F4115" s="1" t="str">
        <f>IF(OR(C4115="",NOT(ISNUMBER(SEARCH("Package",D4115)))),"",VLOOKUP(C4115,'Clients List'!$A:$F,4,FALSE)-SUMIFS($E$2:$E4115,$C$2:$C4115,C4115,$D$2:$D4115,"*Package*"))</f>
        <v/>
      </c>
      <c r="G4115" t="str">
        <f t="shared" si="97"/>
        <v/>
      </c>
      <c r="H4115" s="33">
        <f>IF(ISNUMBER(SEARCH("Group",D4115)),IF(G4115="",E4115,IFERROR(E4115/COUNTIF($G2:$G6000,G4115),E4115)),E4115)</f>
        <v>0</v>
      </c>
      <c r="I4115" s="1" t="str">
        <f>IFERROR(VLOOKUP(C4115,'Clients List'!A:F,6,FALSE),"")</f>
        <v/>
      </c>
    </row>
    <row r="4116" spans="4:9" x14ac:dyDescent="0.45">
      <c r="D4116" t="str">
        <f>IFERROR(VLOOKUP(C4116,'Clients List'!$A:$F,2,FALSE),"")</f>
        <v/>
      </c>
      <c r="F4116" s="1" t="str">
        <f>IF(OR(C4116="",NOT(ISNUMBER(SEARCH("Package",D4116)))),"",VLOOKUP(C4116,'Clients List'!$A:$F,4,FALSE)-SUMIFS($E$2:$E4116,$C$2:$C4116,C4116,$D$2:$D4116,"*Package*"))</f>
        <v/>
      </c>
      <c r="G4116" t="str">
        <f t="shared" si="97"/>
        <v/>
      </c>
      <c r="H4116" s="33">
        <f>IF(ISNUMBER(SEARCH("Group",D4116)),IF(G4116="",E4116,IFERROR(E4116/COUNTIF($G2:$G6000,G4116),E4116)),E4116)</f>
        <v>0</v>
      </c>
      <c r="I4116" s="1" t="str">
        <f>IFERROR(VLOOKUP(C4116,'Clients List'!A:F,6,FALSE),"")</f>
        <v/>
      </c>
    </row>
    <row r="4117" spans="4:9" x14ac:dyDescent="0.45">
      <c r="D4117" t="str">
        <f>IFERROR(VLOOKUP(C4117,'Clients List'!$A:$F,2,FALSE),"")</f>
        <v/>
      </c>
      <c r="F4117" s="1" t="str">
        <f>IF(OR(C4117="",NOT(ISNUMBER(SEARCH("Package",D4117)))),"",VLOOKUP(C4117,'Clients List'!$A:$F,4,FALSE)-SUMIFS($E$2:$E4117,$C$2:$C4117,C4117,$D$2:$D4117,"*Package*"))</f>
        <v/>
      </c>
      <c r="G4117" t="str">
        <f t="shared" si="97"/>
        <v/>
      </c>
      <c r="H4117" s="33">
        <f>IF(ISNUMBER(SEARCH("Group",D4117)),IF(G4117="",E4117,IFERROR(E4117/COUNTIF($G2:$G6000,G4117),E4117)),E4117)</f>
        <v>0</v>
      </c>
      <c r="I4117" s="1" t="str">
        <f>IFERROR(VLOOKUP(C4117,'Clients List'!A:F,6,FALSE),"")</f>
        <v/>
      </c>
    </row>
    <row r="4118" spans="4:9" x14ac:dyDescent="0.45">
      <c r="D4118" t="str">
        <f>IFERROR(VLOOKUP(C4118,'Clients List'!$A:$F,2,FALSE),"")</f>
        <v/>
      </c>
      <c r="F4118" s="1" t="str">
        <f>IF(OR(C4118="",NOT(ISNUMBER(SEARCH("Package",D4118)))),"",VLOOKUP(C4118,'Clients List'!$A:$F,4,FALSE)-SUMIFS($E$2:$E4118,$C$2:$C4118,C4118,$D$2:$D4118,"*Package*"))</f>
        <v/>
      </c>
      <c r="G4118" t="str">
        <f t="shared" si="97"/>
        <v/>
      </c>
      <c r="H4118" s="33">
        <f>IF(ISNUMBER(SEARCH("Group",D4118)),IF(G4118="",E4118,IFERROR(E4118/COUNTIF($G2:$G6000,G4118),E4118)),E4118)</f>
        <v>0</v>
      </c>
      <c r="I4118" s="1" t="str">
        <f>IFERROR(VLOOKUP(C4118,'Clients List'!A:F,6,FALSE),"")</f>
        <v/>
      </c>
    </row>
    <row r="4119" spans="4:9" x14ac:dyDescent="0.45">
      <c r="D4119" t="str">
        <f>IFERROR(VLOOKUP(C4119,'Clients List'!$A:$F,2,FALSE),"")</f>
        <v/>
      </c>
      <c r="F4119" s="1" t="str">
        <f>IF(OR(C4119="",NOT(ISNUMBER(SEARCH("Package",D4119)))),"",VLOOKUP(C4119,'Clients List'!$A:$F,4,FALSE)-SUMIFS($E$2:$E4119,$C$2:$C4119,C4119,$D$2:$D4119,"*Package*"))</f>
        <v/>
      </c>
      <c r="G4119" t="str">
        <f t="shared" si="97"/>
        <v/>
      </c>
      <c r="H4119" s="33">
        <f>IF(ISNUMBER(SEARCH("Group",D4119)),IF(G4119="",E4119,IFERROR(E4119/COUNTIF($G2:$G6000,G4119),E4119)),E4119)</f>
        <v>0</v>
      </c>
      <c r="I4119" s="1" t="str">
        <f>IFERROR(VLOOKUP(C4119,'Clients List'!A:F,6,FALSE),"")</f>
        <v/>
      </c>
    </row>
    <row r="4120" spans="4:9" x14ac:dyDescent="0.45">
      <c r="D4120" t="str">
        <f>IFERROR(VLOOKUP(C4120,'Clients List'!$A:$F,2,FALSE),"")</f>
        <v/>
      </c>
      <c r="F4120" s="1" t="str">
        <f>IF(OR(C4120="",NOT(ISNUMBER(SEARCH("Package",D4120)))),"",VLOOKUP(C4120,'Clients List'!$A:$F,4,FALSE)-SUMIFS($E$2:$E4120,$C$2:$C4120,C4120,$D$2:$D4120,"*Package*"))</f>
        <v/>
      </c>
      <c r="G4120" t="str">
        <f t="shared" si="97"/>
        <v/>
      </c>
      <c r="H4120" s="33">
        <f>IF(ISNUMBER(SEARCH("Group",D4120)),IF(G4120="",E4120,IFERROR(E4120/COUNTIF($G2:$G6000,G4120),E4120)),E4120)</f>
        <v>0</v>
      </c>
      <c r="I4120" s="1" t="str">
        <f>IFERROR(VLOOKUP(C4120,'Clients List'!A:F,6,FALSE),"")</f>
        <v/>
      </c>
    </row>
    <row r="4121" spans="4:9" x14ac:dyDescent="0.45">
      <c r="D4121" t="str">
        <f>IFERROR(VLOOKUP(C4121,'Clients List'!$A:$F,2,FALSE),"")</f>
        <v/>
      </c>
      <c r="F4121" s="1" t="str">
        <f>IF(OR(C4121="",NOT(ISNUMBER(SEARCH("Package",D4121)))),"",VLOOKUP(C4121,'Clients List'!$A:$F,4,FALSE)-SUMIFS($E$2:$E4121,$C$2:$C4121,C4121,$D$2:$D4121,"*Package*"))</f>
        <v/>
      </c>
      <c r="G4121" t="str">
        <f t="shared" si="97"/>
        <v/>
      </c>
      <c r="H4121" s="33">
        <f>IF(ISNUMBER(SEARCH("Group",D4121)),IF(G4121="",E4121,IFERROR(E4121/COUNTIF($G2:$G6000,G4121),E4121)),E4121)</f>
        <v>0</v>
      </c>
      <c r="I4121" s="1" t="str">
        <f>IFERROR(VLOOKUP(C4121,'Clients List'!A:F,6,FALSE),"")</f>
        <v/>
      </c>
    </row>
    <row r="4122" spans="4:9" x14ac:dyDescent="0.45">
      <c r="D4122" t="str">
        <f>IFERROR(VLOOKUP(C4122,'Clients List'!$A:$F,2,FALSE),"")</f>
        <v/>
      </c>
      <c r="F4122" s="1" t="str">
        <f>IF(OR(C4122="",NOT(ISNUMBER(SEARCH("Package",D4122)))),"",VLOOKUP(C4122,'Clients List'!$A:$F,4,FALSE)-SUMIFS($E$2:$E4122,$C$2:$C4122,C4122,$D$2:$D4122,"*Package*"))</f>
        <v/>
      </c>
      <c r="G4122" t="str">
        <f t="shared" si="97"/>
        <v/>
      </c>
      <c r="H4122" s="33">
        <f>IF(ISNUMBER(SEARCH("Group",D4122)),IF(G4122="",E4122,IFERROR(E4122/COUNTIF($G2:$G6000,G4122),E4122)),E4122)</f>
        <v>0</v>
      </c>
      <c r="I4122" s="1" t="str">
        <f>IFERROR(VLOOKUP(C4122,'Clients List'!A:F,6,FALSE),"")</f>
        <v/>
      </c>
    </row>
    <row r="4123" spans="4:9" x14ac:dyDescent="0.45">
      <c r="D4123" t="str">
        <f>IFERROR(VLOOKUP(C4123,'Clients List'!$A:$F,2,FALSE),"")</f>
        <v/>
      </c>
      <c r="F4123" s="1" t="str">
        <f>IF(OR(C4123="",NOT(ISNUMBER(SEARCH("Package",D4123)))),"",VLOOKUP(C4123,'Clients List'!$A:$F,4,FALSE)-SUMIFS($E$2:$E4123,$C$2:$C4123,C4123,$D$2:$D4123,"*Package*"))</f>
        <v/>
      </c>
      <c r="G4123" t="str">
        <f t="shared" si="97"/>
        <v/>
      </c>
      <c r="H4123" s="33">
        <f>IF(ISNUMBER(SEARCH("Group",D4123)),IF(G4123="",E4123,IFERROR(E4123/COUNTIF($G2:$G6000,G4123),E4123)),E4123)</f>
        <v>0</v>
      </c>
      <c r="I4123" s="1" t="str">
        <f>IFERROR(VLOOKUP(C4123,'Clients List'!A:F,6,FALSE),"")</f>
        <v/>
      </c>
    </row>
    <row r="4124" spans="4:9" x14ac:dyDescent="0.45">
      <c r="D4124" t="str">
        <f>IFERROR(VLOOKUP(C4124,'Clients List'!$A:$F,2,FALSE),"")</f>
        <v/>
      </c>
      <c r="F4124" s="1" t="str">
        <f>IF(OR(C4124="",NOT(ISNUMBER(SEARCH("Package",D4124)))),"",VLOOKUP(C4124,'Clients List'!$A:$F,4,FALSE)-SUMIFS($E$2:$E4124,$C$2:$C4124,C4124,$D$2:$D4124,"*Package*"))</f>
        <v/>
      </c>
      <c r="G4124" t="str">
        <f t="shared" si="97"/>
        <v/>
      </c>
      <c r="H4124" s="33">
        <f>IF(ISNUMBER(SEARCH("Group",D4124)),IF(G4124="",E4124,IFERROR(E4124/COUNTIF($G2:$G6000,G4124),E4124)),E4124)</f>
        <v>0</v>
      </c>
      <c r="I4124" s="1" t="str">
        <f>IFERROR(VLOOKUP(C4124,'Clients List'!A:F,6,FALSE),"")</f>
        <v/>
      </c>
    </row>
    <row r="4125" spans="4:9" x14ac:dyDescent="0.45">
      <c r="D4125" t="str">
        <f>IFERROR(VLOOKUP(C4125,'Clients List'!$A:$F,2,FALSE),"")</f>
        <v/>
      </c>
      <c r="F4125" s="1" t="str">
        <f>IF(OR(C4125="",NOT(ISNUMBER(SEARCH("Package",D4125)))),"",VLOOKUP(C4125,'Clients List'!$A:$F,4,FALSE)-SUMIFS($E$2:$E4125,$C$2:$C4125,C4125,$D$2:$D4125,"*Package*"))</f>
        <v/>
      </c>
      <c r="G4125" t="str">
        <f t="shared" si="97"/>
        <v/>
      </c>
      <c r="H4125" s="33">
        <f>IF(ISNUMBER(SEARCH("Group",D4125)),IF(G4125="",E4125,IFERROR(E4125/COUNTIF($G2:$G6000,G4125),E4125)),E4125)</f>
        <v>0</v>
      </c>
      <c r="I4125" s="1" t="str">
        <f>IFERROR(VLOOKUP(C4125,'Clients List'!A:F,6,FALSE),"")</f>
        <v/>
      </c>
    </row>
    <row r="4126" spans="4:9" x14ac:dyDescent="0.45">
      <c r="D4126" t="str">
        <f>IFERROR(VLOOKUP(C4126,'Clients List'!$A:$F,2,FALSE),"")</f>
        <v/>
      </c>
      <c r="F4126" s="1" t="str">
        <f>IF(OR(C4126="",NOT(ISNUMBER(SEARCH("Package",D4126)))),"",VLOOKUP(C4126,'Clients List'!$A:$F,4,FALSE)-SUMIFS($E$2:$E4126,$C$2:$C4126,C4126,$D$2:$D4126,"*Package*"))</f>
        <v/>
      </c>
      <c r="G4126" t="str">
        <f t="shared" si="97"/>
        <v/>
      </c>
      <c r="H4126" s="33">
        <f>IF(ISNUMBER(SEARCH("Group",D4126)),IF(G4126="",E4126,IFERROR(E4126/COUNTIF($G2:$G6000,G4126),E4126)),E4126)</f>
        <v>0</v>
      </c>
      <c r="I4126" s="1" t="str">
        <f>IFERROR(VLOOKUP(C4126,'Clients List'!A:F,6,FALSE),"")</f>
        <v/>
      </c>
    </row>
    <row r="4127" spans="4:9" x14ac:dyDescent="0.45">
      <c r="D4127" t="str">
        <f>IFERROR(VLOOKUP(C4127,'Clients List'!$A:$F,2,FALSE),"")</f>
        <v/>
      </c>
      <c r="F4127" s="1" t="str">
        <f>IF(OR(C4127="",NOT(ISNUMBER(SEARCH("Package",D4127)))),"",VLOOKUP(C4127,'Clients List'!$A:$F,4,FALSE)-SUMIFS($E$2:$E4127,$C$2:$C4127,C4127,$D$2:$D4127,"*Package*"))</f>
        <v/>
      </c>
      <c r="G4127" t="str">
        <f t="shared" si="97"/>
        <v/>
      </c>
      <c r="H4127" s="33">
        <f>IF(ISNUMBER(SEARCH("Group",D4127)),IF(G4127="",E4127,IFERROR(E4127/COUNTIF($G2:$G6000,G4127),E4127)),E4127)</f>
        <v>0</v>
      </c>
      <c r="I4127" s="1" t="str">
        <f>IFERROR(VLOOKUP(C4127,'Clients List'!A:F,6,FALSE),"")</f>
        <v/>
      </c>
    </row>
    <row r="4128" spans="4:9" x14ac:dyDescent="0.45">
      <c r="D4128" t="str">
        <f>IFERROR(VLOOKUP(C4128,'Clients List'!$A:$F,2,FALSE),"")</f>
        <v/>
      </c>
      <c r="F4128" s="1" t="str">
        <f>IF(OR(C4128="",NOT(ISNUMBER(SEARCH("Package",D4128)))),"",VLOOKUP(C4128,'Clients List'!$A:$F,4,FALSE)-SUMIFS($E$2:$E4128,$C$2:$C4128,C4128,$D$2:$D4128,"*Package*"))</f>
        <v/>
      </c>
      <c r="G4128" t="str">
        <f t="shared" si="97"/>
        <v/>
      </c>
      <c r="H4128" s="33">
        <f>IF(ISNUMBER(SEARCH("Group",D4128)),IF(G4128="",E4128,IFERROR(E4128/COUNTIF($G2:$G6000,G4128),E4128)),E4128)</f>
        <v>0</v>
      </c>
      <c r="I4128" s="1" t="str">
        <f>IFERROR(VLOOKUP(C4128,'Clients List'!A:F,6,FALSE),"")</f>
        <v/>
      </c>
    </row>
    <row r="4129" spans="4:9" x14ac:dyDescent="0.45">
      <c r="D4129" t="str">
        <f>IFERROR(VLOOKUP(C4129,'Clients List'!$A:$F,2,FALSE),"")</f>
        <v/>
      </c>
      <c r="F4129" s="1" t="str">
        <f>IF(OR(C4129="",NOT(ISNUMBER(SEARCH("Package",D4129)))),"",VLOOKUP(C4129,'Clients List'!$A:$F,4,FALSE)-SUMIFS($E$2:$E4129,$C$2:$C4129,C4129,$D$2:$D4129,"*Package*"))</f>
        <v/>
      </c>
      <c r="G4129" t="str">
        <f t="shared" si="97"/>
        <v/>
      </c>
      <c r="H4129" s="33">
        <f>IF(ISNUMBER(SEARCH("Group",D4129)),IF(G4129="",E4129,IFERROR(E4129/COUNTIF($G2:$G6000,G4129),E4129)),E4129)</f>
        <v>0</v>
      </c>
      <c r="I4129" s="1" t="str">
        <f>IFERROR(VLOOKUP(C4129,'Clients List'!A:F,6,FALSE),"")</f>
        <v/>
      </c>
    </row>
    <row r="4130" spans="4:9" x14ac:dyDescent="0.45">
      <c r="D4130" t="str">
        <f>IFERROR(VLOOKUP(C4130,'Clients List'!$A:$F,2,FALSE),"")</f>
        <v/>
      </c>
      <c r="F4130" s="1" t="str">
        <f>IF(OR(C4130="",NOT(ISNUMBER(SEARCH("Package",D4130)))),"",VLOOKUP(C4130,'Clients List'!$A:$F,4,FALSE)-SUMIFS($E$2:$E4130,$C$2:$C4130,C4130,$D$2:$D4130,"*Package*"))</f>
        <v/>
      </c>
      <c r="G4130" t="str">
        <f t="shared" si="97"/>
        <v/>
      </c>
      <c r="H4130" s="33">
        <f>IF(ISNUMBER(SEARCH("Group",D4130)),IF(G4130="",E4130,IFERROR(E4130/COUNTIF($G2:$G6000,G4130),E4130)),E4130)</f>
        <v>0</v>
      </c>
      <c r="I4130" s="1" t="str">
        <f>IFERROR(VLOOKUP(C4130,'Clients List'!A:F,6,FALSE),"")</f>
        <v/>
      </c>
    </row>
    <row r="4131" spans="4:9" x14ac:dyDescent="0.45">
      <c r="D4131" t="str">
        <f>IFERROR(VLOOKUP(C4131,'Clients List'!$A:$F,2,FALSE),"")</f>
        <v/>
      </c>
      <c r="F4131" s="1" t="str">
        <f>IF(OR(C4131="",NOT(ISNUMBER(SEARCH("Package",D4131)))),"",VLOOKUP(C4131,'Clients List'!$A:$F,4,FALSE)-SUMIFS($E$2:$E4131,$C$2:$C4131,C4131,$D$2:$D4131,"*Package*"))</f>
        <v/>
      </c>
      <c r="G4131" t="str">
        <f t="shared" si="97"/>
        <v/>
      </c>
      <c r="H4131" s="33">
        <f>IF(ISNUMBER(SEARCH("Group",D4131)),IF(G4131="",E4131,IFERROR(E4131/COUNTIF($G2:$G6000,G4131),E4131)),E4131)</f>
        <v>0</v>
      </c>
      <c r="I4131" s="1" t="str">
        <f>IFERROR(VLOOKUP(C4131,'Clients List'!A:F,6,FALSE),"")</f>
        <v/>
      </c>
    </row>
    <row r="4132" spans="4:9" x14ac:dyDescent="0.45">
      <c r="D4132" t="str">
        <f>IFERROR(VLOOKUP(C4132,'Clients List'!$A:$F,2,FALSE),"")</f>
        <v/>
      </c>
      <c r="F4132" s="1" t="str">
        <f>IF(OR(C4132="",NOT(ISNUMBER(SEARCH("Package",D4132)))),"",VLOOKUP(C4132,'Clients List'!$A:$F,4,FALSE)-SUMIFS($E$2:$E4132,$C$2:$C4132,C4132,$D$2:$D4132,"*Package*"))</f>
        <v/>
      </c>
      <c r="G4132" t="str">
        <f t="shared" si="97"/>
        <v/>
      </c>
      <c r="H4132" s="33">
        <f>IF(ISNUMBER(SEARCH("Group",D4132)),IF(G4132="",E4132,IFERROR(E4132/COUNTIF($G2:$G6000,G4132),E4132)),E4132)</f>
        <v>0</v>
      </c>
      <c r="I4132" s="1" t="str">
        <f>IFERROR(VLOOKUP(C4132,'Clients List'!A:F,6,FALSE),"")</f>
        <v/>
      </c>
    </row>
    <row r="4133" spans="4:9" x14ac:dyDescent="0.45">
      <c r="D4133" t="str">
        <f>IFERROR(VLOOKUP(C4133,'Clients List'!$A:$F,2,FALSE),"")</f>
        <v/>
      </c>
      <c r="F4133" s="1" t="str">
        <f>IF(OR(C4133="",NOT(ISNUMBER(SEARCH("Package",D4133)))),"",VLOOKUP(C4133,'Clients List'!$A:$F,4,FALSE)-SUMIFS($E$2:$E4133,$C$2:$C4133,C4133,$D$2:$D4133,"*Package*"))</f>
        <v/>
      </c>
      <c r="G4133" t="str">
        <f t="shared" si="97"/>
        <v/>
      </c>
      <c r="H4133" s="33">
        <f>IF(ISNUMBER(SEARCH("Group",D4133)),IF(G4133="",E4133,IFERROR(E4133/COUNTIF($G2:$G6000,G4133),E4133)),E4133)</f>
        <v>0</v>
      </c>
      <c r="I4133" s="1" t="str">
        <f>IFERROR(VLOOKUP(C4133,'Clients List'!A:F,6,FALSE),"")</f>
        <v/>
      </c>
    </row>
    <row r="4134" spans="4:9" x14ac:dyDescent="0.45">
      <c r="D4134" t="str">
        <f>IFERROR(VLOOKUP(C4134,'Clients List'!$A:$F,2,FALSE),"")</f>
        <v/>
      </c>
      <c r="F4134" s="1" t="str">
        <f>IF(OR(C4134="",NOT(ISNUMBER(SEARCH("Package",D4134)))),"",VLOOKUP(C4134,'Clients List'!$A:$F,4,FALSE)-SUMIFS($E$2:$E4134,$C$2:$C4134,C4134,$D$2:$D4134,"*Package*"))</f>
        <v/>
      </c>
      <c r="G4134" t="str">
        <f t="shared" si="97"/>
        <v/>
      </c>
      <c r="H4134" s="33">
        <f>IF(ISNUMBER(SEARCH("Group",D4134)),IF(G4134="",E4134,IFERROR(E4134/COUNTIF($G2:$G6000,G4134),E4134)),E4134)</f>
        <v>0</v>
      </c>
      <c r="I4134" s="1" t="str">
        <f>IFERROR(VLOOKUP(C4134,'Clients List'!A:F,6,FALSE),"")</f>
        <v/>
      </c>
    </row>
    <row r="4135" spans="4:9" x14ac:dyDescent="0.45">
      <c r="D4135" t="str">
        <f>IFERROR(VLOOKUP(C4135,'Clients List'!$A:$F,2,FALSE),"")</f>
        <v/>
      </c>
      <c r="F4135" s="1" t="str">
        <f>IF(OR(C4135="",NOT(ISNUMBER(SEARCH("Package",D4135)))),"",VLOOKUP(C4135,'Clients List'!$A:$F,4,FALSE)-SUMIFS($E$2:$E4135,$C$2:$C4135,C4135,$D$2:$D4135,"*Package*"))</f>
        <v/>
      </c>
      <c r="G4135" t="str">
        <f t="shared" si="97"/>
        <v/>
      </c>
      <c r="H4135" s="33">
        <f>IF(ISNUMBER(SEARCH("Group",D4135)),IF(G4135="",E4135,IFERROR(E4135/COUNTIF($G2:$G6000,G4135),E4135)),E4135)</f>
        <v>0</v>
      </c>
      <c r="I4135" s="1" t="str">
        <f>IFERROR(VLOOKUP(C4135,'Clients List'!A:F,6,FALSE),"")</f>
        <v/>
      </c>
    </row>
    <row r="4136" spans="4:9" x14ac:dyDescent="0.45">
      <c r="D4136" t="str">
        <f>IFERROR(VLOOKUP(C4136,'Clients List'!$A:$F,2,FALSE),"")</f>
        <v/>
      </c>
      <c r="F4136" s="1" t="str">
        <f>IF(OR(C4136="",NOT(ISNUMBER(SEARCH("Package",D4136)))),"",VLOOKUP(C4136,'Clients List'!$A:$F,4,FALSE)-SUMIFS($E$2:$E4136,$C$2:$C4136,C4136,$D$2:$D4136,"*Package*"))</f>
        <v/>
      </c>
      <c r="G4136" t="str">
        <f t="shared" si="97"/>
        <v/>
      </c>
      <c r="H4136" s="33">
        <f>IF(ISNUMBER(SEARCH("Group",D4136)),IF(G4136="",E4136,IFERROR(E4136/COUNTIF($G2:$G6000,G4136),E4136)),E4136)</f>
        <v>0</v>
      </c>
      <c r="I4136" s="1" t="str">
        <f>IFERROR(VLOOKUP(C4136,'Clients List'!A:F,6,FALSE),"")</f>
        <v/>
      </c>
    </row>
    <row r="4137" spans="4:9" x14ac:dyDescent="0.45">
      <c r="D4137" t="str">
        <f>IFERROR(VLOOKUP(C4137,'Clients List'!$A:$F,2,FALSE),"")</f>
        <v/>
      </c>
      <c r="F4137" s="1" t="str">
        <f>IF(OR(C4137="",NOT(ISNUMBER(SEARCH("Package",D4137)))),"",VLOOKUP(C4137,'Clients List'!$A:$F,4,FALSE)-SUMIFS($E$2:$E4137,$C$2:$C4137,C4137,$D$2:$D4137,"*Package*"))</f>
        <v/>
      </c>
      <c r="G4137" t="str">
        <f t="shared" si="97"/>
        <v/>
      </c>
      <c r="H4137" s="33">
        <f>IF(ISNUMBER(SEARCH("Group",D4137)),IF(G4137="",E4137,IFERROR(E4137/COUNTIF($G2:$G6000,G4137),E4137)),E4137)</f>
        <v>0</v>
      </c>
      <c r="I4137" s="1" t="str">
        <f>IFERROR(VLOOKUP(C4137,'Clients List'!A:F,6,FALSE),"")</f>
        <v/>
      </c>
    </row>
    <row r="4138" spans="4:9" x14ac:dyDescent="0.45">
      <c r="D4138" t="str">
        <f>IFERROR(VLOOKUP(C4138,'Clients List'!$A:$F,2,FALSE),"")</f>
        <v/>
      </c>
      <c r="F4138" s="1" t="str">
        <f>IF(OR(C4138="",NOT(ISNUMBER(SEARCH("Package",D4138)))),"",VLOOKUP(C4138,'Clients List'!$A:$F,4,FALSE)-SUMIFS($E$2:$E4138,$C$2:$C4138,C4138,$D$2:$D4138,"*Package*"))</f>
        <v/>
      </c>
      <c r="G4138" t="str">
        <f t="shared" si="97"/>
        <v/>
      </c>
      <c r="H4138" s="33">
        <f>IF(ISNUMBER(SEARCH("Group",D4138)),IF(G4138="",E4138,IFERROR(E4138/COUNTIF($G2:$G6000,G4138),E4138)),E4138)</f>
        <v>0</v>
      </c>
      <c r="I4138" s="1" t="str">
        <f>IFERROR(VLOOKUP(C4138,'Clients List'!A:F,6,FALSE),"")</f>
        <v/>
      </c>
    </row>
    <row r="4139" spans="4:9" x14ac:dyDescent="0.45">
      <c r="D4139" t="str">
        <f>IFERROR(VLOOKUP(C4139,'Clients List'!$A:$F,2,FALSE),"")</f>
        <v/>
      </c>
      <c r="F4139" s="1" t="str">
        <f>IF(OR(C4139="",NOT(ISNUMBER(SEARCH("Package",D4139)))),"",VLOOKUP(C4139,'Clients List'!$A:$F,4,FALSE)-SUMIFS($E$2:$E4139,$C$2:$C4139,C4139,$D$2:$D4139,"*Package*"))</f>
        <v/>
      </c>
      <c r="G4139" t="str">
        <f t="shared" si="97"/>
        <v/>
      </c>
      <c r="H4139" s="33">
        <f>IF(ISNUMBER(SEARCH("Group",D4139)),IF(G4139="",E4139,IFERROR(E4139/COUNTIF($G2:$G6000,G4139),E4139)),E4139)</f>
        <v>0</v>
      </c>
      <c r="I4139" s="1" t="str">
        <f>IFERROR(VLOOKUP(C4139,'Clients List'!A:F,6,FALSE),"")</f>
        <v/>
      </c>
    </row>
    <row r="4140" spans="4:9" x14ac:dyDescent="0.45">
      <c r="D4140" t="str">
        <f>IFERROR(VLOOKUP(C4140,'Clients List'!$A:$F,2,FALSE),"")</f>
        <v/>
      </c>
      <c r="F4140" s="1" t="str">
        <f>IF(OR(C4140="",NOT(ISNUMBER(SEARCH("Package",D4140)))),"",VLOOKUP(C4140,'Clients List'!$A:$F,4,FALSE)-SUMIFS($E$2:$E4140,$C$2:$C4140,C4140,$D$2:$D4140,"*Package*"))</f>
        <v/>
      </c>
      <c r="G4140" t="str">
        <f t="shared" si="97"/>
        <v/>
      </c>
      <c r="H4140" s="33">
        <f>IF(ISNUMBER(SEARCH("Group",D4140)),IF(G4140="",E4140,IFERROR(E4140/COUNTIF($G2:$G6000,G4140),E4140)),E4140)</f>
        <v>0</v>
      </c>
      <c r="I4140" s="1" t="str">
        <f>IFERROR(VLOOKUP(C4140,'Clients List'!A:F,6,FALSE),"")</f>
        <v/>
      </c>
    </row>
    <row r="4141" spans="4:9" x14ac:dyDescent="0.45">
      <c r="D4141" t="str">
        <f>IFERROR(VLOOKUP(C4141,'Clients List'!$A:$F,2,FALSE),"")</f>
        <v/>
      </c>
      <c r="F4141" s="1" t="str">
        <f>IF(OR(C4141="",NOT(ISNUMBER(SEARCH("Package",D4141)))),"",VLOOKUP(C4141,'Clients List'!$A:$F,4,FALSE)-SUMIFS($E$2:$E4141,$C$2:$C4141,C4141,$D$2:$D4141,"*Package*"))</f>
        <v/>
      </c>
      <c r="G4141" t="str">
        <f t="shared" si="97"/>
        <v/>
      </c>
      <c r="H4141" s="33">
        <f>IF(ISNUMBER(SEARCH("Group",D4141)),IF(G4141="",E4141,IFERROR(E4141/COUNTIF($G2:$G6000,G4141),E4141)),E4141)</f>
        <v>0</v>
      </c>
      <c r="I4141" s="1" t="str">
        <f>IFERROR(VLOOKUP(C4141,'Clients List'!A:F,6,FALSE),"")</f>
        <v/>
      </c>
    </row>
    <row r="4142" spans="4:9" x14ac:dyDescent="0.45">
      <c r="D4142" t="str">
        <f>IFERROR(VLOOKUP(C4142,'Clients List'!$A:$F,2,FALSE),"")</f>
        <v/>
      </c>
      <c r="F4142" s="1" t="str">
        <f>IF(OR(C4142="",NOT(ISNUMBER(SEARCH("Package",D4142)))),"",VLOOKUP(C4142,'Clients List'!$A:$F,4,FALSE)-SUMIFS($E$2:$E4142,$C$2:$C4142,C4142,$D$2:$D4142,"*Package*"))</f>
        <v/>
      </c>
      <c r="G4142" t="str">
        <f t="shared" si="97"/>
        <v/>
      </c>
      <c r="H4142" s="33">
        <f>IF(ISNUMBER(SEARCH("Group",D4142)),IF(G4142="",E4142,IFERROR(E4142/COUNTIF($G2:$G6000,G4142),E4142)),E4142)</f>
        <v>0</v>
      </c>
      <c r="I4142" s="1" t="str">
        <f>IFERROR(VLOOKUP(C4142,'Clients List'!A:F,6,FALSE),"")</f>
        <v/>
      </c>
    </row>
    <row r="4143" spans="4:9" x14ac:dyDescent="0.45">
      <c r="D4143" t="str">
        <f>IFERROR(VLOOKUP(C4143,'Clients List'!$A:$F,2,FALSE),"")</f>
        <v/>
      </c>
      <c r="F4143" s="1" t="str">
        <f>IF(OR(C4143="",NOT(ISNUMBER(SEARCH("Package",D4143)))),"",VLOOKUP(C4143,'Clients List'!$A:$F,4,FALSE)-SUMIFS($E$2:$E4143,$C$2:$C4143,C4143,$D$2:$D4143,"*Package*"))</f>
        <v/>
      </c>
      <c r="G4143" t="str">
        <f t="shared" si="97"/>
        <v/>
      </c>
      <c r="H4143" s="33">
        <f>IF(ISNUMBER(SEARCH("Group",D4143)),IF(G4143="",E4143,IFERROR(E4143/COUNTIF($G2:$G6000,G4143),E4143)),E4143)</f>
        <v>0</v>
      </c>
      <c r="I4143" s="1" t="str">
        <f>IFERROR(VLOOKUP(C4143,'Clients List'!A:F,6,FALSE),"")</f>
        <v/>
      </c>
    </row>
    <row r="4144" spans="4:9" x14ac:dyDescent="0.45">
      <c r="D4144" t="str">
        <f>IFERROR(VLOOKUP(C4144,'Clients List'!$A:$F,2,FALSE),"")</f>
        <v/>
      </c>
      <c r="F4144" s="1" t="str">
        <f>IF(OR(C4144="",NOT(ISNUMBER(SEARCH("Package",D4144)))),"",VLOOKUP(C4144,'Clients List'!$A:$F,4,FALSE)-SUMIFS($E$2:$E4144,$C$2:$C4144,C4144,$D$2:$D4144,"*Package*"))</f>
        <v/>
      </c>
      <c r="G4144" t="str">
        <f t="shared" si="97"/>
        <v/>
      </c>
      <c r="H4144" s="33">
        <f>IF(ISNUMBER(SEARCH("Group",D4144)),IF(G4144="",E4144,IFERROR(E4144/COUNTIF($G2:$G6000,G4144),E4144)),E4144)</f>
        <v>0</v>
      </c>
      <c r="I4144" s="1" t="str">
        <f>IFERROR(VLOOKUP(C4144,'Clients List'!A:F,6,FALSE),"")</f>
        <v/>
      </c>
    </row>
    <row r="4145" spans="4:9" x14ac:dyDescent="0.45">
      <c r="D4145" t="str">
        <f>IFERROR(VLOOKUP(C4145,'Clients List'!$A:$F,2,FALSE),"")</f>
        <v/>
      </c>
      <c r="F4145" s="1" t="str">
        <f>IF(OR(C4145="",NOT(ISNUMBER(SEARCH("Package",D4145)))),"",VLOOKUP(C4145,'Clients List'!$A:$F,4,FALSE)-SUMIFS($E$2:$E4145,$C$2:$C4145,C4145,$D$2:$D4145,"*Package*"))</f>
        <v/>
      </c>
      <c r="G4145" t="str">
        <f t="shared" si="97"/>
        <v/>
      </c>
      <c r="H4145" s="33">
        <f>IF(ISNUMBER(SEARCH("Group",D4145)),IF(G4145="",E4145,IFERROR(E4145/COUNTIF($G2:$G6000,G4145),E4145)),E4145)</f>
        <v>0</v>
      </c>
      <c r="I4145" s="1" t="str">
        <f>IFERROR(VLOOKUP(C4145,'Clients List'!A:F,6,FALSE),"")</f>
        <v/>
      </c>
    </row>
    <row r="4146" spans="4:9" x14ac:dyDescent="0.45">
      <c r="D4146" t="str">
        <f>IFERROR(VLOOKUP(C4146,'Clients List'!$A:$F,2,FALSE),"")</f>
        <v/>
      </c>
      <c r="F4146" s="1" t="str">
        <f>IF(OR(C4146="",NOT(ISNUMBER(SEARCH("Package",D4146)))),"",VLOOKUP(C4146,'Clients List'!$A:$F,4,FALSE)-SUMIFS($E$2:$E4146,$C$2:$C4146,C4146,$D$2:$D4146,"*Package*"))</f>
        <v/>
      </c>
      <c r="G4146" t="str">
        <f t="shared" si="97"/>
        <v/>
      </c>
      <c r="H4146" s="33">
        <f>IF(ISNUMBER(SEARCH("Group",D4146)),IF(G4146="",E4146,IFERROR(E4146/COUNTIF($G2:$G6000,G4146),E4146)),E4146)</f>
        <v>0</v>
      </c>
      <c r="I4146" s="1" t="str">
        <f>IFERROR(VLOOKUP(C4146,'Clients List'!A:F,6,FALSE),"")</f>
        <v/>
      </c>
    </row>
    <row r="4147" spans="4:9" x14ac:dyDescent="0.45">
      <c r="D4147" t="str">
        <f>IFERROR(VLOOKUP(C4147,'Clients List'!$A:$F,2,FALSE),"")</f>
        <v/>
      </c>
      <c r="F4147" s="1" t="str">
        <f>IF(OR(C4147="",NOT(ISNUMBER(SEARCH("Package",D4147)))),"",VLOOKUP(C4147,'Clients List'!$A:$F,4,FALSE)-SUMIFS($E$2:$E4147,$C$2:$C4147,C4147,$D$2:$D4147,"*Package*"))</f>
        <v/>
      </c>
      <c r="G4147" t="str">
        <f t="shared" si="97"/>
        <v/>
      </c>
      <c r="H4147" s="33">
        <f>IF(ISNUMBER(SEARCH("Group",D4147)),IF(G4147="",E4147,IFERROR(E4147/COUNTIF($G2:$G6000,G4147),E4147)),E4147)</f>
        <v>0</v>
      </c>
      <c r="I4147" s="1" t="str">
        <f>IFERROR(VLOOKUP(C4147,'Clients List'!A:F,6,FALSE),"")</f>
        <v/>
      </c>
    </row>
    <row r="4148" spans="4:9" x14ac:dyDescent="0.45">
      <c r="D4148" t="str">
        <f>IFERROR(VLOOKUP(C4148,'Clients List'!$A:$F,2,FALSE),"")</f>
        <v/>
      </c>
      <c r="F4148" s="1" t="str">
        <f>IF(OR(C4148="",NOT(ISNUMBER(SEARCH("Package",D4148)))),"",VLOOKUP(C4148,'Clients List'!$A:$F,4,FALSE)-SUMIFS($E$2:$E4148,$C$2:$C4148,C4148,$D$2:$D4148,"*Package*"))</f>
        <v/>
      </c>
      <c r="G4148" t="str">
        <f t="shared" si="97"/>
        <v/>
      </c>
      <c r="H4148" s="33">
        <f>IF(ISNUMBER(SEARCH("Group",D4148)),IF(G4148="",E4148,IFERROR(E4148/COUNTIF($G2:$G6000,G4148),E4148)),E4148)</f>
        <v>0</v>
      </c>
      <c r="I4148" s="1" t="str">
        <f>IFERROR(VLOOKUP(C4148,'Clients List'!A:F,6,FALSE),"")</f>
        <v/>
      </c>
    </row>
    <row r="4149" spans="4:9" x14ac:dyDescent="0.45">
      <c r="D4149" t="str">
        <f>IFERROR(VLOOKUP(C4149,'Clients List'!$A:$F,2,FALSE),"")</f>
        <v/>
      </c>
      <c r="F4149" s="1" t="str">
        <f>IF(OR(C4149="",NOT(ISNUMBER(SEARCH("Package",D4149)))),"",VLOOKUP(C4149,'Clients List'!$A:$F,4,FALSE)-SUMIFS($E$2:$E4149,$C$2:$C4149,C4149,$D$2:$D4149,"*Package*"))</f>
        <v/>
      </c>
      <c r="G4149" t="str">
        <f t="shared" ref="G4149:G4212" si="98">IF(ISNUMBER(SEARCH("Group",D4149)),IFERROR("GRP-"&amp;TEXT(IF(ISNUMBER(A4149),A4149,DATEVALUE(A4149)),"yyyymmdd"),""),"" )</f>
        <v/>
      </c>
      <c r="H4149" s="33">
        <f>IF(ISNUMBER(SEARCH("Group",D4149)),IF(G4149="",E4149,IFERROR(E4149/COUNTIF($G2:$G6000,G4149),E4149)),E4149)</f>
        <v>0</v>
      </c>
      <c r="I4149" s="1" t="str">
        <f>IFERROR(VLOOKUP(C4149,'Clients List'!A:F,6,FALSE),"")</f>
        <v/>
      </c>
    </row>
    <row r="4150" spans="4:9" x14ac:dyDescent="0.45">
      <c r="D4150" t="str">
        <f>IFERROR(VLOOKUP(C4150,'Clients List'!$A:$F,2,FALSE),"")</f>
        <v/>
      </c>
      <c r="F4150" s="1" t="str">
        <f>IF(OR(C4150="",NOT(ISNUMBER(SEARCH("Package",D4150)))),"",VLOOKUP(C4150,'Clients List'!$A:$F,4,FALSE)-SUMIFS($E$2:$E4150,$C$2:$C4150,C4150,$D$2:$D4150,"*Package*"))</f>
        <v/>
      </c>
      <c r="G4150" t="str">
        <f t="shared" si="98"/>
        <v/>
      </c>
      <c r="H4150" s="33">
        <f>IF(ISNUMBER(SEARCH("Group",D4150)),IF(G4150="",E4150,IFERROR(E4150/COUNTIF($G2:$G6000,G4150),E4150)),E4150)</f>
        <v>0</v>
      </c>
      <c r="I4150" s="1" t="str">
        <f>IFERROR(VLOOKUP(C4150,'Clients List'!A:F,6,FALSE),"")</f>
        <v/>
      </c>
    </row>
    <row r="4151" spans="4:9" x14ac:dyDescent="0.45">
      <c r="D4151" t="str">
        <f>IFERROR(VLOOKUP(C4151,'Clients List'!$A:$F,2,FALSE),"")</f>
        <v/>
      </c>
      <c r="F4151" s="1" t="str">
        <f>IF(OR(C4151="",NOT(ISNUMBER(SEARCH("Package",D4151)))),"",VLOOKUP(C4151,'Clients List'!$A:$F,4,FALSE)-SUMIFS($E$2:$E4151,$C$2:$C4151,C4151,$D$2:$D4151,"*Package*"))</f>
        <v/>
      </c>
      <c r="G4151" t="str">
        <f t="shared" si="98"/>
        <v/>
      </c>
      <c r="H4151" s="33">
        <f>IF(ISNUMBER(SEARCH("Group",D4151)),IF(G4151="",E4151,IFERROR(E4151/COUNTIF($G2:$G6000,G4151),E4151)),E4151)</f>
        <v>0</v>
      </c>
      <c r="I4151" s="1" t="str">
        <f>IFERROR(VLOOKUP(C4151,'Clients List'!A:F,6,FALSE),"")</f>
        <v/>
      </c>
    </row>
    <row r="4152" spans="4:9" x14ac:dyDescent="0.45">
      <c r="D4152" t="str">
        <f>IFERROR(VLOOKUP(C4152,'Clients List'!$A:$F,2,FALSE),"")</f>
        <v/>
      </c>
      <c r="F4152" s="1" t="str">
        <f>IF(OR(C4152="",NOT(ISNUMBER(SEARCH("Package",D4152)))),"",VLOOKUP(C4152,'Clients List'!$A:$F,4,FALSE)-SUMIFS($E$2:$E4152,$C$2:$C4152,C4152,$D$2:$D4152,"*Package*"))</f>
        <v/>
      </c>
      <c r="G4152" t="str">
        <f t="shared" si="98"/>
        <v/>
      </c>
      <c r="H4152" s="33">
        <f>IF(ISNUMBER(SEARCH("Group",D4152)),IF(G4152="",E4152,IFERROR(E4152/COUNTIF($G2:$G6000,G4152),E4152)),E4152)</f>
        <v>0</v>
      </c>
      <c r="I4152" s="1" t="str">
        <f>IFERROR(VLOOKUP(C4152,'Clients List'!A:F,6,FALSE),"")</f>
        <v/>
      </c>
    </row>
    <row r="4153" spans="4:9" x14ac:dyDescent="0.45">
      <c r="D4153" t="str">
        <f>IFERROR(VLOOKUP(C4153,'Clients List'!$A:$F,2,FALSE),"")</f>
        <v/>
      </c>
      <c r="F4153" s="1" t="str">
        <f>IF(OR(C4153="",NOT(ISNUMBER(SEARCH("Package",D4153)))),"",VLOOKUP(C4153,'Clients List'!$A:$F,4,FALSE)-SUMIFS($E$2:$E4153,$C$2:$C4153,C4153,$D$2:$D4153,"*Package*"))</f>
        <v/>
      </c>
      <c r="G4153" t="str">
        <f t="shared" si="98"/>
        <v/>
      </c>
      <c r="H4153" s="33">
        <f>IF(ISNUMBER(SEARCH("Group",D4153)),IF(G4153="",E4153,IFERROR(E4153/COUNTIF($G2:$G6000,G4153),E4153)),E4153)</f>
        <v>0</v>
      </c>
      <c r="I4153" s="1" t="str">
        <f>IFERROR(VLOOKUP(C4153,'Clients List'!A:F,6,FALSE),"")</f>
        <v/>
      </c>
    </row>
    <row r="4154" spans="4:9" x14ac:dyDescent="0.45">
      <c r="D4154" t="str">
        <f>IFERROR(VLOOKUP(C4154,'Clients List'!$A:$F,2,FALSE),"")</f>
        <v/>
      </c>
      <c r="F4154" s="1" t="str">
        <f>IF(OR(C4154="",NOT(ISNUMBER(SEARCH("Package",D4154)))),"",VLOOKUP(C4154,'Clients List'!$A:$F,4,FALSE)-SUMIFS($E$2:$E4154,$C$2:$C4154,C4154,$D$2:$D4154,"*Package*"))</f>
        <v/>
      </c>
      <c r="G4154" t="str">
        <f t="shared" si="98"/>
        <v/>
      </c>
      <c r="H4154" s="33">
        <f>IF(ISNUMBER(SEARCH("Group",D4154)),IF(G4154="",E4154,IFERROR(E4154/COUNTIF($G2:$G6000,G4154),E4154)),E4154)</f>
        <v>0</v>
      </c>
      <c r="I4154" s="1" t="str">
        <f>IFERROR(VLOOKUP(C4154,'Clients List'!A:F,6,FALSE),"")</f>
        <v/>
      </c>
    </row>
    <row r="4155" spans="4:9" x14ac:dyDescent="0.45">
      <c r="D4155" t="str">
        <f>IFERROR(VLOOKUP(C4155,'Clients List'!$A:$F,2,FALSE),"")</f>
        <v/>
      </c>
      <c r="F4155" s="1" t="str">
        <f>IF(OR(C4155="",NOT(ISNUMBER(SEARCH("Package",D4155)))),"",VLOOKUP(C4155,'Clients List'!$A:$F,4,FALSE)-SUMIFS($E$2:$E4155,$C$2:$C4155,C4155,$D$2:$D4155,"*Package*"))</f>
        <v/>
      </c>
      <c r="G4155" t="str">
        <f t="shared" si="98"/>
        <v/>
      </c>
      <c r="H4155" s="33">
        <f>IF(ISNUMBER(SEARCH("Group",D4155)),IF(G4155="",E4155,IFERROR(E4155/COUNTIF($G2:$G6000,G4155),E4155)),E4155)</f>
        <v>0</v>
      </c>
      <c r="I4155" s="1" t="str">
        <f>IFERROR(VLOOKUP(C4155,'Clients List'!A:F,6,FALSE),"")</f>
        <v/>
      </c>
    </row>
    <row r="4156" spans="4:9" x14ac:dyDescent="0.45">
      <c r="D4156" t="str">
        <f>IFERROR(VLOOKUP(C4156,'Clients List'!$A:$F,2,FALSE),"")</f>
        <v/>
      </c>
      <c r="F4156" s="1" t="str">
        <f>IF(OR(C4156="",NOT(ISNUMBER(SEARCH("Package",D4156)))),"",VLOOKUP(C4156,'Clients List'!$A:$F,4,FALSE)-SUMIFS($E$2:$E4156,$C$2:$C4156,C4156,$D$2:$D4156,"*Package*"))</f>
        <v/>
      </c>
      <c r="G4156" t="str">
        <f t="shared" si="98"/>
        <v/>
      </c>
      <c r="H4156" s="33">
        <f>IF(ISNUMBER(SEARCH("Group",D4156)),IF(G4156="",E4156,IFERROR(E4156/COUNTIF($G2:$G6000,G4156),E4156)),E4156)</f>
        <v>0</v>
      </c>
      <c r="I4156" s="1" t="str">
        <f>IFERROR(VLOOKUP(C4156,'Clients List'!A:F,6,FALSE),"")</f>
        <v/>
      </c>
    </row>
    <row r="4157" spans="4:9" x14ac:dyDescent="0.45">
      <c r="D4157" t="str">
        <f>IFERROR(VLOOKUP(C4157,'Clients List'!$A:$F,2,FALSE),"")</f>
        <v/>
      </c>
      <c r="F4157" s="1" t="str">
        <f>IF(OR(C4157="",NOT(ISNUMBER(SEARCH("Package",D4157)))),"",VLOOKUP(C4157,'Clients List'!$A:$F,4,FALSE)-SUMIFS($E$2:$E4157,$C$2:$C4157,C4157,$D$2:$D4157,"*Package*"))</f>
        <v/>
      </c>
      <c r="G4157" t="str">
        <f t="shared" si="98"/>
        <v/>
      </c>
      <c r="H4157" s="33">
        <f>IF(ISNUMBER(SEARCH("Group",D4157)),IF(G4157="",E4157,IFERROR(E4157/COUNTIF($G2:$G6000,G4157),E4157)),E4157)</f>
        <v>0</v>
      </c>
      <c r="I4157" s="1" t="str">
        <f>IFERROR(VLOOKUP(C4157,'Clients List'!A:F,6,FALSE),"")</f>
        <v/>
      </c>
    </row>
    <row r="4158" spans="4:9" x14ac:dyDescent="0.45">
      <c r="D4158" t="str">
        <f>IFERROR(VLOOKUP(C4158,'Clients List'!$A:$F,2,FALSE),"")</f>
        <v/>
      </c>
      <c r="F4158" s="1" t="str">
        <f>IF(OR(C4158="",NOT(ISNUMBER(SEARCH("Package",D4158)))),"",VLOOKUP(C4158,'Clients List'!$A:$F,4,FALSE)-SUMIFS($E$2:$E4158,$C$2:$C4158,C4158,$D$2:$D4158,"*Package*"))</f>
        <v/>
      </c>
      <c r="G4158" t="str">
        <f t="shared" si="98"/>
        <v/>
      </c>
      <c r="H4158" s="33">
        <f>IF(ISNUMBER(SEARCH("Group",D4158)),IF(G4158="",E4158,IFERROR(E4158/COUNTIF($G2:$G6000,G4158),E4158)),E4158)</f>
        <v>0</v>
      </c>
      <c r="I4158" s="1" t="str">
        <f>IFERROR(VLOOKUP(C4158,'Clients List'!A:F,6,FALSE),"")</f>
        <v/>
      </c>
    </row>
    <row r="4159" spans="4:9" x14ac:dyDescent="0.45">
      <c r="D4159" t="str">
        <f>IFERROR(VLOOKUP(C4159,'Clients List'!$A:$F,2,FALSE),"")</f>
        <v/>
      </c>
      <c r="F4159" s="1" t="str">
        <f>IF(OR(C4159="",NOT(ISNUMBER(SEARCH("Package",D4159)))),"",VLOOKUP(C4159,'Clients List'!$A:$F,4,FALSE)-SUMIFS($E$2:$E4159,$C$2:$C4159,C4159,$D$2:$D4159,"*Package*"))</f>
        <v/>
      </c>
      <c r="G4159" t="str">
        <f t="shared" si="98"/>
        <v/>
      </c>
      <c r="H4159" s="33">
        <f>IF(ISNUMBER(SEARCH("Group",D4159)),IF(G4159="",E4159,IFERROR(E4159/COUNTIF($G2:$G6000,G4159),E4159)),E4159)</f>
        <v>0</v>
      </c>
      <c r="I4159" s="1" t="str">
        <f>IFERROR(VLOOKUP(C4159,'Clients List'!A:F,6,FALSE),"")</f>
        <v/>
      </c>
    </row>
    <row r="4160" spans="4:9" x14ac:dyDescent="0.45">
      <c r="D4160" t="str">
        <f>IFERROR(VLOOKUP(C4160,'Clients List'!$A:$F,2,FALSE),"")</f>
        <v/>
      </c>
      <c r="F4160" s="1" t="str">
        <f>IF(OR(C4160="",NOT(ISNUMBER(SEARCH("Package",D4160)))),"",VLOOKUP(C4160,'Clients List'!$A:$F,4,FALSE)-SUMIFS($E$2:$E4160,$C$2:$C4160,C4160,$D$2:$D4160,"*Package*"))</f>
        <v/>
      </c>
      <c r="G4160" t="str">
        <f t="shared" si="98"/>
        <v/>
      </c>
      <c r="H4160" s="33">
        <f>IF(ISNUMBER(SEARCH("Group",D4160)),IF(G4160="",E4160,IFERROR(E4160/COUNTIF($G2:$G6000,G4160),E4160)),E4160)</f>
        <v>0</v>
      </c>
      <c r="I4160" s="1" t="str">
        <f>IFERROR(VLOOKUP(C4160,'Clients List'!A:F,6,FALSE),"")</f>
        <v/>
      </c>
    </row>
    <row r="4161" spans="4:9" x14ac:dyDescent="0.45">
      <c r="D4161" t="str">
        <f>IFERROR(VLOOKUP(C4161,'Clients List'!$A:$F,2,FALSE),"")</f>
        <v/>
      </c>
      <c r="F4161" s="1" t="str">
        <f>IF(OR(C4161="",NOT(ISNUMBER(SEARCH("Package",D4161)))),"",VLOOKUP(C4161,'Clients List'!$A:$F,4,FALSE)-SUMIFS($E$2:$E4161,$C$2:$C4161,C4161,$D$2:$D4161,"*Package*"))</f>
        <v/>
      </c>
      <c r="G4161" t="str">
        <f t="shared" si="98"/>
        <v/>
      </c>
      <c r="H4161" s="33">
        <f>IF(ISNUMBER(SEARCH("Group",D4161)),IF(G4161="",E4161,IFERROR(E4161/COUNTIF($G2:$G6000,G4161),E4161)),E4161)</f>
        <v>0</v>
      </c>
      <c r="I4161" s="1" t="str">
        <f>IFERROR(VLOOKUP(C4161,'Clients List'!A:F,6,FALSE),"")</f>
        <v/>
      </c>
    </row>
    <row r="4162" spans="4:9" x14ac:dyDescent="0.45">
      <c r="D4162" t="str">
        <f>IFERROR(VLOOKUP(C4162,'Clients List'!$A:$F,2,FALSE),"")</f>
        <v/>
      </c>
      <c r="F4162" s="1" t="str">
        <f>IF(OR(C4162="",NOT(ISNUMBER(SEARCH("Package",D4162)))),"",VLOOKUP(C4162,'Clients List'!$A:$F,4,FALSE)-SUMIFS($E$2:$E4162,$C$2:$C4162,C4162,$D$2:$D4162,"*Package*"))</f>
        <v/>
      </c>
      <c r="G4162" t="str">
        <f t="shared" si="98"/>
        <v/>
      </c>
      <c r="H4162" s="33">
        <f>IF(ISNUMBER(SEARCH("Group",D4162)),IF(G4162="",E4162,IFERROR(E4162/COUNTIF($G2:$G6000,G4162),E4162)),E4162)</f>
        <v>0</v>
      </c>
      <c r="I4162" s="1" t="str">
        <f>IFERROR(VLOOKUP(C4162,'Clients List'!A:F,6,FALSE),"")</f>
        <v/>
      </c>
    </row>
    <row r="4163" spans="4:9" x14ac:dyDescent="0.45">
      <c r="D4163" t="str">
        <f>IFERROR(VLOOKUP(C4163,'Clients List'!$A:$F,2,FALSE),"")</f>
        <v/>
      </c>
      <c r="F4163" s="1" t="str">
        <f>IF(OR(C4163="",NOT(ISNUMBER(SEARCH("Package",D4163)))),"",VLOOKUP(C4163,'Clients List'!$A:$F,4,FALSE)-SUMIFS($E$2:$E4163,$C$2:$C4163,C4163,$D$2:$D4163,"*Package*"))</f>
        <v/>
      </c>
      <c r="G4163" t="str">
        <f t="shared" si="98"/>
        <v/>
      </c>
      <c r="H4163" s="33">
        <f>IF(ISNUMBER(SEARCH("Group",D4163)),IF(G4163="",E4163,IFERROR(E4163/COUNTIF($G2:$G6000,G4163),E4163)),E4163)</f>
        <v>0</v>
      </c>
      <c r="I4163" s="1" t="str">
        <f>IFERROR(VLOOKUP(C4163,'Clients List'!A:F,6,FALSE),"")</f>
        <v/>
      </c>
    </row>
    <row r="4164" spans="4:9" x14ac:dyDescent="0.45">
      <c r="D4164" t="str">
        <f>IFERROR(VLOOKUP(C4164,'Clients List'!$A:$F,2,FALSE),"")</f>
        <v/>
      </c>
      <c r="F4164" s="1" t="str">
        <f>IF(OR(C4164="",NOT(ISNUMBER(SEARCH("Package",D4164)))),"",VLOOKUP(C4164,'Clients List'!$A:$F,4,FALSE)-SUMIFS($E$2:$E4164,$C$2:$C4164,C4164,$D$2:$D4164,"*Package*"))</f>
        <v/>
      </c>
      <c r="G4164" t="str">
        <f t="shared" si="98"/>
        <v/>
      </c>
      <c r="H4164" s="33">
        <f>IF(ISNUMBER(SEARCH("Group",D4164)),IF(G4164="",E4164,IFERROR(E4164/COUNTIF($G2:$G6000,G4164),E4164)),E4164)</f>
        <v>0</v>
      </c>
      <c r="I4164" s="1" t="str">
        <f>IFERROR(VLOOKUP(C4164,'Clients List'!A:F,6,FALSE),"")</f>
        <v/>
      </c>
    </row>
    <row r="4165" spans="4:9" x14ac:dyDescent="0.45">
      <c r="D4165" t="str">
        <f>IFERROR(VLOOKUP(C4165,'Clients List'!$A:$F,2,FALSE),"")</f>
        <v/>
      </c>
      <c r="F4165" s="1" t="str">
        <f>IF(OR(C4165="",NOT(ISNUMBER(SEARCH("Package",D4165)))),"",VLOOKUP(C4165,'Clients List'!$A:$F,4,FALSE)-SUMIFS($E$2:$E4165,$C$2:$C4165,C4165,$D$2:$D4165,"*Package*"))</f>
        <v/>
      </c>
      <c r="G4165" t="str">
        <f t="shared" si="98"/>
        <v/>
      </c>
      <c r="H4165" s="33">
        <f>IF(ISNUMBER(SEARCH("Group",D4165)),IF(G4165="",E4165,IFERROR(E4165/COUNTIF($G2:$G6000,G4165),E4165)),E4165)</f>
        <v>0</v>
      </c>
      <c r="I4165" s="1" t="str">
        <f>IFERROR(VLOOKUP(C4165,'Clients List'!A:F,6,FALSE),"")</f>
        <v/>
      </c>
    </row>
    <row r="4166" spans="4:9" x14ac:dyDescent="0.45">
      <c r="D4166" t="str">
        <f>IFERROR(VLOOKUP(C4166,'Clients List'!$A:$F,2,FALSE),"")</f>
        <v/>
      </c>
      <c r="F4166" s="1" t="str">
        <f>IF(OR(C4166="",NOT(ISNUMBER(SEARCH("Package",D4166)))),"",VLOOKUP(C4166,'Clients List'!$A:$F,4,FALSE)-SUMIFS($E$2:$E4166,$C$2:$C4166,C4166,$D$2:$D4166,"*Package*"))</f>
        <v/>
      </c>
      <c r="G4166" t="str">
        <f t="shared" si="98"/>
        <v/>
      </c>
      <c r="H4166" s="33">
        <f>IF(ISNUMBER(SEARCH("Group",D4166)),IF(G4166="",E4166,IFERROR(E4166/COUNTIF($G2:$G6000,G4166),E4166)),E4166)</f>
        <v>0</v>
      </c>
      <c r="I4166" s="1" t="str">
        <f>IFERROR(VLOOKUP(C4166,'Clients List'!A:F,6,FALSE),"")</f>
        <v/>
      </c>
    </row>
    <row r="4167" spans="4:9" x14ac:dyDescent="0.45">
      <c r="D4167" t="str">
        <f>IFERROR(VLOOKUP(C4167,'Clients List'!$A:$F,2,FALSE),"")</f>
        <v/>
      </c>
      <c r="F4167" s="1" t="str">
        <f>IF(OR(C4167="",NOT(ISNUMBER(SEARCH("Package",D4167)))),"",VLOOKUP(C4167,'Clients List'!$A:$F,4,FALSE)-SUMIFS($E$2:$E4167,$C$2:$C4167,C4167,$D$2:$D4167,"*Package*"))</f>
        <v/>
      </c>
      <c r="G4167" t="str">
        <f t="shared" si="98"/>
        <v/>
      </c>
      <c r="H4167" s="33">
        <f>IF(ISNUMBER(SEARCH("Group",D4167)),IF(G4167="",E4167,IFERROR(E4167/COUNTIF($G2:$G6000,G4167),E4167)),E4167)</f>
        <v>0</v>
      </c>
      <c r="I4167" s="1" t="str">
        <f>IFERROR(VLOOKUP(C4167,'Clients List'!A:F,6,FALSE),"")</f>
        <v/>
      </c>
    </row>
    <row r="4168" spans="4:9" x14ac:dyDescent="0.45">
      <c r="D4168" t="str">
        <f>IFERROR(VLOOKUP(C4168,'Clients List'!$A:$F,2,FALSE),"")</f>
        <v/>
      </c>
      <c r="F4168" s="1" t="str">
        <f>IF(OR(C4168="",NOT(ISNUMBER(SEARCH("Package",D4168)))),"",VLOOKUP(C4168,'Clients List'!$A:$F,4,FALSE)-SUMIFS($E$2:$E4168,$C$2:$C4168,C4168,$D$2:$D4168,"*Package*"))</f>
        <v/>
      </c>
      <c r="G4168" t="str">
        <f t="shared" si="98"/>
        <v/>
      </c>
      <c r="H4168" s="33">
        <f>IF(ISNUMBER(SEARCH("Group",D4168)),IF(G4168="",E4168,IFERROR(E4168/COUNTIF($G2:$G6000,G4168),E4168)),E4168)</f>
        <v>0</v>
      </c>
      <c r="I4168" s="1" t="str">
        <f>IFERROR(VLOOKUP(C4168,'Clients List'!A:F,6,FALSE),"")</f>
        <v/>
      </c>
    </row>
    <row r="4169" spans="4:9" x14ac:dyDescent="0.45">
      <c r="D4169" t="str">
        <f>IFERROR(VLOOKUP(C4169,'Clients List'!$A:$F,2,FALSE),"")</f>
        <v/>
      </c>
      <c r="F4169" s="1" t="str">
        <f>IF(OR(C4169="",NOT(ISNUMBER(SEARCH("Package",D4169)))),"",VLOOKUP(C4169,'Clients List'!$A:$F,4,FALSE)-SUMIFS($E$2:$E4169,$C$2:$C4169,C4169,$D$2:$D4169,"*Package*"))</f>
        <v/>
      </c>
      <c r="G4169" t="str">
        <f t="shared" si="98"/>
        <v/>
      </c>
      <c r="H4169" s="33">
        <f>IF(ISNUMBER(SEARCH("Group",D4169)),IF(G4169="",E4169,IFERROR(E4169/COUNTIF($G2:$G6000,G4169),E4169)),E4169)</f>
        <v>0</v>
      </c>
      <c r="I4169" s="1" t="str">
        <f>IFERROR(VLOOKUP(C4169,'Clients List'!A:F,6,FALSE),"")</f>
        <v/>
      </c>
    </row>
    <row r="4170" spans="4:9" x14ac:dyDescent="0.45">
      <c r="D4170" t="str">
        <f>IFERROR(VLOOKUP(C4170,'Clients List'!$A:$F,2,FALSE),"")</f>
        <v/>
      </c>
      <c r="F4170" s="1" t="str">
        <f>IF(OR(C4170="",NOT(ISNUMBER(SEARCH("Package",D4170)))),"",VLOOKUP(C4170,'Clients List'!$A:$F,4,FALSE)-SUMIFS($E$2:$E4170,$C$2:$C4170,C4170,$D$2:$D4170,"*Package*"))</f>
        <v/>
      </c>
      <c r="G4170" t="str">
        <f t="shared" si="98"/>
        <v/>
      </c>
      <c r="H4170" s="33">
        <f>IF(ISNUMBER(SEARCH("Group",D4170)),IF(G4170="",E4170,IFERROR(E4170/COUNTIF($G2:$G6000,G4170),E4170)),E4170)</f>
        <v>0</v>
      </c>
      <c r="I4170" s="1" t="str">
        <f>IFERROR(VLOOKUP(C4170,'Clients List'!A:F,6,FALSE),"")</f>
        <v/>
      </c>
    </row>
    <row r="4171" spans="4:9" x14ac:dyDescent="0.45">
      <c r="D4171" t="str">
        <f>IFERROR(VLOOKUP(C4171,'Clients List'!$A:$F,2,FALSE),"")</f>
        <v/>
      </c>
      <c r="F4171" s="1" t="str">
        <f>IF(OR(C4171="",NOT(ISNUMBER(SEARCH("Package",D4171)))),"",VLOOKUP(C4171,'Clients List'!$A:$F,4,FALSE)-SUMIFS($E$2:$E4171,$C$2:$C4171,C4171,$D$2:$D4171,"*Package*"))</f>
        <v/>
      </c>
      <c r="G4171" t="str">
        <f t="shared" si="98"/>
        <v/>
      </c>
      <c r="H4171" s="33">
        <f>IF(ISNUMBER(SEARCH("Group",D4171)),IF(G4171="",E4171,IFERROR(E4171/COUNTIF($G2:$G6000,G4171),E4171)),E4171)</f>
        <v>0</v>
      </c>
      <c r="I4171" s="1" t="str">
        <f>IFERROR(VLOOKUP(C4171,'Clients List'!A:F,6,FALSE),"")</f>
        <v/>
      </c>
    </row>
    <row r="4172" spans="4:9" x14ac:dyDescent="0.45">
      <c r="D4172" t="str">
        <f>IFERROR(VLOOKUP(C4172,'Clients List'!$A:$F,2,FALSE),"")</f>
        <v/>
      </c>
      <c r="F4172" s="1" t="str">
        <f>IF(OR(C4172="",NOT(ISNUMBER(SEARCH("Package",D4172)))),"",VLOOKUP(C4172,'Clients List'!$A:$F,4,FALSE)-SUMIFS($E$2:$E4172,$C$2:$C4172,C4172,$D$2:$D4172,"*Package*"))</f>
        <v/>
      </c>
      <c r="G4172" t="str">
        <f t="shared" si="98"/>
        <v/>
      </c>
      <c r="H4172" s="33">
        <f>IF(ISNUMBER(SEARCH("Group",D4172)),IF(G4172="",E4172,IFERROR(E4172/COUNTIF($G2:$G6000,G4172),E4172)),E4172)</f>
        <v>0</v>
      </c>
      <c r="I4172" s="1" t="str">
        <f>IFERROR(VLOOKUP(C4172,'Clients List'!A:F,6,FALSE),"")</f>
        <v/>
      </c>
    </row>
    <row r="4173" spans="4:9" x14ac:dyDescent="0.45">
      <c r="D4173" t="str">
        <f>IFERROR(VLOOKUP(C4173,'Clients List'!$A:$F,2,FALSE),"")</f>
        <v/>
      </c>
      <c r="F4173" s="1" t="str">
        <f>IF(OR(C4173="",NOT(ISNUMBER(SEARCH("Package",D4173)))),"",VLOOKUP(C4173,'Clients List'!$A:$F,4,FALSE)-SUMIFS($E$2:$E4173,$C$2:$C4173,C4173,$D$2:$D4173,"*Package*"))</f>
        <v/>
      </c>
      <c r="G4173" t="str">
        <f t="shared" si="98"/>
        <v/>
      </c>
      <c r="H4173" s="33">
        <f>IF(ISNUMBER(SEARCH("Group",D4173)),IF(G4173="",E4173,IFERROR(E4173/COUNTIF($G2:$G6000,G4173),E4173)),E4173)</f>
        <v>0</v>
      </c>
      <c r="I4173" s="1" t="str">
        <f>IFERROR(VLOOKUP(C4173,'Clients List'!A:F,6,FALSE),"")</f>
        <v/>
      </c>
    </row>
    <row r="4174" spans="4:9" x14ac:dyDescent="0.45">
      <c r="D4174" t="str">
        <f>IFERROR(VLOOKUP(C4174,'Clients List'!$A:$F,2,FALSE),"")</f>
        <v/>
      </c>
      <c r="F4174" s="1" t="str">
        <f>IF(OR(C4174="",NOT(ISNUMBER(SEARCH("Package",D4174)))),"",VLOOKUP(C4174,'Clients List'!$A:$F,4,FALSE)-SUMIFS($E$2:$E4174,$C$2:$C4174,C4174,$D$2:$D4174,"*Package*"))</f>
        <v/>
      </c>
      <c r="G4174" t="str">
        <f t="shared" si="98"/>
        <v/>
      </c>
      <c r="H4174" s="33">
        <f>IF(ISNUMBER(SEARCH("Group",D4174)),IF(G4174="",E4174,IFERROR(E4174/COUNTIF($G2:$G6000,G4174),E4174)),E4174)</f>
        <v>0</v>
      </c>
      <c r="I4174" s="1" t="str">
        <f>IFERROR(VLOOKUP(C4174,'Clients List'!A:F,6,FALSE),"")</f>
        <v/>
      </c>
    </row>
    <row r="4175" spans="4:9" x14ac:dyDescent="0.45">
      <c r="D4175" t="str">
        <f>IFERROR(VLOOKUP(C4175,'Clients List'!$A:$F,2,FALSE),"")</f>
        <v/>
      </c>
      <c r="F4175" s="1" t="str">
        <f>IF(OR(C4175="",NOT(ISNUMBER(SEARCH("Package",D4175)))),"",VLOOKUP(C4175,'Clients List'!$A:$F,4,FALSE)-SUMIFS($E$2:$E4175,$C$2:$C4175,C4175,$D$2:$D4175,"*Package*"))</f>
        <v/>
      </c>
      <c r="G4175" t="str">
        <f t="shared" si="98"/>
        <v/>
      </c>
      <c r="H4175" s="33">
        <f>IF(ISNUMBER(SEARCH("Group",D4175)),IF(G4175="",E4175,IFERROR(E4175/COUNTIF($G2:$G6000,G4175),E4175)),E4175)</f>
        <v>0</v>
      </c>
      <c r="I4175" s="1" t="str">
        <f>IFERROR(VLOOKUP(C4175,'Clients List'!A:F,6,FALSE),"")</f>
        <v/>
      </c>
    </row>
    <row r="4176" spans="4:9" x14ac:dyDescent="0.45">
      <c r="D4176" t="str">
        <f>IFERROR(VLOOKUP(C4176,'Clients List'!$A:$F,2,FALSE),"")</f>
        <v/>
      </c>
      <c r="F4176" s="1" t="str">
        <f>IF(OR(C4176="",NOT(ISNUMBER(SEARCH("Package",D4176)))),"",VLOOKUP(C4176,'Clients List'!$A:$F,4,FALSE)-SUMIFS($E$2:$E4176,$C$2:$C4176,C4176,$D$2:$D4176,"*Package*"))</f>
        <v/>
      </c>
      <c r="G4176" t="str">
        <f t="shared" si="98"/>
        <v/>
      </c>
      <c r="H4176" s="33">
        <f>IF(ISNUMBER(SEARCH("Group",D4176)),IF(G4176="",E4176,IFERROR(E4176/COUNTIF($G2:$G6000,G4176),E4176)),E4176)</f>
        <v>0</v>
      </c>
      <c r="I4176" s="1" t="str">
        <f>IFERROR(VLOOKUP(C4176,'Clients List'!A:F,6,FALSE),"")</f>
        <v/>
      </c>
    </row>
    <row r="4177" spans="4:9" x14ac:dyDescent="0.45">
      <c r="D4177" t="str">
        <f>IFERROR(VLOOKUP(C4177,'Clients List'!$A:$F,2,FALSE),"")</f>
        <v/>
      </c>
      <c r="F4177" s="1" t="str">
        <f>IF(OR(C4177="",NOT(ISNUMBER(SEARCH("Package",D4177)))),"",VLOOKUP(C4177,'Clients List'!$A:$F,4,FALSE)-SUMIFS($E$2:$E4177,$C$2:$C4177,C4177,$D$2:$D4177,"*Package*"))</f>
        <v/>
      </c>
      <c r="G4177" t="str">
        <f t="shared" si="98"/>
        <v/>
      </c>
      <c r="H4177" s="33">
        <f>IF(ISNUMBER(SEARCH("Group",D4177)),IF(G4177="",E4177,IFERROR(E4177/COUNTIF($G2:$G6000,G4177),E4177)),E4177)</f>
        <v>0</v>
      </c>
      <c r="I4177" s="1" t="str">
        <f>IFERROR(VLOOKUP(C4177,'Clients List'!A:F,6,FALSE),"")</f>
        <v/>
      </c>
    </row>
    <row r="4178" spans="4:9" x14ac:dyDescent="0.45">
      <c r="D4178" t="str">
        <f>IFERROR(VLOOKUP(C4178,'Clients List'!$A:$F,2,FALSE),"")</f>
        <v/>
      </c>
      <c r="F4178" s="1" t="str">
        <f>IF(OR(C4178="",NOT(ISNUMBER(SEARCH("Package",D4178)))),"",VLOOKUP(C4178,'Clients List'!$A:$F,4,FALSE)-SUMIFS($E$2:$E4178,$C$2:$C4178,C4178,$D$2:$D4178,"*Package*"))</f>
        <v/>
      </c>
      <c r="G4178" t="str">
        <f t="shared" si="98"/>
        <v/>
      </c>
      <c r="H4178" s="33">
        <f>IF(ISNUMBER(SEARCH("Group",D4178)),IF(G4178="",E4178,IFERROR(E4178/COUNTIF($G2:$G6000,G4178),E4178)),E4178)</f>
        <v>0</v>
      </c>
      <c r="I4178" s="1" t="str">
        <f>IFERROR(VLOOKUP(C4178,'Clients List'!A:F,6,FALSE),"")</f>
        <v/>
      </c>
    </row>
    <row r="4179" spans="4:9" x14ac:dyDescent="0.45">
      <c r="D4179" t="str">
        <f>IFERROR(VLOOKUP(C4179,'Clients List'!$A:$F,2,FALSE),"")</f>
        <v/>
      </c>
      <c r="F4179" s="1" t="str">
        <f>IF(OR(C4179="",NOT(ISNUMBER(SEARCH("Package",D4179)))),"",VLOOKUP(C4179,'Clients List'!$A:$F,4,FALSE)-SUMIFS($E$2:$E4179,$C$2:$C4179,C4179,$D$2:$D4179,"*Package*"))</f>
        <v/>
      </c>
      <c r="G4179" t="str">
        <f t="shared" si="98"/>
        <v/>
      </c>
      <c r="H4179" s="33">
        <f>IF(ISNUMBER(SEARCH("Group",D4179)),IF(G4179="",E4179,IFERROR(E4179/COUNTIF($G2:$G6000,G4179),E4179)),E4179)</f>
        <v>0</v>
      </c>
      <c r="I4179" s="1" t="str">
        <f>IFERROR(VLOOKUP(C4179,'Clients List'!A:F,6,FALSE),"")</f>
        <v/>
      </c>
    </row>
    <row r="4180" spans="4:9" x14ac:dyDescent="0.45">
      <c r="D4180" t="str">
        <f>IFERROR(VLOOKUP(C4180,'Clients List'!$A:$F,2,FALSE),"")</f>
        <v/>
      </c>
      <c r="F4180" s="1" t="str">
        <f>IF(OR(C4180="",NOT(ISNUMBER(SEARCH("Package",D4180)))),"",VLOOKUP(C4180,'Clients List'!$A:$F,4,FALSE)-SUMIFS($E$2:$E4180,$C$2:$C4180,C4180,$D$2:$D4180,"*Package*"))</f>
        <v/>
      </c>
      <c r="G4180" t="str">
        <f t="shared" si="98"/>
        <v/>
      </c>
      <c r="H4180" s="33">
        <f>IF(ISNUMBER(SEARCH("Group",D4180)),IF(G4180="",E4180,IFERROR(E4180/COUNTIF($G2:$G6000,G4180),E4180)),E4180)</f>
        <v>0</v>
      </c>
      <c r="I4180" s="1" t="str">
        <f>IFERROR(VLOOKUP(C4180,'Clients List'!A:F,6,FALSE),"")</f>
        <v/>
      </c>
    </row>
    <row r="4181" spans="4:9" x14ac:dyDescent="0.45">
      <c r="D4181" t="str">
        <f>IFERROR(VLOOKUP(C4181,'Clients List'!$A:$F,2,FALSE),"")</f>
        <v/>
      </c>
      <c r="F4181" s="1" t="str">
        <f>IF(OR(C4181="",NOT(ISNUMBER(SEARCH("Package",D4181)))),"",VLOOKUP(C4181,'Clients List'!$A:$F,4,FALSE)-SUMIFS($E$2:$E4181,$C$2:$C4181,C4181,$D$2:$D4181,"*Package*"))</f>
        <v/>
      </c>
      <c r="G4181" t="str">
        <f t="shared" si="98"/>
        <v/>
      </c>
      <c r="H4181" s="33">
        <f>IF(ISNUMBER(SEARCH("Group",D4181)),IF(G4181="",E4181,IFERROR(E4181/COUNTIF($G2:$G6000,G4181),E4181)),E4181)</f>
        <v>0</v>
      </c>
      <c r="I4181" s="1" t="str">
        <f>IFERROR(VLOOKUP(C4181,'Clients List'!A:F,6,FALSE),"")</f>
        <v/>
      </c>
    </row>
    <row r="4182" spans="4:9" x14ac:dyDescent="0.45">
      <c r="D4182" t="str">
        <f>IFERROR(VLOOKUP(C4182,'Clients List'!$A:$F,2,FALSE),"")</f>
        <v/>
      </c>
      <c r="F4182" s="1" t="str">
        <f>IF(OR(C4182="",NOT(ISNUMBER(SEARCH("Package",D4182)))),"",VLOOKUP(C4182,'Clients List'!$A:$F,4,FALSE)-SUMIFS($E$2:$E4182,$C$2:$C4182,C4182,$D$2:$D4182,"*Package*"))</f>
        <v/>
      </c>
      <c r="G4182" t="str">
        <f t="shared" si="98"/>
        <v/>
      </c>
      <c r="H4182" s="33">
        <f>IF(ISNUMBER(SEARCH("Group",D4182)),IF(G4182="",E4182,IFERROR(E4182/COUNTIF($G2:$G6000,G4182),E4182)),E4182)</f>
        <v>0</v>
      </c>
      <c r="I4182" s="1" t="str">
        <f>IFERROR(VLOOKUP(C4182,'Clients List'!A:F,6,FALSE),"")</f>
        <v/>
      </c>
    </row>
    <row r="4183" spans="4:9" x14ac:dyDescent="0.45">
      <c r="D4183" t="str">
        <f>IFERROR(VLOOKUP(C4183,'Clients List'!$A:$F,2,FALSE),"")</f>
        <v/>
      </c>
      <c r="F4183" s="1" t="str">
        <f>IF(OR(C4183="",NOT(ISNUMBER(SEARCH("Package",D4183)))),"",VLOOKUP(C4183,'Clients List'!$A:$F,4,FALSE)-SUMIFS($E$2:$E4183,$C$2:$C4183,C4183,$D$2:$D4183,"*Package*"))</f>
        <v/>
      </c>
      <c r="G4183" t="str">
        <f t="shared" si="98"/>
        <v/>
      </c>
      <c r="H4183" s="33">
        <f>IF(ISNUMBER(SEARCH("Group",D4183)),IF(G4183="",E4183,IFERROR(E4183/COUNTIF($G2:$G6000,G4183),E4183)),E4183)</f>
        <v>0</v>
      </c>
      <c r="I4183" s="1" t="str">
        <f>IFERROR(VLOOKUP(C4183,'Clients List'!A:F,6,FALSE),"")</f>
        <v/>
      </c>
    </row>
    <row r="4184" spans="4:9" x14ac:dyDescent="0.45">
      <c r="D4184" t="str">
        <f>IFERROR(VLOOKUP(C4184,'Clients List'!$A:$F,2,FALSE),"")</f>
        <v/>
      </c>
      <c r="F4184" s="1" t="str">
        <f>IF(OR(C4184="",NOT(ISNUMBER(SEARCH("Package",D4184)))),"",VLOOKUP(C4184,'Clients List'!$A:$F,4,FALSE)-SUMIFS($E$2:$E4184,$C$2:$C4184,C4184,$D$2:$D4184,"*Package*"))</f>
        <v/>
      </c>
      <c r="G4184" t="str">
        <f t="shared" si="98"/>
        <v/>
      </c>
      <c r="H4184" s="33">
        <f>IF(ISNUMBER(SEARCH("Group",D4184)),IF(G4184="",E4184,IFERROR(E4184/COUNTIF($G2:$G6000,G4184),E4184)),E4184)</f>
        <v>0</v>
      </c>
      <c r="I4184" s="1" t="str">
        <f>IFERROR(VLOOKUP(C4184,'Clients List'!A:F,6,FALSE),"")</f>
        <v/>
      </c>
    </row>
    <row r="4185" spans="4:9" x14ac:dyDescent="0.45">
      <c r="D4185" t="str">
        <f>IFERROR(VLOOKUP(C4185,'Clients List'!$A:$F,2,FALSE),"")</f>
        <v/>
      </c>
      <c r="F4185" s="1" t="str">
        <f>IF(OR(C4185="",NOT(ISNUMBER(SEARCH("Package",D4185)))),"",VLOOKUP(C4185,'Clients List'!$A:$F,4,FALSE)-SUMIFS($E$2:$E4185,$C$2:$C4185,C4185,$D$2:$D4185,"*Package*"))</f>
        <v/>
      </c>
      <c r="G4185" t="str">
        <f t="shared" si="98"/>
        <v/>
      </c>
      <c r="H4185" s="33">
        <f>IF(ISNUMBER(SEARCH("Group",D4185)),IF(G4185="",E4185,IFERROR(E4185/COUNTIF($G2:$G6000,G4185),E4185)),E4185)</f>
        <v>0</v>
      </c>
      <c r="I4185" s="1" t="str">
        <f>IFERROR(VLOOKUP(C4185,'Clients List'!A:F,6,FALSE),"")</f>
        <v/>
      </c>
    </row>
    <row r="4186" spans="4:9" x14ac:dyDescent="0.45">
      <c r="D4186" t="str">
        <f>IFERROR(VLOOKUP(C4186,'Clients List'!$A:$F,2,FALSE),"")</f>
        <v/>
      </c>
      <c r="F4186" s="1" t="str">
        <f>IF(OR(C4186="",NOT(ISNUMBER(SEARCH("Package",D4186)))),"",VLOOKUP(C4186,'Clients List'!$A:$F,4,FALSE)-SUMIFS($E$2:$E4186,$C$2:$C4186,C4186,$D$2:$D4186,"*Package*"))</f>
        <v/>
      </c>
      <c r="G4186" t="str">
        <f t="shared" si="98"/>
        <v/>
      </c>
      <c r="H4186" s="33">
        <f>IF(ISNUMBER(SEARCH("Group",D4186)),IF(G4186="",E4186,IFERROR(E4186/COUNTIF($G2:$G6000,G4186),E4186)),E4186)</f>
        <v>0</v>
      </c>
      <c r="I4186" s="1" t="str">
        <f>IFERROR(VLOOKUP(C4186,'Clients List'!A:F,6,FALSE),"")</f>
        <v/>
      </c>
    </row>
    <row r="4187" spans="4:9" x14ac:dyDescent="0.45">
      <c r="D4187" t="str">
        <f>IFERROR(VLOOKUP(C4187,'Clients List'!$A:$F,2,FALSE),"")</f>
        <v/>
      </c>
      <c r="F4187" s="1" t="str">
        <f>IF(OR(C4187="",NOT(ISNUMBER(SEARCH("Package",D4187)))),"",VLOOKUP(C4187,'Clients List'!$A:$F,4,FALSE)-SUMIFS($E$2:$E4187,$C$2:$C4187,C4187,$D$2:$D4187,"*Package*"))</f>
        <v/>
      </c>
      <c r="G4187" t="str">
        <f t="shared" si="98"/>
        <v/>
      </c>
      <c r="H4187" s="33">
        <f>IF(ISNUMBER(SEARCH("Group",D4187)),IF(G4187="",E4187,IFERROR(E4187/COUNTIF($G2:$G6000,G4187),E4187)),E4187)</f>
        <v>0</v>
      </c>
      <c r="I4187" s="1" t="str">
        <f>IFERROR(VLOOKUP(C4187,'Clients List'!A:F,6,FALSE),"")</f>
        <v/>
      </c>
    </row>
    <row r="4188" spans="4:9" x14ac:dyDescent="0.45">
      <c r="D4188" t="str">
        <f>IFERROR(VLOOKUP(C4188,'Clients List'!$A:$F,2,FALSE),"")</f>
        <v/>
      </c>
      <c r="F4188" s="1" t="str">
        <f>IF(OR(C4188="",NOT(ISNUMBER(SEARCH("Package",D4188)))),"",VLOOKUP(C4188,'Clients List'!$A:$F,4,FALSE)-SUMIFS($E$2:$E4188,$C$2:$C4188,C4188,$D$2:$D4188,"*Package*"))</f>
        <v/>
      </c>
      <c r="G4188" t="str">
        <f t="shared" si="98"/>
        <v/>
      </c>
      <c r="H4188" s="33">
        <f>IF(ISNUMBER(SEARCH("Group",D4188)),IF(G4188="",E4188,IFERROR(E4188/COUNTIF($G2:$G6000,G4188),E4188)),E4188)</f>
        <v>0</v>
      </c>
      <c r="I4188" s="1" t="str">
        <f>IFERROR(VLOOKUP(C4188,'Clients List'!A:F,6,FALSE),"")</f>
        <v/>
      </c>
    </row>
    <row r="4189" spans="4:9" x14ac:dyDescent="0.45">
      <c r="D4189" t="str">
        <f>IFERROR(VLOOKUP(C4189,'Clients List'!$A:$F,2,FALSE),"")</f>
        <v/>
      </c>
      <c r="F4189" s="1" t="str">
        <f>IF(OR(C4189="",NOT(ISNUMBER(SEARCH("Package",D4189)))),"",VLOOKUP(C4189,'Clients List'!$A:$F,4,FALSE)-SUMIFS($E$2:$E4189,$C$2:$C4189,C4189,$D$2:$D4189,"*Package*"))</f>
        <v/>
      </c>
      <c r="G4189" t="str">
        <f t="shared" si="98"/>
        <v/>
      </c>
      <c r="H4189" s="33">
        <f>IF(ISNUMBER(SEARCH("Group",D4189)),IF(G4189="",E4189,IFERROR(E4189/COUNTIF($G2:$G6000,G4189),E4189)),E4189)</f>
        <v>0</v>
      </c>
      <c r="I4189" s="1" t="str">
        <f>IFERROR(VLOOKUP(C4189,'Clients List'!A:F,6,FALSE),"")</f>
        <v/>
      </c>
    </row>
    <row r="4190" spans="4:9" x14ac:dyDescent="0.45">
      <c r="D4190" t="str">
        <f>IFERROR(VLOOKUP(C4190,'Clients List'!$A:$F,2,FALSE),"")</f>
        <v/>
      </c>
      <c r="F4190" s="1" t="str">
        <f>IF(OR(C4190="",NOT(ISNUMBER(SEARCH("Package",D4190)))),"",VLOOKUP(C4190,'Clients List'!$A:$F,4,FALSE)-SUMIFS($E$2:$E4190,$C$2:$C4190,C4190,$D$2:$D4190,"*Package*"))</f>
        <v/>
      </c>
      <c r="G4190" t="str">
        <f t="shared" si="98"/>
        <v/>
      </c>
      <c r="H4190" s="33">
        <f>IF(ISNUMBER(SEARCH("Group",D4190)),IF(G4190="",E4190,IFERROR(E4190/COUNTIF($G2:$G6000,G4190),E4190)),E4190)</f>
        <v>0</v>
      </c>
      <c r="I4190" s="1" t="str">
        <f>IFERROR(VLOOKUP(C4190,'Clients List'!A:F,6,FALSE),"")</f>
        <v/>
      </c>
    </row>
    <row r="4191" spans="4:9" x14ac:dyDescent="0.45">
      <c r="D4191" t="str">
        <f>IFERROR(VLOOKUP(C4191,'Clients List'!$A:$F,2,FALSE),"")</f>
        <v/>
      </c>
      <c r="F4191" s="1" t="str">
        <f>IF(OR(C4191="",NOT(ISNUMBER(SEARCH("Package",D4191)))),"",VLOOKUP(C4191,'Clients List'!$A:$F,4,FALSE)-SUMIFS($E$2:$E4191,$C$2:$C4191,C4191,$D$2:$D4191,"*Package*"))</f>
        <v/>
      </c>
      <c r="G4191" t="str">
        <f t="shared" si="98"/>
        <v/>
      </c>
      <c r="H4191" s="33">
        <f>IF(ISNUMBER(SEARCH("Group",D4191)),IF(G4191="",E4191,IFERROR(E4191/COUNTIF($G2:$G6000,G4191),E4191)),E4191)</f>
        <v>0</v>
      </c>
      <c r="I4191" s="1" t="str">
        <f>IFERROR(VLOOKUP(C4191,'Clients List'!A:F,6,FALSE),"")</f>
        <v/>
      </c>
    </row>
    <row r="4192" spans="4:9" x14ac:dyDescent="0.45">
      <c r="D4192" t="str">
        <f>IFERROR(VLOOKUP(C4192,'Clients List'!$A:$F,2,FALSE),"")</f>
        <v/>
      </c>
      <c r="F4192" s="1" t="str">
        <f>IF(OR(C4192="",NOT(ISNUMBER(SEARCH("Package",D4192)))),"",VLOOKUP(C4192,'Clients List'!$A:$F,4,FALSE)-SUMIFS($E$2:$E4192,$C$2:$C4192,C4192,$D$2:$D4192,"*Package*"))</f>
        <v/>
      </c>
      <c r="G4192" t="str">
        <f t="shared" si="98"/>
        <v/>
      </c>
      <c r="H4192" s="33">
        <f>IF(ISNUMBER(SEARCH("Group",D4192)),IF(G4192="",E4192,IFERROR(E4192/COUNTIF($G2:$G6000,G4192),E4192)),E4192)</f>
        <v>0</v>
      </c>
      <c r="I4192" s="1" t="str">
        <f>IFERROR(VLOOKUP(C4192,'Clients List'!A:F,6,FALSE),"")</f>
        <v/>
      </c>
    </row>
    <row r="4193" spans="4:9" x14ac:dyDescent="0.45">
      <c r="D4193" t="str">
        <f>IFERROR(VLOOKUP(C4193,'Clients List'!$A:$F,2,FALSE),"")</f>
        <v/>
      </c>
      <c r="F4193" s="1" t="str">
        <f>IF(OR(C4193="",NOT(ISNUMBER(SEARCH("Package",D4193)))),"",VLOOKUP(C4193,'Clients List'!$A:$F,4,FALSE)-SUMIFS($E$2:$E4193,$C$2:$C4193,C4193,$D$2:$D4193,"*Package*"))</f>
        <v/>
      </c>
      <c r="G4193" t="str">
        <f t="shared" si="98"/>
        <v/>
      </c>
      <c r="H4193" s="33">
        <f>IF(ISNUMBER(SEARCH("Group",D4193)),IF(G4193="",E4193,IFERROR(E4193/COUNTIF($G2:$G6000,G4193),E4193)),E4193)</f>
        <v>0</v>
      </c>
      <c r="I4193" s="1" t="str">
        <f>IFERROR(VLOOKUP(C4193,'Clients List'!A:F,6,FALSE),"")</f>
        <v/>
      </c>
    </row>
    <row r="4194" spans="4:9" x14ac:dyDescent="0.45">
      <c r="D4194" t="str">
        <f>IFERROR(VLOOKUP(C4194,'Clients List'!$A:$F,2,FALSE),"")</f>
        <v/>
      </c>
      <c r="F4194" s="1" t="str">
        <f>IF(OR(C4194="",NOT(ISNUMBER(SEARCH("Package",D4194)))),"",VLOOKUP(C4194,'Clients List'!$A:$F,4,FALSE)-SUMIFS($E$2:$E4194,$C$2:$C4194,C4194,$D$2:$D4194,"*Package*"))</f>
        <v/>
      </c>
      <c r="G4194" t="str">
        <f t="shared" si="98"/>
        <v/>
      </c>
      <c r="H4194" s="33">
        <f>IF(ISNUMBER(SEARCH("Group",D4194)),IF(G4194="",E4194,IFERROR(E4194/COUNTIF($G2:$G6000,G4194),E4194)),E4194)</f>
        <v>0</v>
      </c>
      <c r="I4194" s="1" t="str">
        <f>IFERROR(VLOOKUP(C4194,'Clients List'!A:F,6,FALSE),"")</f>
        <v/>
      </c>
    </row>
    <row r="4195" spans="4:9" x14ac:dyDescent="0.45">
      <c r="D4195" t="str">
        <f>IFERROR(VLOOKUP(C4195,'Clients List'!$A:$F,2,FALSE),"")</f>
        <v/>
      </c>
      <c r="F4195" s="1" t="str">
        <f>IF(OR(C4195="",NOT(ISNUMBER(SEARCH("Package",D4195)))),"",VLOOKUP(C4195,'Clients List'!$A:$F,4,FALSE)-SUMIFS($E$2:$E4195,$C$2:$C4195,C4195,$D$2:$D4195,"*Package*"))</f>
        <v/>
      </c>
      <c r="G4195" t="str">
        <f t="shared" si="98"/>
        <v/>
      </c>
      <c r="H4195" s="33">
        <f>IF(ISNUMBER(SEARCH("Group",D4195)),IF(G4195="",E4195,IFERROR(E4195/COUNTIF($G2:$G6000,G4195),E4195)),E4195)</f>
        <v>0</v>
      </c>
      <c r="I4195" s="1" t="str">
        <f>IFERROR(VLOOKUP(C4195,'Clients List'!A:F,6,FALSE),"")</f>
        <v/>
      </c>
    </row>
    <row r="4196" spans="4:9" x14ac:dyDescent="0.45">
      <c r="D4196" t="str">
        <f>IFERROR(VLOOKUP(C4196,'Clients List'!$A:$F,2,FALSE),"")</f>
        <v/>
      </c>
      <c r="F4196" s="1" t="str">
        <f>IF(OR(C4196="",NOT(ISNUMBER(SEARCH("Package",D4196)))),"",VLOOKUP(C4196,'Clients List'!$A:$F,4,FALSE)-SUMIFS($E$2:$E4196,$C$2:$C4196,C4196,$D$2:$D4196,"*Package*"))</f>
        <v/>
      </c>
      <c r="G4196" t="str">
        <f t="shared" si="98"/>
        <v/>
      </c>
      <c r="H4196" s="33">
        <f>IF(ISNUMBER(SEARCH("Group",D4196)),IF(G4196="",E4196,IFERROR(E4196/COUNTIF($G2:$G6000,G4196),E4196)),E4196)</f>
        <v>0</v>
      </c>
      <c r="I4196" s="1" t="str">
        <f>IFERROR(VLOOKUP(C4196,'Clients List'!A:F,6,FALSE),"")</f>
        <v/>
      </c>
    </row>
    <row r="4197" spans="4:9" x14ac:dyDescent="0.45">
      <c r="D4197" t="str">
        <f>IFERROR(VLOOKUP(C4197,'Clients List'!$A:$F,2,FALSE),"")</f>
        <v/>
      </c>
      <c r="F4197" s="1" t="str">
        <f>IF(OR(C4197="",NOT(ISNUMBER(SEARCH("Package",D4197)))),"",VLOOKUP(C4197,'Clients List'!$A:$F,4,FALSE)-SUMIFS($E$2:$E4197,$C$2:$C4197,C4197,$D$2:$D4197,"*Package*"))</f>
        <v/>
      </c>
      <c r="G4197" t="str">
        <f t="shared" si="98"/>
        <v/>
      </c>
      <c r="H4197" s="33">
        <f>IF(ISNUMBER(SEARCH("Group",D4197)),IF(G4197="",E4197,IFERROR(E4197/COUNTIF($G2:$G6000,G4197),E4197)),E4197)</f>
        <v>0</v>
      </c>
      <c r="I4197" s="1" t="str">
        <f>IFERROR(VLOOKUP(C4197,'Clients List'!A:F,6,FALSE),"")</f>
        <v/>
      </c>
    </row>
    <row r="4198" spans="4:9" x14ac:dyDescent="0.45">
      <c r="D4198" t="str">
        <f>IFERROR(VLOOKUP(C4198,'Clients List'!$A:$F,2,FALSE),"")</f>
        <v/>
      </c>
      <c r="F4198" s="1" t="str">
        <f>IF(OR(C4198="",NOT(ISNUMBER(SEARCH("Package",D4198)))),"",VLOOKUP(C4198,'Clients List'!$A:$F,4,FALSE)-SUMIFS($E$2:$E4198,$C$2:$C4198,C4198,$D$2:$D4198,"*Package*"))</f>
        <v/>
      </c>
      <c r="G4198" t="str">
        <f t="shared" si="98"/>
        <v/>
      </c>
      <c r="H4198" s="33">
        <f>IF(ISNUMBER(SEARCH("Group",D4198)),IF(G4198="",E4198,IFERROR(E4198/COUNTIF($G2:$G6000,G4198),E4198)),E4198)</f>
        <v>0</v>
      </c>
      <c r="I4198" s="1" t="str">
        <f>IFERROR(VLOOKUP(C4198,'Clients List'!A:F,6,FALSE),"")</f>
        <v/>
      </c>
    </row>
    <row r="4199" spans="4:9" x14ac:dyDescent="0.45">
      <c r="D4199" t="str">
        <f>IFERROR(VLOOKUP(C4199,'Clients List'!$A:$F,2,FALSE),"")</f>
        <v/>
      </c>
      <c r="F4199" s="1" t="str">
        <f>IF(OR(C4199="",NOT(ISNUMBER(SEARCH("Package",D4199)))),"",VLOOKUP(C4199,'Clients List'!$A:$F,4,FALSE)-SUMIFS($E$2:$E4199,$C$2:$C4199,C4199,$D$2:$D4199,"*Package*"))</f>
        <v/>
      </c>
      <c r="G4199" t="str">
        <f t="shared" si="98"/>
        <v/>
      </c>
      <c r="H4199" s="33">
        <f>IF(ISNUMBER(SEARCH("Group",D4199)),IF(G4199="",E4199,IFERROR(E4199/COUNTIF($G2:$G6000,G4199),E4199)),E4199)</f>
        <v>0</v>
      </c>
      <c r="I4199" s="1" t="str">
        <f>IFERROR(VLOOKUP(C4199,'Clients List'!A:F,6,FALSE),"")</f>
        <v/>
      </c>
    </row>
    <row r="4200" spans="4:9" x14ac:dyDescent="0.45">
      <c r="D4200" t="str">
        <f>IFERROR(VLOOKUP(C4200,'Clients List'!$A:$F,2,FALSE),"")</f>
        <v/>
      </c>
      <c r="F4200" s="1" t="str">
        <f>IF(OR(C4200="",NOT(ISNUMBER(SEARCH("Package",D4200)))),"",VLOOKUP(C4200,'Clients List'!$A:$F,4,FALSE)-SUMIFS($E$2:$E4200,$C$2:$C4200,C4200,$D$2:$D4200,"*Package*"))</f>
        <v/>
      </c>
      <c r="G4200" t="str">
        <f t="shared" si="98"/>
        <v/>
      </c>
      <c r="H4200" s="33">
        <f>IF(ISNUMBER(SEARCH("Group",D4200)),IF(G4200="",E4200,IFERROR(E4200/COUNTIF($G2:$G6000,G4200),E4200)),E4200)</f>
        <v>0</v>
      </c>
      <c r="I4200" s="1" t="str">
        <f>IFERROR(VLOOKUP(C4200,'Clients List'!A:F,6,FALSE),"")</f>
        <v/>
      </c>
    </row>
    <row r="4201" spans="4:9" x14ac:dyDescent="0.45">
      <c r="D4201" t="str">
        <f>IFERROR(VLOOKUP(C4201,'Clients List'!$A:$F,2,FALSE),"")</f>
        <v/>
      </c>
      <c r="F4201" s="1" t="str">
        <f>IF(OR(C4201="",NOT(ISNUMBER(SEARCH("Package",D4201)))),"",VLOOKUP(C4201,'Clients List'!$A:$F,4,FALSE)-SUMIFS($E$2:$E4201,$C$2:$C4201,C4201,$D$2:$D4201,"*Package*"))</f>
        <v/>
      </c>
      <c r="G4201" t="str">
        <f t="shared" si="98"/>
        <v/>
      </c>
      <c r="H4201" s="33">
        <f>IF(ISNUMBER(SEARCH("Group",D4201)),IF(G4201="",E4201,IFERROR(E4201/COUNTIF($G2:$G6000,G4201),E4201)),E4201)</f>
        <v>0</v>
      </c>
      <c r="I4201" s="1" t="str">
        <f>IFERROR(VLOOKUP(C4201,'Clients List'!A:F,6,FALSE),"")</f>
        <v/>
      </c>
    </row>
    <row r="4202" spans="4:9" x14ac:dyDescent="0.45">
      <c r="D4202" t="str">
        <f>IFERROR(VLOOKUP(C4202,'Clients List'!$A:$F,2,FALSE),"")</f>
        <v/>
      </c>
      <c r="F4202" s="1" t="str">
        <f>IF(OR(C4202="",NOT(ISNUMBER(SEARCH("Package",D4202)))),"",VLOOKUP(C4202,'Clients List'!$A:$F,4,FALSE)-SUMIFS($E$2:$E4202,$C$2:$C4202,C4202,$D$2:$D4202,"*Package*"))</f>
        <v/>
      </c>
      <c r="G4202" t="str">
        <f t="shared" si="98"/>
        <v/>
      </c>
      <c r="H4202" s="33">
        <f>IF(ISNUMBER(SEARCH("Group",D4202)),IF(G4202="",E4202,IFERROR(E4202/COUNTIF($G2:$G6000,G4202),E4202)),E4202)</f>
        <v>0</v>
      </c>
      <c r="I4202" s="1" t="str">
        <f>IFERROR(VLOOKUP(C4202,'Clients List'!A:F,6,FALSE),"")</f>
        <v/>
      </c>
    </row>
    <row r="4203" spans="4:9" x14ac:dyDescent="0.45">
      <c r="D4203" t="str">
        <f>IFERROR(VLOOKUP(C4203,'Clients List'!$A:$F,2,FALSE),"")</f>
        <v/>
      </c>
      <c r="F4203" s="1" t="str">
        <f>IF(OR(C4203="",NOT(ISNUMBER(SEARCH("Package",D4203)))),"",VLOOKUP(C4203,'Clients List'!$A:$F,4,FALSE)-SUMIFS($E$2:$E4203,$C$2:$C4203,C4203,$D$2:$D4203,"*Package*"))</f>
        <v/>
      </c>
      <c r="G4203" t="str">
        <f t="shared" si="98"/>
        <v/>
      </c>
      <c r="H4203" s="33">
        <f>IF(ISNUMBER(SEARCH("Group",D4203)),IF(G4203="",E4203,IFERROR(E4203/COUNTIF($G2:$G6000,G4203),E4203)),E4203)</f>
        <v>0</v>
      </c>
      <c r="I4203" s="1" t="str">
        <f>IFERROR(VLOOKUP(C4203,'Clients List'!A:F,6,FALSE),"")</f>
        <v/>
      </c>
    </row>
    <row r="4204" spans="4:9" x14ac:dyDescent="0.45">
      <c r="D4204" t="str">
        <f>IFERROR(VLOOKUP(C4204,'Clients List'!$A:$F,2,FALSE),"")</f>
        <v/>
      </c>
      <c r="F4204" s="1" t="str">
        <f>IF(OR(C4204="",NOT(ISNUMBER(SEARCH("Package",D4204)))),"",VLOOKUP(C4204,'Clients List'!$A:$F,4,FALSE)-SUMIFS($E$2:$E4204,$C$2:$C4204,C4204,$D$2:$D4204,"*Package*"))</f>
        <v/>
      </c>
      <c r="G4204" t="str">
        <f t="shared" si="98"/>
        <v/>
      </c>
      <c r="H4204" s="33">
        <f>IF(ISNUMBER(SEARCH("Group",D4204)),IF(G4204="",E4204,IFERROR(E4204/COUNTIF($G2:$G6000,G4204),E4204)),E4204)</f>
        <v>0</v>
      </c>
      <c r="I4204" s="1" t="str">
        <f>IFERROR(VLOOKUP(C4204,'Clients List'!A:F,6,FALSE),"")</f>
        <v/>
      </c>
    </row>
    <row r="4205" spans="4:9" x14ac:dyDescent="0.45">
      <c r="D4205" t="str">
        <f>IFERROR(VLOOKUP(C4205,'Clients List'!$A:$F,2,FALSE),"")</f>
        <v/>
      </c>
      <c r="F4205" s="1" t="str">
        <f>IF(OR(C4205="",NOT(ISNUMBER(SEARCH("Package",D4205)))),"",VLOOKUP(C4205,'Clients List'!$A:$F,4,FALSE)-SUMIFS($E$2:$E4205,$C$2:$C4205,C4205,$D$2:$D4205,"*Package*"))</f>
        <v/>
      </c>
      <c r="G4205" t="str">
        <f t="shared" si="98"/>
        <v/>
      </c>
      <c r="H4205" s="33">
        <f>IF(ISNUMBER(SEARCH("Group",D4205)),IF(G4205="",E4205,IFERROR(E4205/COUNTIF($G2:$G6000,G4205),E4205)),E4205)</f>
        <v>0</v>
      </c>
      <c r="I4205" s="1" t="str">
        <f>IFERROR(VLOOKUP(C4205,'Clients List'!A:F,6,FALSE),"")</f>
        <v/>
      </c>
    </row>
    <row r="4206" spans="4:9" x14ac:dyDescent="0.45">
      <c r="D4206" t="str">
        <f>IFERROR(VLOOKUP(C4206,'Clients List'!$A:$F,2,FALSE),"")</f>
        <v/>
      </c>
      <c r="F4206" s="1" t="str">
        <f>IF(OR(C4206="",NOT(ISNUMBER(SEARCH("Package",D4206)))),"",VLOOKUP(C4206,'Clients List'!$A:$F,4,FALSE)-SUMIFS($E$2:$E4206,$C$2:$C4206,C4206,$D$2:$D4206,"*Package*"))</f>
        <v/>
      </c>
      <c r="G4206" t="str">
        <f t="shared" si="98"/>
        <v/>
      </c>
      <c r="H4206" s="33">
        <f>IF(ISNUMBER(SEARCH("Group",D4206)),IF(G4206="",E4206,IFERROR(E4206/COUNTIF($G2:$G6000,G4206),E4206)),E4206)</f>
        <v>0</v>
      </c>
      <c r="I4206" s="1" t="str">
        <f>IFERROR(VLOOKUP(C4206,'Clients List'!A:F,6,FALSE),"")</f>
        <v/>
      </c>
    </row>
    <row r="4207" spans="4:9" x14ac:dyDescent="0.45">
      <c r="D4207" t="str">
        <f>IFERROR(VLOOKUP(C4207,'Clients List'!$A:$F,2,FALSE),"")</f>
        <v/>
      </c>
      <c r="F4207" s="1" t="str">
        <f>IF(OR(C4207="",NOT(ISNUMBER(SEARCH("Package",D4207)))),"",VLOOKUP(C4207,'Clients List'!$A:$F,4,FALSE)-SUMIFS($E$2:$E4207,$C$2:$C4207,C4207,$D$2:$D4207,"*Package*"))</f>
        <v/>
      </c>
      <c r="G4207" t="str">
        <f t="shared" si="98"/>
        <v/>
      </c>
      <c r="H4207" s="33">
        <f>IF(ISNUMBER(SEARCH("Group",D4207)),IF(G4207="",E4207,IFERROR(E4207/COUNTIF($G2:$G6000,G4207),E4207)),E4207)</f>
        <v>0</v>
      </c>
      <c r="I4207" s="1" t="str">
        <f>IFERROR(VLOOKUP(C4207,'Clients List'!A:F,6,FALSE),"")</f>
        <v/>
      </c>
    </row>
    <row r="4208" spans="4:9" x14ac:dyDescent="0.45">
      <c r="D4208" t="str">
        <f>IFERROR(VLOOKUP(C4208,'Clients List'!$A:$F,2,FALSE),"")</f>
        <v/>
      </c>
      <c r="F4208" s="1" t="str">
        <f>IF(OR(C4208="",NOT(ISNUMBER(SEARCH("Package",D4208)))),"",VLOOKUP(C4208,'Clients List'!$A:$F,4,FALSE)-SUMIFS($E$2:$E4208,$C$2:$C4208,C4208,$D$2:$D4208,"*Package*"))</f>
        <v/>
      </c>
      <c r="G4208" t="str">
        <f t="shared" si="98"/>
        <v/>
      </c>
      <c r="H4208" s="33">
        <f>IF(ISNUMBER(SEARCH("Group",D4208)),IF(G4208="",E4208,IFERROR(E4208/COUNTIF($G2:$G6000,G4208),E4208)),E4208)</f>
        <v>0</v>
      </c>
      <c r="I4208" s="1" t="str">
        <f>IFERROR(VLOOKUP(C4208,'Clients List'!A:F,6,FALSE),"")</f>
        <v/>
      </c>
    </row>
    <row r="4209" spans="4:9" x14ac:dyDescent="0.45">
      <c r="D4209" t="str">
        <f>IFERROR(VLOOKUP(C4209,'Clients List'!$A:$F,2,FALSE),"")</f>
        <v/>
      </c>
      <c r="F4209" s="1" t="str">
        <f>IF(OR(C4209="",NOT(ISNUMBER(SEARCH("Package",D4209)))),"",VLOOKUP(C4209,'Clients List'!$A:$F,4,FALSE)-SUMIFS($E$2:$E4209,$C$2:$C4209,C4209,$D$2:$D4209,"*Package*"))</f>
        <v/>
      </c>
      <c r="G4209" t="str">
        <f t="shared" si="98"/>
        <v/>
      </c>
      <c r="H4209" s="33">
        <f>IF(ISNUMBER(SEARCH("Group",D4209)),IF(G4209="",E4209,IFERROR(E4209/COUNTIF($G2:$G6000,G4209),E4209)),E4209)</f>
        <v>0</v>
      </c>
      <c r="I4209" s="1" t="str">
        <f>IFERROR(VLOOKUP(C4209,'Clients List'!A:F,6,FALSE),"")</f>
        <v/>
      </c>
    </row>
    <row r="4210" spans="4:9" x14ac:dyDescent="0.45">
      <c r="D4210" t="str">
        <f>IFERROR(VLOOKUP(C4210,'Clients List'!$A:$F,2,FALSE),"")</f>
        <v/>
      </c>
      <c r="F4210" s="1" t="str">
        <f>IF(OR(C4210="",NOT(ISNUMBER(SEARCH("Package",D4210)))),"",VLOOKUP(C4210,'Clients List'!$A:$F,4,FALSE)-SUMIFS($E$2:$E4210,$C$2:$C4210,C4210,$D$2:$D4210,"*Package*"))</f>
        <v/>
      </c>
      <c r="G4210" t="str">
        <f t="shared" si="98"/>
        <v/>
      </c>
      <c r="H4210" s="33">
        <f>IF(ISNUMBER(SEARCH("Group",D4210)),IF(G4210="",E4210,IFERROR(E4210/COUNTIF($G2:$G6000,G4210),E4210)),E4210)</f>
        <v>0</v>
      </c>
      <c r="I4210" s="1" t="str">
        <f>IFERROR(VLOOKUP(C4210,'Clients List'!A:F,6,FALSE),"")</f>
        <v/>
      </c>
    </row>
    <row r="4211" spans="4:9" x14ac:dyDescent="0.45">
      <c r="D4211" t="str">
        <f>IFERROR(VLOOKUP(C4211,'Clients List'!$A:$F,2,FALSE),"")</f>
        <v/>
      </c>
      <c r="F4211" s="1" t="str">
        <f>IF(OR(C4211="",NOT(ISNUMBER(SEARCH("Package",D4211)))),"",VLOOKUP(C4211,'Clients List'!$A:$F,4,FALSE)-SUMIFS($E$2:$E4211,$C$2:$C4211,C4211,$D$2:$D4211,"*Package*"))</f>
        <v/>
      </c>
      <c r="G4211" t="str">
        <f t="shared" si="98"/>
        <v/>
      </c>
      <c r="H4211" s="33">
        <f>IF(ISNUMBER(SEARCH("Group",D4211)),IF(G4211="",E4211,IFERROR(E4211/COUNTIF($G2:$G6000,G4211),E4211)),E4211)</f>
        <v>0</v>
      </c>
      <c r="I4211" s="1" t="str">
        <f>IFERROR(VLOOKUP(C4211,'Clients List'!A:F,6,FALSE),"")</f>
        <v/>
      </c>
    </row>
    <row r="4212" spans="4:9" x14ac:dyDescent="0.45">
      <c r="D4212" t="str">
        <f>IFERROR(VLOOKUP(C4212,'Clients List'!$A:$F,2,FALSE),"")</f>
        <v/>
      </c>
      <c r="F4212" s="1" t="str">
        <f>IF(OR(C4212="",NOT(ISNUMBER(SEARCH("Package",D4212)))),"",VLOOKUP(C4212,'Clients List'!$A:$F,4,FALSE)-SUMIFS($E$2:$E4212,$C$2:$C4212,C4212,$D$2:$D4212,"*Package*"))</f>
        <v/>
      </c>
      <c r="G4212" t="str">
        <f t="shared" si="98"/>
        <v/>
      </c>
      <c r="H4212" s="33">
        <f>IF(ISNUMBER(SEARCH("Group",D4212)),IF(G4212="",E4212,IFERROR(E4212/COUNTIF($G2:$G6000,G4212),E4212)),E4212)</f>
        <v>0</v>
      </c>
      <c r="I4212" s="1" t="str">
        <f>IFERROR(VLOOKUP(C4212,'Clients List'!A:F,6,FALSE),"")</f>
        <v/>
      </c>
    </row>
    <row r="4213" spans="4:9" x14ac:dyDescent="0.45">
      <c r="D4213" t="str">
        <f>IFERROR(VLOOKUP(C4213,'Clients List'!$A:$F,2,FALSE),"")</f>
        <v/>
      </c>
      <c r="F4213" s="1" t="str">
        <f>IF(OR(C4213="",NOT(ISNUMBER(SEARCH("Package",D4213)))),"",VLOOKUP(C4213,'Clients List'!$A:$F,4,FALSE)-SUMIFS($E$2:$E4213,$C$2:$C4213,C4213,$D$2:$D4213,"*Package*"))</f>
        <v/>
      </c>
      <c r="G4213" t="str">
        <f t="shared" ref="G4213:G4276" si="99">IF(ISNUMBER(SEARCH("Group",D4213)),IFERROR("GRP-"&amp;TEXT(IF(ISNUMBER(A4213),A4213,DATEVALUE(A4213)),"yyyymmdd"),""),"" )</f>
        <v/>
      </c>
      <c r="H4213" s="33">
        <f>IF(ISNUMBER(SEARCH("Group",D4213)),IF(G4213="",E4213,IFERROR(E4213/COUNTIF($G2:$G6000,G4213),E4213)),E4213)</f>
        <v>0</v>
      </c>
      <c r="I4213" s="1" t="str">
        <f>IFERROR(VLOOKUP(C4213,'Clients List'!A:F,6,FALSE),"")</f>
        <v/>
      </c>
    </row>
    <row r="4214" spans="4:9" x14ac:dyDescent="0.45">
      <c r="D4214" t="str">
        <f>IFERROR(VLOOKUP(C4214,'Clients List'!$A:$F,2,FALSE),"")</f>
        <v/>
      </c>
      <c r="F4214" s="1" t="str">
        <f>IF(OR(C4214="",NOT(ISNUMBER(SEARCH("Package",D4214)))),"",VLOOKUP(C4214,'Clients List'!$A:$F,4,FALSE)-SUMIFS($E$2:$E4214,$C$2:$C4214,C4214,$D$2:$D4214,"*Package*"))</f>
        <v/>
      </c>
      <c r="G4214" t="str">
        <f t="shared" si="99"/>
        <v/>
      </c>
      <c r="H4214" s="33">
        <f>IF(ISNUMBER(SEARCH("Group",D4214)),IF(G4214="",E4214,IFERROR(E4214/COUNTIF($G2:$G6000,G4214),E4214)),E4214)</f>
        <v>0</v>
      </c>
      <c r="I4214" s="1" t="str">
        <f>IFERROR(VLOOKUP(C4214,'Clients List'!A:F,6,FALSE),"")</f>
        <v/>
      </c>
    </row>
    <row r="4215" spans="4:9" x14ac:dyDescent="0.45">
      <c r="D4215" t="str">
        <f>IFERROR(VLOOKUP(C4215,'Clients List'!$A:$F,2,FALSE),"")</f>
        <v/>
      </c>
      <c r="F4215" s="1" t="str">
        <f>IF(OR(C4215="",NOT(ISNUMBER(SEARCH("Package",D4215)))),"",VLOOKUP(C4215,'Clients List'!$A:$F,4,FALSE)-SUMIFS($E$2:$E4215,$C$2:$C4215,C4215,$D$2:$D4215,"*Package*"))</f>
        <v/>
      </c>
      <c r="G4215" t="str">
        <f t="shared" si="99"/>
        <v/>
      </c>
      <c r="H4215" s="33">
        <f>IF(ISNUMBER(SEARCH("Group",D4215)),IF(G4215="",E4215,IFERROR(E4215/COUNTIF($G2:$G6000,G4215),E4215)),E4215)</f>
        <v>0</v>
      </c>
      <c r="I4215" s="1" t="str">
        <f>IFERROR(VLOOKUP(C4215,'Clients List'!A:F,6,FALSE),"")</f>
        <v/>
      </c>
    </row>
    <row r="4216" spans="4:9" x14ac:dyDescent="0.45">
      <c r="D4216" t="str">
        <f>IFERROR(VLOOKUP(C4216,'Clients List'!$A:$F,2,FALSE),"")</f>
        <v/>
      </c>
      <c r="F4216" s="1" t="str">
        <f>IF(OR(C4216="",NOT(ISNUMBER(SEARCH("Package",D4216)))),"",VLOOKUP(C4216,'Clients List'!$A:$F,4,FALSE)-SUMIFS($E$2:$E4216,$C$2:$C4216,C4216,$D$2:$D4216,"*Package*"))</f>
        <v/>
      </c>
      <c r="G4216" t="str">
        <f t="shared" si="99"/>
        <v/>
      </c>
      <c r="H4216" s="33">
        <f>IF(ISNUMBER(SEARCH("Group",D4216)),IF(G4216="",E4216,IFERROR(E4216/COUNTIF($G2:$G6000,G4216),E4216)),E4216)</f>
        <v>0</v>
      </c>
      <c r="I4216" s="1" t="str">
        <f>IFERROR(VLOOKUP(C4216,'Clients List'!A:F,6,FALSE),"")</f>
        <v/>
      </c>
    </row>
    <row r="4217" spans="4:9" x14ac:dyDescent="0.45">
      <c r="D4217" t="str">
        <f>IFERROR(VLOOKUP(C4217,'Clients List'!$A:$F,2,FALSE),"")</f>
        <v/>
      </c>
      <c r="F4217" s="1" t="str">
        <f>IF(OR(C4217="",NOT(ISNUMBER(SEARCH("Package",D4217)))),"",VLOOKUP(C4217,'Clients List'!$A:$F,4,FALSE)-SUMIFS($E$2:$E4217,$C$2:$C4217,C4217,$D$2:$D4217,"*Package*"))</f>
        <v/>
      </c>
      <c r="G4217" t="str">
        <f t="shared" si="99"/>
        <v/>
      </c>
      <c r="H4217" s="33">
        <f>IF(ISNUMBER(SEARCH("Group",D4217)),IF(G4217="",E4217,IFERROR(E4217/COUNTIF($G2:$G6000,G4217),E4217)),E4217)</f>
        <v>0</v>
      </c>
      <c r="I4217" s="1" t="str">
        <f>IFERROR(VLOOKUP(C4217,'Clients List'!A:F,6,FALSE),"")</f>
        <v/>
      </c>
    </row>
    <row r="4218" spans="4:9" x14ac:dyDescent="0.45">
      <c r="D4218" t="str">
        <f>IFERROR(VLOOKUP(C4218,'Clients List'!$A:$F,2,FALSE),"")</f>
        <v/>
      </c>
      <c r="F4218" s="1" t="str">
        <f>IF(OR(C4218="",NOT(ISNUMBER(SEARCH("Package",D4218)))),"",VLOOKUP(C4218,'Clients List'!$A:$F,4,FALSE)-SUMIFS($E$2:$E4218,$C$2:$C4218,C4218,$D$2:$D4218,"*Package*"))</f>
        <v/>
      </c>
      <c r="G4218" t="str">
        <f t="shared" si="99"/>
        <v/>
      </c>
      <c r="H4218" s="33">
        <f>IF(ISNUMBER(SEARCH("Group",D4218)),IF(G4218="",E4218,IFERROR(E4218/COUNTIF($G2:$G6000,G4218),E4218)),E4218)</f>
        <v>0</v>
      </c>
      <c r="I4218" s="1" t="str">
        <f>IFERROR(VLOOKUP(C4218,'Clients List'!A:F,6,FALSE),"")</f>
        <v/>
      </c>
    </row>
    <row r="4219" spans="4:9" x14ac:dyDescent="0.45">
      <c r="D4219" t="str">
        <f>IFERROR(VLOOKUP(C4219,'Clients List'!$A:$F,2,FALSE),"")</f>
        <v/>
      </c>
      <c r="F4219" s="1" t="str">
        <f>IF(OR(C4219="",NOT(ISNUMBER(SEARCH("Package",D4219)))),"",VLOOKUP(C4219,'Clients List'!$A:$F,4,FALSE)-SUMIFS($E$2:$E4219,$C$2:$C4219,C4219,$D$2:$D4219,"*Package*"))</f>
        <v/>
      </c>
      <c r="G4219" t="str">
        <f t="shared" si="99"/>
        <v/>
      </c>
      <c r="H4219" s="33">
        <f>IF(ISNUMBER(SEARCH("Group",D4219)),IF(G4219="",E4219,IFERROR(E4219/COUNTIF($G2:$G6000,G4219),E4219)),E4219)</f>
        <v>0</v>
      </c>
      <c r="I4219" s="1" t="str">
        <f>IFERROR(VLOOKUP(C4219,'Clients List'!A:F,6,FALSE),"")</f>
        <v/>
      </c>
    </row>
    <row r="4220" spans="4:9" x14ac:dyDescent="0.45">
      <c r="D4220" t="str">
        <f>IFERROR(VLOOKUP(C4220,'Clients List'!$A:$F,2,FALSE),"")</f>
        <v/>
      </c>
      <c r="F4220" s="1" t="str">
        <f>IF(OR(C4220="",NOT(ISNUMBER(SEARCH("Package",D4220)))),"",VLOOKUP(C4220,'Clients List'!$A:$F,4,FALSE)-SUMIFS($E$2:$E4220,$C$2:$C4220,C4220,$D$2:$D4220,"*Package*"))</f>
        <v/>
      </c>
      <c r="G4220" t="str">
        <f t="shared" si="99"/>
        <v/>
      </c>
      <c r="H4220" s="33">
        <f>IF(ISNUMBER(SEARCH("Group",D4220)),IF(G4220="",E4220,IFERROR(E4220/COUNTIF($G2:$G6000,G4220),E4220)),E4220)</f>
        <v>0</v>
      </c>
      <c r="I4220" s="1" t="str">
        <f>IFERROR(VLOOKUP(C4220,'Clients List'!A:F,6,FALSE),"")</f>
        <v/>
      </c>
    </row>
    <row r="4221" spans="4:9" x14ac:dyDescent="0.45">
      <c r="D4221" t="str">
        <f>IFERROR(VLOOKUP(C4221,'Clients List'!$A:$F,2,FALSE),"")</f>
        <v/>
      </c>
      <c r="F4221" s="1" t="str">
        <f>IF(OR(C4221="",NOT(ISNUMBER(SEARCH("Package",D4221)))),"",VLOOKUP(C4221,'Clients List'!$A:$F,4,FALSE)-SUMIFS($E$2:$E4221,$C$2:$C4221,C4221,$D$2:$D4221,"*Package*"))</f>
        <v/>
      </c>
      <c r="G4221" t="str">
        <f t="shared" si="99"/>
        <v/>
      </c>
      <c r="H4221" s="33">
        <f>IF(ISNUMBER(SEARCH("Group",D4221)),IF(G4221="",E4221,IFERROR(E4221/COUNTIF($G2:$G6000,G4221),E4221)),E4221)</f>
        <v>0</v>
      </c>
      <c r="I4221" s="1" t="str">
        <f>IFERROR(VLOOKUP(C4221,'Clients List'!A:F,6,FALSE),"")</f>
        <v/>
      </c>
    </row>
    <row r="4222" spans="4:9" x14ac:dyDescent="0.45">
      <c r="D4222" t="str">
        <f>IFERROR(VLOOKUP(C4222,'Clients List'!$A:$F,2,FALSE),"")</f>
        <v/>
      </c>
      <c r="F4222" s="1" t="str">
        <f>IF(OR(C4222="",NOT(ISNUMBER(SEARCH("Package",D4222)))),"",VLOOKUP(C4222,'Clients List'!$A:$F,4,FALSE)-SUMIFS($E$2:$E4222,$C$2:$C4222,C4222,$D$2:$D4222,"*Package*"))</f>
        <v/>
      </c>
      <c r="G4222" t="str">
        <f t="shared" si="99"/>
        <v/>
      </c>
      <c r="H4222" s="33">
        <f>IF(ISNUMBER(SEARCH("Group",D4222)),IF(G4222="",E4222,IFERROR(E4222/COUNTIF($G2:$G6000,G4222),E4222)),E4222)</f>
        <v>0</v>
      </c>
      <c r="I4222" s="1" t="str">
        <f>IFERROR(VLOOKUP(C4222,'Clients List'!A:F,6,FALSE),"")</f>
        <v/>
      </c>
    </row>
    <row r="4223" spans="4:9" x14ac:dyDescent="0.45">
      <c r="D4223" t="str">
        <f>IFERROR(VLOOKUP(C4223,'Clients List'!$A:$F,2,FALSE),"")</f>
        <v/>
      </c>
      <c r="F4223" s="1" t="str">
        <f>IF(OR(C4223="",NOT(ISNUMBER(SEARCH("Package",D4223)))),"",VLOOKUP(C4223,'Clients List'!$A:$F,4,FALSE)-SUMIFS($E$2:$E4223,$C$2:$C4223,C4223,$D$2:$D4223,"*Package*"))</f>
        <v/>
      </c>
      <c r="G4223" t="str">
        <f t="shared" si="99"/>
        <v/>
      </c>
      <c r="H4223" s="33">
        <f>IF(ISNUMBER(SEARCH("Group",D4223)),IF(G4223="",E4223,IFERROR(E4223/COUNTIF($G2:$G6000,G4223),E4223)),E4223)</f>
        <v>0</v>
      </c>
      <c r="I4223" s="1" t="str">
        <f>IFERROR(VLOOKUP(C4223,'Clients List'!A:F,6,FALSE),"")</f>
        <v/>
      </c>
    </row>
    <row r="4224" spans="4:9" x14ac:dyDescent="0.45">
      <c r="D4224" t="str">
        <f>IFERROR(VLOOKUP(C4224,'Clients List'!$A:$F,2,FALSE),"")</f>
        <v/>
      </c>
      <c r="F4224" s="1" t="str">
        <f>IF(OR(C4224="",NOT(ISNUMBER(SEARCH("Package",D4224)))),"",VLOOKUP(C4224,'Clients List'!$A:$F,4,FALSE)-SUMIFS($E$2:$E4224,$C$2:$C4224,C4224,$D$2:$D4224,"*Package*"))</f>
        <v/>
      </c>
      <c r="G4224" t="str">
        <f t="shared" si="99"/>
        <v/>
      </c>
      <c r="H4224" s="33">
        <f>IF(ISNUMBER(SEARCH("Group",D4224)),IF(G4224="",E4224,IFERROR(E4224/COUNTIF($G2:$G6000,G4224),E4224)),E4224)</f>
        <v>0</v>
      </c>
      <c r="I4224" s="1" t="str">
        <f>IFERROR(VLOOKUP(C4224,'Clients List'!A:F,6,FALSE),"")</f>
        <v/>
      </c>
    </row>
    <row r="4225" spans="4:9" x14ac:dyDescent="0.45">
      <c r="D4225" t="str">
        <f>IFERROR(VLOOKUP(C4225,'Clients List'!$A:$F,2,FALSE),"")</f>
        <v/>
      </c>
      <c r="F4225" s="1" t="str">
        <f>IF(OR(C4225="",NOT(ISNUMBER(SEARCH("Package",D4225)))),"",VLOOKUP(C4225,'Clients List'!$A:$F,4,FALSE)-SUMIFS($E$2:$E4225,$C$2:$C4225,C4225,$D$2:$D4225,"*Package*"))</f>
        <v/>
      </c>
      <c r="G4225" t="str">
        <f t="shared" si="99"/>
        <v/>
      </c>
      <c r="H4225" s="33">
        <f>IF(ISNUMBER(SEARCH("Group",D4225)),IF(G4225="",E4225,IFERROR(E4225/COUNTIF($G2:$G6000,G4225),E4225)),E4225)</f>
        <v>0</v>
      </c>
      <c r="I4225" s="1" t="str">
        <f>IFERROR(VLOOKUP(C4225,'Clients List'!A:F,6,FALSE),"")</f>
        <v/>
      </c>
    </row>
    <row r="4226" spans="4:9" x14ac:dyDescent="0.45">
      <c r="D4226" t="str">
        <f>IFERROR(VLOOKUP(C4226,'Clients List'!$A:$F,2,FALSE),"")</f>
        <v/>
      </c>
      <c r="F4226" s="1" t="str">
        <f>IF(OR(C4226="",NOT(ISNUMBER(SEARCH("Package",D4226)))),"",VLOOKUP(C4226,'Clients List'!$A:$F,4,FALSE)-SUMIFS($E$2:$E4226,$C$2:$C4226,C4226,$D$2:$D4226,"*Package*"))</f>
        <v/>
      </c>
      <c r="G4226" t="str">
        <f t="shared" si="99"/>
        <v/>
      </c>
      <c r="H4226" s="33">
        <f>IF(ISNUMBER(SEARCH("Group",D4226)),IF(G4226="",E4226,IFERROR(E4226/COUNTIF($G2:$G6000,G4226),E4226)),E4226)</f>
        <v>0</v>
      </c>
      <c r="I4226" s="1" t="str">
        <f>IFERROR(VLOOKUP(C4226,'Clients List'!A:F,6,FALSE),"")</f>
        <v/>
      </c>
    </row>
    <row r="4227" spans="4:9" x14ac:dyDescent="0.45">
      <c r="D4227" t="str">
        <f>IFERROR(VLOOKUP(C4227,'Clients List'!$A:$F,2,FALSE),"")</f>
        <v/>
      </c>
      <c r="F4227" s="1" t="str">
        <f>IF(OR(C4227="",NOT(ISNUMBER(SEARCH("Package",D4227)))),"",VLOOKUP(C4227,'Clients List'!$A:$F,4,FALSE)-SUMIFS($E$2:$E4227,$C$2:$C4227,C4227,$D$2:$D4227,"*Package*"))</f>
        <v/>
      </c>
      <c r="G4227" t="str">
        <f t="shared" si="99"/>
        <v/>
      </c>
      <c r="H4227" s="33">
        <f>IF(ISNUMBER(SEARCH("Group",D4227)),IF(G4227="",E4227,IFERROR(E4227/COUNTIF($G2:$G6000,G4227),E4227)),E4227)</f>
        <v>0</v>
      </c>
      <c r="I4227" s="1" t="str">
        <f>IFERROR(VLOOKUP(C4227,'Clients List'!A:F,6,FALSE),"")</f>
        <v/>
      </c>
    </row>
    <row r="4228" spans="4:9" x14ac:dyDescent="0.45">
      <c r="D4228" t="str">
        <f>IFERROR(VLOOKUP(C4228,'Clients List'!$A:$F,2,FALSE),"")</f>
        <v/>
      </c>
      <c r="F4228" s="1" t="str">
        <f>IF(OR(C4228="",NOT(ISNUMBER(SEARCH("Package",D4228)))),"",VLOOKUP(C4228,'Clients List'!$A:$F,4,FALSE)-SUMIFS($E$2:$E4228,$C$2:$C4228,C4228,$D$2:$D4228,"*Package*"))</f>
        <v/>
      </c>
      <c r="G4228" t="str">
        <f t="shared" si="99"/>
        <v/>
      </c>
      <c r="H4228" s="33">
        <f>IF(ISNUMBER(SEARCH("Group",D4228)),IF(G4228="",E4228,IFERROR(E4228/COUNTIF($G2:$G6000,G4228),E4228)),E4228)</f>
        <v>0</v>
      </c>
      <c r="I4228" s="1" t="str">
        <f>IFERROR(VLOOKUP(C4228,'Clients List'!A:F,6,FALSE),"")</f>
        <v/>
      </c>
    </row>
    <row r="4229" spans="4:9" x14ac:dyDescent="0.45">
      <c r="D4229" t="str">
        <f>IFERROR(VLOOKUP(C4229,'Clients List'!$A:$F,2,FALSE),"")</f>
        <v/>
      </c>
      <c r="F4229" s="1" t="str">
        <f>IF(OR(C4229="",NOT(ISNUMBER(SEARCH("Package",D4229)))),"",VLOOKUP(C4229,'Clients List'!$A:$F,4,FALSE)-SUMIFS($E$2:$E4229,$C$2:$C4229,C4229,$D$2:$D4229,"*Package*"))</f>
        <v/>
      </c>
      <c r="G4229" t="str">
        <f t="shared" si="99"/>
        <v/>
      </c>
      <c r="H4229" s="33">
        <f>IF(ISNUMBER(SEARCH("Group",D4229)),IF(G4229="",E4229,IFERROR(E4229/COUNTIF($G2:$G6000,G4229),E4229)),E4229)</f>
        <v>0</v>
      </c>
      <c r="I4229" s="1" t="str">
        <f>IFERROR(VLOOKUP(C4229,'Clients List'!A:F,6,FALSE),"")</f>
        <v/>
      </c>
    </row>
    <row r="4230" spans="4:9" x14ac:dyDescent="0.45">
      <c r="D4230" t="str">
        <f>IFERROR(VLOOKUP(C4230,'Clients List'!$A:$F,2,FALSE),"")</f>
        <v/>
      </c>
      <c r="F4230" s="1" t="str">
        <f>IF(OR(C4230="",NOT(ISNUMBER(SEARCH("Package",D4230)))),"",VLOOKUP(C4230,'Clients List'!$A:$F,4,FALSE)-SUMIFS($E$2:$E4230,$C$2:$C4230,C4230,$D$2:$D4230,"*Package*"))</f>
        <v/>
      </c>
      <c r="G4230" t="str">
        <f t="shared" si="99"/>
        <v/>
      </c>
      <c r="H4230" s="33">
        <f>IF(ISNUMBER(SEARCH("Group",D4230)),IF(G4230="",E4230,IFERROR(E4230/COUNTIF($G2:$G6000,G4230),E4230)),E4230)</f>
        <v>0</v>
      </c>
      <c r="I4230" s="1" t="str">
        <f>IFERROR(VLOOKUP(C4230,'Clients List'!A:F,6,FALSE),"")</f>
        <v/>
      </c>
    </row>
    <row r="4231" spans="4:9" x14ac:dyDescent="0.45">
      <c r="D4231" t="str">
        <f>IFERROR(VLOOKUP(C4231,'Clients List'!$A:$F,2,FALSE),"")</f>
        <v/>
      </c>
      <c r="F4231" s="1" t="str">
        <f>IF(OR(C4231="",NOT(ISNUMBER(SEARCH("Package",D4231)))),"",VLOOKUP(C4231,'Clients List'!$A:$F,4,FALSE)-SUMIFS($E$2:$E4231,$C$2:$C4231,C4231,$D$2:$D4231,"*Package*"))</f>
        <v/>
      </c>
      <c r="G4231" t="str">
        <f t="shared" si="99"/>
        <v/>
      </c>
      <c r="H4231" s="33">
        <f>IF(ISNUMBER(SEARCH("Group",D4231)),IF(G4231="",E4231,IFERROR(E4231/COUNTIF($G2:$G6000,G4231),E4231)),E4231)</f>
        <v>0</v>
      </c>
      <c r="I4231" s="1" t="str">
        <f>IFERROR(VLOOKUP(C4231,'Clients List'!A:F,6,FALSE),"")</f>
        <v/>
      </c>
    </row>
    <row r="4232" spans="4:9" x14ac:dyDescent="0.45">
      <c r="D4232" t="str">
        <f>IFERROR(VLOOKUP(C4232,'Clients List'!$A:$F,2,FALSE),"")</f>
        <v/>
      </c>
      <c r="F4232" s="1" t="str">
        <f>IF(OR(C4232="",NOT(ISNUMBER(SEARCH("Package",D4232)))),"",VLOOKUP(C4232,'Clients List'!$A:$F,4,FALSE)-SUMIFS($E$2:$E4232,$C$2:$C4232,C4232,$D$2:$D4232,"*Package*"))</f>
        <v/>
      </c>
      <c r="G4232" t="str">
        <f t="shared" si="99"/>
        <v/>
      </c>
      <c r="H4232" s="33">
        <f>IF(ISNUMBER(SEARCH("Group",D4232)),IF(G4232="",E4232,IFERROR(E4232/COUNTIF($G2:$G6000,G4232),E4232)),E4232)</f>
        <v>0</v>
      </c>
      <c r="I4232" s="1" t="str">
        <f>IFERROR(VLOOKUP(C4232,'Clients List'!A:F,6,FALSE),"")</f>
        <v/>
      </c>
    </row>
    <row r="4233" spans="4:9" x14ac:dyDescent="0.45">
      <c r="D4233" t="str">
        <f>IFERROR(VLOOKUP(C4233,'Clients List'!$A:$F,2,FALSE),"")</f>
        <v/>
      </c>
      <c r="F4233" s="1" t="str">
        <f>IF(OR(C4233="",NOT(ISNUMBER(SEARCH("Package",D4233)))),"",VLOOKUP(C4233,'Clients List'!$A:$F,4,FALSE)-SUMIFS($E$2:$E4233,$C$2:$C4233,C4233,$D$2:$D4233,"*Package*"))</f>
        <v/>
      </c>
      <c r="G4233" t="str">
        <f t="shared" si="99"/>
        <v/>
      </c>
      <c r="H4233" s="33">
        <f>IF(ISNUMBER(SEARCH("Group",D4233)),IF(G4233="",E4233,IFERROR(E4233/COUNTIF($G2:$G6000,G4233),E4233)),E4233)</f>
        <v>0</v>
      </c>
      <c r="I4233" s="1" t="str">
        <f>IFERROR(VLOOKUP(C4233,'Clients List'!A:F,6,FALSE),"")</f>
        <v/>
      </c>
    </row>
    <row r="4234" spans="4:9" x14ac:dyDescent="0.45">
      <c r="D4234" t="str">
        <f>IFERROR(VLOOKUP(C4234,'Clients List'!$A:$F,2,FALSE),"")</f>
        <v/>
      </c>
      <c r="F4234" s="1" t="str">
        <f>IF(OR(C4234="",NOT(ISNUMBER(SEARCH("Package",D4234)))),"",VLOOKUP(C4234,'Clients List'!$A:$F,4,FALSE)-SUMIFS($E$2:$E4234,$C$2:$C4234,C4234,$D$2:$D4234,"*Package*"))</f>
        <v/>
      </c>
      <c r="G4234" t="str">
        <f t="shared" si="99"/>
        <v/>
      </c>
      <c r="H4234" s="33">
        <f>IF(ISNUMBER(SEARCH("Group",D4234)),IF(G4234="",E4234,IFERROR(E4234/COUNTIF($G2:$G6000,G4234),E4234)),E4234)</f>
        <v>0</v>
      </c>
      <c r="I4234" s="1" t="str">
        <f>IFERROR(VLOOKUP(C4234,'Clients List'!A:F,6,FALSE),"")</f>
        <v/>
      </c>
    </row>
    <row r="4235" spans="4:9" x14ac:dyDescent="0.45">
      <c r="D4235" t="str">
        <f>IFERROR(VLOOKUP(C4235,'Clients List'!$A:$F,2,FALSE),"")</f>
        <v/>
      </c>
      <c r="F4235" s="1" t="str">
        <f>IF(OR(C4235="",NOT(ISNUMBER(SEARCH("Package",D4235)))),"",VLOOKUP(C4235,'Clients List'!$A:$F,4,FALSE)-SUMIFS($E$2:$E4235,$C$2:$C4235,C4235,$D$2:$D4235,"*Package*"))</f>
        <v/>
      </c>
      <c r="G4235" t="str">
        <f t="shared" si="99"/>
        <v/>
      </c>
      <c r="H4235" s="33">
        <f>IF(ISNUMBER(SEARCH("Group",D4235)),IF(G4235="",E4235,IFERROR(E4235/COUNTIF($G2:$G6000,G4235),E4235)),E4235)</f>
        <v>0</v>
      </c>
      <c r="I4235" s="1" t="str">
        <f>IFERROR(VLOOKUP(C4235,'Clients List'!A:F,6,FALSE),"")</f>
        <v/>
      </c>
    </row>
    <row r="4236" spans="4:9" x14ac:dyDescent="0.45">
      <c r="D4236" t="str">
        <f>IFERROR(VLOOKUP(C4236,'Clients List'!$A:$F,2,FALSE),"")</f>
        <v/>
      </c>
      <c r="F4236" s="1" t="str">
        <f>IF(OR(C4236="",NOT(ISNUMBER(SEARCH("Package",D4236)))),"",VLOOKUP(C4236,'Clients List'!$A:$F,4,FALSE)-SUMIFS($E$2:$E4236,$C$2:$C4236,C4236,$D$2:$D4236,"*Package*"))</f>
        <v/>
      </c>
      <c r="G4236" t="str">
        <f t="shared" si="99"/>
        <v/>
      </c>
      <c r="H4236" s="33">
        <f>IF(ISNUMBER(SEARCH("Group",D4236)),IF(G4236="",E4236,IFERROR(E4236/COUNTIF($G2:$G6000,G4236),E4236)),E4236)</f>
        <v>0</v>
      </c>
      <c r="I4236" s="1" t="str">
        <f>IFERROR(VLOOKUP(C4236,'Clients List'!A:F,6,FALSE),"")</f>
        <v/>
      </c>
    </row>
    <row r="4237" spans="4:9" x14ac:dyDescent="0.45">
      <c r="D4237" t="str">
        <f>IFERROR(VLOOKUP(C4237,'Clients List'!$A:$F,2,FALSE),"")</f>
        <v/>
      </c>
      <c r="F4237" s="1" t="str">
        <f>IF(OR(C4237="",NOT(ISNUMBER(SEARCH("Package",D4237)))),"",VLOOKUP(C4237,'Clients List'!$A:$F,4,FALSE)-SUMIFS($E$2:$E4237,$C$2:$C4237,C4237,$D$2:$D4237,"*Package*"))</f>
        <v/>
      </c>
      <c r="G4237" t="str">
        <f t="shared" si="99"/>
        <v/>
      </c>
      <c r="H4237" s="33">
        <f>IF(ISNUMBER(SEARCH("Group",D4237)),IF(G4237="",E4237,IFERROR(E4237/COUNTIF($G2:$G6000,G4237),E4237)),E4237)</f>
        <v>0</v>
      </c>
      <c r="I4237" s="1" t="str">
        <f>IFERROR(VLOOKUP(C4237,'Clients List'!A:F,6,FALSE),"")</f>
        <v/>
      </c>
    </row>
    <row r="4238" spans="4:9" x14ac:dyDescent="0.45">
      <c r="D4238" t="str">
        <f>IFERROR(VLOOKUP(C4238,'Clients List'!$A:$F,2,FALSE),"")</f>
        <v/>
      </c>
      <c r="F4238" s="1" t="str">
        <f>IF(OR(C4238="",NOT(ISNUMBER(SEARCH("Package",D4238)))),"",VLOOKUP(C4238,'Clients List'!$A:$F,4,FALSE)-SUMIFS($E$2:$E4238,$C$2:$C4238,C4238,$D$2:$D4238,"*Package*"))</f>
        <v/>
      </c>
      <c r="G4238" t="str">
        <f t="shared" si="99"/>
        <v/>
      </c>
      <c r="H4238" s="33">
        <f>IF(ISNUMBER(SEARCH("Group",D4238)),IF(G4238="",E4238,IFERROR(E4238/COUNTIF($G2:$G6000,G4238),E4238)),E4238)</f>
        <v>0</v>
      </c>
      <c r="I4238" s="1" t="str">
        <f>IFERROR(VLOOKUP(C4238,'Clients List'!A:F,6,FALSE),"")</f>
        <v/>
      </c>
    </row>
    <row r="4239" spans="4:9" x14ac:dyDescent="0.45">
      <c r="D4239" t="str">
        <f>IFERROR(VLOOKUP(C4239,'Clients List'!$A:$F,2,FALSE),"")</f>
        <v/>
      </c>
      <c r="F4239" s="1" t="str">
        <f>IF(OR(C4239="",NOT(ISNUMBER(SEARCH("Package",D4239)))),"",VLOOKUP(C4239,'Clients List'!$A:$F,4,FALSE)-SUMIFS($E$2:$E4239,$C$2:$C4239,C4239,$D$2:$D4239,"*Package*"))</f>
        <v/>
      </c>
      <c r="G4239" t="str">
        <f t="shared" si="99"/>
        <v/>
      </c>
      <c r="H4239" s="33">
        <f>IF(ISNUMBER(SEARCH("Group",D4239)),IF(G4239="",E4239,IFERROR(E4239/COUNTIF($G2:$G6000,G4239),E4239)),E4239)</f>
        <v>0</v>
      </c>
      <c r="I4239" s="1" t="str">
        <f>IFERROR(VLOOKUP(C4239,'Clients List'!A:F,6,FALSE),"")</f>
        <v/>
      </c>
    </row>
    <row r="4240" spans="4:9" x14ac:dyDescent="0.45">
      <c r="D4240" t="str">
        <f>IFERROR(VLOOKUP(C4240,'Clients List'!$A:$F,2,FALSE),"")</f>
        <v/>
      </c>
      <c r="F4240" s="1" t="str">
        <f>IF(OR(C4240="",NOT(ISNUMBER(SEARCH("Package",D4240)))),"",VLOOKUP(C4240,'Clients List'!$A:$F,4,FALSE)-SUMIFS($E$2:$E4240,$C$2:$C4240,C4240,$D$2:$D4240,"*Package*"))</f>
        <v/>
      </c>
      <c r="G4240" t="str">
        <f t="shared" si="99"/>
        <v/>
      </c>
      <c r="H4240" s="33">
        <f>IF(ISNUMBER(SEARCH("Group",D4240)),IF(G4240="",E4240,IFERROR(E4240/COUNTIF($G2:$G6000,G4240),E4240)),E4240)</f>
        <v>0</v>
      </c>
      <c r="I4240" s="1" t="str">
        <f>IFERROR(VLOOKUP(C4240,'Clients List'!A:F,6,FALSE),"")</f>
        <v/>
      </c>
    </row>
    <row r="4241" spans="4:9" x14ac:dyDescent="0.45">
      <c r="D4241" t="str">
        <f>IFERROR(VLOOKUP(C4241,'Clients List'!$A:$F,2,FALSE),"")</f>
        <v/>
      </c>
      <c r="F4241" s="1" t="str">
        <f>IF(OR(C4241="",NOT(ISNUMBER(SEARCH("Package",D4241)))),"",VLOOKUP(C4241,'Clients List'!$A:$F,4,FALSE)-SUMIFS($E$2:$E4241,$C$2:$C4241,C4241,$D$2:$D4241,"*Package*"))</f>
        <v/>
      </c>
      <c r="G4241" t="str">
        <f t="shared" si="99"/>
        <v/>
      </c>
      <c r="H4241" s="33">
        <f>IF(ISNUMBER(SEARCH("Group",D4241)),IF(G4241="",E4241,IFERROR(E4241/COUNTIF($G2:$G6000,G4241),E4241)),E4241)</f>
        <v>0</v>
      </c>
      <c r="I4241" s="1" t="str">
        <f>IFERROR(VLOOKUP(C4241,'Clients List'!A:F,6,FALSE),"")</f>
        <v/>
      </c>
    </row>
    <row r="4242" spans="4:9" x14ac:dyDescent="0.45">
      <c r="D4242" t="str">
        <f>IFERROR(VLOOKUP(C4242,'Clients List'!$A:$F,2,FALSE),"")</f>
        <v/>
      </c>
      <c r="F4242" s="1" t="str">
        <f>IF(OR(C4242="",NOT(ISNUMBER(SEARCH("Package",D4242)))),"",VLOOKUP(C4242,'Clients List'!$A:$F,4,FALSE)-SUMIFS($E$2:$E4242,$C$2:$C4242,C4242,$D$2:$D4242,"*Package*"))</f>
        <v/>
      </c>
      <c r="G4242" t="str">
        <f t="shared" si="99"/>
        <v/>
      </c>
      <c r="H4242" s="33">
        <f>IF(ISNUMBER(SEARCH("Group",D4242)),IF(G4242="",E4242,IFERROR(E4242/COUNTIF($G2:$G6000,G4242),E4242)),E4242)</f>
        <v>0</v>
      </c>
      <c r="I4242" s="1" t="str">
        <f>IFERROR(VLOOKUP(C4242,'Clients List'!A:F,6,FALSE),"")</f>
        <v/>
      </c>
    </row>
    <row r="4243" spans="4:9" x14ac:dyDescent="0.45">
      <c r="D4243" t="str">
        <f>IFERROR(VLOOKUP(C4243,'Clients List'!$A:$F,2,FALSE),"")</f>
        <v/>
      </c>
      <c r="F4243" s="1" t="str">
        <f>IF(OR(C4243="",NOT(ISNUMBER(SEARCH("Package",D4243)))),"",VLOOKUP(C4243,'Clients List'!$A:$F,4,FALSE)-SUMIFS($E$2:$E4243,$C$2:$C4243,C4243,$D$2:$D4243,"*Package*"))</f>
        <v/>
      </c>
      <c r="G4243" t="str">
        <f t="shared" si="99"/>
        <v/>
      </c>
      <c r="H4243" s="33">
        <f>IF(ISNUMBER(SEARCH("Group",D4243)),IF(G4243="",E4243,IFERROR(E4243/COUNTIF($G2:$G6000,G4243),E4243)),E4243)</f>
        <v>0</v>
      </c>
      <c r="I4243" s="1" t="str">
        <f>IFERROR(VLOOKUP(C4243,'Clients List'!A:F,6,FALSE),"")</f>
        <v/>
      </c>
    </row>
    <row r="4244" spans="4:9" x14ac:dyDescent="0.45">
      <c r="D4244" t="str">
        <f>IFERROR(VLOOKUP(C4244,'Clients List'!$A:$F,2,FALSE),"")</f>
        <v/>
      </c>
      <c r="F4244" s="1" t="str">
        <f>IF(OR(C4244="",NOT(ISNUMBER(SEARCH("Package",D4244)))),"",VLOOKUP(C4244,'Clients List'!$A:$F,4,FALSE)-SUMIFS($E$2:$E4244,$C$2:$C4244,C4244,$D$2:$D4244,"*Package*"))</f>
        <v/>
      </c>
      <c r="G4244" t="str">
        <f t="shared" si="99"/>
        <v/>
      </c>
      <c r="H4244" s="33">
        <f>IF(ISNUMBER(SEARCH("Group",D4244)),IF(G4244="",E4244,IFERROR(E4244/COUNTIF($G2:$G6000,G4244),E4244)),E4244)</f>
        <v>0</v>
      </c>
      <c r="I4244" s="1" t="str">
        <f>IFERROR(VLOOKUP(C4244,'Clients List'!A:F,6,FALSE),"")</f>
        <v/>
      </c>
    </row>
    <row r="4245" spans="4:9" x14ac:dyDescent="0.45">
      <c r="D4245" t="str">
        <f>IFERROR(VLOOKUP(C4245,'Clients List'!$A:$F,2,FALSE),"")</f>
        <v/>
      </c>
      <c r="F4245" s="1" t="str">
        <f>IF(OR(C4245="",NOT(ISNUMBER(SEARCH("Package",D4245)))),"",VLOOKUP(C4245,'Clients List'!$A:$F,4,FALSE)-SUMIFS($E$2:$E4245,$C$2:$C4245,C4245,$D$2:$D4245,"*Package*"))</f>
        <v/>
      </c>
      <c r="G4245" t="str">
        <f t="shared" si="99"/>
        <v/>
      </c>
      <c r="H4245" s="33">
        <f>IF(ISNUMBER(SEARCH("Group",D4245)),IF(G4245="",E4245,IFERROR(E4245/COUNTIF($G2:$G6000,G4245),E4245)),E4245)</f>
        <v>0</v>
      </c>
      <c r="I4245" s="1" t="str">
        <f>IFERROR(VLOOKUP(C4245,'Clients List'!A:F,6,FALSE),"")</f>
        <v/>
      </c>
    </row>
    <row r="4246" spans="4:9" x14ac:dyDescent="0.45">
      <c r="D4246" t="str">
        <f>IFERROR(VLOOKUP(C4246,'Clients List'!$A:$F,2,FALSE),"")</f>
        <v/>
      </c>
      <c r="F4246" s="1" t="str">
        <f>IF(OR(C4246="",NOT(ISNUMBER(SEARCH("Package",D4246)))),"",VLOOKUP(C4246,'Clients List'!$A:$F,4,FALSE)-SUMIFS($E$2:$E4246,$C$2:$C4246,C4246,$D$2:$D4246,"*Package*"))</f>
        <v/>
      </c>
      <c r="G4246" t="str">
        <f t="shared" si="99"/>
        <v/>
      </c>
      <c r="H4246" s="33">
        <f>IF(ISNUMBER(SEARCH("Group",D4246)),IF(G4246="",E4246,IFERROR(E4246/COUNTIF($G2:$G6000,G4246),E4246)),E4246)</f>
        <v>0</v>
      </c>
      <c r="I4246" s="1" t="str">
        <f>IFERROR(VLOOKUP(C4246,'Clients List'!A:F,6,FALSE),"")</f>
        <v/>
      </c>
    </row>
    <row r="4247" spans="4:9" x14ac:dyDescent="0.45">
      <c r="D4247" t="str">
        <f>IFERROR(VLOOKUP(C4247,'Clients List'!$A:$F,2,FALSE),"")</f>
        <v/>
      </c>
      <c r="F4247" s="1" t="str">
        <f>IF(OR(C4247="",NOT(ISNUMBER(SEARCH("Package",D4247)))),"",VLOOKUP(C4247,'Clients List'!$A:$F,4,FALSE)-SUMIFS($E$2:$E4247,$C$2:$C4247,C4247,$D$2:$D4247,"*Package*"))</f>
        <v/>
      </c>
      <c r="G4247" t="str">
        <f t="shared" si="99"/>
        <v/>
      </c>
      <c r="H4247" s="33">
        <f>IF(ISNUMBER(SEARCH("Group",D4247)),IF(G4247="",E4247,IFERROR(E4247/COUNTIF($G2:$G6000,G4247),E4247)),E4247)</f>
        <v>0</v>
      </c>
      <c r="I4247" s="1" t="str">
        <f>IFERROR(VLOOKUP(C4247,'Clients List'!A:F,6,FALSE),"")</f>
        <v/>
      </c>
    </row>
    <row r="4248" spans="4:9" x14ac:dyDescent="0.45">
      <c r="D4248" t="str">
        <f>IFERROR(VLOOKUP(C4248,'Clients List'!$A:$F,2,FALSE),"")</f>
        <v/>
      </c>
      <c r="F4248" s="1" t="str">
        <f>IF(OR(C4248="",NOT(ISNUMBER(SEARCH("Package",D4248)))),"",VLOOKUP(C4248,'Clients List'!$A:$F,4,FALSE)-SUMIFS($E$2:$E4248,$C$2:$C4248,C4248,$D$2:$D4248,"*Package*"))</f>
        <v/>
      </c>
      <c r="G4248" t="str">
        <f t="shared" si="99"/>
        <v/>
      </c>
      <c r="H4248" s="33">
        <f>IF(ISNUMBER(SEARCH("Group",D4248)),IF(G4248="",E4248,IFERROR(E4248/COUNTIF($G2:$G6000,G4248),E4248)),E4248)</f>
        <v>0</v>
      </c>
      <c r="I4248" s="1" t="str">
        <f>IFERROR(VLOOKUP(C4248,'Clients List'!A:F,6,FALSE),"")</f>
        <v/>
      </c>
    </row>
    <row r="4249" spans="4:9" x14ac:dyDescent="0.45">
      <c r="D4249" t="str">
        <f>IFERROR(VLOOKUP(C4249,'Clients List'!$A:$F,2,FALSE),"")</f>
        <v/>
      </c>
      <c r="F4249" s="1" t="str">
        <f>IF(OR(C4249="",NOT(ISNUMBER(SEARCH("Package",D4249)))),"",VLOOKUP(C4249,'Clients List'!$A:$F,4,FALSE)-SUMIFS($E$2:$E4249,$C$2:$C4249,C4249,$D$2:$D4249,"*Package*"))</f>
        <v/>
      </c>
      <c r="G4249" t="str">
        <f t="shared" si="99"/>
        <v/>
      </c>
      <c r="H4249" s="33">
        <f>IF(ISNUMBER(SEARCH("Group",D4249)),IF(G4249="",E4249,IFERROR(E4249/COUNTIF($G2:$G6000,G4249),E4249)),E4249)</f>
        <v>0</v>
      </c>
      <c r="I4249" s="1" t="str">
        <f>IFERROR(VLOOKUP(C4249,'Clients List'!A:F,6,FALSE),"")</f>
        <v/>
      </c>
    </row>
    <row r="4250" spans="4:9" x14ac:dyDescent="0.45">
      <c r="D4250" t="str">
        <f>IFERROR(VLOOKUP(C4250,'Clients List'!$A:$F,2,FALSE),"")</f>
        <v/>
      </c>
      <c r="F4250" s="1" t="str">
        <f>IF(OR(C4250="",NOT(ISNUMBER(SEARCH("Package",D4250)))),"",VLOOKUP(C4250,'Clients List'!$A:$F,4,FALSE)-SUMIFS($E$2:$E4250,$C$2:$C4250,C4250,$D$2:$D4250,"*Package*"))</f>
        <v/>
      </c>
      <c r="G4250" t="str">
        <f t="shared" si="99"/>
        <v/>
      </c>
      <c r="H4250" s="33">
        <f>IF(ISNUMBER(SEARCH("Group",D4250)),IF(G4250="",E4250,IFERROR(E4250/COUNTIF($G2:$G6000,G4250),E4250)),E4250)</f>
        <v>0</v>
      </c>
      <c r="I4250" s="1" t="str">
        <f>IFERROR(VLOOKUP(C4250,'Clients List'!A:F,6,FALSE),"")</f>
        <v/>
      </c>
    </row>
    <row r="4251" spans="4:9" x14ac:dyDescent="0.45">
      <c r="D4251" t="str">
        <f>IFERROR(VLOOKUP(C4251,'Clients List'!$A:$F,2,FALSE),"")</f>
        <v/>
      </c>
      <c r="F4251" s="1" t="str">
        <f>IF(OR(C4251="",NOT(ISNUMBER(SEARCH("Package",D4251)))),"",VLOOKUP(C4251,'Clients List'!$A:$F,4,FALSE)-SUMIFS($E$2:$E4251,$C$2:$C4251,C4251,$D$2:$D4251,"*Package*"))</f>
        <v/>
      </c>
      <c r="G4251" t="str">
        <f t="shared" si="99"/>
        <v/>
      </c>
      <c r="H4251" s="33">
        <f>IF(ISNUMBER(SEARCH("Group",D4251)),IF(G4251="",E4251,IFERROR(E4251/COUNTIF($G2:$G6000,G4251),E4251)),E4251)</f>
        <v>0</v>
      </c>
      <c r="I4251" s="1" t="str">
        <f>IFERROR(VLOOKUP(C4251,'Clients List'!A:F,6,FALSE),"")</f>
        <v/>
      </c>
    </row>
    <row r="4252" spans="4:9" x14ac:dyDescent="0.45">
      <c r="D4252" t="str">
        <f>IFERROR(VLOOKUP(C4252,'Clients List'!$A:$F,2,FALSE),"")</f>
        <v/>
      </c>
      <c r="F4252" s="1" t="str">
        <f>IF(OR(C4252="",NOT(ISNUMBER(SEARCH("Package",D4252)))),"",VLOOKUP(C4252,'Clients List'!$A:$F,4,FALSE)-SUMIFS($E$2:$E4252,$C$2:$C4252,C4252,$D$2:$D4252,"*Package*"))</f>
        <v/>
      </c>
      <c r="G4252" t="str">
        <f t="shared" si="99"/>
        <v/>
      </c>
      <c r="H4252" s="33">
        <f>IF(ISNUMBER(SEARCH("Group",D4252)),IF(G4252="",E4252,IFERROR(E4252/COUNTIF($G2:$G6000,G4252),E4252)),E4252)</f>
        <v>0</v>
      </c>
      <c r="I4252" s="1" t="str">
        <f>IFERROR(VLOOKUP(C4252,'Clients List'!A:F,6,FALSE),"")</f>
        <v/>
      </c>
    </row>
    <row r="4253" spans="4:9" x14ac:dyDescent="0.45">
      <c r="D4253" t="str">
        <f>IFERROR(VLOOKUP(C4253,'Clients List'!$A:$F,2,FALSE),"")</f>
        <v/>
      </c>
      <c r="F4253" s="1" t="str">
        <f>IF(OR(C4253="",NOT(ISNUMBER(SEARCH("Package",D4253)))),"",VLOOKUP(C4253,'Clients List'!$A:$F,4,FALSE)-SUMIFS($E$2:$E4253,$C$2:$C4253,C4253,$D$2:$D4253,"*Package*"))</f>
        <v/>
      </c>
      <c r="G4253" t="str">
        <f t="shared" si="99"/>
        <v/>
      </c>
      <c r="H4253" s="33">
        <f>IF(ISNUMBER(SEARCH("Group",D4253)),IF(G4253="",E4253,IFERROR(E4253/COUNTIF($G2:$G6000,G4253),E4253)),E4253)</f>
        <v>0</v>
      </c>
      <c r="I4253" s="1" t="str">
        <f>IFERROR(VLOOKUP(C4253,'Clients List'!A:F,6,FALSE),"")</f>
        <v/>
      </c>
    </row>
    <row r="4254" spans="4:9" x14ac:dyDescent="0.45">
      <c r="D4254" t="str">
        <f>IFERROR(VLOOKUP(C4254,'Clients List'!$A:$F,2,FALSE),"")</f>
        <v/>
      </c>
      <c r="F4254" s="1" t="str">
        <f>IF(OR(C4254="",NOT(ISNUMBER(SEARCH("Package",D4254)))),"",VLOOKUP(C4254,'Clients List'!$A:$F,4,FALSE)-SUMIFS($E$2:$E4254,$C$2:$C4254,C4254,$D$2:$D4254,"*Package*"))</f>
        <v/>
      </c>
      <c r="G4254" t="str">
        <f t="shared" si="99"/>
        <v/>
      </c>
      <c r="H4254" s="33">
        <f>IF(ISNUMBER(SEARCH("Group",D4254)),IF(G4254="",E4254,IFERROR(E4254/COUNTIF($G2:$G6000,G4254),E4254)),E4254)</f>
        <v>0</v>
      </c>
      <c r="I4254" s="1" t="str">
        <f>IFERROR(VLOOKUP(C4254,'Clients List'!A:F,6,FALSE),"")</f>
        <v/>
      </c>
    </row>
    <row r="4255" spans="4:9" x14ac:dyDescent="0.45">
      <c r="D4255" t="str">
        <f>IFERROR(VLOOKUP(C4255,'Clients List'!$A:$F,2,FALSE),"")</f>
        <v/>
      </c>
      <c r="F4255" s="1" t="str">
        <f>IF(OR(C4255="",NOT(ISNUMBER(SEARCH("Package",D4255)))),"",VLOOKUP(C4255,'Clients List'!$A:$F,4,FALSE)-SUMIFS($E$2:$E4255,$C$2:$C4255,C4255,$D$2:$D4255,"*Package*"))</f>
        <v/>
      </c>
      <c r="G4255" t="str">
        <f t="shared" si="99"/>
        <v/>
      </c>
      <c r="H4255" s="33">
        <f>IF(ISNUMBER(SEARCH("Group",D4255)),IF(G4255="",E4255,IFERROR(E4255/COUNTIF($G2:$G6000,G4255),E4255)),E4255)</f>
        <v>0</v>
      </c>
      <c r="I4255" s="1" t="str">
        <f>IFERROR(VLOOKUP(C4255,'Clients List'!A:F,6,FALSE),"")</f>
        <v/>
      </c>
    </row>
    <row r="4256" spans="4:9" x14ac:dyDescent="0.45">
      <c r="D4256" t="str">
        <f>IFERROR(VLOOKUP(C4256,'Clients List'!$A:$F,2,FALSE),"")</f>
        <v/>
      </c>
      <c r="F4256" s="1" t="str">
        <f>IF(OR(C4256="",NOT(ISNUMBER(SEARCH("Package",D4256)))),"",VLOOKUP(C4256,'Clients List'!$A:$F,4,FALSE)-SUMIFS($E$2:$E4256,$C$2:$C4256,C4256,$D$2:$D4256,"*Package*"))</f>
        <v/>
      </c>
      <c r="G4256" t="str">
        <f t="shared" si="99"/>
        <v/>
      </c>
      <c r="H4256" s="33">
        <f>IF(ISNUMBER(SEARCH("Group",D4256)),IF(G4256="",E4256,IFERROR(E4256/COUNTIF($G2:$G6000,G4256),E4256)),E4256)</f>
        <v>0</v>
      </c>
      <c r="I4256" s="1" t="str">
        <f>IFERROR(VLOOKUP(C4256,'Clients List'!A:F,6,FALSE),"")</f>
        <v/>
      </c>
    </row>
    <row r="4257" spans="4:9" x14ac:dyDescent="0.45">
      <c r="D4257" t="str">
        <f>IFERROR(VLOOKUP(C4257,'Clients List'!$A:$F,2,FALSE),"")</f>
        <v/>
      </c>
      <c r="F4257" s="1" t="str">
        <f>IF(OR(C4257="",NOT(ISNUMBER(SEARCH("Package",D4257)))),"",VLOOKUP(C4257,'Clients List'!$A:$F,4,FALSE)-SUMIFS($E$2:$E4257,$C$2:$C4257,C4257,$D$2:$D4257,"*Package*"))</f>
        <v/>
      </c>
      <c r="G4257" t="str">
        <f t="shared" si="99"/>
        <v/>
      </c>
      <c r="H4257" s="33">
        <f>IF(ISNUMBER(SEARCH("Group",D4257)),IF(G4257="",E4257,IFERROR(E4257/COUNTIF($G2:$G6000,G4257),E4257)),E4257)</f>
        <v>0</v>
      </c>
      <c r="I4257" s="1" t="str">
        <f>IFERROR(VLOOKUP(C4257,'Clients List'!A:F,6,FALSE),"")</f>
        <v/>
      </c>
    </row>
    <row r="4258" spans="4:9" x14ac:dyDescent="0.45">
      <c r="D4258" t="str">
        <f>IFERROR(VLOOKUP(C4258,'Clients List'!$A:$F,2,FALSE),"")</f>
        <v/>
      </c>
      <c r="F4258" s="1" t="str">
        <f>IF(OR(C4258="",NOT(ISNUMBER(SEARCH("Package",D4258)))),"",VLOOKUP(C4258,'Clients List'!$A:$F,4,FALSE)-SUMIFS($E$2:$E4258,$C$2:$C4258,C4258,$D$2:$D4258,"*Package*"))</f>
        <v/>
      </c>
      <c r="G4258" t="str">
        <f t="shared" si="99"/>
        <v/>
      </c>
      <c r="H4258" s="33">
        <f>IF(ISNUMBER(SEARCH("Group",D4258)),IF(G4258="",E4258,IFERROR(E4258/COUNTIF($G2:$G6000,G4258),E4258)),E4258)</f>
        <v>0</v>
      </c>
      <c r="I4258" s="1" t="str">
        <f>IFERROR(VLOOKUP(C4258,'Clients List'!A:F,6,FALSE),"")</f>
        <v/>
      </c>
    </row>
    <row r="4259" spans="4:9" x14ac:dyDescent="0.45">
      <c r="D4259" t="str">
        <f>IFERROR(VLOOKUP(C4259,'Clients List'!$A:$F,2,FALSE),"")</f>
        <v/>
      </c>
      <c r="F4259" s="1" t="str">
        <f>IF(OR(C4259="",NOT(ISNUMBER(SEARCH("Package",D4259)))),"",VLOOKUP(C4259,'Clients List'!$A:$F,4,FALSE)-SUMIFS($E$2:$E4259,$C$2:$C4259,C4259,$D$2:$D4259,"*Package*"))</f>
        <v/>
      </c>
      <c r="G4259" t="str">
        <f t="shared" si="99"/>
        <v/>
      </c>
      <c r="H4259" s="33">
        <f>IF(ISNUMBER(SEARCH("Group",D4259)),IF(G4259="",E4259,IFERROR(E4259/COUNTIF($G2:$G6000,G4259),E4259)),E4259)</f>
        <v>0</v>
      </c>
      <c r="I4259" s="1" t="str">
        <f>IFERROR(VLOOKUP(C4259,'Clients List'!A:F,6,FALSE),"")</f>
        <v/>
      </c>
    </row>
    <row r="4260" spans="4:9" x14ac:dyDescent="0.45">
      <c r="D4260" t="str">
        <f>IFERROR(VLOOKUP(C4260,'Clients List'!$A:$F,2,FALSE),"")</f>
        <v/>
      </c>
      <c r="F4260" s="1" t="str">
        <f>IF(OR(C4260="",NOT(ISNUMBER(SEARCH("Package",D4260)))),"",VLOOKUP(C4260,'Clients List'!$A:$F,4,FALSE)-SUMIFS($E$2:$E4260,$C$2:$C4260,C4260,$D$2:$D4260,"*Package*"))</f>
        <v/>
      </c>
      <c r="G4260" t="str">
        <f t="shared" si="99"/>
        <v/>
      </c>
      <c r="H4260" s="33">
        <f>IF(ISNUMBER(SEARCH("Group",D4260)),IF(G4260="",E4260,IFERROR(E4260/COUNTIF($G2:$G6000,G4260),E4260)),E4260)</f>
        <v>0</v>
      </c>
      <c r="I4260" s="1" t="str">
        <f>IFERROR(VLOOKUP(C4260,'Clients List'!A:F,6,FALSE),"")</f>
        <v/>
      </c>
    </row>
    <row r="4261" spans="4:9" x14ac:dyDescent="0.45">
      <c r="D4261" t="str">
        <f>IFERROR(VLOOKUP(C4261,'Clients List'!$A:$F,2,FALSE),"")</f>
        <v/>
      </c>
      <c r="F4261" s="1" t="str">
        <f>IF(OR(C4261="",NOT(ISNUMBER(SEARCH("Package",D4261)))),"",VLOOKUP(C4261,'Clients List'!$A:$F,4,FALSE)-SUMIFS($E$2:$E4261,$C$2:$C4261,C4261,$D$2:$D4261,"*Package*"))</f>
        <v/>
      </c>
      <c r="G4261" t="str">
        <f t="shared" si="99"/>
        <v/>
      </c>
      <c r="H4261" s="33">
        <f>IF(ISNUMBER(SEARCH("Group",D4261)),IF(G4261="",E4261,IFERROR(E4261/COUNTIF($G2:$G6000,G4261),E4261)),E4261)</f>
        <v>0</v>
      </c>
      <c r="I4261" s="1" t="str">
        <f>IFERROR(VLOOKUP(C4261,'Clients List'!A:F,6,FALSE),"")</f>
        <v/>
      </c>
    </row>
    <row r="4262" spans="4:9" x14ac:dyDescent="0.45">
      <c r="D4262" t="str">
        <f>IFERROR(VLOOKUP(C4262,'Clients List'!$A:$F,2,FALSE),"")</f>
        <v/>
      </c>
      <c r="F4262" s="1" t="str">
        <f>IF(OR(C4262="",NOT(ISNUMBER(SEARCH("Package",D4262)))),"",VLOOKUP(C4262,'Clients List'!$A:$F,4,FALSE)-SUMIFS($E$2:$E4262,$C$2:$C4262,C4262,$D$2:$D4262,"*Package*"))</f>
        <v/>
      </c>
      <c r="G4262" t="str">
        <f t="shared" si="99"/>
        <v/>
      </c>
      <c r="H4262" s="33">
        <f>IF(ISNUMBER(SEARCH("Group",D4262)),IF(G4262="",E4262,IFERROR(E4262/COUNTIF($G2:$G6000,G4262),E4262)),E4262)</f>
        <v>0</v>
      </c>
      <c r="I4262" s="1" t="str">
        <f>IFERROR(VLOOKUP(C4262,'Clients List'!A:F,6,FALSE),"")</f>
        <v/>
      </c>
    </row>
    <row r="4263" spans="4:9" x14ac:dyDescent="0.45">
      <c r="D4263" t="str">
        <f>IFERROR(VLOOKUP(C4263,'Clients List'!$A:$F,2,FALSE),"")</f>
        <v/>
      </c>
      <c r="F4263" s="1" t="str">
        <f>IF(OR(C4263="",NOT(ISNUMBER(SEARCH("Package",D4263)))),"",VLOOKUP(C4263,'Clients List'!$A:$F,4,FALSE)-SUMIFS($E$2:$E4263,$C$2:$C4263,C4263,$D$2:$D4263,"*Package*"))</f>
        <v/>
      </c>
      <c r="G4263" t="str">
        <f t="shared" si="99"/>
        <v/>
      </c>
      <c r="H4263" s="33">
        <f>IF(ISNUMBER(SEARCH("Group",D4263)),IF(G4263="",E4263,IFERROR(E4263/COUNTIF($G2:$G6000,G4263),E4263)),E4263)</f>
        <v>0</v>
      </c>
      <c r="I4263" s="1" t="str">
        <f>IFERROR(VLOOKUP(C4263,'Clients List'!A:F,6,FALSE),"")</f>
        <v/>
      </c>
    </row>
    <row r="4264" spans="4:9" x14ac:dyDescent="0.45">
      <c r="D4264" t="str">
        <f>IFERROR(VLOOKUP(C4264,'Clients List'!$A:$F,2,FALSE),"")</f>
        <v/>
      </c>
      <c r="F4264" s="1" t="str">
        <f>IF(OR(C4264="",NOT(ISNUMBER(SEARCH("Package",D4264)))),"",VLOOKUP(C4264,'Clients List'!$A:$F,4,FALSE)-SUMIFS($E$2:$E4264,$C$2:$C4264,C4264,$D$2:$D4264,"*Package*"))</f>
        <v/>
      </c>
      <c r="G4264" t="str">
        <f t="shared" si="99"/>
        <v/>
      </c>
      <c r="H4264" s="33">
        <f>IF(ISNUMBER(SEARCH("Group",D4264)),IF(G4264="",E4264,IFERROR(E4264/COUNTIF($G2:$G6000,G4264),E4264)),E4264)</f>
        <v>0</v>
      </c>
      <c r="I4264" s="1" t="str">
        <f>IFERROR(VLOOKUP(C4264,'Clients List'!A:F,6,FALSE),"")</f>
        <v/>
      </c>
    </row>
    <row r="4265" spans="4:9" x14ac:dyDescent="0.45">
      <c r="D4265" t="str">
        <f>IFERROR(VLOOKUP(C4265,'Clients List'!$A:$F,2,FALSE),"")</f>
        <v/>
      </c>
      <c r="F4265" s="1" t="str">
        <f>IF(OR(C4265="",NOT(ISNUMBER(SEARCH("Package",D4265)))),"",VLOOKUP(C4265,'Clients List'!$A:$F,4,FALSE)-SUMIFS($E$2:$E4265,$C$2:$C4265,C4265,$D$2:$D4265,"*Package*"))</f>
        <v/>
      </c>
      <c r="G4265" t="str">
        <f t="shared" si="99"/>
        <v/>
      </c>
      <c r="H4265" s="33">
        <f>IF(ISNUMBER(SEARCH("Group",D4265)),IF(G4265="",E4265,IFERROR(E4265/COUNTIF($G2:$G6000,G4265),E4265)),E4265)</f>
        <v>0</v>
      </c>
      <c r="I4265" s="1" t="str">
        <f>IFERROR(VLOOKUP(C4265,'Clients List'!A:F,6,FALSE),"")</f>
        <v/>
      </c>
    </row>
    <row r="4266" spans="4:9" x14ac:dyDescent="0.45">
      <c r="D4266" t="str">
        <f>IFERROR(VLOOKUP(C4266,'Clients List'!$A:$F,2,FALSE),"")</f>
        <v/>
      </c>
      <c r="F4266" s="1" t="str">
        <f>IF(OR(C4266="",NOT(ISNUMBER(SEARCH("Package",D4266)))),"",VLOOKUP(C4266,'Clients List'!$A:$F,4,FALSE)-SUMIFS($E$2:$E4266,$C$2:$C4266,C4266,$D$2:$D4266,"*Package*"))</f>
        <v/>
      </c>
      <c r="G4266" t="str">
        <f t="shared" si="99"/>
        <v/>
      </c>
      <c r="H4266" s="33">
        <f>IF(ISNUMBER(SEARCH("Group",D4266)),IF(G4266="",E4266,IFERROR(E4266/COUNTIF($G2:$G6000,G4266),E4266)),E4266)</f>
        <v>0</v>
      </c>
      <c r="I4266" s="1" t="str">
        <f>IFERROR(VLOOKUP(C4266,'Clients List'!A:F,6,FALSE),"")</f>
        <v/>
      </c>
    </row>
    <row r="4267" spans="4:9" x14ac:dyDescent="0.45">
      <c r="D4267" t="str">
        <f>IFERROR(VLOOKUP(C4267,'Clients List'!$A:$F,2,FALSE),"")</f>
        <v/>
      </c>
      <c r="F4267" s="1" t="str">
        <f>IF(OR(C4267="",NOT(ISNUMBER(SEARCH("Package",D4267)))),"",VLOOKUP(C4267,'Clients List'!$A:$F,4,FALSE)-SUMIFS($E$2:$E4267,$C$2:$C4267,C4267,$D$2:$D4267,"*Package*"))</f>
        <v/>
      </c>
      <c r="G4267" t="str">
        <f t="shared" si="99"/>
        <v/>
      </c>
      <c r="H4267" s="33">
        <f>IF(ISNUMBER(SEARCH("Group",D4267)),IF(G4267="",E4267,IFERROR(E4267/COUNTIF($G2:$G6000,G4267),E4267)),E4267)</f>
        <v>0</v>
      </c>
      <c r="I4267" s="1" t="str">
        <f>IFERROR(VLOOKUP(C4267,'Clients List'!A:F,6,FALSE),"")</f>
        <v/>
      </c>
    </row>
    <row r="4268" spans="4:9" x14ac:dyDescent="0.45">
      <c r="D4268" t="str">
        <f>IFERROR(VLOOKUP(C4268,'Clients List'!$A:$F,2,FALSE),"")</f>
        <v/>
      </c>
      <c r="F4268" s="1" t="str">
        <f>IF(OR(C4268="",NOT(ISNUMBER(SEARCH("Package",D4268)))),"",VLOOKUP(C4268,'Clients List'!$A:$F,4,FALSE)-SUMIFS($E$2:$E4268,$C$2:$C4268,C4268,$D$2:$D4268,"*Package*"))</f>
        <v/>
      </c>
      <c r="G4268" t="str">
        <f t="shared" si="99"/>
        <v/>
      </c>
      <c r="H4268" s="33">
        <f>IF(ISNUMBER(SEARCH("Group",D4268)),IF(G4268="",E4268,IFERROR(E4268/COUNTIF($G2:$G6000,G4268),E4268)),E4268)</f>
        <v>0</v>
      </c>
      <c r="I4268" s="1" t="str">
        <f>IFERROR(VLOOKUP(C4268,'Clients List'!A:F,6,FALSE),"")</f>
        <v/>
      </c>
    </row>
    <row r="4269" spans="4:9" x14ac:dyDescent="0.45">
      <c r="D4269" t="str">
        <f>IFERROR(VLOOKUP(C4269,'Clients List'!$A:$F,2,FALSE),"")</f>
        <v/>
      </c>
      <c r="F4269" s="1" t="str">
        <f>IF(OR(C4269="",NOT(ISNUMBER(SEARCH("Package",D4269)))),"",VLOOKUP(C4269,'Clients List'!$A:$F,4,FALSE)-SUMIFS($E$2:$E4269,$C$2:$C4269,C4269,$D$2:$D4269,"*Package*"))</f>
        <v/>
      </c>
      <c r="G4269" t="str">
        <f t="shared" si="99"/>
        <v/>
      </c>
      <c r="H4269" s="33">
        <f>IF(ISNUMBER(SEARCH("Group",D4269)),IF(G4269="",E4269,IFERROR(E4269/COUNTIF($G2:$G6000,G4269),E4269)),E4269)</f>
        <v>0</v>
      </c>
      <c r="I4269" s="1" t="str">
        <f>IFERROR(VLOOKUP(C4269,'Clients List'!A:F,6,FALSE),"")</f>
        <v/>
      </c>
    </row>
    <row r="4270" spans="4:9" x14ac:dyDescent="0.45">
      <c r="D4270" t="str">
        <f>IFERROR(VLOOKUP(C4270,'Clients List'!$A:$F,2,FALSE),"")</f>
        <v/>
      </c>
      <c r="F4270" s="1" t="str">
        <f>IF(OR(C4270="",NOT(ISNUMBER(SEARCH("Package",D4270)))),"",VLOOKUP(C4270,'Clients List'!$A:$F,4,FALSE)-SUMIFS($E$2:$E4270,$C$2:$C4270,C4270,$D$2:$D4270,"*Package*"))</f>
        <v/>
      </c>
      <c r="G4270" t="str">
        <f t="shared" si="99"/>
        <v/>
      </c>
      <c r="H4270" s="33">
        <f>IF(ISNUMBER(SEARCH("Group",D4270)),IF(G4270="",E4270,IFERROR(E4270/COUNTIF($G2:$G6000,G4270),E4270)),E4270)</f>
        <v>0</v>
      </c>
      <c r="I4270" s="1" t="str">
        <f>IFERROR(VLOOKUP(C4270,'Clients List'!A:F,6,FALSE),"")</f>
        <v/>
      </c>
    </row>
    <row r="4271" spans="4:9" x14ac:dyDescent="0.45">
      <c r="D4271" t="str">
        <f>IFERROR(VLOOKUP(C4271,'Clients List'!$A:$F,2,FALSE),"")</f>
        <v/>
      </c>
      <c r="F4271" s="1" t="str">
        <f>IF(OR(C4271="",NOT(ISNUMBER(SEARCH("Package",D4271)))),"",VLOOKUP(C4271,'Clients List'!$A:$F,4,FALSE)-SUMIFS($E$2:$E4271,$C$2:$C4271,C4271,$D$2:$D4271,"*Package*"))</f>
        <v/>
      </c>
      <c r="G4271" t="str">
        <f t="shared" si="99"/>
        <v/>
      </c>
      <c r="H4271" s="33">
        <f>IF(ISNUMBER(SEARCH("Group",D4271)),IF(G4271="",E4271,IFERROR(E4271/COUNTIF($G2:$G6000,G4271),E4271)),E4271)</f>
        <v>0</v>
      </c>
      <c r="I4271" s="1" t="str">
        <f>IFERROR(VLOOKUP(C4271,'Clients List'!A:F,6,FALSE),"")</f>
        <v/>
      </c>
    </row>
    <row r="4272" spans="4:9" x14ac:dyDescent="0.45">
      <c r="D4272" t="str">
        <f>IFERROR(VLOOKUP(C4272,'Clients List'!$A:$F,2,FALSE),"")</f>
        <v/>
      </c>
      <c r="F4272" s="1" t="str">
        <f>IF(OR(C4272="",NOT(ISNUMBER(SEARCH("Package",D4272)))),"",VLOOKUP(C4272,'Clients List'!$A:$F,4,FALSE)-SUMIFS($E$2:$E4272,$C$2:$C4272,C4272,$D$2:$D4272,"*Package*"))</f>
        <v/>
      </c>
      <c r="G4272" t="str">
        <f t="shared" si="99"/>
        <v/>
      </c>
      <c r="H4272" s="33">
        <f>IF(ISNUMBER(SEARCH("Group",D4272)),IF(G4272="",E4272,IFERROR(E4272/COUNTIF($G2:$G6000,G4272),E4272)),E4272)</f>
        <v>0</v>
      </c>
      <c r="I4272" s="1" t="str">
        <f>IFERROR(VLOOKUP(C4272,'Clients List'!A:F,6,FALSE),"")</f>
        <v/>
      </c>
    </row>
    <row r="4273" spans="4:9" x14ac:dyDescent="0.45">
      <c r="D4273" t="str">
        <f>IFERROR(VLOOKUP(C4273,'Clients List'!$A:$F,2,FALSE),"")</f>
        <v/>
      </c>
      <c r="F4273" s="1" t="str">
        <f>IF(OR(C4273="",NOT(ISNUMBER(SEARCH("Package",D4273)))),"",VLOOKUP(C4273,'Clients List'!$A:$F,4,FALSE)-SUMIFS($E$2:$E4273,$C$2:$C4273,C4273,$D$2:$D4273,"*Package*"))</f>
        <v/>
      </c>
      <c r="G4273" t="str">
        <f t="shared" si="99"/>
        <v/>
      </c>
      <c r="H4273" s="33">
        <f>IF(ISNUMBER(SEARCH("Group",D4273)),IF(G4273="",E4273,IFERROR(E4273/COUNTIF($G2:$G6000,G4273),E4273)),E4273)</f>
        <v>0</v>
      </c>
      <c r="I4273" s="1" t="str">
        <f>IFERROR(VLOOKUP(C4273,'Clients List'!A:F,6,FALSE),"")</f>
        <v/>
      </c>
    </row>
    <row r="4274" spans="4:9" x14ac:dyDescent="0.45">
      <c r="D4274" t="str">
        <f>IFERROR(VLOOKUP(C4274,'Clients List'!$A:$F,2,FALSE),"")</f>
        <v/>
      </c>
      <c r="F4274" s="1" t="str">
        <f>IF(OR(C4274="",NOT(ISNUMBER(SEARCH("Package",D4274)))),"",VLOOKUP(C4274,'Clients List'!$A:$F,4,FALSE)-SUMIFS($E$2:$E4274,$C$2:$C4274,C4274,$D$2:$D4274,"*Package*"))</f>
        <v/>
      </c>
      <c r="G4274" t="str">
        <f t="shared" si="99"/>
        <v/>
      </c>
      <c r="H4274" s="33">
        <f>IF(ISNUMBER(SEARCH("Group",D4274)),IF(G4274="",E4274,IFERROR(E4274/COUNTIF($G2:$G6000,G4274),E4274)),E4274)</f>
        <v>0</v>
      </c>
      <c r="I4274" s="1" t="str">
        <f>IFERROR(VLOOKUP(C4274,'Clients List'!A:F,6,FALSE),"")</f>
        <v/>
      </c>
    </row>
    <row r="4275" spans="4:9" x14ac:dyDescent="0.45">
      <c r="D4275" t="str">
        <f>IFERROR(VLOOKUP(C4275,'Clients List'!$A:$F,2,FALSE),"")</f>
        <v/>
      </c>
      <c r="F4275" s="1" t="str">
        <f>IF(OR(C4275="",NOT(ISNUMBER(SEARCH("Package",D4275)))),"",VLOOKUP(C4275,'Clients List'!$A:$F,4,FALSE)-SUMIFS($E$2:$E4275,$C$2:$C4275,C4275,$D$2:$D4275,"*Package*"))</f>
        <v/>
      </c>
      <c r="G4275" t="str">
        <f t="shared" si="99"/>
        <v/>
      </c>
      <c r="H4275" s="33">
        <f>IF(ISNUMBER(SEARCH("Group",D4275)),IF(G4275="",E4275,IFERROR(E4275/COUNTIF($G2:$G6000,G4275),E4275)),E4275)</f>
        <v>0</v>
      </c>
      <c r="I4275" s="1" t="str">
        <f>IFERROR(VLOOKUP(C4275,'Clients List'!A:F,6,FALSE),"")</f>
        <v/>
      </c>
    </row>
    <row r="4276" spans="4:9" x14ac:dyDescent="0.45">
      <c r="D4276" t="str">
        <f>IFERROR(VLOOKUP(C4276,'Clients List'!$A:$F,2,FALSE),"")</f>
        <v/>
      </c>
      <c r="F4276" s="1" t="str">
        <f>IF(OR(C4276="",NOT(ISNUMBER(SEARCH("Package",D4276)))),"",VLOOKUP(C4276,'Clients List'!$A:$F,4,FALSE)-SUMIFS($E$2:$E4276,$C$2:$C4276,C4276,$D$2:$D4276,"*Package*"))</f>
        <v/>
      </c>
      <c r="G4276" t="str">
        <f t="shared" si="99"/>
        <v/>
      </c>
      <c r="H4276" s="33">
        <f>IF(ISNUMBER(SEARCH("Group",D4276)),IF(G4276="",E4276,IFERROR(E4276/COUNTIF($G2:$G6000,G4276),E4276)),E4276)</f>
        <v>0</v>
      </c>
      <c r="I4276" s="1" t="str">
        <f>IFERROR(VLOOKUP(C4276,'Clients List'!A:F,6,FALSE),"")</f>
        <v/>
      </c>
    </row>
    <row r="4277" spans="4:9" x14ac:dyDescent="0.45">
      <c r="D4277" t="str">
        <f>IFERROR(VLOOKUP(C4277,'Clients List'!$A:$F,2,FALSE),"")</f>
        <v/>
      </c>
      <c r="F4277" s="1" t="str">
        <f>IF(OR(C4277="",NOT(ISNUMBER(SEARCH("Package",D4277)))),"",VLOOKUP(C4277,'Clients List'!$A:$F,4,FALSE)-SUMIFS($E$2:$E4277,$C$2:$C4277,C4277,$D$2:$D4277,"*Package*"))</f>
        <v/>
      </c>
      <c r="G4277" t="str">
        <f t="shared" ref="G4277:G4340" si="100">IF(ISNUMBER(SEARCH("Group",D4277)),IFERROR("GRP-"&amp;TEXT(IF(ISNUMBER(A4277),A4277,DATEVALUE(A4277)),"yyyymmdd"),""),"" )</f>
        <v/>
      </c>
      <c r="H4277" s="33">
        <f>IF(ISNUMBER(SEARCH("Group",D4277)),IF(G4277="",E4277,IFERROR(E4277/COUNTIF($G2:$G6000,G4277),E4277)),E4277)</f>
        <v>0</v>
      </c>
      <c r="I4277" s="1" t="str">
        <f>IFERROR(VLOOKUP(C4277,'Clients List'!A:F,6,FALSE),"")</f>
        <v/>
      </c>
    </row>
    <row r="4278" spans="4:9" x14ac:dyDescent="0.45">
      <c r="D4278" t="str">
        <f>IFERROR(VLOOKUP(C4278,'Clients List'!$A:$F,2,FALSE),"")</f>
        <v/>
      </c>
      <c r="F4278" s="1" t="str">
        <f>IF(OR(C4278="",NOT(ISNUMBER(SEARCH("Package",D4278)))),"",VLOOKUP(C4278,'Clients List'!$A:$F,4,FALSE)-SUMIFS($E$2:$E4278,$C$2:$C4278,C4278,$D$2:$D4278,"*Package*"))</f>
        <v/>
      </c>
      <c r="G4278" t="str">
        <f t="shared" si="100"/>
        <v/>
      </c>
      <c r="H4278" s="33">
        <f>IF(ISNUMBER(SEARCH("Group",D4278)),IF(G4278="",E4278,IFERROR(E4278/COUNTIF($G2:$G6000,G4278),E4278)),E4278)</f>
        <v>0</v>
      </c>
      <c r="I4278" s="1" t="str">
        <f>IFERROR(VLOOKUP(C4278,'Clients List'!A:F,6,FALSE),"")</f>
        <v/>
      </c>
    </row>
    <row r="4279" spans="4:9" x14ac:dyDescent="0.45">
      <c r="D4279" t="str">
        <f>IFERROR(VLOOKUP(C4279,'Clients List'!$A:$F,2,FALSE),"")</f>
        <v/>
      </c>
      <c r="F4279" s="1" t="str">
        <f>IF(OR(C4279="",NOT(ISNUMBER(SEARCH("Package",D4279)))),"",VLOOKUP(C4279,'Clients List'!$A:$F,4,FALSE)-SUMIFS($E$2:$E4279,$C$2:$C4279,C4279,$D$2:$D4279,"*Package*"))</f>
        <v/>
      </c>
      <c r="G4279" t="str">
        <f t="shared" si="100"/>
        <v/>
      </c>
      <c r="H4279" s="33">
        <f>IF(ISNUMBER(SEARCH("Group",D4279)),IF(G4279="",E4279,IFERROR(E4279/COUNTIF($G2:$G6000,G4279),E4279)),E4279)</f>
        <v>0</v>
      </c>
      <c r="I4279" s="1" t="str">
        <f>IFERROR(VLOOKUP(C4279,'Clients List'!A:F,6,FALSE),"")</f>
        <v/>
      </c>
    </row>
    <row r="4280" spans="4:9" x14ac:dyDescent="0.45">
      <c r="D4280" t="str">
        <f>IFERROR(VLOOKUP(C4280,'Clients List'!$A:$F,2,FALSE),"")</f>
        <v/>
      </c>
      <c r="F4280" s="1" t="str">
        <f>IF(OR(C4280="",NOT(ISNUMBER(SEARCH("Package",D4280)))),"",VLOOKUP(C4280,'Clients List'!$A:$F,4,FALSE)-SUMIFS($E$2:$E4280,$C$2:$C4280,C4280,$D$2:$D4280,"*Package*"))</f>
        <v/>
      </c>
      <c r="G4280" t="str">
        <f t="shared" si="100"/>
        <v/>
      </c>
      <c r="H4280" s="33">
        <f>IF(ISNUMBER(SEARCH("Group",D4280)),IF(G4280="",E4280,IFERROR(E4280/COUNTIF($G2:$G6000,G4280),E4280)),E4280)</f>
        <v>0</v>
      </c>
      <c r="I4280" s="1" t="str">
        <f>IFERROR(VLOOKUP(C4280,'Clients List'!A:F,6,FALSE),"")</f>
        <v/>
      </c>
    </row>
    <row r="4281" spans="4:9" x14ac:dyDescent="0.45">
      <c r="D4281" t="str">
        <f>IFERROR(VLOOKUP(C4281,'Clients List'!$A:$F,2,FALSE),"")</f>
        <v/>
      </c>
      <c r="F4281" s="1" t="str">
        <f>IF(OR(C4281="",NOT(ISNUMBER(SEARCH("Package",D4281)))),"",VLOOKUP(C4281,'Clients List'!$A:$F,4,FALSE)-SUMIFS($E$2:$E4281,$C$2:$C4281,C4281,$D$2:$D4281,"*Package*"))</f>
        <v/>
      </c>
      <c r="G4281" t="str">
        <f t="shared" si="100"/>
        <v/>
      </c>
      <c r="H4281" s="33">
        <f>IF(ISNUMBER(SEARCH("Group",D4281)),IF(G4281="",E4281,IFERROR(E4281/COUNTIF($G2:$G6000,G4281),E4281)),E4281)</f>
        <v>0</v>
      </c>
      <c r="I4281" s="1" t="str">
        <f>IFERROR(VLOOKUP(C4281,'Clients List'!A:F,6,FALSE),"")</f>
        <v/>
      </c>
    </row>
    <row r="4282" spans="4:9" x14ac:dyDescent="0.45">
      <c r="D4282" t="str">
        <f>IFERROR(VLOOKUP(C4282,'Clients List'!$A:$F,2,FALSE),"")</f>
        <v/>
      </c>
      <c r="F4282" s="1" t="str">
        <f>IF(OR(C4282="",NOT(ISNUMBER(SEARCH("Package",D4282)))),"",VLOOKUP(C4282,'Clients List'!$A:$F,4,FALSE)-SUMIFS($E$2:$E4282,$C$2:$C4282,C4282,$D$2:$D4282,"*Package*"))</f>
        <v/>
      </c>
      <c r="G4282" t="str">
        <f t="shared" si="100"/>
        <v/>
      </c>
      <c r="H4282" s="33">
        <f>IF(ISNUMBER(SEARCH("Group",D4282)),IF(G4282="",E4282,IFERROR(E4282/COUNTIF($G2:$G6000,G4282),E4282)),E4282)</f>
        <v>0</v>
      </c>
      <c r="I4282" s="1" t="str">
        <f>IFERROR(VLOOKUP(C4282,'Clients List'!A:F,6,FALSE),"")</f>
        <v/>
      </c>
    </row>
    <row r="4283" spans="4:9" x14ac:dyDescent="0.45">
      <c r="D4283" t="str">
        <f>IFERROR(VLOOKUP(C4283,'Clients List'!$A:$F,2,FALSE),"")</f>
        <v/>
      </c>
      <c r="F4283" s="1" t="str">
        <f>IF(OR(C4283="",NOT(ISNUMBER(SEARCH("Package",D4283)))),"",VLOOKUP(C4283,'Clients List'!$A:$F,4,FALSE)-SUMIFS($E$2:$E4283,$C$2:$C4283,C4283,$D$2:$D4283,"*Package*"))</f>
        <v/>
      </c>
      <c r="G4283" t="str">
        <f t="shared" si="100"/>
        <v/>
      </c>
      <c r="H4283" s="33">
        <f>IF(ISNUMBER(SEARCH("Group",D4283)),IF(G4283="",E4283,IFERROR(E4283/COUNTIF($G2:$G6000,G4283),E4283)),E4283)</f>
        <v>0</v>
      </c>
      <c r="I4283" s="1" t="str">
        <f>IFERROR(VLOOKUP(C4283,'Clients List'!A:F,6,FALSE),"")</f>
        <v/>
      </c>
    </row>
    <row r="4284" spans="4:9" x14ac:dyDescent="0.45">
      <c r="D4284" t="str">
        <f>IFERROR(VLOOKUP(C4284,'Clients List'!$A:$F,2,FALSE),"")</f>
        <v/>
      </c>
      <c r="F4284" s="1" t="str">
        <f>IF(OR(C4284="",NOT(ISNUMBER(SEARCH("Package",D4284)))),"",VLOOKUP(C4284,'Clients List'!$A:$F,4,FALSE)-SUMIFS($E$2:$E4284,$C$2:$C4284,C4284,$D$2:$D4284,"*Package*"))</f>
        <v/>
      </c>
      <c r="G4284" t="str">
        <f t="shared" si="100"/>
        <v/>
      </c>
      <c r="H4284" s="33">
        <f>IF(ISNUMBER(SEARCH("Group",D4284)),IF(G4284="",E4284,IFERROR(E4284/COUNTIF($G2:$G6000,G4284),E4284)),E4284)</f>
        <v>0</v>
      </c>
      <c r="I4284" s="1" t="str">
        <f>IFERROR(VLOOKUP(C4284,'Clients List'!A:F,6,FALSE),"")</f>
        <v/>
      </c>
    </row>
    <row r="4285" spans="4:9" x14ac:dyDescent="0.45">
      <c r="D4285" t="str">
        <f>IFERROR(VLOOKUP(C4285,'Clients List'!$A:$F,2,FALSE),"")</f>
        <v/>
      </c>
      <c r="F4285" s="1" t="str">
        <f>IF(OR(C4285="",NOT(ISNUMBER(SEARCH("Package",D4285)))),"",VLOOKUP(C4285,'Clients List'!$A:$F,4,FALSE)-SUMIFS($E$2:$E4285,$C$2:$C4285,C4285,$D$2:$D4285,"*Package*"))</f>
        <v/>
      </c>
      <c r="G4285" t="str">
        <f t="shared" si="100"/>
        <v/>
      </c>
      <c r="H4285" s="33">
        <f>IF(ISNUMBER(SEARCH("Group",D4285)),IF(G4285="",E4285,IFERROR(E4285/COUNTIF($G2:$G6000,G4285),E4285)),E4285)</f>
        <v>0</v>
      </c>
      <c r="I4285" s="1" t="str">
        <f>IFERROR(VLOOKUP(C4285,'Clients List'!A:F,6,FALSE),"")</f>
        <v/>
      </c>
    </row>
    <row r="4286" spans="4:9" x14ac:dyDescent="0.45">
      <c r="D4286" t="str">
        <f>IFERROR(VLOOKUP(C4286,'Clients List'!$A:$F,2,FALSE),"")</f>
        <v/>
      </c>
      <c r="F4286" s="1" t="str">
        <f>IF(OR(C4286="",NOT(ISNUMBER(SEARCH("Package",D4286)))),"",VLOOKUP(C4286,'Clients List'!$A:$F,4,FALSE)-SUMIFS($E$2:$E4286,$C$2:$C4286,C4286,$D$2:$D4286,"*Package*"))</f>
        <v/>
      </c>
      <c r="G4286" t="str">
        <f t="shared" si="100"/>
        <v/>
      </c>
      <c r="H4286" s="33">
        <f>IF(ISNUMBER(SEARCH("Group",D4286)),IF(G4286="",E4286,IFERROR(E4286/COUNTIF($G2:$G6000,G4286),E4286)),E4286)</f>
        <v>0</v>
      </c>
      <c r="I4286" s="1" t="str">
        <f>IFERROR(VLOOKUP(C4286,'Clients List'!A:F,6,FALSE),"")</f>
        <v/>
      </c>
    </row>
    <row r="4287" spans="4:9" x14ac:dyDescent="0.45">
      <c r="D4287" t="str">
        <f>IFERROR(VLOOKUP(C4287,'Clients List'!$A:$F,2,FALSE),"")</f>
        <v/>
      </c>
      <c r="F4287" s="1" t="str">
        <f>IF(OR(C4287="",NOT(ISNUMBER(SEARCH("Package",D4287)))),"",VLOOKUP(C4287,'Clients List'!$A:$F,4,FALSE)-SUMIFS($E$2:$E4287,$C$2:$C4287,C4287,$D$2:$D4287,"*Package*"))</f>
        <v/>
      </c>
      <c r="G4287" t="str">
        <f t="shared" si="100"/>
        <v/>
      </c>
      <c r="H4287" s="33">
        <f>IF(ISNUMBER(SEARCH("Group",D4287)),IF(G4287="",E4287,IFERROR(E4287/COUNTIF($G2:$G6000,G4287),E4287)),E4287)</f>
        <v>0</v>
      </c>
      <c r="I4287" s="1" t="str">
        <f>IFERROR(VLOOKUP(C4287,'Clients List'!A:F,6,FALSE),"")</f>
        <v/>
      </c>
    </row>
    <row r="4288" spans="4:9" x14ac:dyDescent="0.45">
      <c r="D4288" t="str">
        <f>IFERROR(VLOOKUP(C4288,'Clients List'!$A:$F,2,FALSE),"")</f>
        <v/>
      </c>
      <c r="F4288" s="1" t="str">
        <f>IF(OR(C4288="",NOT(ISNUMBER(SEARCH("Package",D4288)))),"",VLOOKUP(C4288,'Clients List'!$A:$F,4,FALSE)-SUMIFS($E$2:$E4288,$C$2:$C4288,C4288,$D$2:$D4288,"*Package*"))</f>
        <v/>
      </c>
      <c r="G4288" t="str">
        <f t="shared" si="100"/>
        <v/>
      </c>
      <c r="H4288" s="33">
        <f>IF(ISNUMBER(SEARCH("Group",D4288)),IF(G4288="",E4288,IFERROR(E4288/COUNTIF($G2:$G6000,G4288),E4288)),E4288)</f>
        <v>0</v>
      </c>
      <c r="I4288" s="1" t="str">
        <f>IFERROR(VLOOKUP(C4288,'Clients List'!A:F,6,FALSE),"")</f>
        <v/>
      </c>
    </row>
    <row r="4289" spans="4:9" x14ac:dyDescent="0.45">
      <c r="D4289" t="str">
        <f>IFERROR(VLOOKUP(C4289,'Clients List'!$A:$F,2,FALSE),"")</f>
        <v/>
      </c>
      <c r="F4289" s="1" t="str">
        <f>IF(OR(C4289="",NOT(ISNUMBER(SEARCH("Package",D4289)))),"",VLOOKUP(C4289,'Clients List'!$A:$F,4,FALSE)-SUMIFS($E$2:$E4289,$C$2:$C4289,C4289,$D$2:$D4289,"*Package*"))</f>
        <v/>
      </c>
      <c r="G4289" t="str">
        <f t="shared" si="100"/>
        <v/>
      </c>
      <c r="H4289" s="33">
        <f>IF(ISNUMBER(SEARCH("Group",D4289)),IF(G4289="",E4289,IFERROR(E4289/COUNTIF($G2:$G6000,G4289),E4289)),E4289)</f>
        <v>0</v>
      </c>
      <c r="I4289" s="1" t="str">
        <f>IFERROR(VLOOKUP(C4289,'Clients List'!A:F,6,FALSE),"")</f>
        <v/>
      </c>
    </row>
    <row r="4290" spans="4:9" x14ac:dyDescent="0.45">
      <c r="D4290" t="str">
        <f>IFERROR(VLOOKUP(C4290,'Clients List'!$A:$F,2,FALSE),"")</f>
        <v/>
      </c>
      <c r="F4290" s="1" t="str">
        <f>IF(OR(C4290="",NOT(ISNUMBER(SEARCH("Package",D4290)))),"",VLOOKUP(C4290,'Clients List'!$A:$F,4,FALSE)-SUMIFS($E$2:$E4290,$C$2:$C4290,C4290,$D$2:$D4290,"*Package*"))</f>
        <v/>
      </c>
      <c r="G4290" t="str">
        <f t="shared" si="100"/>
        <v/>
      </c>
      <c r="H4290" s="33">
        <f>IF(ISNUMBER(SEARCH("Group",D4290)),IF(G4290="",E4290,IFERROR(E4290/COUNTIF($G2:$G6000,G4290),E4290)),E4290)</f>
        <v>0</v>
      </c>
      <c r="I4290" s="1" t="str">
        <f>IFERROR(VLOOKUP(C4290,'Clients List'!A:F,6,FALSE),"")</f>
        <v/>
      </c>
    </row>
    <row r="4291" spans="4:9" x14ac:dyDescent="0.45">
      <c r="D4291" t="str">
        <f>IFERROR(VLOOKUP(C4291,'Clients List'!$A:$F,2,FALSE),"")</f>
        <v/>
      </c>
      <c r="F4291" s="1" t="str">
        <f>IF(OR(C4291="",NOT(ISNUMBER(SEARCH("Package",D4291)))),"",VLOOKUP(C4291,'Clients List'!$A:$F,4,FALSE)-SUMIFS($E$2:$E4291,$C$2:$C4291,C4291,$D$2:$D4291,"*Package*"))</f>
        <v/>
      </c>
      <c r="G4291" t="str">
        <f t="shared" si="100"/>
        <v/>
      </c>
      <c r="H4291" s="33">
        <f>IF(ISNUMBER(SEARCH("Group",D4291)),IF(G4291="",E4291,IFERROR(E4291/COUNTIF($G2:$G6000,G4291),E4291)),E4291)</f>
        <v>0</v>
      </c>
      <c r="I4291" s="1" t="str">
        <f>IFERROR(VLOOKUP(C4291,'Clients List'!A:F,6,FALSE),"")</f>
        <v/>
      </c>
    </row>
    <row r="4292" spans="4:9" x14ac:dyDescent="0.45">
      <c r="D4292" t="str">
        <f>IFERROR(VLOOKUP(C4292,'Clients List'!$A:$F,2,FALSE),"")</f>
        <v/>
      </c>
      <c r="F4292" s="1" t="str">
        <f>IF(OR(C4292="",NOT(ISNUMBER(SEARCH("Package",D4292)))),"",VLOOKUP(C4292,'Clients List'!$A:$F,4,FALSE)-SUMIFS($E$2:$E4292,$C$2:$C4292,C4292,$D$2:$D4292,"*Package*"))</f>
        <v/>
      </c>
      <c r="G4292" t="str">
        <f t="shared" si="100"/>
        <v/>
      </c>
      <c r="H4292" s="33">
        <f>IF(ISNUMBER(SEARCH("Group",D4292)),IF(G4292="",E4292,IFERROR(E4292/COUNTIF($G2:$G6000,G4292),E4292)),E4292)</f>
        <v>0</v>
      </c>
      <c r="I4292" s="1" t="str">
        <f>IFERROR(VLOOKUP(C4292,'Clients List'!A:F,6,FALSE),"")</f>
        <v/>
      </c>
    </row>
    <row r="4293" spans="4:9" x14ac:dyDescent="0.45">
      <c r="D4293" t="str">
        <f>IFERROR(VLOOKUP(C4293,'Clients List'!$A:$F,2,FALSE),"")</f>
        <v/>
      </c>
      <c r="F4293" s="1" t="str">
        <f>IF(OR(C4293="",NOT(ISNUMBER(SEARCH("Package",D4293)))),"",VLOOKUP(C4293,'Clients List'!$A:$F,4,FALSE)-SUMIFS($E$2:$E4293,$C$2:$C4293,C4293,$D$2:$D4293,"*Package*"))</f>
        <v/>
      </c>
      <c r="G4293" t="str">
        <f t="shared" si="100"/>
        <v/>
      </c>
      <c r="H4293" s="33">
        <f>IF(ISNUMBER(SEARCH("Group",D4293)),IF(G4293="",E4293,IFERROR(E4293/COUNTIF($G2:$G6000,G4293),E4293)),E4293)</f>
        <v>0</v>
      </c>
      <c r="I4293" s="1" t="str">
        <f>IFERROR(VLOOKUP(C4293,'Clients List'!A:F,6,FALSE),"")</f>
        <v/>
      </c>
    </row>
    <row r="4294" spans="4:9" x14ac:dyDescent="0.45">
      <c r="D4294" t="str">
        <f>IFERROR(VLOOKUP(C4294,'Clients List'!$A:$F,2,FALSE),"")</f>
        <v/>
      </c>
      <c r="F4294" s="1" t="str">
        <f>IF(OR(C4294="",NOT(ISNUMBER(SEARCH("Package",D4294)))),"",VLOOKUP(C4294,'Clients List'!$A:$F,4,FALSE)-SUMIFS($E$2:$E4294,$C$2:$C4294,C4294,$D$2:$D4294,"*Package*"))</f>
        <v/>
      </c>
      <c r="G4294" t="str">
        <f t="shared" si="100"/>
        <v/>
      </c>
      <c r="H4294" s="33">
        <f>IF(ISNUMBER(SEARCH("Group",D4294)),IF(G4294="",E4294,IFERROR(E4294/COUNTIF($G2:$G6000,G4294),E4294)),E4294)</f>
        <v>0</v>
      </c>
      <c r="I4294" s="1" t="str">
        <f>IFERROR(VLOOKUP(C4294,'Clients List'!A:F,6,FALSE),"")</f>
        <v/>
      </c>
    </row>
    <row r="4295" spans="4:9" x14ac:dyDescent="0.45">
      <c r="D4295" t="str">
        <f>IFERROR(VLOOKUP(C4295,'Clients List'!$A:$F,2,FALSE),"")</f>
        <v/>
      </c>
      <c r="F4295" s="1" t="str">
        <f>IF(OR(C4295="",NOT(ISNUMBER(SEARCH("Package",D4295)))),"",VLOOKUP(C4295,'Clients List'!$A:$F,4,FALSE)-SUMIFS($E$2:$E4295,$C$2:$C4295,C4295,$D$2:$D4295,"*Package*"))</f>
        <v/>
      </c>
      <c r="G4295" t="str">
        <f t="shared" si="100"/>
        <v/>
      </c>
      <c r="H4295" s="33">
        <f>IF(ISNUMBER(SEARCH("Group",D4295)),IF(G4295="",E4295,IFERROR(E4295/COUNTIF($G2:$G6000,G4295),E4295)),E4295)</f>
        <v>0</v>
      </c>
      <c r="I4295" s="1" t="str">
        <f>IFERROR(VLOOKUP(C4295,'Clients List'!A:F,6,FALSE),"")</f>
        <v/>
      </c>
    </row>
    <row r="4296" spans="4:9" x14ac:dyDescent="0.45">
      <c r="D4296" t="str">
        <f>IFERROR(VLOOKUP(C4296,'Clients List'!$A:$F,2,FALSE),"")</f>
        <v/>
      </c>
      <c r="F4296" s="1" t="str">
        <f>IF(OR(C4296="",NOT(ISNUMBER(SEARCH("Package",D4296)))),"",VLOOKUP(C4296,'Clients List'!$A:$F,4,FALSE)-SUMIFS($E$2:$E4296,$C$2:$C4296,C4296,$D$2:$D4296,"*Package*"))</f>
        <v/>
      </c>
      <c r="G4296" t="str">
        <f t="shared" si="100"/>
        <v/>
      </c>
      <c r="H4296" s="33">
        <f>IF(ISNUMBER(SEARCH("Group",D4296)),IF(G4296="",E4296,IFERROR(E4296/COUNTIF($G2:$G6000,G4296),E4296)),E4296)</f>
        <v>0</v>
      </c>
      <c r="I4296" s="1" t="str">
        <f>IFERROR(VLOOKUP(C4296,'Clients List'!A:F,6,FALSE),"")</f>
        <v/>
      </c>
    </row>
    <row r="4297" spans="4:9" x14ac:dyDescent="0.45">
      <c r="D4297" t="str">
        <f>IFERROR(VLOOKUP(C4297,'Clients List'!$A:$F,2,FALSE),"")</f>
        <v/>
      </c>
      <c r="F4297" s="1" t="str">
        <f>IF(OR(C4297="",NOT(ISNUMBER(SEARCH("Package",D4297)))),"",VLOOKUP(C4297,'Clients List'!$A:$F,4,FALSE)-SUMIFS($E$2:$E4297,$C$2:$C4297,C4297,$D$2:$D4297,"*Package*"))</f>
        <v/>
      </c>
      <c r="G4297" t="str">
        <f t="shared" si="100"/>
        <v/>
      </c>
      <c r="H4297" s="33">
        <f>IF(ISNUMBER(SEARCH("Group",D4297)),IF(G4297="",E4297,IFERROR(E4297/COUNTIF($G2:$G6000,G4297),E4297)),E4297)</f>
        <v>0</v>
      </c>
      <c r="I4297" s="1" t="str">
        <f>IFERROR(VLOOKUP(C4297,'Clients List'!A:F,6,FALSE),"")</f>
        <v/>
      </c>
    </row>
    <row r="4298" spans="4:9" x14ac:dyDescent="0.45">
      <c r="D4298" t="str">
        <f>IFERROR(VLOOKUP(C4298,'Clients List'!$A:$F,2,FALSE),"")</f>
        <v/>
      </c>
      <c r="F4298" s="1" t="str">
        <f>IF(OR(C4298="",NOT(ISNUMBER(SEARCH("Package",D4298)))),"",VLOOKUP(C4298,'Clients List'!$A:$F,4,FALSE)-SUMIFS($E$2:$E4298,$C$2:$C4298,C4298,$D$2:$D4298,"*Package*"))</f>
        <v/>
      </c>
      <c r="G4298" t="str">
        <f t="shared" si="100"/>
        <v/>
      </c>
      <c r="H4298" s="33">
        <f>IF(ISNUMBER(SEARCH("Group",D4298)),IF(G4298="",E4298,IFERROR(E4298/COUNTIF($G2:$G6000,G4298),E4298)),E4298)</f>
        <v>0</v>
      </c>
      <c r="I4298" s="1" t="str">
        <f>IFERROR(VLOOKUP(C4298,'Clients List'!A:F,6,FALSE),"")</f>
        <v/>
      </c>
    </row>
    <row r="4299" spans="4:9" x14ac:dyDescent="0.45">
      <c r="D4299" t="str">
        <f>IFERROR(VLOOKUP(C4299,'Clients List'!$A:$F,2,FALSE),"")</f>
        <v/>
      </c>
      <c r="F4299" s="1" t="str">
        <f>IF(OR(C4299="",NOT(ISNUMBER(SEARCH("Package",D4299)))),"",VLOOKUP(C4299,'Clients List'!$A:$F,4,FALSE)-SUMIFS($E$2:$E4299,$C$2:$C4299,C4299,$D$2:$D4299,"*Package*"))</f>
        <v/>
      </c>
      <c r="G4299" t="str">
        <f t="shared" si="100"/>
        <v/>
      </c>
      <c r="H4299" s="33">
        <f>IF(ISNUMBER(SEARCH("Group",D4299)),IF(G4299="",E4299,IFERROR(E4299/COUNTIF($G2:$G6000,G4299),E4299)),E4299)</f>
        <v>0</v>
      </c>
      <c r="I4299" s="1" t="str">
        <f>IFERROR(VLOOKUP(C4299,'Clients List'!A:F,6,FALSE),"")</f>
        <v/>
      </c>
    </row>
    <row r="4300" spans="4:9" x14ac:dyDescent="0.45">
      <c r="D4300" t="str">
        <f>IFERROR(VLOOKUP(C4300,'Clients List'!$A:$F,2,FALSE),"")</f>
        <v/>
      </c>
      <c r="F4300" s="1" t="str">
        <f>IF(OR(C4300="",NOT(ISNUMBER(SEARCH("Package",D4300)))),"",VLOOKUP(C4300,'Clients List'!$A:$F,4,FALSE)-SUMIFS($E$2:$E4300,$C$2:$C4300,C4300,$D$2:$D4300,"*Package*"))</f>
        <v/>
      </c>
      <c r="G4300" t="str">
        <f t="shared" si="100"/>
        <v/>
      </c>
      <c r="H4300" s="33">
        <f>IF(ISNUMBER(SEARCH("Group",D4300)),IF(G4300="",E4300,IFERROR(E4300/COUNTIF($G2:$G6000,G4300),E4300)),E4300)</f>
        <v>0</v>
      </c>
      <c r="I4300" s="1" t="str">
        <f>IFERROR(VLOOKUP(C4300,'Clients List'!A:F,6,FALSE),"")</f>
        <v/>
      </c>
    </row>
    <row r="4301" spans="4:9" x14ac:dyDescent="0.45">
      <c r="D4301" t="str">
        <f>IFERROR(VLOOKUP(C4301,'Clients List'!$A:$F,2,FALSE),"")</f>
        <v/>
      </c>
      <c r="F4301" s="1" t="str">
        <f>IF(OR(C4301="",NOT(ISNUMBER(SEARCH("Package",D4301)))),"",VLOOKUP(C4301,'Clients List'!$A:$F,4,FALSE)-SUMIFS($E$2:$E4301,$C$2:$C4301,C4301,$D$2:$D4301,"*Package*"))</f>
        <v/>
      </c>
      <c r="G4301" t="str">
        <f t="shared" si="100"/>
        <v/>
      </c>
      <c r="H4301" s="33">
        <f>IF(ISNUMBER(SEARCH("Group",D4301)),IF(G4301="",E4301,IFERROR(E4301/COUNTIF($G2:$G6000,G4301),E4301)),E4301)</f>
        <v>0</v>
      </c>
      <c r="I4301" s="1" t="str">
        <f>IFERROR(VLOOKUP(C4301,'Clients List'!A:F,6,FALSE),"")</f>
        <v/>
      </c>
    </row>
    <row r="4302" spans="4:9" x14ac:dyDescent="0.45">
      <c r="D4302" t="str">
        <f>IFERROR(VLOOKUP(C4302,'Clients List'!$A:$F,2,FALSE),"")</f>
        <v/>
      </c>
      <c r="F4302" s="1" t="str">
        <f>IF(OR(C4302="",NOT(ISNUMBER(SEARCH("Package",D4302)))),"",VLOOKUP(C4302,'Clients List'!$A:$F,4,FALSE)-SUMIFS($E$2:$E4302,$C$2:$C4302,C4302,$D$2:$D4302,"*Package*"))</f>
        <v/>
      </c>
      <c r="G4302" t="str">
        <f t="shared" si="100"/>
        <v/>
      </c>
      <c r="H4302" s="33">
        <f>IF(ISNUMBER(SEARCH("Group",D4302)),IF(G4302="",E4302,IFERROR(E4302/COUNTIF($G2:$G6000,G4302),E4302)),E4302)</f>
        <v>0</v>
      </c>
      <c r="I4302" s="1" t="str">
        <f>IFERROR(VLOOKUP(C4302,'Clients List'!A:F,6,FALSE),"")</f>
        <v/>
      </c>
    </row>
    <row r="4303" spans="4:9" x14ac:dyDescent="0.45">
      <c r="D4303" t="str">
        <f>IFERROR(VLOOKUP(C4303,'Clients List'!$A:$F,2,FALSE),"")</f>
        <v/>
      </c>
      <c r="F4303" s="1" t="str">
        <f>IF(OR(C4303="",NOT(ISNUMBER(SEARCH("Package",D4303)))),"",VLOOKUP(C4303,'Clients List'!$A:$F,4,FALSE)-SUMIFS($E$2:$E4303,$C$2:$C4303,C4303,$D$2:$D4303,"*Package*"))</f>
        <v/>
      </c>
      <c r="G4303" t="str">
        <f t="shared" si="100"/>
        <v/>
      </c>
      <c r="H4303" s="33">
        <f>IF(ISNUMBER(SEARCH("Group",D4303)),IF(G4303="",E4303,IFERROR(E4303/COUNTIF($G2:$G6000,G4303),E4303)),E4303)</f>
        <v>0</v>
      </c>
      <c r="I4303" s="1" t="str">
        <f>IFERROR(VLOOKUP(C4303,'Clients List'!A:F,6,FALSE),"")</f>
        <v/>
      </c>
    </row>
    <row r="4304" spans="4:9" x14ac:dyDescent="0.45">
      <c r="D4304" t="str">
        <f>IFERROR(VLOOKUP(C4304,'Clients List'!$A:$F,2,FALSE),"")</f>
        <v/>
      </c>
      <c r="F4304" s="1" t="str">
        <f>IF(OR(C4304="",NOT(ISNUMBER(SEARCH("Package",D4304)))),"",VLOOKUP(C4304,'Clients List'!$A:$F,4,FALSE)-SUMIFS($E$2:$E4304,$C$2:$C4304,C4304,$D$2:$D4304,"*Package*"))</f>
        <v/>
      </c>
      <c r="G4304" t="str">
        <f t="shared" si="100"/>
        <v/>
      </c>
      <c r="H4304" s="33">
        <f>IF(ISNUMBER(SEARCH("Group",D4304)),IF(G4304="",E4304,IFERROR(E4304/COUNTIF($G2:$G6000,G4304),E4304)),E4304)</f>
        <v>0</v>
      </c>
      <c r="I4304" s="1" t="str">
        <f>IFERROR(VLOOKUP(C4304,'Clients List'!A:F,6,FALSE),"")</f>
        <v/>
      </c>
    </row>
    <row r="4305" spans="4:9" x14ac:dyDescent="0.45">
      <c r="D4305" t="str">
        <f>IFERROR(VLOOKUP(C4305,'Clients List'!$A:$F,2,FALSE),"")</f>
        <v/>
      </c>
      <c r="F4305" s="1" t="str">
        <f>IF(OR(C4305="",NOT(ISNUMBER(SEARCH("Package",D4305)))),"",VLOOKUP(C4305,'Clients List'!$A:$F,4,FALSE)-SUMIFS($E$2:$E4305,$C$2:$C4305,C4305,$D$2:$D4305,"*Package*"))</f>
        <v/>
      </c>
      <c r="G4305" t="str">
        <f t="shared" si="100"/>
        <v/>
      </c>
      <c r="H4305" s="33">
        <f>IF(ISNUMBER(SEARCH("Group",D4305)),IF(G4305="",E4305,IFERROR(E4305/COUNTIF($G2:$G6000,G4305),E4305)),E4305)</f>
        <v>0</v>
      </c>
      <c r="I4305" s="1" t="str">
        <f>IFERROR(VLOOKUP(C4305,'Clients List'!A:F,6,FALSE),"")</f>
        <v/>
      </c>
    </row>
    <row r="4306" spans="4:9" x14ac:dyDescent="0.45">
      <c r="D4306" t="str">
        <f>IFERROR(VLOOKUP(C4306,'Clients List'!$A:$F,2,FALSE),"")</f>
        <v/>
      </c>
      <c r="F4306" s="1" t="str">
        <f>IF(OR(C4306="",NOT(ISNUMBER(SEARCH("Package",D4306)))),"",VLOOKUP(C4306,'Clients List'!$A:$F,4,FALSE)-SUMIFS($E$2:$E4306,$C$2:$C4306,C4306,$D$2:$D4306,"*Package*"))</f>
        <v/>
      </c>
      <c r="G4306" t="str">
        <f t="shared" si="100"/>
        <v/>
      </c>
      <c r="H4306" s="33">
        <f>IF(ISNUMBER(SEARCH("Group",D4306)),IF(G4306="",E4306,IFERROR(E4306/COUNTIF($G2:$G6000,G4306),E4306)),E4306)</f>
        <v>0</v>
      </c>
      <c r="I4306" s="1" t="str">
        <f>IFERROR(VLOOKUP(C4306,'Clients List'!A:F,6,FALSE),"")</f>
        <v/>
      </c>
    </row>
    <row r="4307" spans="4:9" x14ac:dyDescent="0.45">
      <c r="D4307" t="str">
        <f>IFERROR(VLOOKUP(C4307,'Clients List'!$A:$F,2,FALSE),"")</f>
        <v/>
      </c>
      <c r="F4307" s="1" t="str">
        <f>IF(OR(C4307="",NOT(ISNUMBER(SEARCH("Package",D4307)))),"",VLOOKUP(C4307,'Clients List'!$A:$F,4,FALSE)-SUMIFS($E$2:$E4307,$C$2:$C4307,C4307,$D$2:$D4307,"*Package*"))</f>
        <v/>
      </c>
      <c r="G4307" t="str">
        <f t="shared" si="100"/>
        <v/>
      </c>
      <c r="H4307" s="33">
        <f>IF(ISNUMBER(SEARCH("Group",D4307)),IF(G4307="",E4307,IFERROR(E4307/COUNTIF($G2:$G6000,G4307),E4307)),E4307)</f>
        <v>0</v>
      </c>
      <c r="I4307" s="1" t="str">
        <f>IFERROR(VLOOKUP(C4307,'Clients List'!A:F,6,FALSE),"")</f>
        <v/>
      </c>
    </row>
    <row r="4308" spans="4:9" x14ac:dyDescent="0.45">
      <c r="D4308" t="str">
        <f>IFERROR(VLOOKUP(C4308,'Clients List'!$A:$F,2,FALSE),"")</f>
        <v/>
      </c>
      <c r="F4308" s="1" t="str">
        <f>IF(OR(C4308="",NOT(ISNUMBER(SEARCH("Package",D4308)))),"",VLOOKUP(C4308,'Clients List'!$A:$F,4,FALSE)-SUMIFS($E$2:$E4308,$C$2:$C4308,C4308,$D$2:$D4308,"*Package*"))</f>
        <v/>
      </c>
      <c r="G4308" t="str">
        <f t="shared" si="100"/>
        <v/>
      </c>
      <c r="H4308" s="33">
        <f>IF(ISNUMBER(SEARCH("Group",D4308)),IF(G4308="",E4308,IFERROR(E4308/COUNTIF($G2:$G6000,G4308),E4308)),E4308)</f>
        <v>0</v>
      </c>
      <c r="I4308" s="1" t="str">
        <f>IFERROR(VLOOKUP(C4308,'Clients List'!A:F,6,FALSE),"")</f>
        <v/>
      </c>
    </row>
    <row r="4309" spans="4:9" x14ac:dyDescent="0.45">
      <c r="D4309" t="str">
        <f>IFERROR(VLOOKUP(C4309,'Clients List'!$A:$F,2,FALSE),"")</f>
        <v/>
      </c>
      <c r="F4309" s="1" t="str">
        <f>IF(OR(C4309="",NOT(ISNUMBER(SEARCH("Package",D4309)))),"",VLOOKUP(C4309,'Clients List'!$A:$F,4,FALSE)-SUMIFS($E$2:$E4309,$C$2:$C4309,C4309,$D$2:$D4309,"*Package*"))</f>
        <v/>
      </c>
      <c r="G4309" t="str">
        <f t="shared" si="100"/>
        <v/>
      </c>
      <c r="H4309" s="33">
        <f>IF(ISNUMBER(SEARCH("Group",D4309)),IF(G4309="",E4309,IFERROR(E4309/COUNTIF($G2:$G6000,G4309),E4309)),E4309)</f>
        <v>0</v>
      </c>
      <c r="I4309" s="1" t="str">
        <f>IFERROR(VLOOKUP(C4309,'Clients List'!A:F,6,FALSE),"")</f>
        <v/>
      </c>
    </row>
    <row r="4310" spans="4:9" x14ac:dyDescent="0.45">
      <c r="D4310" t="str">
        <f>IFERROR(VLOOKUP(C4310,'Clients List'!$A:$F,2,FALSE),"")</f>
        <v/>
      </c>
      <c r="F4310" s="1" t="str">
        <f>IF(OR(C4310="",NOT(ISNUMBER(SEARCH("Package",D4310)))),"",VLOOKUP(C4310,'Clients List'!$A:$F,4,FALSE)-SUMIFS($E$2:$E4310,$C$2:$C4310,C4310,$D$2:$D4310,"*Package*"))</f>
        <v/>
      </c>
      <c r="G4310" t="str">
        <f t="shared" si="100"/>
        <v/>
      </c>
      <c r="H4310" s="33">
        <f>IF(ISNUMBER(SEARCH("Group",D4310)),IF(G4310="",E4310,IFERROR(E4310/COUNTIF($G2:$G6000,G4310),E4310)),E4310)</f>
        <v>0</v>
      </c>
      <c r="I4310" s="1" t="str">
        <f>IFERROR(VLOOKUP(C4310,'Clients List'!A:F,6,FALSE),"")</f>
        <v/>
      </c>
    </row>
    <row r="4311" spans="4:9" x14ac:dyDescent="0.45">
      <c r="D4311" t="str">
        <f>IFERROR(VLOOKUP(C4311,'Clients List'!$A:$F,2,FALSE),"")</f>
        <v/>
      </c>
      <c r="F4311" s="1" t="str">
        <f>IF(OR(C4311="",NOT(ISNUMBER(SEARCH("Package",D4311)))),"",VLOOKUP(C4311,'Clients List'!$A:$F,4,FALSE)-SUMIFS($E$2:$E4311,$C$2:$C4311,C4311,$D$2:$D4311,"*Package*"))</f>
        <v/>
      </c>
      <c r="G4311" t="str">
        <f t="shared" si="100"/>
        <v/>
      </c>
      <c r="H4311" s="33">
        <f>IF(ISNUMBER(SEARCH("Group",D4311)),IF(G4311="",E4311,IFERROR(E4311/COUNTIF($G2:$G6000,G4311),E4311)),E4311)</f>
        <v>0</v>
      </c>
      <c r="I4311" s="1" t="str">
        <f>IFERROR(VLOOKUP(C4311,'Clients List'!A:F,6,FALSE),"")</f>
        <v/>
      </c>
    </row>
    <row r="4312" spans="4:9" x14ac:dyDescent="0.45">
      <c r="D4312" t="str">
        <f>IFERROR(VLOOKUP(C4312,'Clients List'!$A:$F,2,FALSE),"")</f>
        <v/>
      </c>
      <c r="F4312" s="1" t="str">
        <f>IF(OR(C4312="",NOT(ISNUMBER(SEARCH("Package",D4312)))),"",VLOOKUP(C4312,'Clients List'!$A:$F,4,FALSE)-SUMIFS($E$2:$E4312,$C$2:$C4312,C4312,$D$2:$D4312,"*Package*"))</f>
        <v/>
      </c>
      <c r="G4312" t="str">
        <f t="shared" si="100"/>
        <v/>
      </c>
      <c r="H4312" s="33">
        <f>IF(ISNUMBER(SEARCH("Group",D4312)),IF(G4312="",E4312,IFERROR(E4312/COUNTIF($G2:$G6000,G4312),E4312)),E4312)</f>
        <v>0</v>
      </c>
      <c r="I4312" s="1" t="str">
        <f>IFERROR(VLOOKUP(C4312,'Clients List'!A:F,6,FALSE),"")</f>
        <v/>
      </c>
    </row>
    <row r="4313" spans="4:9" x14ac:dyDescent="0.45">
      <c r="D4313" t="str">
        <f>IFERROR(VLOOKUP(C4313,'Clients List'!$A:$F,2,FALSE),"")</f>
        <v/>
      </c>
      <c r="F4313" s="1" t="str">
        <f>IF(OR(C4313="",NOT(ISNUMBER(SEARCH("Package",D4313)))),"",VLOOKUP(C4313,'Clients List'!$A:$F,4,FALSE)-SUMIFS($E$2:$E4313,$C$2:$C4313,C4313,$D$2:$D4313,"*Package*"))</f>
        <v/>
      </c>
      <c r="G4313" t="str">
        <f t="shared" si="100"/>
        <v/>
      </c>
      <c r="H4313" s="33">
        <f>IF(ISNUMBER(SEARCH("Group",D4313)),IF(G4313="",E4313,IFERROR(E4313/COUNTIF($G2:$G6000,G4313),E4313)),E4313)</f>
        <v>0</v>
      </c>
      <c r="I4313" s="1" t="str">
        <f>IFERROR(VLOOKUP(C4313,'Clients List'!A:F,6,FALSE),"")</f>
        <v/>
      </c>
    </row>
    <row r="4314" spans="4:9" x14ac:dyDescent="0.45">
      <c r="D4314" t="str">
        <f>IFERROR(VLOOKUP(C4314,'Clients List'!$A:$F,2,FALSE),"")</f>
        <v/>
      </c>
      <c r="F4314" s="1" t="str">
        <f>IF(OR(C4314="",NOT(ISNUMBER(SEARCH("Package",D4314)))),"",VLOOKUP(C4314,'Clients List'!$A:$F,4,FALSE)-SUMIFS($E$2:$E4314,$C$2:$C4314,C4314,$D$2:$D4314,"*Package*"))</f>
        <v/>
      </c>
      <c r="G4314" t="str">
        <f t="shared" si="100"/>
        <v/>
      </c>
      <c r="H4314" s="33">
        <f>IF(ISNUMBER(SEARCH("Group",D4314)),IF(G4314="",E4314,IFERROR(E4314/COUNTIF($G2:$G6000,G4314),E4314)),E4314)</f>
        <v>0</v>
      </c>
      <c r="I4314" s="1" t="str">
        <f>IFERROR(VLOOKUP(C4314,'Clients List'!A:F,6,FALSE),"")</f>
        <v/>
      </c>
    </row>
    <row r="4315" spans="4:9" x14ac:dyDescent="0.45">
      <c r="D4315" t="str">
        <f>IFERROR(VLOOKUP(C4315,'Clients List'!$A:$F,2,FALSE),"")</f>
        <v/>
      </c>
      <c r="F4315" s="1" t="str">
        <f>IF(OR(C4315="",NOT(ISNUMBER(SEARCH("Package",D4315)))),"",VLOOKUP(C4315,'Clients List'!$A:$F,4,FALSE)-SUMIFS($E$2:$E4315,$C$2:$C4315,C4315,$D$2:$D4315,"*Package*"))</f>
        <v/>
      </c>
      <c r="G4315" t="str">
        <f t="shared" si="100"/>
        <v/>
      </c>
      <c r="H4315" s="33">
        <f>IF(ISNUMBER(SEARCH("Group",D4315)),IF(G4315="",E4315,IFERROR(E4315/COUNTIF($G2:$G6000,G4315),E4315)),E4315)</f>
        <v>0</v>
      </c>
      <c r="I4315" s="1" t="str">
        <f>IFERROR(VLOOKUP(C4315,'Clients List'!A:F,6,FALSE),"")</f>
        <v/>
      </c>
    </row>
    <row r="4316" spans="4:9" x14ac:dyDescent="0.45">
      <c r="D4316" t="str">
        <f>IFERROR(VLOOKUP(C4316,'Clients List'!$A:$F,2,FALSE),"")</f>
        <v/>
      </c>
      <c r="F4316" s="1" t="str">
        <f>IF(OR(C4316="",NOT(ISNUMBER(SEARCH("Package",D4316)))),"",VLOOKUP(C4316,'Clients List'!$A:$F,4,FALSE)-SUMIFS($E$2:$E4316,$C$2:$C4316,C4316,$D$2:$D4316,"*Package*"))</f>
        <v/>
      </c>
      <c r="G4316" t="str">
        <f t="shared" si="100"/>
        <v/>
      </c>
      <c r="H4316" s="33">
        <f>IF(ISNUMBER(SEARCH("Group",D4316)),IF(G4316="",E4316,IFERROR(E4316/COUNTIF($G2:$G6000,G4316),E4316)),E4316)</f>
        <v>0</v>
      </c>
      <c r="I4316" s="1" t="str">
        <f>IFERROR(VLOOKUP(C4316,'Clients List'!A:F,6,FALSE),"")</f>
        <v/>
      </c>
    </row>
    <row r="4317" spans="4:9" x14ac:dyDescent="0.45">
      <c r="D4317" t="str">
        <f>IFERROR(VLOOKUP(C4317,'Clients List'!$A:$F,2,FALSE),"")</f>
        <v/>
      </c>
      <c r="F4317" s="1" t="str">
        <f>IF(OR(C4317="",NOT(ISNUMBER(SEARCH("Package",D4317)))),"",VLOOKUP(C4317,'Clients List'!$A:$F,4,FALSE)-SUMIFS($E$2:$E4317,$C$2:$C4317,C4317,$D$2:$D4317,"*Package*"))</f>
        <v/>
      </c>
      <c r="G4317" t="str">
        <f t="shared" si="100"/>
        <v/>
      </c>
      <c r="H4317" s="33">
        <f>IF(ISNUMBER(SEARCH("Group",D4317)),IF(G4317="",E4317,IFERROR(E4317/COUNTIF($G2:$G6000,G4317),E4317)),E4317)</f>
        <v>0</v>
      </c>
      <c r="I4317" s="1" t="str">
        <f>IFERROR(VLOOKUP(C4317,'Clients List'!A:F,6,FALSE),"")</f>
        <v/>
      </c>
    </row>
    <row r="4318" spans="4:9" x14ac:dyDescent="0.45">
      <c r="D4318" t="str">
        <f>IFERROR(VLOOKUP(C4318,'Clients List'!$A:$F,2,FALSE),"")</f>
        <v/>
      </c>
      <c r="F4318" s="1" t="str">
        <f>IF(OR(C4318="",NOT(ISNUMBER(SEARCH("Package",D4318)))),"",VLOOKUP(C4318,'Clients List'!$A:$F,4,FALSE)-SUMIFS($E$2:$E4318,$C$2:$C4318,C4318,$D$2:$D4318,"*Package*"))</f>
        <v/>
      </c>
      <c r="G4318" t="str">
        <f t="shared" si="100"/>
        <v/>
      </c>
      <c r="H4318" s="33">
        <f>IF(ISNUMBER(SEARCH("Group",D4318)),IF(G4318="",E4318,IFERROR(E4318/COUNTIF($G2:$G6000,G4318),E4318)),E4318)</f>
        <v>0</v>
      </c>
      <c r="I4318" s="1" t="str">
        <f>IFERROR(VLOOKUP(C4318,'Clients List'!A:F,6,FALSE),"")</f>
        <v/>
      </c>
    </row>
    <row r="4319" spans="4:9" x14ac:dyDescent="0.45">
      <c r="D4319" t="str">
        <f>IFERROR(VLOOKUP(C4319,'Clients List'!$A:$F,2,FALSE),"")</f>
        <v/>
      </c>
      <c r="F4319" s="1" t="str">
        <f>IF(OR(C4319="",NOT(ISNUMBER(SEARCH("Package",D4319)))),"",VLOOKUP(C4319,'Clients List'!$A:$F,4,FALSE)-SUMIFS($E$2:$E4319,$C$2:$C4319,C4319,$D$2:$D4319,"*Package*"))</f>
        <v/>
      </c>
      <c r="G4319" t="str">
        <f t="shared" si="100"/>
        <v/>
      </c>
      <c r="H4319" s="33">
        <f>IF(ISNUMBER(SEARCH("Group",D4319)),IF(G4319="",E4319,IFERROR(E4319/COUNTIF($G2:$G6000,G4319),E4319)),E4319)</f>
        <v>0</v>
      </c>
      <c r="I4319" s="1" t="str">
        <f>IFERROR(VLOOKUP(C4319,'Clients List'!A:F,6,FALSE),"")</f>
        <v/>
      </c>
    </row>
    <row r="4320" spans="4:9" x14ac:dyDescent="0.45">
      <c r="D4320" t="str">
        <f>IFERROR(VLOOKUP(C4320,'Clients List'!$A:$F,2,FALSE),"")</f>
        <v/>
      </c>
      <c r="F4320" s="1" t="str">
        <f>IF(OR(C4320="",NOT(ISNUMBER(SEARCH("Package",D4320)))),"",VLOOKUP(C4320,'Clients List'!$A:$F,4,FALSE)-SUMIFS($E$2:$E4320,$C$2:$C4320,C4320,$D$2:$D4320,"*Package*"))</f>
        <v/>
      </c>
      <c r="G4320" t="str">
        <f t="shared" si="100"/>
        <v/>
      </c>
      <c r="H4320" s="33">
        <f>IF(ISNUMBER(SEARCH("Group",D4320)),IF(G4320="",E4320,IFERROR(E4320/COUNTIF($G2:$G6000,G4320),E4320)),E4320)</f>
        <v>0</v>
      </c>
      <c r="I4320" s="1" t="str">
        <f>IFERROR(VLOOKUP(C4320,'Clients List'!A:F,6,FALSE),"")</f>
        <v/>
      </c>
    </row>
    <row r="4321" spans="4:9" x14ac:dyDescent="0.45">
      <c r="D4321" t="str">
        <f>IFERROR(VLOOKUP(C4321,'Clients List'!$A:$F,2,FALSE),"")</f>
        <v/>
      </c>
      <c r="F4321" s="1" t="str">
        <f>IF(OR(C4321="",NOT(ISNUMBER(SEARCH("Package",D4321)))),"",VLOOKUP(C4321,'Clients List'!$A:$F,4,FALSE)-SUMIFS($E$2:$E4321,$C$2:$C4321,C4321,$D$2:$D4321,"*Package*"))</f>
        <v/>
      </c>
      <c r="G4321" t="str">
        <f t="shared" si="100"/>
        <v/>
      </c>
      <c r="H4321" s="33">
        <f>IF(ISNUMBER(SEARCH("Group",D4321)),IF(G4321="",E4321,IFERROR(E4321/COUNTIF($G2:$G6000,G4321),E4321)),E4321)</f>
        <v>0</v>
      </c>
      <c r="I4321" s="1" t="str">
        <f>IFERROR(VLOOKUP(C4321,'Clients List'!A:F,6,FALSE),"")</f>
        <v/>
      </c>
    </row>
    <row r="4322" spans="4:9" x14ac:dyDescent="0.45">
      <c r="D4322" t="str">
        <f>IFERROR(VLOOKUP(C4322,'Clients List'!$A:$F,2,FALSE),"")</f>
        <v/>
      </c>
      <c r="F4322" s="1" t="str">
        <f>IF(OR(C4322="",NOT(ISNUMBER(SEARCH("Package",D4322)))),"",VLOOKUP(C4322,'Clients List'!$A:$F,4,FALSE)-SUMIFS($E$2:$E4322,$C$2:$C4322,C4322,$D$2:$D4322,"*Package*"))</f>
        <v/>
      </c>
      <c r="G4322" t="str">
        <f t="shared" si="100"/>
        <v/>
      </c>
      <c r="H4322" s="33">
        <f>IF(ISNUMBER(SEARCH("Group",D4322)),IF(G4322="",E4322,IFERROR(E4322/COUNTIF($G2:$G6000,G4322),E4322)),E4322)</f>
        <v>0</v>
      </c>
      <c r="I4322" s="1" t="str">
        <f>IFERROR(VLOOKUP(C4322,'Clients List'!A:F,6,FALSE),"")</f>
        <v/>
      </c>
    </row>
    <row r="4323" spans="4:9" x14ac:dyDescent="0.45">
      <c r="D4323" t="str">
        <f>IFERROR(VLOOKUP(C4323,'Clients List'!$A:$F,2,FALSE),"")</f>
        <v/>
      </c>
      <c r="F4323" s="1" t="str">
        <f>IF(OR(C4323="",NOT(ISNUMBER(SEARCH("Package",D4323)))),"",VLOOKUP(C4323,'Clients List'!$A:$F,4,FALSE)-SUMIFS($E$2:$E4323,$C$2:$C4323,C4323,$D$2:$D4323,"*Package*"))</f>
        <v/>
      </c>
      <c r="G4323" t="str">
        <f t="shared" si="100"/>
        <v/>
      </c>
      <c r="H4323" s="33">
        <f>IF(ISNUMBER(SEARCH("Group",D4323)),IF(G4323="",E4323,IFERROR(E4323/COUNTIF($G2:$G6000,G4323),E4323)),E4323)</f>
        <v>0</v>
      </c>
      <c r="I4323" s="1" t="str">
        <f>IFERROR(VLOOKUP(C4323,'Clients List'!A:F,6,FALSE),"")</f>
        <v/>
      </c>
    </row>
    <row r="4324" spans="4:9" x14ac:dyDescent="0.45">
      <c r="D4324" t="str">
        <f>IFERROR(VLOOKUP(C4324,'Clients List'!$A:$F,2,FALSE),"")</f>
        <v/>
      </c>
      <c r="F4324" s="1" t="str">
        <f>IF(OR(C4324="",NOT(ISNUMBER(SEARCH("Package",D4324)))),"",VLOOKUP(C4324,'Clients List'!$A:$F,4,FALSE)-SUMIFS($E$2:$E4324,$C$2:$C4324,C4324,$D$2:$D4324,"*Package*"))</f>
        <v/>
      </c>
      <c r="G4324" t="str">
        <f t="shared" si="100"/>
        <v/>
      </c>
      <c r="H4324" s="33">
        <f>IF(ISNUMBER(SEARCH("Group",D4324)),IF(G4324="",E4324,IFERROR(E4324/COUNTIF($G2:$G6000,G4324),E4324)),E4324)</f>
        <v>0</v>
      </c>
      <c r="I4324" s="1" t="str">
        <f>IFERROR(VLOOKUP(C4324,'Clients List'!A:F,6,FALSE),"")</f>
        <v/>
      </c>
    </row>
    <row r="4325" spans="4:9" x14ac:dyDescent="0.45">
      <c r="D4325" t="str">
        <f>IFERROR(VLOOKUP(C4325,'Clients List'!$A:$F,2,FALSE),"")</f>
        <v/>
      </c>
      <c r="F4325" s="1" t="str">
        <f>IF(OR(C4325="",NOT(ISNUMBER(SEARCH("Package",D4325)))),"",VLOOKUP(C4325,'Clients List'!$A:$F,4,FALSE)-SUMIFS($E$2:$E4325,$C$2:$C4325,C4325,$D$2:$D4325,"*Package*"))</f>
        <v/>
      </c>
      <c r="G4325" t="str">
        <f t="shared" si="100"/>
        <v/>
      </c>
      <c r="H4325" s="33">
        <f>IF(ISNUMBER(SEARCH("Group",D4325)),IF(G4325="",E4325,IFERROR(E4325/COUNTIF($G2:$G6000,G4325),E4325)),E4325)</f>
        <v>0</v>
      </c>
      <c r="I4325" s="1" t="str">
        <f>IFERROR(VLOOKUP(C4325,'Clients List'!A:F,6,FALSE),"")</f>
        <v/>
      </c>
    </row>
    <row r="4326" spans="4:9" x14ac:dyDescent="0.45">
      <c r="D4326" t="str">
        <f>IFERROR(VLOOKUP(C4326,'Clients List'!$A:$F,2,FALSE),"")</f>
        <v/>
      </c>
      <c r="F4326" s="1" t="str">
        <f>IF(OR(C4326="",NOT(ISNUMBER(SEARCH("Package",D4326)))),"",VLOOKUP(C4326,'Clients List'!$A:$F,4,FALSE)-SUMIFS($E$2:$E4326,$C$2:$C4326,C4326,$D$2:$D4326,"*Package*"))</f>
        <v/>
      </c>
      <c r="G4326" t="str">
        <f t="shared" si="100"/>
        <v/>
      </c>
      <c r="H4326" s="33">
        <f>IF(ISNUMBER(SEARCH("Group",D4326)),IF(G4326="",E4326,IFERROR(E4326/COUNTIF($G2:$G6000,G4326),E4326)),E4326)</f>
        <v>0</v>
      </c>
      <c r="I4326" s="1" t="str">
        <f>IFERROR(VLOOKUP(C4326,'Clients List'!A:F,6,FALSE),"")</f>
        <v/>
      </c>
    </row>
    <row r="4327" spans="4:9" x14ac:dyDescent="0.45">
      <c r="D4327" t="str">
        <f>IFERROR(VLOOKUP(C4327,'Clients List'!$A:$F,2,FALSE),"")</f>
        <v/>
      </c>
      <c r="F4327" s="1" t="str">
        <f>IF(OR(C4327="",NOT(ISNUMBER(SEARCH("Package",D4327)))),"",VLOOKUP(C4327,'Clients List'!$A:$F,4,FALSE)-SUMIFS($E$2:$E4327,$C$2:$C4327,C4327,$D$2:$D4327,"*Package*"))</f>
        <v/>
      </c>
      <c r="G4327" t="str">
        <f t="shared" si="100"/>
        <v/>
      </c>
      <c r="H4327" s="33">
        <f>IF(ISNUMBER(SEARCH("Group",D4327)),IF(G4327="",E4327,IFERROR(E4327/COUNTIF($G2:$G6000,G4327),E4327)),E4327)</f>
        <v>0</v>
      </c>
      <c r="I4327" s="1" t="str">
        <f>IFERROR(VLOOKUP(C4327,'Clients List'!A:F,6,FALSE),"")</f>
        <v/>
      </c>
    </row>
    <row r="4328" spans="4:9" x14ac:dyDescent="0.45">
      <c r="D4328" t="str">
        <f>IFERROR(VLOOKUP(C4328,'Clients List'!$A:$F,2,FALSE),"")</f>
        <v/>
      </c>
      <c r="F4328" s="1" t="str">
        <f>IF(OR(C4328="",NOT(ISNUMBER(SEARCH("Package",D4328)))),"",VLOOKUP(C4328,'Clients List'!$A:$F,4,FALSE)-SUMIFS($E$2:$E4328,$C$2:$C4328,C4328,$D$2:$D4328,"*Package*"))</f>
        <v/>
      </c>
      <c r="G4328" t="str">
        <f t="shared" si="100"/>
        <v/>
      </c>
      <c r="H4328" s="33">
        <f>IF(ISNUMBER(SEARCH("Group",D4328)),IF(G4328="",E4328,IFERROR(E4328/COUNTIF($G2:$G6000,G4328),E4328)),E4328)</f>
        <v>0</v>
      </c>
      <c r="I4328" s="1" t="str">
        <f>IFERROR(VLOOKUP(C4328,'Clients List'!A:F,6,FALSE),"")</f>
        <v/>
      </c>
    </row>
    <row r="4329" spans="4:9" x14ac:dyDescent="0.45">
      <c r="D4329" t="str">
        <f>IFERROR(VLOOKUP(C4329,'Clients List'!$A:$F,2,FALSE),"")</f>
        <v/>
      </c>
      <c r="F4329" s="1" t="str">
        <f>IF(OR(C4329="",NOT(ISNUMBER(SEARCH("Package",D4329)))),"",VLOOKUP(C4329,'Clients List'!$A:$F,4,FALSE)-SUMIFS($E$2:$E4329,$C$2:$C4329,C4329,$D$2:$D4329,"*Package*"))</f>
        <v/>
      </c>
      <c r="G4329" t="str">
        <f t="shared" si="100"/>
        <v/>
      </c>
      <c r="H4329" s="33">
        <f>IF(ISNUMBER(SEARCH("Group",D4329)),IF(G4329="",E4329,IFERROR(E4329/COUNTIF($G2:$G6000,G4329),E4329)),E4329)</f>
        <v>0</v>
      </c>
      <c r="I4329" s="1" t="str">
        <f>IFERROR(VLOOKUP(C4329,'Clients List'!A:F,6,FALSE),"")</f>
        <v/>
      </c>
    </row>
    <row r="4330" spans="4:9" x14ac:dyDescent="0.45">
      <c r="D4330" t="str">
        <f>IFERROR(VLOOKUP(C4330,'Clients List'!$A:$F,2,FALSE),"")</f>
        <v/>
      </c>
      <c r="F4330" s="1" t="str">
        <f>IF(OR(C4330="",NOT(ISNUMBER(SEARCH("Package",D4330)))),"",VLOOKUP(C4330,'Clients List'!$A:$F,4,FALSE)-SUMIFS($E$2:$E4330,$C$2:$C4330,C4330,$D$2:$D4330,"*Package*"))</f>
        <v/>
      </c>
      <c r="G4330" t="str">
        <f t="shared" si="100"/>
        <v/>
      </c>
      <c r="H4330" s="33">
        <f>IF(ISNUMBER(SEARCH("Group",D4330)),IF(G4330="",E4330,IFERROR(E4330/COUNTIF($G2:$G6000,G4330),E4330)),E4330)</f>
        <v>0</v>
      </c>
      <c r="I4330" s="1" t="str">
        <f>IFERROR(VLOOKUP(C4330,'Clients List'!A:F,6,FALSE),"")</f>
        <v/>
      </c>
    </row>
    <row r="4331" spans="4:9" x14ac:dyDescent="0.45">
      <c r="D4331" t="str">
        <f>IFERROR(VLOOKUP(C4331,'Clients List'!$A:$F,2,FALSE),"")</f>
        <v/>
      </c>
      <c r="F4331" s="1" t="str">
        <f>IF(OR(C4331="",NOT(ISNUMBER(SEARCH("Package",D4331)))),"",VLOOKUP(C4331,'Clients List'!$A:$F,4,FALSE)-SUMIFS($E$2:$E4331,$C$2:$C4331,C4331,$D$2:$D4331,"*Package*"))</f>
        <v/>
      </c>
      <c r="G4331" t="str">
        <f t="shared" si="100"/>
        <v/>
      </c>
      <c r="H4331" s="33">
        <f>IF(ISNUMBER(SEARCH("Group",D4331)),IF(G4331="",E4331,IFERROR(E4331/COUNTIF($G2:$G6000,G4331),E4331)),E4331)</f>
        <v>0</v>
      </c>
      <c r="I4331" s="1" t="str">
        <f>IFERROR(VLOOKUP(C4331,'Clients List'!A:F,6,FALSE),"")</f>
        <v/>
      </c>
    </row>
    <row r="4332" spans="4:9" x14ac:dyDescent="0.45">
      <c r="D4332" t="str">
        <f>IFERROR(VLOOKUP(C4332,'Clients List'!$A:$F,2,FALSE),"")</f>
        <v/>
      </c>
      <c r="F4332" s="1" t="str">
        <f>IF(OR(C4332="",NOT(ISNUMBER(SEARCH("Package",D4332)))),"",VLOOKUP(C4332,'Clients List'!$A:$F,4,FALSE)-SUMIFS($E$2:$E4332,$C$2:$C4332,C4332,$D$2:$D4332,"*Package*"))</f>
        <v/>
      </c>
      <c r="G4332" t="str">
        <f t="shared" si="100"/>
        <v/>
      </c>
      <c r="H4332" s="33">
        <f>IF(ISNUMBER(SEARCH("Group",D4332)),IF(G4332="",E4332,IFERROR(E4332/COUNTIF($G2:$G6000,G4332),E4332)),E4332)</f>
        <v>0</v>
      </c>
      <c r="I4332" s="1" t="str">
        <f>IFERROR(VLOOKUP(C4332,'Clients List'!A:F,6,FALSE),"")</f>
        <v/>
      </c>
    </row>
    <row r="4333" spans="4:9" x14ac:dyDescent="0.45">
      <c r="D4333" t="str">
        <f>IFERROR(VLOOKUP(C4333,'Clients List'!$A:$F,2,FALSE),"")</f>
        <v/>
      </c>
      <c r="F4333" s="1" t="str">
        <f>IF(OR(C4333="",NOT(ISNUMBER(SEARCH("Package",D4333)))),"",VLOOKUP(C4333,'Clients List'!$A:$F,4,FALSE)-SUMIFS($E$2:$E4333,$C$2:$C4333,C4333,$D$2:$D4333,"*Package*"))</f>
        <v/>
      </c>
      <c r="G4333" t="str">
        <f t="shared" si="100"/>
        <v/>
      </c>
      <c r="H4333" s="33">
        <f>IF(ISNUMBER(SEARCH("Group",D4333)),IF(G4333="",E4333,IFERROR(E4333/COUNTIF($G2:$G6000,G4333),E4333)),E4333)</f>
        <v>0</v>
      </c>
      <c r="I4333" s="1" t="str">
        <f>IFERROR(VLOOKUP(C4333,'Clients List'!A:F,6,FALSE),"")</f>
        <v/>
      </c>
    </row>
    <row r="4334" spans="4:9" x14ac:dyDescent="0.45">
      <c r="D4334" t="str">
        <f>IFERROR(VLOOKUP(C4334,'Clients List'!$A:$F,2,FALSE),"")</f>
        <v/>
      </c>
      <c r="F4334" s="1" t="str">
        <f>IF(OR(C4334="",NOT(ISNUMBER(SEARCH("Package",D4334)))),"",VLOOKUP(C4334,'Clients List'!$A:$F,4,FALSE)-SUMIFS($E$2:$E4334,$C$2:$C4334,C4334,$D$2:$D4334,"*Package*"))</f>
        <v/>
      </c>
      <c r="G4334" t="str">
        <f t="shared" si="100"/>
        <v/>
      </c>
      <c r="H4334" s="33">
        <f>IF(ISNUMBER(SEARCH("Group",D4334)),IF(G4334="",E4334,IFERROR(E4334/COUNTIF($G2:$G6000,G4334),E4334)),E4334)</f>
        <v>0</v>
      </c>
      <c r="I4334" s="1" t="str">
        <f>IFERROR(VLOOKUP(C4334,'Clients List'!A:F,6,FALSE),"")</f>
        <v/>
      </c>
    </row>
    <row r="4335" spans="4:9" x14ac:dyDescent="0.45">
      <c r="D4335" t="str">
        <f>IFERROR(VLOOKUP(C4335,'Clients List'!$A:$F,2,FALSE),"")</f>
        <v/>
      </c>
      <c r="F4335" s="1" t="str">
        <f>IF(OR(C4335="",NOT(ISNUMBER(SEARCH("Package",D4335)))),"",VLOOKUP(C4335,'Clients List'!$A:$F,4,FALSE)-SUMIFS($E$2:$E4335,$C$2:$C4335,C4335,$D$2:$D4335,"*Package*"))</f>
        <v/>
      </c>
      <c r="G4335" t="str">
        <f t="shared" si="100"/>
        <v/>
      </c>
      <c r="H4335" s="33">
        <f>IF(ISNUMBER(SEARCH("Group",D4335)),IF(G4335="",E4335,IFERROR(E4335/COUNTIF($G2:$G6000,G4335),E4335)),E4335)</f>
        <v>0</v>
      </c>
      <c r="I4335" s="1" t="str">
        <f>IFERROR(VLOOKUP(C4335,'Clients List'!A:F,6,FALSE),"")</f>
        <v/>
      </c>
    </row>
    <row r="4336" spans="4:9" x14ac:dyDescent="0.45">
      <c r="D4336" t="str">
        <f>IFERROR(VLOOKUP(C4336,'Clients List'!$A:$F,2,FALSE),"")</f>
        <v/>
      </c>
      <c r="F4336" s="1" t="str">
        <f>IF(OR(C4336="",NOT(ISNUMBER(SEARCH("Package",D4336)))),"",VLOOKUP(C4336,'Clients List'!$A:$F,4,FALSE)-SUMIFS($E$2:$E4336,$C$2:$C4336,C4336,$D$2:$D4336,"*Package*"))</f>
        <v/>
      </c>
      <c r="G4336" t="str">
        <f t="shared" si="100"/>
        <v/>
      </c>
      <c r="H4336" s="33">
        <f>IF(ISNUMBER(SEARCH("Group",D4336)),IF(G4336="",E4336,IFERROR(E4336/COUNTIF($G2:$G6000,G4336),E4336)),E4336)</f>
        <v>0</v>
      </c>
      <c r="I4336" s="1" t="str">
        <f>IFERROR(VLOOKUP(C4336,'Clients List'!A:F,6,FALSE),"")</f>
        <v/>
      </c>
    </row>
    <row r="4337" spans="4:9" x14ac:dyDescent="0.45">
      <c r="D4337" t="str">
        <f>IFERROR(VLOOKUP(C4337,'Clients List'!$A:$F,2,FALSE),"")</f>
        <v/>
      </c>
      <c r="F4337" s="1" t="str">
        <f>IF(OR(C4337="",NOT(ISNUMBER(SEARCH("Package",D4337)))),"",VLOOKUP(C4337,'Clients List'!$A:$F,4,FALSE)-SUMIFS($E$2:$E4337,$C$2:$C4337,C4337,$D$2:$D4337,"*Package*"))</f>
        <v/>
      </c>
      <c r="G4337" t="str">
        <f t="shared" si="100"/>
        <v/>
      </c>
      <c r="H4337" s="33">
        <f>IF(ISNUMBER(SEARCH("Group",D4337)),IF(G4337="",E4337,IFERROR(E4337/COUNTIF($G2:$G6000,G4337),E4337)),E4337)</f>
        <v>0</v>
      </c>
      <c r="I4337" s="1" t="str">
        <f>IFERROR(VLOOKUP(C4337,'Clients List'!A:F,6,FALSE),"")</f>
        <v/>
      </c>
    </row>
    <row r="4338" spans="4:9" x14ac:dyDescent="0.45">
      <c r="D4338" t="str">
        <f>IFERROR(VLOOKUP(C4338,'Clients List'!$A:$F,2,FALSE),"")</f>
        <v/>
      </c>
      <c r="F4338" s="1" t="str">
        <f>IF(OR(C4338="",NOT(ISNUMBER(SEARCH("Package",D4338)))),"",VLOOKUP(C4338,'Clients List'!$A:$F,4,FALSE)-SUMIFS($E$2:$E4338,$C$2:$C4338,C4338,$D$2:$D4338,"*Package*"))</f>
        <v/>
      </c>
      <c r="G4338" t="str">
        <f t="shared" si="100"/>
        <v/>
      </c>
      <c r="H4338" s="33">
        <f>IF(ISNUMBER(SEARCH("Group",D4338)),IF(G4338="",E4338,IFERROR(E4338/COUNTIF($G2:$G6000,G4338),E4338)),E4338)</f>
        <v>0</v>
      </c>
      <c r="I4338" s="1" t="str">
        <f>IFERROR(VLOOKUP(C4338,'Clients List'!A:F,6,FALSE),"")</f>
        <v/>
      </c>
    </row>
    <row r="4339" spans="4:9" x14ac:dyDescent="0.45">
      <c r="D4339" t="str">
        <f>IFERROR(VLOOKUP(C4339,'Clients List'!$A:$F,2,FALSE),"")</f>
        <v/>
      </c>
      <c r="F4339" s="1" t="str">
        <f>IF(OR(C4339="",NOT(ISNUMBER(SEARCH("Package",D4339)))),"",VLOOKUP(C4339,'Clients List'!$A:$F,4,FALSE)-SUMIFS($E$2:$E4339,$C$2:$C4339,C4339,$D$2:$D4339,"*Package*"))</f>
        <v/>
      </c>
      <c r="G4339" t="str">
        <f t="shared" si="100"/>
        <v/>
      </c>
      <c r="H4339" s="33">
        <f>IF(ISNUMBER(SEARCH("Group",D4339)),IF(G4339="",E4339,IFERROR(E4339/COUNTIF($G2:$G6000,G4339),E4339)),E4339)</f>
        <v>0</v>
      </c>
      <c r="I4339" s="1" t="str">
        <f>IFERROR(VLOOKUP(C4339,'Clients List'!A:F,6,FALSE),"")</f>
        <v/>
      </c>
    </row>
    <row r="4340" spans="4:9" x14ac:dyDescent="0.45">
      <c r="D4340" t="str">
        <f>IFERROR(VLOOKUP(C4340,'Clients List'!$A:$F,2,FALSE),"")</f>
        <v/>
      </c>
      <c r="F4340" s="1" t="str">
        <f>IF(OR(C4340="",NOT(ISNUMBER(SEARCH("Package",D4340)))),"",VLOOKUP(C4340,'Clients List'!$A:$F,4,FALSE)-SUMIFS($E$2:$E4340,$C$2:$C4340,C4340,$D$2:$D4340,"*Package*"))</f>
        <v/>
      </c>
      <c r="G4340" t="str">
        <f t="shared" si="100"/>
        <v/>
      </c>
      <c r="H4340" s="33">
        <f>IF(ISNUMBER(SEARCH("Group",D4340)),IF(G4340="",E4340,IFERROR(E4340/COUNTIF($G2:$G6000,G4340),E4340)),E4340)</f>
        <v>0</v>
      </c>
      <c r="I4340" s="1" t="str">
        <f>IFERROR(VLOOKUP(C4340,'Clients List'!A:F,6,FALSE),"")</f>
        <v/>
      </c>
    </row>
    <row r="4341" spans="4:9" x14ac:dyDescent="0.45">
      <c r="D4341" t="str">
        <f>IFERROR(VLOOKUP(C4341,'Clients List'!$A:$F,2,FALSE),"")</f>
        <v/>
      </c>
      <c r="F4341" s="1" t="str">
        <f>IF(OR(C4341="",NOT(ISNUMBER(SEARCH("Package",D4341)))),"",VLOOKUP(C4341,'Clients List'!$A:$F,4,FALSE)-SUMIFS($E$2:$E4341,$C$2:$C4341,C4341,$D$2:$D4341,"*Package*"))</f>
        <v/>
      </c>
      <c r="G4341" t="str">
        <f t="shared" ref="G4341:G4404" si="101">IF(ISNUMBER(SEARCH("Group",D4341)),IFERROR("GRP-"&amp;TEXT(IF(ISNUMBER(A4341),A4341,DATEVALUE(A4341)),"yyyymmdd"),""),"" )</f>
        <v/>
      </c>
      <c r="H4341" s="33">
        <f>IF(ISNUMBER(SEARCH("Group",D4341)),IF(G4341="",E4341,IFERROR(E4341/COUNTIF($G2:$G6000,G4341),E4341)),E4341)</f>
        <v>0</v>
      </c>
      <c r="I4341" s="1" t="str">
        <f>IFERROR(VLOOKUP(C4341,'Clients List'!A:F,6,FALSE),"")</f>
        <v/>
      </c>
    </row>
    <row r="4342" spans="4:9" x14ac:dyDescent="0.45">
      <c r="D4342" t="str">
        <f>IFERROR(VLOOKUP(C4342,'Clients List'!$A:$F,2,FALSE),"")</f>
        <v/>
      </c>
      <c r="F4342" s="1" t="str">
        <f>IF(OR(C4342="",NOT(ISNUMBER(SEARCH("Package",D4342)))),"",VLOOKUP(C4342,'Clients List'!$A:$F,4,FALSE)-SUMIFS($E$2:$E4342,$C$2:$C4342,C4342,$D$2:$D4342,"*Package*"))</f>
        <v/>
      </c>
      <c r="G4342" t="str">
        <f t="shared" si="101"/>
        <v/>
      </c>
      <c r="H4342" s="33">
        <f>IF(ISNUMBER(SEARCH("Group",D4342)),IF(G4342="",E4342,IFERROR(E4342/COUNTIF($G2:$G6000,G4342),E4342)),E4342)</f>
        <v>0</v>
      </c>
      <c r="I4342" s="1" t="str">
        <f>IFERROR(VLOOKUP(C4342,'Clients List'!A:F,6,FALSE),"")</f>
        <v/>
      </c>
    </row>
    <row r="4343" spans="4:9" x14ac:dyDescent="0.45">
      <c r="D4343" t="str">
        <f>IFERROR(VLOOKUP(C4343,'Clients List'!$A:$F,2,FALSE),"")</f>
        <v/>
      </c>
      <c r="F4343" s="1" t="str">
        <f>IF(OR(C4343="",NOT(ISNUMBER(SEARCH("Package",D4343)))),"",VLOOKUP(C4343,'Clients List'!$A:$F,4,FALSE)-SUMIFS($E$2:$E4343,$C$2:$C4343,C4343,$D$2:$D4343,"*Package*"))</f>
        <v/>
      </c>
      <c r="G4343" t="str">
        <f t="shared" si="101"/>
        <v/>
      </c>
      <c r="H4343" s="33">
        <f>IF(ISNUMBER(SEARCH("Group",D4343)),IF(G4343="",E4343,IFERROR(E4343/COUNTIF($G2:$G6000,G4343),E4343)),E4343)</f>
        <v>0</v>
      </c>
      <c r="I4343" s="1" t="str">
        <f>IFERROR(VLOOKUP(C4343,'Clients List'!A:F,6,FALSE),"")</f>
        <v/>
      </c>
    </row>
    <row r="4344" spans="4:9" x14ac:dyDescent="0.45">
      <c r="D4344" t="str">
        <f>IFERROR(VLOOKUP(C4344,'Clients List'!$A:$F,2,FALSE),"")</f>
        <v/>
      </c>
      <c r="F4344" s="1" t="str">
        <f>IF(OR(C4344="",NOT(ISNUMBER(SEARCH("Package",D4344)))),"",VLOOKUP(C4344,'Clients List'!$A:$F,4,FALSE)-SUMIFS($E$2:$E4344,$C$2:$C4344,C4344,$D$2:$D4344,"*Package*"))</f>
        <v/>
      </c>
      <c r="G4344" t="str">
        <f t="shared" si="101"/>
        <v/>
      </c>
      <c r="H4344" s="33">
        <f>IF(ISNUMBER(SEARCH("Group",D4344)),IF(G4344="",E4344,IFERROR(E4344/COUNTIF($G2:$G6000,G4344),E4344)),E4344)</f>
        <v>0</v>
      </c>
      <c r="I4344" s="1" t="str">
        <f>IFERROR(VLOOKUP(C4344,'Clients List'!A:F,6,FALSE),"")</f>
        <v/>
      </c>
    </row>
    <row r="4345" spans="4:9" x14ac:dyDescent="0.45">
      <c r="D4345" t="str">
        <f>IFERROR(VLOOKUP(C4345,'Clients List'!$A:$F,2,FALSE),"")</f>
        <v/>
      </c>
      <c r="F4345" s="1" t="str">
        <f>IF(OR(C4345="",NOT(ISNUMBER(SEARCH("Package",D4345)))),"",VLOOKUP(C4345,'Clients List'!$A:$F,4,FALSE)-SUMIFS($E$2:$E4345,$C$2:$C4345,C4345,$D$2:$D4345,"*Package*"))</f>
        <v/>
      </c>
      <c r="G4345" t="str">
        <f t="shared" si="101"/>
        <v/>
      </c>
      <c r="H4345" s="33">
        <f>IF(ISNUMBER(SEARCH("Group",D4345)),IF(G4345="",E4345,IFERROR(E4345/COUNTIF($G2:$G6000,G4345),E4345)),E4345)</f>
        <v>0</v>
      </c>
      <c r="I4345" s="1" t="str">
        <f>IFERROR(VLOOKUP(C4345,'Clients List'!A:F,6,FALSE),"")</f>
        <v/>
      </c>
    </row>
    <row r="4346" spans="4:9" x14ac:dyDescent="0.45">
      <c r="D4346" t="str">
        <f>IFERROR(VLOOKUP(C4346,'Clients List'!$A:$F,2,FALSE),"")</f>
        <v/>
      </c>
      <c r="F4346" s="1" t="str">
        <f>IF(OR(C4346="",NOT(ISNUMBER(SEARCH("Package",D4346)))),"",VLOOKUP(C4346,'Clients List'!$A:$F,4,FALSE)-SUMIFS($E$2:$E4346,$C$2:$C4346,C4346,$D$2:$D4346,"*Package*"))</f>
        <v/>
      </c>
      <c r="G4346" t="str">
        <f t="shared" si="101"/>
        <v/>
      </c>
      <c r="H4346" s="33">
        <f>IF(ISNUMBER(SEARCH("Group",D4346)),IF(G4346="",E4346,IFERROR(E4346/COUNTIF($G2:$G6000,G4346),E4346)),E4346)</f>
        <v>0</v>
      </c>
      <c r="I4346" s="1" t="str">
        <f>IFERROR(VLOOKUP(C4346,'Clients List'!A:F,6,FALSE),"")</f>
        <v/>
      </c>
    </row>
    <row r="4347" spans="4:9" x14ac:dyDescent="0.45">
      <c r="D4347" t="str">
        <f>IFERROR(VLOOKUP(C4347,'Clients List'!$A:$F,2,FALSE),"")</f>
        <v/>
      </c>
      <c r="F4347" s="1" t="str">
        <f>IF(OR(C4347="",NOT(ISNUMBER(SEARCH("Package",D4347)))),"",VLOOKUP(C4347,'Clients List'!$A:$F,4,FALSE)-SUMIFS($E$2:$E4347,$C$2:$C4347,C4347,$D$2:$D4347,"*Package*"))</f>
        <v/>
      </c>
      <c r="G4347" t="str">
        <f t="shared" si="101"/>
        <v/>
      </c>
      <c r="H4347" s="33">
        <f>IF(ISNUMBER(SEARCH("Group",D4347)),IF(G4347="",E4347,IFERROR(E4347/COUNTIF($G2:$G6000,G4347),E4347)),E4347)</f>
        <v>0</v>
      </c>
      <c r="I4347" s="1" t="str">
        <f>IFERROR(VLOOKUP(C4347,'Clients List'!A:F,6,FALSE),"")</f>
        <v/>
      </c>
    </row>
    <row r="4348" spans="4:9" x14ac:dyDescent="0.45">
      <c r="D4348" t="str">
        <f>IFERROR(VLOOKUP(C4348,'Clients List'!$A:$F,2,FALSE),"")</f>
        <v/>
      </c>
      <c r="F4348" s="1" t="str">
        <f>IF(OR(C4348="",NOT(ISNUMBER(SEARCH("Package",D4348)))),"",VLOOKUP(C4348,'Clients List'!$A:$F,4,FALSE)-SUMIFS($E$2:$E4348,$C$2:$C4348,C4348,$D$2:$D4348,"*Package*"))</f>
        <v/>
      </c>
      <c r="G4348" t="str">
        <f t="shared" si="101"/>
        <v/>
      </c>
      <c r="H4348" s="33">
        <f>IF(ISNUMBER(SEARCH("Group",D4348)),IF(G4348="",E4348,IFERROR(E4348/COUNTIF($G2:$G6000,G4348),E4348)),E4348)</f>
        <v>0</v>
      </c>
      <c r="I4348" s="1" t="str">
        <f>IFERROR(VLOOKUP(C4348,'Clients List'!A:F,6,FALSE),"")</f>
        <v/>
      </c>
    </row>
    <row r="4349" spans="4:9" x14ac:dyDescent="0.45">
      <c r="D4349" t="str">
        <f>IFERROR(VLOOKUP(C4349,'Clients List'!$A:$F,2,FALSE),"")</f>
        <v/>
      </c>
      <c r="F4349" s="1" t="str">
        <f>IF(OR(C4349="",NOT(ISNUMBER(SEARCH("Package",D4349)))),"",VLOOKUP(C4349,'Clients List'!$A:$F,4,FALSE)-SUMIFS($E$2:$E4349,$C$2:$C4349,C4349,$D$2:$D4349,"*Package*"))</f>
        <v/>
      </c>
      <c r="G4349" t="str">
        <f t="shared" si="101"/>
        <v/>
      </c>
      <c r="H4349" s="33">
        <f>IF(ISNUMBER(SEARCH("Group",D4349)),IF(G4349="",E4349,IFERROR(E4349/COUNTIF($G2:$G6000,G4349),E4349)),E4349)</f>
        <v>0</v>
      </c>
      <c r="I4349" s="1" t="str">
        <f>IFERROR(VLOOKUP(C4349,'Clients List'!A:F,6,FALSE),"")</f>
        <v/>
      </c>
    </row>
    <row r="4350" spans="4:9" x14ac:dyDescent="0.45">
      <c r="D4350" t="str">
        <f>IFERROR(VLOOKUP(C4350,'Clients List'!$A:$F,2,FALSE),"")</f>
        <v/>
      </c>
      <c r="F4350" s="1" t="str">
        <f>IF(OR(C4350="",NOT(ISNUMBER(SEARCH("Package",D4350)))),"",VLOOKUP(C4350,'Clients List'!$A:$F,4,FALSE)-SUMIFS($E$2:$E4350,$C$2:$C4350,C4350,$D$2:$D4350,"*Package*"))</f>
        <v/>
      </c>
      <c r="G4350" t="str">
        <f t="shared" si="101"/>
        <v/>
      </c>
      <c r="H4350" s="33">
        <f>IF(ISNUMBER(SEARCH("Group",D4350)),IF(G4350="",E4350,IFERROR(E4350/COUNTIF($G2:$G6000,G4350),E4350)),E4350)</f>
        <v>0</v>
      </c>
      <c r="I4350" s="1" t="str">
        <f>IFERROR(VLOOKUP(C4350,'Clients List'!A:F,6,FALSE),"")</f>
        <v/>
      </c>
    </row>
    <row r="4351" spans="4:9" x14ac:dyDescent="0.45">
      <c r="D4351" t="str">
        <f>IFERROR(VLOOKUP(C4351,'Clients List'!$A:$F,2,FALSE),"")</f>
        <v/>
      </c>
      <c r="F4351" s="1" t="str">
        <f>IF(OR(C4351="",NOT(ISNUMBER(SEARCH("Package",D4351)))),"",VLOOKUP(C4351,'Clients List'!$A:$F,4,FALSE)-SUMIFS($E$2:$E4351,$C$2:$C4351,C4351,$D$2:$D4351,"*Package*"))</f>
        <v/>
      </c>
      <c r="G4351" t="str">
        <f t="shared" si="101"/>
        <v/>
      </c>
      <c r="H4351" s="33">
        <f>IF(ISNUMBER(SEARCH("Group",D4351)),IF(G4351="",E4351,IFERROR(E4351/COUNTIF($G2:$G6000,G4351),E4351)),E4351)</f>
        <v>0</v>
      </c>
      <c r="I4351" s="1" t="str">
        <f>IFERROR(VLOOKUP(C4351,'Clients List'!A:F,6,FALSE),"")</f>
        <v/>
      </c>
    </row>
    <row r="4352" spans="4:9" x14ac:dyDescent="0.45">
      <c r="D4352" t="str">
        <f>IFERROR(VLOOKUP(C4352,'Clients List'!$A:$F,2,FALSE),"")</f>
        <v/>
      </c>
      <c r="F4352" s="1" t="str">
        <f>IF(OR(C4352="",NOT(ISNUMBER(SEARCH("Package",D4352)))),"",VLOOKUP(C4352,'Clients List'!$A:$F,4,FALSE)-SUMIFS($E$2:$E4352,$C$2:$C4352,C4352,$D$2:$D4352,"*Package*"))</f>
        <v/>
      </c>
      <c r="G4352" t="str">
        <f t="shared" si="101"/>
        <v/>
      </c>
      <c r="H4352" s="33">
        <f>IF(ISNUMBER(SEARCH("Group",D4352)),IF(G4352="",E4352,IFERROR(E4352/COUNTIF($G2:$G6000,G4352),E4352)),E4352)</f>
        <v>0</v>
      </c>
      <c r="I4352" s="1" t="str">
        <f>IFERROR(VLOOKUP(C4352,'Clients List'!A:F,6,FALSE),"")</f>
        <v/>
      </c>
    </row>
    <row r="4353" spans="4:9" x14ac:dyDescent="0.45">
      <c r="D4353" t="str">
        <f>IFERROR(VLOOKUP(C4353,'Clients List'!$A:$F,2,FALSE),"")</f>
        <v/>
      </c>
      <c r="F4353" s="1" t="str">
        <f>IF(OR(C4353="",NOT(ISNUMBER(SEARCH("Package",D4353)))),"",VLOOKUP(C4353,'Clients List'!$A:$F,4,FALSE)-SUMIFS($E$2:$E4353,$C$2:$C4353,C4353,$D$2:$D4353,"*Package*"))</f>
        <v/>
      </c>
      <c r="G4353" t="str">
        <f t="shared" si="101"/>
        <v/>
      </c>
      <c r="H4353" s="33">
        <f>IF(ISNUMBER(SEARCH("Group",D4353)),IF(G4353="",E4353,IFERROR(E4353/COUNTIF($G2:$G6000,G4353),E4353)),E4353)</f>
        <v>0</v>
      </c>
      <c r="I4353" s="1" t="str">
        <f>IFERROR(VLOOKUP(C4353,'Clients List'!A:F,6,FALSE),"")</f>
        <v/>
      </c>
    </row>
    <row r="4354" spans="4:9" x14ac:dyDescent="0.45">
      <c r="D4354" t="str">
        <f>IFERROR(VLOOKUP(C4354,'Clients List'!$A:$F,2,FALSE),"")</f>
        <v/>
      </c>
      <c r="F4354" s="1" t="str">
        <f>IF(OR(C4354="",NOT(ISNUMBER(SEARCH("Package",D4354)))),"",VLOOKUP(C4354,'Clients List'!$A:$F,4,FALSE)-SUMIFS($E$2:$E4354,$C$2:$C4354,C4354,$D$2:$D4354,"*Package*"))</f>
        <v/>
      </c>
      <c r="G4354" t="str">
        <f t="shared" si="101"/>
        <v/>
      </c>
      <c r="H4354" s="33">
        <f>IF(ISNUMBER(SEARCH("Group",D4354)),IF(G4354="",E4354,IFERROR(E4354/COUNTIF($G2:$G6000,G4354),E4354)),E4354)</f>
        <v>0</v>
      </c>
      <c r="I4354" s="1" t="str">
        <f>IFERROR(VLOOKUP(C4354,'Clients List'!A:F,6,FALSE),"")</f>
        <v/>
      </c>
    </row>
    <row r="4355" spans="4:9" x14ac:dyDescent="0.45">
      <c r="D4355" t="str">
        <f>IFERROR(VLOOKUP(C4355,'Clients List'!$A:$F,2,FALSE),"")</f>
        <v/>
      </c>
      <c r="F4355" s="1" t="str">
        <f>IF(OR(C4355="",NOT(ISNUMBER(SEARCH("Package",D4355)))),"",VLOOKUP(C4355,'Clients List'!$A:$F,4,FALSE)-SUMIFS($E$2:$E4355,$C$2:$C4355,C4355,$D$2:$D4355,"*Package*"))</f>
        <v/>
      </c>
      <c r="G4355" t="str">
        <f t="shared" si="101"/>
        <v/>
      </c>
      <c r="H4355" s="33">
        <f>IF(ISNUMBER(SEARCH("Group",D4355)),IF(G4355="",E4355,IFERROR(E4355/COUNTIF($G2:$G6000,G4355),E4355)),E4355)</f>
        <v>0</v>
      </c>
      <c r="I4355" s="1" t="str">
        <f>IFERROR(VLOOKUP(C4355,'Clients List'!A:F,6,FALSE),"")</f>
        <v/>
      </c>
    </row>
    <row r="4356" spans="4:9" x14ac:dyDescent="0.45">
      <c r="D4356" t="str">
        <f>IFERROR(VLOOKUP(C4356,'Clients List'!$A:$F,2,FALSE),"")</f>
        <v/>
      </c>
      <c r="F4356" s="1" t="str">
        <f>IF(OR(C4356="",NOT(ISNUMBER(SEARCH("Package",D4356)))),"",VLOOKUP(C4356,'Clients List'!$A:$F,4,FALSE)-SUMIFS($E$2:$E4356,$C$2:$C4356,C4356,$D$2:$D4356,"*Package*"))</f>
        <v/>
      </c>
      <c r="G4356" t="str">
        <f t="shared" si="101"/>
        <v/>
      </c>
      <c r="H4356" s="33">
        <f>IF(ISNUMBER(SEARCH("Group",D4356)),IF(G4356="",E4356,IFERROR(E4356/COUNTIF($G2:$G6000,G4356),E4356)),E4356)</f>
        <v>0</v>
      </c>
      <c r="I4356" s="1" t="str">
        <f>IFERROR(VLOOKUP(C4356,'Clients List'!A:F,6,FALSE),"")</f>
        <v/>
      </c>
    </row>
    <row r="4357" spans="4:9" x14ac:dyDescent="0.45">
      <c r="D4357" t="str">
        <f>IFERROR(VLOOKUP(C4357,'Clients List'!$A:$F,2,FALSE),"")</f>
        <v/>
      </c>
      <c r="F4357" s="1" t="str">
        <f>IF(OR(C4357="",NOT(ISNUMBER(SEARCH("Package",D4357)))),"",VLOOKUP(C4357,'Clients List'!$A:$F,4,FALSE)-SUMIFS($E$2:$E4357,$C$2:$C4357,C4357,$D$2:$D4357,"*Package*"))</f>
        <v/>
      </c>
      <c r="G4357" t="str">
        <f t="shared" si="101"/>
        <v/>
      </c>
      <c r="H4357" s="33">
        <f>IF(ISNUMBER(SEARCH("Group",D4357)),IF(G4357="",E4357,IFERROR(E4357/COUNTIF($G2:$G6000,G4357),E4357)),E4357)</f>
        <v>0</v>
      </c>
      <c r="I4357" s="1" t="str">
        <f>IFERROR(VLOOKUP(C4357,'Clients List'!A:F,6,FALSE),"")</f>
        <v/>
      </c>
    </row>
    <row r="4358" spans="4:9" x14ac:dyDescent="0.45">
      <c r="D4358" t="str">
        <f>IFERROR(VLOOKUP(C4358,'Clients List'!$A:$F,2,FALSE),"")</f>
        <v/>
      </c>
      <c r="F4358" s="1" t="str">
        <f>IF(OR(C4358="",NOT(ISNUMBER(SEARCH("Package",D4358)))),"",VLOOKUP(C4358,'Clients List'!$A:$F,4,FALSE)-SUMIFS($E$2:$E4358,$C$2:$C4358,C4358,$D$2:$D4358,"*Package*"))</f>
        <v/>
      </c>
      <c r="G4358" t="str">
        <f t="shared" si="101"/>
        <v/>
      </c>
      <c r="H4358" s="33">
        <f>IF(ISNUMBER(SEARCH("Group",D4358)),IF(G4358="",E4358,IFERROR(E4358/COUNTIF($G2:$G6000,G4358),E4358)),E4358)</f>
        <v>0</v>
      </c>
      <c r="I4358" s="1" t="str">
        <f>IFERROR(VLOOKUP(C4358,'Clients List'!A:F,6,FALSE),"")</f>
        <v/>
      </c>
    </row>
    <row r="4359" spans="4:9" x14ac:dyDescent="0.45">
      <c r="D4359" t="str">
        <f>IFERROR(VLOOKUP(C4359,'Clients List'!$A:$F,2,FALSE),"")</f>
        <v/>
      </c>
      <c r="F4359" s="1" t="str">
        <f>IF(OR(C4359="",NOT(ISNUMBER(SEARCH("Package",D4359)))),"",VLOOKUP(C4359,'Clients List'!$A:$F,4,FALSE)-SUMIFS($E$2:$E4359,$C$2:$C4359,C4359,$D$2:$D4359,"*Package*"))</f>
        <v/>
      </c>
      <c r="G4359" t="str">
        <f t="shared" si="101"/>
        <v/>
      </c>
      <c r="H4359" s="33">
        <f>IF(ISNUMBER(SEARCH("Group",D4359)),IF(G4359="",E4359,IFERROR(E4359/COUNTIF($G2:$G6000,G4359),E4359)),E4359)</f>
        <v>0</v>
      </c>
      <c r="I4359" s="1" t="str">
        <f>IFERROR(VLOOKUP(C4359,'Clients List'!A:F,6,FALSE),"")</f>
        <v/>
      </c>
    </row>
    <row r="4360" spans="4:9" x14ac:dyDescent="0.45">
      <c r="D4360" t="str">
        <f>IFERROR(VLOOKUP(C4360,'Clients List'!$A:$F,2,FALSE),"")</f>
        <v/>
      </c>
      <c r="F4360" s="1" t="str">
        <f>IF(OR(C4360="",NOT(ISNUMBER(SEARCH("Package",D4360)))),"",VLOOKUP(C4360,'Clients List'!$A:$F,4,FALSE)-SUMIFS($E$2:$E4360,$C$2:$C4360,C4360,$D$2:$D4360,"*Package*"))</f>
        <v/>
      </c>
      <c r="G4360" t="str">
        <f t="shared" si="101"/>
        <v/>
      </c>
      <c r="H4360" s="33">
        <f>IF(ISNUMBER(SEARCH("Group",D4360)),IF(G4360="",E4360,IFERROR(E4360/COUNTIF($G2:$G6000,G4360),E4360)),E4360)</f>
        <v>0</v>
      </c>
      <c r="I4360" s="1" t="str">
        <f>IFERROR(VLOOKUP(C4360,'Clients List'!A:F,6,FALSE),"")</f>
        <v/>
      </c>
    </row>
    <row r="4361" spans="4:9" x14ac:dyDescent="0.45">
      <c r="D4361" t="str">
        <f>IFERROR(VLOOKUP(C4361,'Clients List'!$A:$F,2,FALSE),"")</f>
        <v/>
      </c>
      <c r="F4361" s="1" t="str">
        <f>IF(OR(C4361="",NOT(ISNUMBER(SEARCH("Package",D4361)))),"",VLOOKUP(C4361,'Clients List'!$A:$F,4,FALSE)-SUMIFS($E$2:$E4361,$C$2:$C4361,C4361,$D$2:$D4361,"*Package*"))</f>
        <v/>
      </c>
      <c r="G4361" t="str">
        <f t="shared" si="101"/>
        <v/>
      </c>
      <c r="H4361" s="33">
        <f>IF(ISNUMBER(SEARCH("Group",D4361)),IF(G4361="",E4361,IFERROR(E4361/COUNTIF($G2:$G6000,G4361),E4361)),E4361)</f>
        <v>0</v>
      </c>
      <c r="I4361" s="1" t="str">
        <f>IFERROR(VLOOKUP(C4361,'Clients List'!A:F,6,FALSE),"")</f>
        <v/>
      </c>
    </row>
    <row r="4362" spans="4:9" x14ac:dyDescent="0.45">
      <c r="D4362" t="str">
        <f>IFERROR(VLOOKUP(C4362,'Clients List'!$A:$F,2,FALSE),"")</f>
        <v/>
      </c>
      <c r="F4362" s="1" t="str">
        <f>IF(OR(C4362="",NOT(ISNUMBER(SEARCH("Package",D4362)))),"",VLOOKUP(C4362,'Clients List'!$A:$F,4,FALSE)-SUMIFS($E$2:$E4362,$C$2:$C4362,C4362,$D$2:$D4362,"*Package*"))</f>
        <v/>
      </c>
      <c r="G4362" t="str">
        <f t="shared" si="101"/>
        <v/>
      </c>
      <c r="H4362" s="33">
        <f>IF(ISNUMBER(SEARCH("Group",D4362)),IF(G4362="",E4362,IFERROR(E4362/COUNTIF($G2:$G6000,G4362),E4362)),E4362)</f>
        <v>0</v>
      </c>
      <c r="I4362" s="1" t="str">
        <f>IFERROR(VLOOKUP(C4362,'Clients List'!A:F,6,FALSE),"")</f>
        <v/>
      </c>
    </row>
    <row r="4363" spans="4:9" x14ac:dyDescent="0.45">
      <c r="D4363" t="str">
        <f>IFERROR(VLOOKUP(C4363,'Clients List'!$A:$F,2,FALSE),"")</f>
        <v/>
      </c>
      <c r="F4363" s="1" t="str">
        <f>IF(OR(C4363="",NOT(ISNUMBER(SEARCH("Package",D4363)))),"",VLOOKUP(C4363,'Clients List'!$A:$F,4,FALSE)-SUMIFS($E$2:$E4363,$C$2:$C4363,C4363,$D$2:$D4363,"*Package*"))</f>
        <v/>
      </c>
      <c r="G4363" t="str">
        <f t="shared" si="101"/>
        <v/>
      </c>
      <c r="H4363" s="33">
        <f>IF(ISNUMBER(SEARCH("Group",D4363)),IF(G4363="",E4363,IFERROR(E4363/COUNTIF($G2:$G6000,G4363),E4363)),E4363)</f>
        <v>0</v>
      </c>
      <c r="I4363" s="1" t="str">
        <f>IFERROR(VLOOKUP(C4363,'Clients List'!A:F,6,FALSE),"")</f>
        <v/>
      </c>
    </row>
    <row r="4364" spans="4:9" x14ac:dyDescent="0.45">
      <c r="D4364" t="str">
        <f>IFERROR(VLOOKUP(C4364,'Clients List'!$A:$F,2,FALSE),"")</f>
        <v/>
      </c>
      <c r="F4364" s="1" t="str">
        <f>IF(OR(C4364="",NOT(ISNUMBER(SEARCH("Package",D4364)))),"",VLOOKUP(C4364,'Clients List'!$A:$F,4,FALSE)-SUMIFS($E$2:$E4364,$C$2:$C4364,C4364,$D$2:$D4364,"*Package*"))</f>
        <v/>
      </c>
      <c r="G4364" t="str">
        <f t="shared" si="101"/>
        <v/>
      </c>
      <c r="H4364" s="33">
        <f>IF(ISNUMBER(SEARCH("Group",D4364)),IF(G4364="",E4364,IFERROR(E4364/COUNTIF($G2:$G6000,G4364),E4364)),E4364)</f>
        <v>0</v>
      </c>
      <c r="I4364" s="1" t="str">
        <f>IFERROR(VLOOKUP(C4364,'Clients List'!A:F,6,FALSE),"")</f>
        <v/>
      </c>
    </row>
    <row r="4365" spans="4:9" x14ac:dyDescent="0.45">
      <c r="D4365" t="str">
        <f>IFERROR(VLOOKUP(C4365,'Clients List'!$A:$F,2,FALSE),"")</f>
        <v/>
      </c>
      <c r="F4365" s="1" t="str">
        <f>IF(OR(C4365="",NOT(ISNUMBER(SEARCH("Package",D4365)))),"",VLOOKUP(C4365,'Clients List'!$A:$F,4,FALSE)-SUMIFS($E$2:$E4365,$C$2:$C4365,C4365,$D$2:$D4365,"*Package*"))</f>
        <v/>
      </c>
      <c r="G4365" t="str">
        <f t="shared" si="101"/>
        <v/>
      </c>
      <c r="H4365" s="33">
        <f>IF(ISNUMBER(SEARCH("Group",D4365)),IF(G4365="",E4365,IFERROR(E4365/COUNTIF($G2:$G6000,G4365),E4365)),E4365)</f>
        <v>0</v>
      </c>
      <c r="I4365" s="1" t="str">
        <f>IFERROR(VLOOKUP(C4365,'Clients List'!A:F,6,FALSE),"")</f>
        <v/>
      </c>
    </row>
    <row r="4366" spans="4:9" x14ac:dyDescent="0.45">
      <c r="D4366" t="str">
        <f>IFERROR(VLOOKUP(C4366,'Clients List'!$A:$F,2,FALSE),"")</f>
        <v/>
      </c>
      <c r="F4366" s="1" t="str">
        <f>IF(OR(C4366="",NOT(ISNUMBER(SEARCH("Package",D4366)))),"",VLOOKUP(C4366,'Clients List'!$A:$F,4,FALSE)-SUMIFS($E$2:$E4366,$C$2:$C4366,C4366,$D$2:$D4366,"*Package*"))</f>
        <v/>
      </c>
      <c r="G4366" t="str">
        <f t="shared" si="101"/>
        <v/>
      </c>
      <c r="H4366" s="33">
        <f>IF(ISNUMBER(SEARCH("Group",D4366)),IF(G4366="",E4366,IFERROR(E4366/COUNTIF($G2:$G6000,G4366),E4366)),E4366)</f>
        <v>0</v>
      </c>
      <c r="I4366" s="1" t="str">
        <f>IFERROR(VLOOKUP(C4366,'Clients List'!A:F,6,FALSE),"")</f>
        <v/>
      </c>
    </row>
    <row r="4367" spans="4:9" x14ac:dyDescent="0.45">
      <c r="D4367" t="str">
        <f>IFERROR(VLOOKUP(C4367,'Clients List'!$A:$F,2,FALSE),"")</f>
        <v/>
      </c>
      <c r="F4367" s="1" t="str">
        <f>IF(OR(C4367="",NOT(ISNUMBER(SEARCH("Package",D4367)))),"",VLOOKUP(C4367,'Clients List'!$A:$F,4,FALSE)-SUMIFS($E$2:$E4367,$C$2:$C4367,C4367,$D$2:$D4367,"*Package*"))</f>
        <v/>
      </c>
      <c r="G4367" t="str">
        <f t="shared" si="101"/>
        <v/>
      </c>
      <c r="H4367" s="33">
        <f>IF(ISNUMBER(SEARCH("Group",D4367)),IF(G4367="",E4367,IFERROR(E4367/COUNTIF($G2:$G6000,G4367),E4367)),E4367)</f>
        <v>0</v>
      </c>
      <c r="I4367" s="1" t="str">
        <f>IFERROR(VLOOKUP(C4367,'Clients List'!A:F,6,FALSE),"")</f>
        <v/>
      </c>
    </row>
    <row r="4368" spans="4:9" x14ac:dyDescent="0.45">
      <c r="D4368" t="str">
        <f>IFERROR(VLOOKUP(C4368,'Clients List'!$A:$F,2,FALSE),"")</f>
        <v/>
      </c>
      <c r="F4368" s="1" t="str">
        <f>IF(OR(C4368="",NOT(ISNUMBER(SEARCH("Package",D4368)))),"",VLOOKUP(C4368,'Clients List'!$A:$F,4,FALSE)-SUMIFS($E$2:$E4368,$C$2:$C4368,C4368,$D$2:$D4368,"*Package*"))</f>
        <v/>
      </c>
      <c r="G4368" t="str">
        <f t="shared" si="101"/>
        <v/>
      </c>
      <c r="H4368" s="33">
        <f>IF(ISNUMBER(SEARCH("Group",D4368)),IF(G4368="",E4368,IFERROR(E4368/COUNTIF($G2:$G6000,G4368),E4368)),E4368)</f>
        <v>0</v>
      </c>
      <c r="I4368" s="1" t="str">
        <f>IFERROR(VLOOKUP(C4368,'Clients List'!A:F,6,FALSE),"")</f>
        <v/>
      </c>
    </row>
    <row r="4369" spans="4:9" x14ac:dyDescent="0.45">
      <c r="D4369" t="str">
        <f>IFERROR(VLOOKUP(C4369,'Clients List'!$A:$F,2,FALSE),"")</f>
        <v/>
      </c>
      <c r="F4369" s="1" t="str">
        <f>IF(OR(C4369="",NOT(ISNUMBER(SEARCH("Package",D4369)))),"",VLOOKUP(C4369,'Clients List'!$A:$F,4,FALSE)-SUMIFS($E$2:$E4369,$C$2:$C4369,C4369,$D$2:$D4369,"*Package*"))</f>
        <v/>
      </c>
      <c r="G4369" t="str">
        <f t="shared" si="101"/>
        <v/>
      </c>
      <c r="H4369" s="33">
        <f>IF(ISNUMBER(SEARCH("Group",D4369)),IF(G4369="",E4369,IFERROR(E4369/COUNTIF($G2:$G6000,G4369),E4369)),E4369)</f>
        <v>0</v>
      </c>
      <c r="I4369" s="1" t="str">
        <f>IFERROR(VLOOKUP(C4369,'Clients List'!A:F,6,FALSE),"")</f>
        <v/>
      </c>
    </row>
    <row r="4370" spans="4:9" x14ac:dyDescent="0.45">
      <c r="D4370" t="str">
        <f>IFERROR(VLOOKUP(C4370,'Clients List'!$A:$F,2,FALSE),"")</f>
        <v/>
      </c>
      <c r="F4370" s="1" t="str">
        <f>IF(OR(C4370="",NOT(ISNUMBER(SEARCH("Package",D4370)))),"",VLOOKUP(C4370,'Clients List'!$A:$F,4,FALSE)-SUMIFS($E$2:$E4370,$C$2:$C4370,C4370,$D$2:$D4370,"*Package*"))</f>
        <v/>
      </c>
      <c r="G4370" t="str">
        <f t="shared" si="101"/>
        <v/>
      </c>
      <c r="H4370" s="33">
        <f>IF(ISNUMBER(SEARCH("Group",D4370)),IF(G4370="",E4370,IFERROR(E4370/COUNTIF($G2:$G6000,G4370),E4370)),E4370)</f>
        <v>0</v>
      </c>
      <c r="I4370" s="1" t="str">
        <f>IFERROR(VLOOKUP(C4370,'Clients List'!A:F,6,FALSE),"")</f>
        <v/>
      </c>
    </row>
    <row r="4371" spans="4:9" x14ac:dyDescent="0.45">
      <c r="D4371" t="str">
        <f>IFERROR(VLOOKUP(C4371,'Clients List'!$A:$F,2,FALSE),"")</f>
        <v/>
      </c>
      <c r="F4371" s="1" t="str">
        <f>IF(OR(C4371="",NOT(ISNUMBER(SEARCH("Package",D4371)))),"",VLOOKUP(C4371,'Clients List'!$A:$F,4,FALSE)-SUMIFS($E$2:$E4371,$C$2:$C4371,C4371,$D$2:$D4371,"*Package*"))</f>
        <v/>
      </c>
      <c r="G4371" t="str">
        <f t="shared" si="101"/>
        <v/>
      </c>
      <c r="H4371" s="33">
        <f>IF(ISNUMBER(SEARCH("Group",D4371)),IF(G4371="",E4371,IFERROR(E4371/COUNTIF($G2:$G6000,G4371),E4371)),E4371)</f>
        <v>0</v>
      </c>
      <c r="I4371" s="1" t="str">
        <f>IFERROR(VLOOKUP(C4371,'Clients List'!A:F,6,FALSE),"")</f>
        <v/>
      </c>
    </row>
    <row r="4372" spans="4:9" x14ac:dyDescent="0.45">
      <c r="D4372" t="str">
        <f>IFERROR(VLOOKUP(C4372,'Clients List'!$A:$F,2,FALSE),"")</f>
        <v/>
      </c>
      <c r="F4372" s="1" t="str">
        <f>IF(OR(C4372="",NOT(ISNUMBER(SEARCH("Package",D4372)))),"",VLOOKUP(C4372,'Clients List'!$A:$F,4,FALSE)-SUMIFS($E$2:$E4372,$C$2:$C4372,C4372,$D$2:$D4372,"*Package*"))</f>
        <v/>
      </c>
      <c r="G4372" t="str">
        <f t="shared" si="101"/>
        <v/>
      </c>
      <c r="H4372" s="33">
        <f>IF(ISNUMBER(SEARCH("Group",D4372)),IF(G4372="",E4372,IFERROR(E4372/COUNTIF($G2:$G6000,G4372),E4372)),E4372)</f>
        <v>0</v>
      </c>
      <c r="I4372" s="1" t="str">
        <f>IFERROR(VLOOKUP(C4372,'Clients List'!A:F,6,FALSE),"")</f>
        <v/>
      </c>
    </row>
    <row r="4373" spans="4:9" x14ac:dyDescent="0.45">
      <c r="D4373" t="str">
        <f>IFERROR(VLOOKUP(C4373,'Clients List'!$A:$F,2,FALSE),"")</f>
        <v/>
      </c>
      <c r="F4373" s="1" t="str">
        <f>IF(OR(C4373="",NOT(ISNUMBER(SEARCH("Package",D4373)))),"",VLOOKUP(C4373,'Clients List'!$A:$F,4,FALSE)-SUMIFS($E$2:$E4373,$C$2:$C4373,C4373,$D$2:$D4373,"*Package*"))</f>
        <v/>
      </c>
      <c r="G4373" t="str">
        <f t="shared" si="101"/>
        <v/>
      </c>
      <c r="H4373" s="33">
        <f>IF(ISNUMBER(SEARCH("Group",D4373)),IF(G4373="",E4373,IFERROR(E4373/COUNTIF($G2:$G6000,G4373),E4373)),E4373)</f>
        <v>0</v>
      </c>
      <c r="I4373" s="1" t="str">
        <f>IFERROR(VLOOKUP(C4373,'Clients List'!A:F,6,FALSE),"")</f>
        <v/>
      </c>
    </row>
    <row r="4374" spans="4:9" x14ac:dyDescent="0.45">
      <c r="D4374" t="str">
        <f>IFERROR(VLOOKUP(C4374,'Clients List'!$A:$F,2,FALSE),"")</f>
        <v/>
      </c>
      <c r="F4374" s="1" t="str">
        <f>IF(OR(C4374="",NOT(ISNUMBER(SEARCH("Package",D4374)))),"",VLOOKUP(C4374,'Clients List'!$A:$F,4,FALSE)-SUMIFS($E$2:$E4374,$C$2:$C4374,C4374,$D$2:$D4374,"*Package*"))</f>
        <v/>
      </c>
      <c r="G4374" t="str">
        <f t="shared" si="101"/>
        <v/>
      </c>
      <c r="H4374" s="33">
        <f>IF(ISNUMBER(SEARCH("Group",D4374)),IF(G4374="",E4374,IFERROR(E4374/COUNTIF($G2:$G6000,G4374),E4374)),E4374)</f>
        <v>0</v>
      </c>
      <c r="I4374" s="1" t="str">
        <f>IFERROR(VLOOKUP(C4374,'Clients List'!A:F,6,FALSE),"")</f>
        <v/>
      </c>
    </row>
    <row r="4375" spans="4:9" x14ac:dyDescent="0.45">
      <c r="D4375" t="str">
        <f>IFERROR(VLOOKUP(C4375,'Clients List'!$A:$F,2,FALSE),"")</f>
        <v/>
      </c>
      <c r="F4375" s="1" t="str">
        <f>IF(OR(C4375="",NOT(ISNUMBER(SEARCH("Package",D4375)))),"",VLOOKUP(C4375,'Clients List'!$A:$F,4,FALSE)-SUMIFS($E$2:$E4375,$C$2:$C4375,C4375,$D$2:$D4375,"*Package*"))</f>
        <v/>
      </c>
      <c r="G4375" t="str">
        <f t="shared" si="101"/>
        <v/>
      </c>
      <c r="H4375" s="33">
        <f>IF(ISNUMBER(SEARCH("Group",D4375)),IF(G4375="",E4375,IFERROR(E4375/COUNTIF($G2:$G6000,G4375),E4375)),E4375)</f>
        <v>0</v>
      </c>
      <c r="I4375" s="1" t="str">
        <f>IFERROR(VLOOKUP(C4375,'Clients List'!A:F,6,FALSE),"")</f>
        <v/>
      </c>
    </row>
    <row r="4376" spans="4:9" x14ac:dyDescent="0.45">
      <c r="D4376" t="str">
        <f>IFERROR(VLOOKUP(C4376,'Clients List'!$A:$F,2,FALSE),"")</f>
        <v/>
      </c>
      <c r="F4376" s="1" t="str">
        <f>IF(OR(C4376="",NOT(ISNUMBER(SEARCH("Package",D4376)))),"",VLOOKUP(C4376,'Clients List'!$A:$F,4,FALSE)-SUMIFS($E$2:$E4376,$C$2:$C4376,C4376,$D$2:$D4376,"*Package*"))</f>
        <v/>
      </c>
      <c r="G4376" t="str">
        <f t="shared" si="101"/>
        <v/>
      </c>
      <c r="H4376" s="33">
        <f>IF(ISNUMBER(SEARCH("Group",D4376)),IF(G4376="",E4376,IFERROR(E4376/COUNTIF($G2:$G6000,G4376),E4376)),E4376)</f>
        <v>0</v>
      </c>
      <c r="I4376" s="1" t="str">
        <f>IFERROR(VLOOKUP(C4376,'Clients List'!A:F,6,FALSE),"")</f>
        <v/>
      </c>
    </row>
    <row r="4377" spans="4:9" x14ac:dyDescent="0.45">
      <c r="D4377" t="str">
        <f>IFERROR(VLOOKUP(C4377,'Clients List'!$A:$F,2,FALSE),"")</f>
        <v/>
      </c>
      <c r="F4377" s="1" t="str">
        <f>IF(OR(C4377="",NOT(ISNUMBER(SEARCH("Package",D4377)))),"",VLOOKUP(C4377,'Clients List'!$A:$F,4,FALSE)-SUMIFS($E$2:$E4377,$C$2:$C4377,C4377,$D$2:$D4377,"*Package*"))</f>
        <v/>
      </c>
      <c r="G4377" t="str">
        <f t="shared" si="101"/>
        <v/>
      </c>
      <c r="H4377" s="33">
        <f>IF(ISNUMBER(SEARCH("Group",D4377)),IF(G4377="",E4377,IFERROR(E4377/COUNTIF($G2:$G6000,G4377),E4377)),E4377)</f>
        <v>0</v>
      </c>
      <c r="I4377" s="1" t="str">
        <f>IFERROR(VLOOKUP(C4377,'Clients List'!A:F,6,FALSE),"")</f>
        <v/>
      </c>
    </row>
    <row r="4378" spans="4:9" x14ac:dyDescent="0.45">
      <c r="D4378" t="str">
        <f>IFERROR(VLOOKUP(C4378,'Clients List'!$A:$F,2,FALSE),"")</f>
        <v/>
      </c>
      <c r="F4378" s="1" t="str">
        <f>IF(OR(C4378="",NOT(ISNUMBER(SEARCH("Package",D4378)))),"",VLOOKUP(C4378,'Clients List'!$A:$F,4,FALSE)-SUMIFS($E$2:$E4378,$C$2:$C4378,C4378,$D$2:$D4378,"*Package*"))</f>
        <v/>
      </c>
      <c r="G4378" t="str">
        <f t="shared" si="101"/>
        <v/>
      </c>
      <c r="H4378" s="33">
        <f>IF(ISNUMBER(SEARCH("Group",D4378)),IF(G4378="",E4378,IFERROR(E4378/COUNTIF($G2:$G6000,G4378),E4378)),E4378)</f>
        <v>0</v>
      </c>
      <c r="I4378" s="1" t="str">
        <f>IFERROR(VLOOKUP(C4378,'Clients List'!A:F,6,FALSE),"")</f>
        <v/>
      </c>
    </row>
    <row r="4379" spans="4:9" x14ac:dyDescent="0.45">
      <c r="D4379" t="str">
        <f>IFERROR(VLOOKUP(C4379,'Clients List'!$A:$F,2,FALSE),"")</f>
        <v/>
      </c>
      <c r="F4379" s="1" t="str">
        <f>IF(OR(C4379="",NOT(ISNUMBER(SEARCH("Package",D4379)))),"",VLOOKUP(C4379,'Clients List'!$A:$F,4,FALSE)-SUMIFS($E$2:$E4379,$C$2:$C4379,C4379,$D$2:$D4379,"*Package*"))</f>
        <v/>
      </c>
      <c r="G4379" t="str">
        <f t="shared" si="101"/>
        <v/>
      </c>
      <c r="H4379" s="33">
        <f>IF(ISNUMBER(SEARCH("Group",D4379)),IF(G4379="",E4379,IFERROR(E4379/COUNTIF($G2:$G6000,G4379),E4379)),E4379)</f>
        <v>0</v>
      </c>
      <c r="I4379" s="1" t="str">
        <f>IFERROR(VLOOKUP(C4379,'Clients List'!A:F,6,FALSE),"")</f>
        <v/>
      </c>
    </row>
    <row r="4380" spans="4:9" x14ac:dyDescent="0.45">
      <c r="D4380" t="str">
        <f>IFERROR(VLOOKUP(C4380,'Clients List'!$A:$F,2,FALSE),"")</f>
        <v/>
      </c>
      <c r="F4380" s="1" t="str">
        <f>IF(OR(C4380="",NOT(ISNUMBER(SEARCH("Package",D4380)))),"",VLOOKUP(C4380,'Clients List'!$A:$F,4,FALSE)-SUMIFS($E$2:$E4380,$C$2:$C4380,C4380,$D$2:$D4380,"*Package*"))</f>
        <v/>
      </c>
      <c r="G4380" t="str">
        <f t="shared" si="101"/>
        <v/>
      </c>
      <c r="H4380" s="33">
        <f>IF(ISNUMBER(SEARCH("Group",D4380)),IF(G4380="",E4380,IFERROR(E4380/COUNTIF($G2:$G6000,G4380),E4380)),E4380)</f>
        <v>0</v>
      </c>
      <c r="I4380" s="1" t="str">
        <f>IFERROR(VLOOKUP(C4380,'Clients List'!A:F,6,FALSE),"")</f>
        <v/>
      </c>
    </row>
    <row r="4381" spans="4:9" x14ac:dyDescent="0.45">
      <c r="D4381" t="str">
        <f>IFERROR(VLOOKUP(C4381,'Clients List'!$A:$F,2,FALSE),"")</f>
        <v/>
      </c>
      <c r="F4381" s="1" t="str">
        <f>IF(OR(C4381="",NOT(ISNUMBER(SEARCH("Package",D4381)))),"",VLOOKUP(C4381,'Clients List'!$A:$F,4,FALSE)-SUMIFS($E$2:$E4381,$C$2:$C4381,C4381,$D$2:$D4381,"*Package*"))</f>
        <v/>
      </c>
      <c r="G4381" t="str">
        <f t="shared" si="101"/>
        <v/>
      </c>
      <c r="H4381" s="33">
        <f>IF(ISNUMBER(SEARCH("Group",D4381)),IF(G4381="",E4381,IFERROR(E4381/COUNTIF($G2:$G6000,G4381),E4381)),E4381)</f>
        <v>0</v>
      </c>
      <c r="I4381" s="1" t="str">
        <f>IFERROR(VLOOKUP(C4381,'Clients List'!A:F,6,FALSE),"")</f>
        <v/>
      </c>
    </row>
    <row r="4382" spans="4:9" x14ac:dyDescent="0.45">
      <c r="D4382" t="str">
        <f>IFERROR(VLOOKUP(C4382,'Clients List'!$A:$F,2,FALSE),"")</f>
        <v/>
      </c>
      <c r="F4382" s="1" t="str">
        <f>IF(OR(C4382="",NOT(ISNUMBER(SEARCH("Package",D4382)))),"",VLOOKUP(C4382,'Clients List'!$A:$F,4,FALSE)-SUMIFS($E$2:$E4382,$C$2:$C4382,C4382,$D$2:$D4382,"*Package*"))</f>
        <v/>
      </c>
      <c r="G4382" t="str">
        <f t="shared" si="101"/>
        <v/>
      </c>
      <c r="H4382" s="33">
        <f>IF(ISNUMBER(SEARCH("Group",D4382)),IF(G4382="",E4382,IFERROR(E4382/COUNTIF($G2:$G6000,G4382),E4382)),E4382)</f>
        <v>0</v>
      </c>
      <c r="I4382" s="1" t="str">
        <f>IFERROR(VLOOKUP(C4382,'Clients List'!A:F,6,FALSE),"")</f>
        <v/>
      </c>
    </row>
    <row r="4383" spans="4:9" x14ac:dyDescent="0.45">
      <c r="D4383" t="str">
        <f>IFERROR(VLOOKUP(C4383,'Clients List'!$A:$F,2,FALSE),"")</f>
        <v/>
      </c>
      <c r="F4383" s="1" t="str">
        <f>IF(OR(C4383="",NOT(ISNUMBER(SEARCH("Package",D4383)))),"",VLOOKUP(C4383,'Clients List'!$A:$F,4,FALSE)-SUMIFS($E$2:$E4383,$C$2:$C4383,C4383,$D$2:$D4383,"*Package*"))</f>
        <v/>
      </c>
      <c r="G4383" t="str">
        <f t="shared" si="101"/>
        <v/>
      </c>
      <c r="H4383" s="33">
        <f>IF(ISNUMBER(SEARCH("Group",D4383)),IF(G4383="",E4383,IFERROR(E4383/COUNTIF($G2:$G6000,G4383),E4383)),E4383)</f>
        <v>0</v>
      </c>
      <c r="I4383" s="1" t="str">
        <f>IFERROR(VLOOKUP(C4383,'Clients List'!A:F,6,FALSE),"")</f>
        <v/>
      </c>
    </row>
    <row r="4384" spans="4:9" x14ac:dyDescent="0.45">
      <c r="D4384" t="str">
        <f>IFERROR(VLOOKUP(C4384,'Clients List'!$A:$F,2,FALSE),"")</f>
        <v/>
      </c>
      <c r="F4384" s="1" t="str">
        <f>IF(OR(C4384="",NOT(ISNUMBER(SEARCH("Package",D4384)))),"",VLOOKUP(C4384,'Clients List'!$A:$F,4,FALSE)-SUMIFS($E$2:$E4384,$C$2:$C4384,C4384,$D$2:$D4384,"*Package*"))</f>
        <v/>
      </c>
      <c r="G4384" t="str">
        <f t="shared" si="101"/>
        <v/>
      </c>
      <c r="H4384" s="33">
        <f>IF(ISNUMBER(SEARCH("Group",D4384)),IF(G4384="",E4384,IFERROR(E4384/COUNTIF($G2:$G6000,G4384),E4384)),E4384)</f>
        <v>0</v>
      </c>
      <c r="I4384" s="1" t="str">
        <f>IFERROR(VLOOKUP(C4384,'Clients List'!A:F,6,FALSE),"")</f>
        <v/>
      </c>
    </row>
    <row r="4385" spans="4:9" x14ac:dyDescent="0.45">
      <c r="D4385" t="str">
        <f>IFERROR(VLOOKUP(C4385,'Clients List'!$A:$F,2,FALSE),"")</f>
        <v/>
      </c>
      <c r="F4385" s="1" t="str">
        <f>IF(OR(C4385="",NOT(ISNUMBER(SEARCH("Package",D4385)))),"",VLOOKUP(C4385,'Clients List'!$A:$F,4,FALSE)-SUMIFS($E$2:$E4385,$C$2:$C4385,C4385,$D$2:$D4385,"*Package*"))</f>
        <v/>
      </c>
      <c r="G4385" t="str">
        <f t="shared" si="101"/>
        <v/>
      </c>
      <c r="H4385" s="33">
        <f>IF(ISNUMBER(SEARCH("Group",D4385)),IF(G4385="",E4385,IFERROR(E4385/COUNTIF($G2:$G6000,G4385),E4385)),E4385)</f>
        <v>0</v>
      </c>
      <c r="I4385" s="1" t="str">
        <f>IFERROR(VLOOKUP(C4385,'Clients List'!A:F,6,FALSE),"")</f>
        <v/>
      </c>
    </row>
    <row r="4386" spans="4:9" x14ac:dyDescent="0.45">
      <c r="D4386" t="str">
        <f>IFERROR(VLOOKUP(C4386,'Clients List'!$A:$F,2,FALSE),"")</f>
        <v/>
      </c>
      <c r="F4386" s="1" t="str">
        <f>IF(OR(C4386="",NOT(ISNUMBER(SEARCH("Package",D4386)))),"",VLOOKUP(C4386,'Clients List'!$A:$F,4,FALSE)-SUMIFS($E$2:$E4386,$C$2:$C4386,C4386,$D$2:$D4386,"*Package*"))</f>
        <v/>
      </c>
      <c r="G4386" t="str">
        <f t="shared" si="101"/>
        <v/>
      </c>
      <c r="H4386" s="33">
        <f>IF(ISNUMBER(SEARCH("Group",D4386)),IF(G4386="",E4386,IFERROR(E4386/COUNTIF($G2:$G6000,G4386),E4386)),E4386)</f>
        <v>0</v>
      </c>
      <c r="I4386" s="1" t="str">
        <f>IFERROR(VLOOKUP(C4386,'Clients List'!A:F,6,FALSE),"")</f>
        <v/>
      </c>
    </row>
    <row r="4387" spans="4:9" x14ac:dyDescent="0.45">
      <c r="D4387" t="str">
        <f>IFERROR(VLOOKUP(C4387,'Clients List'!$A:$F,2,FALSE),"")</f>
        <v/>
      </c>
      <c r="F4387" s="1" t="str">
        <f>IF(OR(C4387="",NOT(ISNUMBER(SEARCH("Package",D4387)))),"",VLOOKUP(C4387,'Clients List'!$A:$F,4,FALSE)-SUMIFS($E$2:$E4387,$C$2:$C4387,C4387,$D$2:$D4387,"*Package*"))</f>
        <v/>
      </c>
      <c r="G4387" t="str">
        <f t="shared" si="101"/>
        <v/>
      </c>
      <c r="H4387" s="33">
        <f>IF(ISNUMBER(SEARCH("Group",D4387)),IF(G4387="",E4387,IFERROR(E4387/COUNTIF($G2:$G6000,G4387),E4387)),E4387)</f>
        <v>0</v>
      </c>
      <c r="I4387" s="1" t="str">
        <f>IFERROR(VLOOKUP(C4387,'Clients List'!A:F,6,FALSE),"")</f>
        <v/>
      </c>
    </row>
    <row r="4388" spans="4:9" x14ac:dyDescent="0.45">
      <c r="D4388" t="str">
        <f>IFERROR(VLOOKUP(C4388,'Clients List'!$A:$F,2,FALSE),"")</f>
        <v/>
      </c>
      <c r="F4388" s="1" t="str">
        <f>IF(OR(C4388="",NOT(ISNUMBER(SEARCH("Package",D4388)))),"",VLOOKUP(C4388,'Clients List'!$A:$F,4,FALSE)-SUMIFS($E$2:$E4388,$C$2:$C4388,C4388,$D$2:$D4388,"*Package*"))</f>
        <v/>
      </c>
      <c r="G4388" t="str">
        <f t="shared" si="101"/>
        <v/>
      </c>
      <c r="H4388" s="33">
        <f>IF(ISNUMBER(SEARCH("Group",D4388)),IF(G4388="",E4388,IFERROR(E4388/COUNTIF($G2:$G6000,G4388),E4388)),E4388)</f>
        <v>0</v>
      </c>
      <c r="I4388" s="1" t="str">
        <f>IFERROR(VLOOKUP(C4388,'Clients List'!A:F,6,FALSE),"")</f>
        <v/>
      </c>
    </row>
    <row r="4389" spans="4:9" x14ac:dyDescent="0.45">
      <c r="D4389" t="str">
        <f>IFERROR(VLOOKUP(C4389,'Clients List'!$A:$F,2,FALSE),"")</f>
        <v/>
      </c>
      <c r="F4389" s="1" t="str">
        <f>IF(OR(C4389="",NOT(ISNUMBER(SEARCH("Package",D4389)))),"",VLOOKUP(C4389,'Clients List'!$A:$F,4,FALSE)-SUMIFS($E$2:$E4389,$C$2:$C4389,C4389,$D$2:$D4389,"*Package*"))</f>
        <v/>
      </c>
      <c r="G4389" t="str">
        <f t="shared" si="101"/>
        <v/>
      </c>
      <c r="H4389" s="33">
        <f>IF(ISNUMBER(SEARCH("Group",D4389)),IF(G4389="",E4389,IFERROR(E4389/COUNTIF($G2:$G6000,G4389),E4389)),E4389)</f>
        <v>0</v>
      </c>
      <c r="I4389" s="1" t="str">
        <f>IFERROR(VLOOKUP(C4389,'Clients List'!A:F,6,FALSE),"")</f>
        <v/>
      </c>
    </row>
    <row r="4390" spans="4:9" x14ac:dyDescent="0.45">
      <c r="D4390" t="str">
        <f>IFERROR(VLOOKUP(C4390,'Clients List'!$A:$F,2,FALSE),"")</f>
        <v/>
      </c>
      <c r="F4390" s="1" t="str">
        <f>IF(OR(C4390="",NOT(ISNUMBER(SEARCH("Package",D4390)))),"",VLOOKUP(C4390,'Clients List'!$A:$F,4,FALSE)-SUMIFS($E$2:$E4390,$C$2:$C4390,C4390,$D$2:$D4390,"*Package*"))</f>
        <v/>
      </c>
      <c r="G4390" t="str">
        <f t="shared" si="101"/>
        <v/>
      </c>
      <c r="H4390" s="33">
        <f>IF(ISNUMBER(SEARCH("Group",D4390)),IF(G4390="",E4390,IFERROR(E4390/COUNTIF($G2:$G6000,G4390),E4390)),E4390)</f>
        <v>0</v>
      </c>
      <c r="I4390" s="1" t="str">
        <f>IFERROR(VLOOKUP(C4390,'Clients List'!A:F,6,FALSE),"")</f>
        <v/>
      </c>
    </row>
    <row r="4391" spans="4:9" x14ac:dyDescent="0.45">
      <c r="D4391" t="str">
        <f>IFERROR(VLOOKUP(C4391,'Clients List'!$A:$F,2,FALSE),"")</f>
        <v/>
      </c>
      <c r="F4391" s="1" t="str">
        <f>IF(OR(C4391="",NOT(ISNUMBER(SEARCH("Package",D4391)))),"",VLOOKUP(C4391,'Clients List'!$A:$F,4,FALSE)-SUMIFS($E$2:$E4391,$C$2:$C4391,C4391,$D$2:$D4391,"*Package*"))</f>
        <v/>
      </c>
      <c r="G4391" t="str">
        <f t="shared" si="101"/>
        <v/>
      </c>
      <c r="H4391" s="33">
        <f>IF(ISNUMBER(SEARCH("Group",D4391)),IF(G4391="",E4391,IFERROR(E4391/COUNTIF($G2:$G6000,G4391),E4391)),E4391)</f>
        <v>0</v>
      </c>
      <c r="I4391" s="1" t="str">
        <f>IFERROR(VLOOKUP(C4391,'Clients List'!A:F,6,FALSE),"")</f>
        <v/>
      </c>
    </row>
    <row r="4392" spans="4:9" x14ac:dyDescent="0.45">
      <c r="D4392" t="str">
        <f>IFERROR(VLOOKUP(C4392,'Clients List'!$A:$F,2,FALSE),"")</f>
        <v/>
      </c>
      <c r="F4392" s="1" t="str">
        <f>IF(OR(C4392="",NOT(ISNUMBER(SEARCH("Package",D4392)))),"",VLOOKUP(C4392,'Clients List'!$A:$F,4,FALSE)-SUMIFS($E$2:$E4392,$C$2:$C4392,C4392,$D$2:$D4392,"*Package*"))</f>
        <v/>
      </c>
      <c r="G4392" t="str">
        <f t="shared" si="101"/>
        <v/>
      </c>
      <c r="H4392" s="33">
        <f>IF(ISNUMBER(SEARCH("Group",D4392)),IF(G4392="",E4392,IFERROR(E4392/COUNTIF($G2:$G6000,G4392),E4392)),E4392)</f>
        <v>0</v>
      </c>
      <c r="I4392" s="1" t="str">
        <f>IFERROR(VLOOKUP(C4392,'Clients List'!A:F,6,FALSE),"")</f>
        <v/>
      </c>
    </row>
    <row r="4393" spans="4:9" x14ac:dyDescent="0.45">
      <c r="D4393" t="str">
        <f>IFERROR(VLOOKUP(C4393,'Clients List'!$A:$F,2,FALSE),"")</f>
        <v/>
      </c>
      <c r="F4393" s="1" t="str">
        <f>IF(OR(C4393="",NOT(ISNUMBER(SEARCH("Package",D4393)))),"",VLOOKUP(C4393,'Clients List'!$A:$F,4,FALSE)-SUMIFS($E$2:$E4393,$C$2:$C4393,C4393,$D$2:$D4393,"*Package*"))</f>
        <v/>
      </c>
      <c r="G4393" t="str">
        <f t="shared" si="101"/>
        <v/>
      </c>
      <c r="H4393" s="33">
        <f>IF(ISNUMBER(SEARCH("Group",D4393)),IF(G4393="",E4393,IFERROR(E4393/COUNTIF($G2:$G6000,G4393),E4393)),E4393)</f>
        <v>0</v>
      </c>
      <c r="I4393" s="1" t="str">
        <f>IFERROR(VLOOKUP(C4393,'Clients List'!A:F,6,FALSE),"")</f>
        <v/>
      </c>
    </row>
    <row r="4394" spans="4:9" x14ac:dyDescent="0.45">
      <c r="D4394" t="str">
        <f>IFERROR(VLOOKUP(C4394,'Clients List'!$A:$F,2,FALSE),"")</f>
        <v/>
      </c>
      <c r="F4394" s="1" t="str">
        <f>IF(OR(C4394="",NOT(ISNUMBER(SEARCH("Package",D4394)))),"",VLOOKUP(C4394,'Clients List'!$A:$F,4,FALSE)-SUMIFS($E$2:$E4394,$C$2:$C4394,C4394,$D$2:$D4394,"*Package*"))</f>
        <v/>
      </c>
      <c r="G4394" t="str">
        <f t="shared" si="101"/>
        <v/>
      </c>
      <c r="H4394" s="33">
        <f>IF(ISNUMBER(SEARCH("Group",D4394)),IF(G4394="",E4394,IFERROR(E4394/COUNTIF($G2:$G6000,G4394),E4394)),E4394)</f>
        <v>0</v>
      </c>
      <c r="I4394" s="1" t="str">
        <f>IFERROR(VLOOKUP(C4394,'Clients List'!A:F,6,FALSE),"")</f>
        <v/>
      </c>
    </row>
    <row r="4395" spans="4:9" x14ac:dyDescent="0.45">
      <c r="D4395" t="str">
        <f>IFERROR(VLOOKUP(C4395,'Clients List'!$A:$F,2,FALSE),"")</f>
        <v/>
      </c>
      <c r="F4395" s="1" t="str">
        <f>IF(OR(C4395="",NOT(ISNUMBER(SEARCH("Package",D4395)))),"",VLOOKUP(C4395,'Clients List'!$A:$F,4,FALSE)-SUMIFS($E$2:$E4395,$C$2:$C4395,C4395,$D$2:$D4395,"*Package*"))</f>
        <v/>
      </c>
      <c r="G4395" t="str">
        <f t="shared" si="101"/>
        <v/>
      </c>
      <c r="H4395" s="33">
        <f>IF(ISNUMBER(SEARCH("Group",D4395)),IF(G4395="",E4395,IFERROR(E4395/COUNTIF($G2:$G6000,G4395),E4395)),E4395)</f>
        <v>0</v>
      </c>
      <c r="I4395" s="1" t="str">
        <f>IFERROR(VLOOKUP(C4395,'Clients List'!A:F,6,FALSE),"")</f>
        <v/>
      </c>
    </row>
    <row r="4396" spans="4:9" x14ac:dyDescent="0.45">
      <c r="D4396" t="str">
        <f>IFERROR(VLOOKUP(C4396,'Clients List'!$A:$F,2,FALSE),"")</f>
        <v/>
      </c>
      <c r="F4396" s="1" t="str">
        <f>IF(OR(C4396="",NOT(ISNUMBER(SEARCH("Package",D4396)))),"",VLOOKUP(C4396,'Clients List'!$A:$F,4,FALSE)-SUMIFS($E$2:$E4396,$C$2:$C4396,C4396,$D$2:$D4396,"*Package*"))</f>
        <v/>
      </c>
      <c r="G4396" t="str">
        <f t="shared" si="101"/>
        <v/>
      </c>
      <c r="H4396" s="33">
        <f>IF(ISNUMBER(SEARCH("Group",D4396)),IF(G4396="",E4396,IFERROR(E4396/COUNTIF($G2:$G6000,G4396),E4396)),E4396)</f>
        <v>0</v>
      </c>
      <c r="I4396" s="1" t="str">
        <f>IFERROR(VLOOKUP(C4396,'Clients List'!A:F,6,FALSE),"")</f>
        <v/>
      </c>
    </row>
    <row r="4397" spans="4:9" x14ac:dyDescent="0.45">
      <c r="D4397" t="str">
        <f>IFERROR(VLOOKUP(C4397,'Clients List'!$A:$F,2,FALSE),"")</f>
        <v/>
      </c>
      <c r="F4397" s="1" t="str">
        <f>IF(OR(C4397="",NOT(ISNUMBER(SEARCH("Package",D4397)))),"",VLOOKUP(C4397,'Clients List'!$A:$F,4,FALSE)-SUMIFS($E$2:$E4397,$C$2:$C4397,C4397,$D$2:$D4397,"*Package*"))</f>
        <v/>
      </c>
      <c r="G4397" t="str">
        <f t="shared" si="101"/>
        <v/>
      </c>
      <c r="H4397" s="33">
        <f>IF(ISNUMBER(SEARCH("Group",D4397)),IF(G4397="",E4397,IFERROR(E4397/COUNTIF($G2:$G6000,G4397),E4397)),E4397)</f>
        <v>0</v>
      </c>
      <c r="I4397" s="1" t="str">
        <f>IFERROR(VLOOKUP(C4397,'Clients List'!A:F,6,FALSE),"")</f>
        <v/>
      </c>
    </row>
    <row r="4398" spans="4:9" x14ac:dyDescent="0.45">
      <c r="D4398" t="str">
        <f>IFERROR(VLOOKUP(C4398,'Clients List'!$A:$F,2,FALSE),"")</f>
        <v/>
      </c>
      <c r="F4398" s="1" t="str">
        <f>IF(OR(C4398="",NOT(ISNUMBER(SEARCH("Package",D4398)))),"",VLOOKUP(C4398,'Clients List'!$A:$F,4,FALSE)-SUMIFS($E$2:$E4398,$C$2:$C4398,C4398,$D$2:$D4398,"*Package*"))</f>
        <v/>
      </c>
      <c r="G4398" t="str">
        <f t="shared" si="101"/>
        <v/>
      </c>
      <c r="H4398" s="33">
        <f>IF(ISNUMBER(SEARCH("Group",D4398)),IF(G4398="",E4398,IFERROR(E4398/COUNTIF($G2:$G6000,G4398),E4398)),E4398)</f>
        <v>0</v>
      </c>
      <c r="I4398" s="1" t="str">
        <f>IFERROR(VLOOKUP(C4398,'Clients List'!A:F,6,FALSE),"")</f>
        <v/>
      </c>
    </row>
    <row r="4399" spans="4:9" x14ac:dyDescent="0.45">
      <c r="D4399" t="str">
        <f>IFERROR(VLOOKUP(C4399,'Clients List'!$A:$F,2,FALSE),"")</f>
        <v/>
      </c>
      <c r="F4399" s="1" t="str">
        <f>IF(OR(C4399="",NOT(ISNUMBER(SEARCH("Package",D4399)))),"",VLOOKUP(C4399,'Clients List'!$A:$F,4,FALSE)-SUMIFS($E$2:$E4399,$C$2:$C4399,C4399,$D$2:$D4399,"*Package*"))</f>
        <v/>
      </c>
      <c r="G4399" t="str">
        <f t="shared" si="101"/>
        <v/>
      </c>
      <c r="H4399" s="33">
        <f>IF(ISNUMBER(SEARCH("Group",D4399)),IF(G4399="",E4399,IFERROR(E4399/COUNTIF($G2:$G6000,G4399),E4399)),E4399)</f>
        <v>0</v>
      </c>
      <c r="I4399" s="1" t="str">
        <f>IFERROR(VLOOKUP(C4399,'Clients List'!A:F,6,FALSE),"")</f>
        <v/>
      </c>
    </row>
    <row r="4400" spans="4:9" x14ac:dyDescent="0.45">
      <c r="D4400" t="str">
        <f>IFERROR(VLOOKUP(C4400,'Clients List'!$A:$F,2,FALSE),"")</f>
        <v/>
      </c>
      <c r="F4400" s="1" t="str">
        <f>IF(OR(C4400="",NOT(ISNUMBER(SEARCH("Package",D4400)))),"",VLOOKUP(C4400,'Clients List'!$A:$F,4,FALSE)-SUMIFS($E$2:$E4400,$C$2:$C4400,C4400,$D$2:$D4400,"*Package*"))</f>
        <v/>
      </c>
      <c r="G4400" t="str">
        <f t="shared" si="101"/>
        <v/>
      </c>
      <c r="H4400" s="33">
        <f>IF(ISNUMBER(SEARCH("Group",D4400)),IF(G4400="",E4400,IFERROR(E4400/COUNTIF($G2:$G6000,G4400),E4400)),E4400)</f>
        <v>0</v>
      </c>
      <c r="I4400" s="1" t="str">
        <f>IFERROR(VLOOKUP(C4400,'Clients List'!A:F,6,FALSE),"")</f>
        <v/>
      </c>
    </row>
    <row r="4401" spans="4:9" x14ac:dyDescent="0.45">
      <c r="D4401" t="str">
        <f>IFERROR(VLOOKUP(C4401,'Clients List'!$A:$F,2,FALSE),"")</f>
        <v/>
      </c>
      <c r="F4401" s="1" t="str">
        <f>IF(OR(C4401="",NOT(ISNUMBER(SEARCH("Package",D4401)))),"",VLOOKUP(C4401,'Clients List'!$A:$F,4,FALSE)-SUMIFS($E$2:$E4401,$C$2:$C4401,C4401,$D$2:$D4401,"*Package*"))</f>
        <v/>
      </c>
      <c r="G4401" t="str">
        <f t="shared" si="101"/>
        <v/>
      </c>
      <c r="H4401" s="33">
        <f>IF(ISNUMBER(SEARCH("Group",D4401)),IF(G4401="",E4401,IFERROR(E4401/COUNTIF($G2:$G6000,G4401),E4401)),E4401)</f>
        <v>0</v>
      </c>
      <c r="I4401" s="1" t="str">
        <f>IFERROR(VLOOKUP(C4401,'Clients List'!A:F,6,FALSE),"")</f>
        <v/>
      </c>
    </row>
    <row r="4402" spans="4:9" x14ac:dyDescent="0.45">
      <c r="D4402" t="str">
        <f>IFERROR(VLOOKUP(C4402,'Clients List'!$A:$F,2,FALSE),"")</f>
        <v/>
      </c>
      <c r="F4402" s="1" t="str">
        <f>IF(OR(C4402="",NOT(ISNUMBER(SEARCH("Package",D4402)))),"",VLOOKUP(C4402,'Clients List'!$A:$F,4,FALSE)-SUMIFS($E$2:$E4402,$C$2:$C4402,C4402,$D$2:$D4402,"*Package*"))</f>
        <v/>
      </c>
      <c r="G4402" t="str">
        <f t="shared" si="101"/>
        <v/>
      </c>
      <c r="H4402" s="33">
        <f>IF(ISNUMBER(SEARCH("Group",D4402)),IF(G4402="",E4402,IFERROR(E4402/COUNTIF($G2:$G6000,G4402),E4402)),E4402)</f>
        <v>0</v>
      </c>
      <c r="I4402" s="1" t="str">
        <f>IFERROR(VLOOKUP(C4402,'Clients List'!A:F,6,FALSE),"")</f>
        <v/>
      </c>
    </row>
    <row r="4403" spans="4:9" x14ac:dyDescent="0.45">
      <c r="D4403" t="str">
        <f>IFERROR(VLOOKUP(C4403,'Clients List'!$A:$F,2,FALSE),"")</f>
        <v/>
      </c>
      <c r="F4403" s="1" t="str">
        <f>IF(OR(C4403="",NOT(ISNUMBER(SEARCH("Package",D4403)))),"",VLOOKUP(C4403,'Clients List'!$A:$F,4,FALSE)-SUMIFS($E$2:$E4403,$C$2:$C4403,C4403,$D$2:$D4403,"*Package*"))</f>
        <v/>
      </c>
      <c r="G4403" t="str">
        <f t="shared" si="101"/>
        <v/>
      </c>
      <c r="H4403" s="33">
        <f>IF(ISNUMBER(SEARCH("Group",D4403)),IF(G4403="",E4403,IFERROR(E4403/COUNTIF($G2:$G6000,G4403),E4403)),E4403)</f>
        <v>0</v>
      </c>
      <c r="I4403" s="1" t="str">
        <f>IFERROR(VLOOKUP(C4403,'Clients List'!A:F,6,FALSE),"")</f>
        <v/>
      </c>
    </row>
    <row r="4404" spans="4:9" x14ac:dyDescent="0.45">
      <c r="D4404" t="str">
        <f>IFERROR(VLOOKUP(C4404,'Clients List'!$A:$F,2,FALSE),"")</f>
        <v/>
      </c>
      <c r="F4404" s="1" t="str">
        <f>IF(OR(C4404="",NOT(ISNUMBER(SEARCH("Package",D4404)))),"",VLOOKUP(C4404,'Clients List'!$A:$F,4,FALSE)-SUMIFS($E$2:$E4404,$C$2:$C4404,C4404,$D$2:$D4404,"*Package*"))</f>
        <v/>
      </c>
      <c r="G4404" t="str">
        <f t="shared" si="101"/>
        <v/>
      </c>
      <c r="H4404" s="33">
        <f>IF(ISNUMBER(SEARCH("Group",D4404)),IF(G4404="",E4404,IFERROR(E4404/COUNTIF($G2:$G6000,G4404),E4404)),E4404)</f>
        <v>0</v>
      </c>
      <c r="I4404" s="1" t="str">
        <f>IFERROR(VLOOKUP(C4404,'Clients List'!A:F,6,FALSE),"")</f>
        <v/>
      </c>
    </row>
    <row r="4405" spans="4:9" x14ac:dyDescent="0.45">
      <c r="D4405" t="str">
        <f>IFERROR(VLOOKUP(C4405,'Clients List'!$A:$F,2,FALSE),"")</f>
        <v/>
      </c>
      <c r="F4405" s="1" t="str">
        <f>IF(OR(C4405="",NOT(ISNUMBER(SEARCH("Package",D4405)))),"",VLOOKUP(C4405,'Clients List'!$A:$F,4,FALSE)-SUMIFS($E$2:$E4405,$C$2:$C4405,C4405,$D$2:$D4405,"*Package*"))</f>
        <v/>
      </c>
      <c r="G4405" t="str">
        <f t="shared" ref="G4405:G4468" si="102">IF(ISNUMBER(SEARCH("Group",D4405)),IFERROR("GRP-"&amp;TEXT(IF(ISNUMBER(A4405),A4405,DATEVALUE(A4405)),"yyyymmdd"),""),"" )</f>
        <v/>
      </c>
      <c r="H4405" s="33">
        <f>IF(ISNUMBER(SEARCH("Group",D4405)),IF(G4405="",E4405,IFERROR(E4405/COUNTIF($G2:$G6000,G4405),E4405)),E4405)</f>
        <v>0</v>
      </c>
      <c r="I4405" s="1" t="str">
        <f>IFERROR(VLOOKUP(C4405,'Clients List'!A:F,6,FALSE),"")</f>
        <v/>
      </c>
    </row>
    <row r="4406" spans="4:9" x14ac:dyDescent="0.45">
      <c r="D4406" t="str">
        <f>IFERROR(VLOOKUP(C4406,'Clients List'!$A:$F,2,FALSE),"")</f>
        <v/>
      </c>
      <c r="F4406" s="1" t="str">
        <f>IF(OR(C4406="",NOT(ISNUMBER(SEARCH("Package",D4406)))),"",VLOOKUP(C4406,'Clients List'!$A:$F,4,FALSE)-SUMIFS($E$2:$E4406,$C$2:$C4406,C4406,$D$2:$D4406,"*Package*"))</f>
        <v/>
      </c>
      <c r="G4406" t="str">
        <f t="shared" si="102"/>
        <v/>
      </c>
      <c r="H4406" s="33">
        <f>IF(ISNUMBER(SEARCH("Group",D4406)),IF(G4406="",E4406,IFERROR(E4406/COUNTIF($G2:$G6000,G4406),E4406)),E4406)</f>
        <v>0</v>
      </c>
      <c r="I4406" s="1" t="str">
        <f>IFERROR(VLOOKUP(C4406,'Clients List'!A:F,6,FALSE),"")</f>
        <v/>
      </c>
    </row>
    <row r="4407" spans="4:9" x14ac:dyDescent="0.45">
      <c r="D4407" t="str">
        <f>IFERROR(VLOOKUP(C4407,'Clients List'!$A:$F,2,FALSE),"")</f>
        <v/>
      </c>
      <c r="F4407" s="1" t="str">
        <f>IF(OR(C4407="",NOT(ISNUMBER(SEARCH("Package",D4407)))),"",VLOOKUP(C4407,'Clients List'!$A:$F,4,FALSE)-SUMIFS($E$2:$E4407,$C$2:$C4407,C4407,$D$2:$D4407,"*Package*"))</f>
        <v/>
      </c>
      <c r="G4407" t="str">
        <f t="shared" si="102"/>
        <v/>
      </c>
      <c r="H4407" s="33">
        <f>IF(ISNUMBER(SEARCH("Group",D4407)),IF(G4407="",E4407,IFERROR(E4407/COUNTIF($G2:$G6000,G4407),E4407)),E4407)</f>
        <v>0</v>
      </c>
      <c r="I4407" s="1" t="str">
        <f>IFERROR(VLOOKUP(C4407,'Clients List'!A:F,6,FALSE),"")</f>
        <v/>
      </c>
    </row>
    <row r="4408" spans="4:9" x14ac:dyDescent="0.45">
      <c r="D4408" t="str">
        <f>IFERROR(VLOOKUP(C4408,'Clients List'!$A:$F,2,FALSE),"")</f>
        <v/>
      </c>
      <c r="F4408" s="1" t="str">
        <f>IF(OR(C4408="",NOT(ISNUMBER(SEARCH("Package",D4408)))),"",VLOOKUP(C4408,'Clients List'!$A:$F,4,FALSE)-SUMIFS($E$2:$E4408,$C$2:$C4408,C4408,$D$2:$D4408,"*Package*"))</f>
        <v/>
      </c>
      <c r="G4408" t="str">
        <f t="shared" si="102"/>
        <v/>
      </c>
      <c r="H4408" s="33">
        <f>IF(ISNUMBER(SEARCH("Group",D4408)),IF(G4408="",E4408,IFERROR(E4408/COUNTIF($G2:$G6000,G4408),E4408)),E4408)</f>
        <v>0</v>
      </c>
      <c r="I4408" s="1" t="str">
        <f>IFERROR(VLOOKUP(C4408,'Clients List'!A:F,6,FALSE),"")</f>
        <v/>
      </c>
    </row>
    <row r="4409" spans="4:9" x14ac:dyDescent="0.45">
      <c r="D4409" t="str">
        <f>IFERROR(VLOOKUP(C4409,'Clients List'!$A:$F,2,FALSE),"")</f>
        <v/>
      </c>
      <c r="F4409" s="1" t="str">
        <f>IF(OR(C4409="",NOT(ISNUMBER(SEARCH("Package",D4409)))),"",VLOOKUP(C4409,'Clients List'!$A:$F,4,FALSE)-SUMIFS($E$2:$E4409,$C$2:$C4409,C4409,$D$2:$D4409,"*Package*"))</f>
        <v/>
      </c>
      <c r="G4409" t="str">
        <f t="shared" si="102"/>
        <v/>
      </c>
      <c r="H4409" s="33">
        <f>IF(ISNUMBER(SEARCH("Group",D4409)),IF(G4409="",E4409,IFERROR(E4409/COUNTIF($G2:$G6000,G4409),E4409)),E4409)</f>
        <v>0</v>
      </c>
      <c r="I4409" s="1" t="str">
        <f>IFERROR(VLOOKUP(C4409,'Clients List'!A:F,6,FALSE),"")</f>
        <v/>
      </c>
    </row>
    <row r="4410" spans="4:9" x14ac:dyDescent="0.45">
      <c r="D4410" t="str">
        <f>IFERROR(VLOOKUP(C4410,'Clients List'!$A:$F,2,FALSE),"")</f>
        <v/>
      </c>
      <c r="F4410" s="1" t="str">
        <f>IF(OR(C4410="",NOT(ISNUMBER(SEARCH("Package",D4410)))),"",VLOOKUP(C4410,'Clients List'!$A:$F,4,FALSE)-SUMIFS($E$2:$E4410,$C$2:$C4410,C4410,$D$2:$D4410,"*Package*"))</f>
        <v/>
      </c>
      <c r="G4410" t="str">
        <f t="shared" si="102"/>
        <v/>
      </c>
      <c r="H4410" s="33">
        <f>IF(ISNUMBER(SEARCH("Group",D4410)),IF(G4410="",E4410,IFERROR(E4410/COUNTIF($G2:$G6000,G4410),E4410)),E4410)</f>
        <v>0</v>
      </c>
      <c r="I4410" s="1" t="str">
        <f>IFERROR(VLOOKUP(C4410,'Clients List'!A:F,6,FALSE),"")</f>
        <v/>
      </c>
    </row>
    <row r="4411" spans="4:9" x14ac:dyDescent="0.45">
      <c r="D4411" t="str">
        <f>IFERROR(VLOOKUP(C4411,'Clients List'!$A:$F,2,FALSE),"")</f>
        <v/>
      </c>
      <c r="F4411" s="1" t="str">
        <f>IF(OR(C4411="",NOT(ISNUMBER(SEARCH("Package",D4411)))),"",VLOOKUP(C4411,'Clients List'!$A:$F,4,FALSE)-SUMIFS($E$2:$E4411,$C$2:$C4411,C4411,$D$2:$D4411,"*Package*"))</f>
        <v/>
      </c>
      <c r="G4411" t="str">
        <f t="shared" si="102"/>
        <v/>
      </c>
      <c r="H4411" s="33">
        <f>IF(ISNUMBER(SEARCH("Group",D4411)),IF(G4411="",E4411,IFERROR(E4411/COUNTIF($G2:$G6000,G4411),E4411)),E4411)</f>
        <v>0</v>
      </c>
      <c r="I4411" s="1" t="str">
        <f>IFERROR(VLOOKUP(C4411,'Clients List'!A:F,6,FALSE),"")</f>
        <v/>
      </c>
    </row>
    <row r="4412" spans="4:9" x14ac:dyDescent="0.45">
      <c r="D4412" t="str">
        <f>IFERROR(VLOOKUP(C4412,'Clients List'!$A:$F,2,FALSE),"")</f>
        <v/>
      </c>
      <c r="F4412" s="1" t="str">
        <f>IF(OR(C4412="",NOT(ISNUMBER(SEARCH("Package",D4412)))),"",VLOOKUP(C4412,'Clients List'!$A:$F,4,FALSE)-SUMIFS($E$2:$E4412,$C$2:$C4412,C4412,$D$2:$D4412,"*Package*"))</f>
        <v/>
      </c>
      <c r="G4412" t="str">
        <f t="shared" si="102"/>
        <v/>
      </c>
      <c r="H4412" s="33">
        <f>IF(ISNUMBER(SEARCH("Group",D4412)),IF(G4412="",E4412,IFERROR(E4412/COUNTIF($G2:$G6000,G4412),E4412)),E4412)</f>
        <v>0</v>
      </c>
      <c r="I4412" s="1" t="str">
        <f>IFERROR(VLOOKUP(C4412,'Clients List'!A:F,6,FALSE),"")</f>
        <v/>
      </c>
    </row>
    <row r="4413" spans="4:9" x14ac:dyDescent="0.45">
      <c r="D4413" t="str">
        <f>IFERROR(VLOOKUP(C4413,'Clients List'!$A:$F,2,FALSE),"")</f>
        <v/>
      </c>
      <c r="F4413" s="1" t="str">
        <f>IF(OR(C4413="",NOT(ISNUMBER(SEARCH("Package",D4413)))),"",VLOOKUP(C4413,'Clients List'!$A:$F,4,FALSE)-SUMIFS($E$2:$E4413,$C$2:$C4413,C4413,$D$2:$D4413,"*Package*"))</f>
        <v/>
      </c>
      <c r="G4413" t="str">
        <f t="shared" si="102"/>
        <v/>
      </c>
      <c r="H4413" s="33">
        <f>IF(ISNUMBER(SEARCH("Group",D4413)),IF(G4413="",E4413,IFERROR(E4413/COUNTIF($G2:$G6000,G4413),E4413)),E4413)</f>
        <v>0</v>
      </c>
      <c r="I4413" s="1" t="str">
        <f>IFERROR(VLOOKUP(C4413,'Clients List'!A:F,6,FALSE),"")</f>
        <v/>
      </c>
    </row>
    <row r="4414" spans="4:9" x14ac:dyDescent="0.45">
      <c r="D4414" t="str">
        <f>IFERROR(VLOOKUP(C4414,'Clients List'!$A:$F,2,FALSE),"")</f>
        <v/>
      </c>
      <c r="F4414" s="1" t="str">
        <f>IF(OR(C4414="",NOT(ISNUMBER(SEARCH("Package",D4414)))),"",VLOOKUP(C4414,'Clients List'!$A:$F,4,FALSE)-SUMIFS($E$2:$E4414,$C$2:$C4414,C4414,$D$2:$D4414,"*Package*"))</f>
        <v/>
      </c>
      <c r="G4414" t="str">
        <f t="shared" si="102"/>
        <v/>
      </c>
      <c r="H4414" s="33">
        <f>IF(ISNUMBER(SEARCH("Group",D4414)),IF(G4414="",E4414,IFERROR(E4414/COUNTIF($G2:$G6000,G4414),E4414)),E4414)</f>
        <v>0</v>
      </c>
      <c r="I4414" s="1" t="str">
        <f>IFERROR(VLOOKUP(C4414,'Clients List'!A:F,6,FALSE),"")</f>
        <v/>
      </c>
    </row>
    <row r="4415" spans="4:9" x14ac:dyDescent="0.45">
      <c r="D4415" t="str">
        <f>IFERROR(VLOOKUP(C4415,'Clients List'!$A:$F,2,FALSE),"")</f>
        <v/>
      </c>
      <c r="F4415" s="1" t="str">
        <f>IF(OR(C4415="",NOT(ISNUMBER(SEARCH("Package",D4415)))),"",VLOOKUP(C4415,'Clients List'!$A:$F,4,FALSE)-SUMIFS($E$2:$E4415,$C$2:$C4415,C4415,$D$2:$D4415,"*Package*"))</f>
        <v/>
      </c>
      <c r="G4415" t="str">
        <f t="shared" si="102"/>
        <v/>
      </c>
      <c r="H4415" s="33">
        <f>IF(ISNUMBER(SEARCH("Group",D4415)),IF(G4415="",E4415,IFERROR(E4415/COUNTIF($G2:$G6000,G4415),E4415)),E4415)</f>
        <v>0</v>
      </c>
      <c r="I4415" s="1" t="str">
        <f>IFERROR(VLOOKUP(C4415,'Clients List'!A:F,6,FALSE),"")</f>
        <v/>
      </c>
    </row>
    <row r="4416" spans="4:9" x14ac:dyDescent="0.45">
      <c r="D4416" t="str">
        <f>IFERROR(VLOOKUP(C4416,'Clients List'!$A:$F,2,FALSE),"")</f>
        <v/>
      </c>
      <c r="F4416" s="1" t="str">
        <f>IF(OR(C4416="",NOT(ISNUMBER(SEARCH("Package",D4416)))),"",VLOOKUP(C4416,'Clients List'!$A:$F,4,FALSE)-SUMIFS($E$2:$E4416,$C$2:$C4416,C4416,$D$2:$D4416,"*Package*"))</f>
        <v/>
      </c>
      <c r="G4416" t="str">
        <f t="shared" si="102"/>
        <v/>
      </c>
      <c r="H4416" s="33">
        <f>IF(ISNUMBER(SEARCH("Group",D4416)),IF(G4416="",E4416,IFERROR(E4416/COUNTIF($G2:$G6000,G4416),E4416)),E4416)</f>
        <v>0</v>
      </c>
      <c r="I4416" s="1" t="str">
        <f>IFERROR(VLOOKUP(C4416,'Clients List'!A:F,6,FALSE),"")</f>
        <v/>
      </c>
    </row>
    <row r="4417" spans="4:9" x14ac:dyDescent="0.45">
      <c r="D4417" t="str">
        <f>IFERROR(VLOOKUP(C4417,'Clients List'!$A:$F,2,FALSE),"")</f>
        <v/>
      </c>
      <c r="F4417" s="1" t="str">
        <f>IF(OR(C4417="",NOT(ISNUMBER(SEARCH("Package",D4417)))),"",VLOOKUP(C4417,'Clients List'!$A:$F,4,FALSE)-SUMIFS($E$2:$E4417,$C$2:$C4417,C4417,$D$2:$D4417,"*Package*"))</f>
        <v/>
      </c>
      <c r="G4417" t="str">
        <f t="shared" si="102"/>
        <v/>
      </c>
      <c r="H4417" s="33">
        <f>IF(ISNUMBER(SEARCH("Group",D4417)),IF(G4417="",E4417,IFERROR(E4417/COUNTIF($G2:$G6000,G4417),E4417)),E4417)</f>
        <v>0</v>
      </c>
      <c r="I4417" s="1" t="str">
        <f>IFERROR(VLOOKUP(C4417,'Clients List'!A:F,6,FALSE),"")</f>
        <v/>
      </c>
    </row>
    <row r="4418" spans="4:9" x14ac:dyDescent="0.45">
      <c r="D4418" t="str">
        <f>IFERROR(VLOOKUP(C4418,'Clients List'!$A:$F,2,FALSE),"")</f>
        <v/>
      </c>
      <c r="F4418" s="1" t="str">
        <f>IF(OR(C4418="",NOT(ISNUMBER(SEARCH("Package",D4418)))),"",VLOOKUP(C4418,'Clients List'!$A:$F,4,FALSE)-SUMIFS($E$2:$E4418,$C$2:$C4418,C4418,$D$2:$D4418,"*Package*"))</f>
        <v/>
      </c>
      <c r="G4418" t="str">
        <f t="shared" si="102"/>
        <v/>
      </c>
      <c r="H4418" s="33">
        <f>IF(ISNUMBER(SEARCH("Group",D4418)),IF(G4418="",E4418,IFERROR(E4418/COUNTIF($G2:$G6000,G4418),E4418)),E4418)</f>
        <v>0</v>
      </c>
      <c r="I4418" s="1" t="str">
        <f>IFERROR(VLOOKUP(C4418,'Clients List'!A:F,6,FALSE),"")</f>
        <v/>
      </c>
    </row>
    <row r="4419" spans="4:9" x14ac:dyDescent="0.45">
      <c r="D4419" t="str">
        <f>IFERROR(VLOOKUP(C4419,'Clients List'!$A:$F,2,FALSE),"")</f>
        <v/>
      </c>
      <c r="F4419" s="1" t="str">
        <f>IF(OR(C4419="",NOT(ISNUMBER(SEARCH("Package",D4419)))),"",VLOOKUP(C4419,'Clients List'!$A:$F,4,FALSE)-SUMIFS($E$2:$E4419,$C$2:$C4419,C4419,$D$2:$D4419,"*Package*"))</f>
        <v/>
      </c>
      <c r="G4419" t="str">
        <f t="shared" si="102"/>
        <v/>
      </c>
      <c r="H4419" s="33">
        <f>IF(ISNUMBER(SEARCH("Group",D4419)),IF(G4419="",E4419,IFERROR(E4419/COUNTIF($G2:$G6000,G4419),E4419)),E4419)</f>
        <v>0</v>
      </c>
      <c r="I4419" s="1" t="str">
        <f>IFERROR(VLOOKUP(C4419,'Clients List'!A:F,6,FALSE),"")</f>
        <v/>
      </c>
    </row>
    <row r="4420" spans="4:9" x14ac:dyDescent="0.45">
      <c r="D4420" t="str">
        <f>IFERROR(VLOOKUP(C4420,'Clients List'!$A:$F,2,FALSE),"")</f>
        <v/>
      </c>
      <c r="F4420" s="1" t="str">
        <f>IF(OR(C4420="",NOT(ISNUMBER(SEARCH("Package",D4420)))),"",VLOOKUP(C4420,'Clients List'!$A:$F,4,FALSE)-SUMIFS($E$2:$E4420,$C$2:$C4420,C4420,$D$2:$D4420,"*Package*"))</f>
        <v/>
      </c>
      <c r="G4420" t="str">
        <f t="shared" si="102"/>
        <v/>
      </c>
      <c r="H4420" s="33">
        <f>IF(ISNUMBER(SEARCH("Group",D4420)),IF(G4420="",E4420,IFERROR(E4420/COUNTIF($G2:$G6000,G4420),E4420)),E4420)</f>
        <v>0</v>
      </c>
      <c r="I4420" s="1" t="str">
        <f>IFERROR(VLOOKUP(C4420,'Clients List'!A:F,6,FALSE),"")</f>
        <v/>
      </c>
    </row>
    <row r="4421" spans="4:9" x14ac:dyDescent="0.45">
      <c r="D4421" t="str">
        <f>IFERROR(VLOOKUP(C4421,'Clients List'!$A:$F,2,FALSE),"")</f>
        <v/>
      </c>
      <c r="F4421" s="1" t="str">
        <f>IF(OR(C4421="",NOT(ISNUMBER(SEARCH("Package",D4421)))),"",VLOOKUP(C4421,'Clients List'!$A:$F,4,FALSE)-SUMIFS($E$2:$E4421,$C$2:$C4421,C4421,$D$2:$D4421,"*Package*"))</f>
        <v/>
      </c>
      <c r="G4421" t="str">
        <f t="shared" si="102"/>
        <v/>
      </c>
      <c r="H4421" s="33">
        <f>IF(ISNUMBER(SEARCH("Group",D4421)),IF(G4421="",E4421,IFERROR(E4421/COUNTIF($G2:$G6000,G4421),E4421)),E4421)</f>
        <v>0</v>
      </c>
      <c r="I4421" s="1" t="str">
        <f>IFERROR(VLOOKUP(C4421,'Clients List'!A:F,6,FALSE),"")</f>
        <v/>
      </c>
    </row>
    <row r="4422" spans="4:9" x14ac:dyDescent="0.45">
      <c r="D4422" t="str">
        <f>IFERROR(VLOOKUP(C4422,'Clients List'!$A:$F,2,FALSE),"")</f>
        <v/>
      </c>
      <c r="F4422" s="1" t="str">
        <f>IF(OR(C4422="",NOT(ISNUMBER(SEARCH("Package",D4422)))),"",VLOOKUP(C4422,'Clients List'!$A:$F,4,FALSE)-SUMIFS($E$2:$E4422,$C$2:$C4422,C4422,$D$2:$D4422,"*Package*"))</f>
        <v/>
      </c>
      <c r="G4422" t="str">
        <f t="shared" si="102"/>
        <v/>
      </c>
      <c r="H4422" s="33">
        <f>IF(ISNUMBER(SEARCH("Group",D4422)),IF(G4422="",E4422,IFERROR(E4422/COUNTIF($G2:$G6000,G4422),E4422)),E4422)</f>
        <v>0</v>
      </c>
      <c r="I4422" s="1" t="str">
        <f>IFERROR(VLOOKUP(C4422,'Clients List'!A:F,6,FALSE),"")</f>
        <v/>
      </c>
    </row>
    <row r="4423" spans="4:9" x14ac:dyDescent="0.45">
      <c r="D4423" t="str">
        <f>IFERROR(VLOOKUP(C4423,'Clients List'!$A:$F,2,FALSE),"")</f>
        <v/>
      </c>
      <c r="F4423" s="1" t="str">
        <f>IF(OR(C4423="",NOT(ISNUMBER(SEARCH("Package",D4423)))),"",VLOOKUP(C4423,'Clients List'!$A:$F,4,FALSE)-SUMIFS($E$2:$E4423,$C$2:$C4423,C4423,$D$2:$D4423,"*Package*"))</f>
        <v/>
      </c>
      <c r="G4423" t="str">
        <f t="shared" si="102"/>
        <v/>
      </c>
      <c r="H4423" s="33">
        <f>IF(ISNUMBER(SEARCH("Group",D4423)),IF(G4423="",E4423,IFERROR(E4423/COUNTIF($G2:$G6000,G4423),E4423)),E4423)</f>
        <v>0</v>
      </c>
      <c r="I4423" s="1" t="str">
        <f>IFERROR(VLOOKUP(C4423,'Clients List'!A:F,6,FALSE),"")</f>
        <v/>
      </c>
    </row>
    <row r="4424" spans="4:9" x14ac:dyDescent="0.45">
      <c r="D4424" t="str">
        <f>IFERROR(VLOOKUP(C4424,'Clients List'!$A:$F,2,FALSE),"")</f>
        <v/>
      </c>
      <c r="F4424" s="1" t="str">
        <f>IF(OR(C4424="",NOT(ISNUMBER(SEARCH("Package",D4424)))),"",VLOOKUP(C4424,'Clients List'!$A:$F,4,FALSE)-SUMIFS($E$2:$E4424,$C$2:$C4424,C4424,$D$2:$D4424,"*Package*"))</f>
        <v/>
      </c>
      <c r="G4424" t="str">
        <f t="shared" si="102"/>
        <v/>
      </c>
      <c r="H4424" s="33">
        <f>IF(ISNUMBER(SEARCH("Group",D4424)),IF(G4424="",E4424,IFERROR(E4424/COUNTIF($G2:$G6000,G4424),E4424)),E4424)</f>
        <v>0</v>
      </c>
      <c r="I4424" s="1" t="str">
        <f>IFERROR(VLOOKUP(C4424,'Clients List'!A:F,6,FALSE),"")</f>
        <v/>
      </c>
    </row>
    <row r="4425" spans="4:9" x14ac:dyDescent="0.45">
      <c r="D4425" t="str">
        <f>IFERROR(VLOOKUP(C4425,'Clients List'!$A:$F,2,FALSE),"")</f>
        <v/>
      </c>
      <c r="F4425" s="1" t="str">
        <f>IF(OR(C4425="",NOT(ISNUMBER(SEARCH("Package",D4425)))),"",VLOOKUP(C4425,'Clients List'!$A:$F,4,FALSE)-SUMIFS($E$2:$E4425,$C$2:$C4425,C4425,$D$2:$D4425,"*Package*"))</f>
        <v/>
      </c>
      <c r="G4425" t="str">
        <f t="shared" si="102"/>
        <v/>
      </c>
      <c r="H4425" s="33">
        <f>IF(ISNUMBER(SEARCH("Group",D4425)),IF(G4425="",E4425,IFERROR(E4425/COUNTIF($G2:$G6000,G4425),E4425)),E4425)</f>
        <v>0</v>
      </c>
      <c r="I4425" s="1" t="str">
        <f>IFERROR(VLOOKUP(C4425,'Clients List'!A:F,6,FALSE),"")</f>
        <v/>
      </c>
    </row>
    <row r="4426" spans="4:9" x14ac:dyDescent="0.45">
      <c r="D4426" t="str">
        <f>IFERROR(VLOOKUP(C4426,'Clients List'!$A:$F,2,FALSE),"")</f>
        <v/>
      </c>
      <c r="F4426" s="1" t="str">
        <f>IF(OR(C4426="",NOT(ISNUMBER(SEARCH("Package",D4426)))),"",VLOOKUP(C4426,'Clients List'!$A:$F,4,FALSE)-SUMIFS($E$2:$E4426,$C$2:$C4426,C4426,$D$2:$D4426,"*Package*"))</f>
        <v/>
      </c>
      <c r="G4426" t="str">
        <f t="shared" si="102"/>
        <v/>
      </c>
      <c r="H4426" s="33">
        <f>IF(ISNUMBER(SEARCH("Group",D4426)),IF(G4426="",E4426,IFERROR(E4426/COUNTIF($G2:$G6000,G4426),E4426)),E4426)</f>
        <v>0</v>
      </c>
      <c r="I4426" s="1" t="str">
        <f>IFERROR(VLOOKUP(C4426,'Clients List'!A:F,6,FALSE),"")</f>
        <v/>
      </c>
    </row>
    <row r="4427" spans="4:9" x14ac:dyDescent="0.45">
      <c r="D4427" t="str">
        <f>IFERROR(VLOOKUP(C4427,'Clients List'!$A:$F,2,FALSE),"")</f>
        <v/>
      </c>
      <c r="F4427" s="1" t="str">
        <f>IF(OR(C4427="",NOT(ISNUMBER(SEARCH("Package",D4427)))),"",VLOOKUP(C4427,'Clients List'!$A:$F,4,FALSE)-SUMIFS($E$2:$E4427,$C$2:$C4427,C4427,$D$2:$D4427,"*Package*"))</f>
        <v/>
      </c>
      <c r="G4427" t="str">
        <f t="shared" si="102"/>
        <v/>
      </c>
      <c r="H4427" s="33">
        <f>IF(ISNUMBER(SEARCH("Group",D4427)),IF(G4427="",E4427,IFERROR(E4427/COUNTIF($G2:$G6000,G4427),E4427)),E4427)</f>
        <v>0</v>
      </c>
      <c r="I4427" s="1" t="str">
        <f>IFERROR(VLOOKUP(C4427,'Clients List'!A:F,6,FALSE),"")</f>
        <v/>
      </c>
    </row>
    <row r="4428" spans="4:9" x14ac:dyDescent="0.45">
      <c r="D4428" t="str">
        <f>IFERROR(VLOOKUP(C4428,'Clients List'!$A:$F,2,FALSE),"")</f>
        <v/>
      </c>
      <c r="F4428" s="1" t="str">
        <f>IF(OR(C4428="",NOT(ISNUMBER(SEARCH("Package",D4428)))),"",VLOOKUP(C4428,'Clients List'!$A:$F,4,FALSE)-SUMIFS($E$2:$E4428,$C$2:$C4428,C4428,$D$2:$D4428,"*Package*"))</f>
        <v/>
      </c>
      <c r="G4428" t="str">
        <f t="shared" si="102"/>
        <v/>
      </c>
      <c r="H4428" s="33">
        <f>IF(ISNUMBER(SEARCH("Group",D4428)),IF(G4428="",E4428,IFERROR(E4428/COUNTIF($G2:$G6000,G4428),E4428)),E4428)</f>
        <v>0</v>
      </c>
      <c r="I4428" s="1" t="str">
        <f>IFERROR(VLOOKUP(C4428,'Clients List'!A:F,6,FALSE),"")</f>
        <v/>
      </c>
    </row>
    <row r="4429" spans="4:9" x14ac:dyDescent="0.45">
      <c r="D4429" t="str">
        <f>IFERROR(VLOOKUP(C4429,'Clients List'!$A:$F,2,FALSE),"")</f>
        <v/>
      </c>
      <c r="F4429" s="1" t="str">
        <f>IF(OR(C4429="",NOT(ISNUMBER(SEARCH("Package",D4429)))),"",VLOOKUP(C4429,'Clients List'!$A:$F,4,FALSE)-SUMIFS($E$2:$E4429,$C$2:$C4429,C4429,$D$2:$D4429,"*Package*"))</f>
        <v/>
      </c>
      <c r="G4429" t="str">
        <f t="shared" si="102"/>
        <v/>
      </c>
      <c r="H4429" s="33">
        <f>IF(ISNUMBER(SEARCH("Group",D4429)),IF(G4429="",E4429,IFERROR(E4429/COUNTIF($G2:$G6000,G4429),E4429)),E4429)</f>
        <v>0</v>
      </c>
      <c r="I4429" s="1" t="str">
        <f>IFERROR(VLOOKUP(C4429,'Clients List'!A:F,6,FALSE),"")</f>
        <v/>
      </c>
    </row>
    <row r="4430" spans="4:9" x14ac:dyDescent="0.45">
      <c r="D4430" t="str">
        <f>IFERROR(VLOOKUP(C4430,'Clients List'!$A:$F,2,FALSE),"")</f>
        <v/>
      </c>
      <c r="F4430" s="1" t="str">
        <f>IF(OR(C4430="",NOT(ISNUMBER(SEARCH("Package",D4430)))),"",VLOOKUP(C4430,'Clients List'!$A:$F,4,FALSE)-SUMIFS($E$2:$E4430,$C$2:$C4430,C4430,$D$2:$D4430,"*Package*"))</f>
        <v/>
      </c>
      <c r="G4430" t="str">
        <f t="shared" si="102"/>
        <v/>
      </c>
      <c r="H4430" s="33">
        <f>IF(ISNUMBER(SEARCH("Group",D4430)),IF(G4430="",E4430,IFERROR(E4430/COUNTIF($G2:$G6000,G4430),E4430)),E4430)</f>
        <v>0</v>
      </c>
      <c r="I4430" s="1" t="str">
        <f>IFERROR(VLOOKUP(C4430,'Clients List'!A:F,6,FALSE),"")</f>
        <v/>
      </c>
    </row>
    <row r="4431" spans="4:9" x14ac:dyDescent="0.45">
      <c r="D4431" t="str">
        <f>IFERROR(VLOOKUP(C4431,'Clients List'!$A:$F,2,FALSE),"")</f>
        <v/>
      </c>
      <c r="F4431" s="1" t="str">
        <f>IF(OR(C4431="",NOT(ISNUMBER(SEARCH("Package",D4431)))),"",VLOOKUP(C4431,'Clients List'!$A:$F,4,FALSE)-SUMIFS($E$2:$E4431,$C$2:$C4431,C4431,$D$2:$D4431,"*Package*"))</f>
        <v/>
      </c>
      <c r="G4431" t="str">
        <f t="shared" si="102"/>
        <v/>
      </c>
      <c r="H4431" s="33">
        <f>IF(ISNUMBER(SEARCH("Group",D4431)),IF(G4431="",E4431,IFERROR(E4431/COUNTIF($G2:$G6000,G4431),E4431)),E4431)</f>
        <v>0</v>
      </c>
      <c r="I4431" s="1" t="str">
        <f>IFERROR(VLOOKUP(C4431,'Clients List'!A:F,6,FALSE),"")</f>
        <v/>
      </c>
    </row>
    <row r="4432" spans="4:9" x14ac:dyDescent="0.45">
      <c r="D4432" t="str">
        <f>IFERROR(VLOOKUP(C4432,'Clients List'!$A:$F,2,FALSE),"")</f>
        <v/>
      </c>
      <c r="F4432" s="1" t="str">
        <f>IF(OR(C4432="",NOT(ISNUMBER(SEARCH("Package",D4432)))),"",VLOOKUP(C4432,'Clients List'!$A:$F,4,FALSE)-SUMIFS($E$2:$E4432,$C$2:$C4432,C4432,$D$2:$D4432,"*Package*"))</f>
        <v/>
      </c>
      <c r="G4432" t="str">
        <f t="shared" si="102"/>
        <v/>
      </c>
      <c r="H4432" s="33">
        <f>IF(ISNUMBER(SEARCH("Group",D4432)),IF(G4432="",E4432,IFERROR(E4432/COUNTIF($G2:$G6000,G4432),E4432)),E4432)</f>
        <v>0</v>
      </c>
      <c r="I4432" s="1" t="str">
        <f>IFERROR(VLOOKUP(C4432,'Clients List'!A:F,6,FALSE),"")</f>
        <v/>
      </c>
    </row>
    <row r="4433" spans="4:9" x14ac:dyDescent="0.45">
      <c r="D4433" t="str">
        <f>IFERROR(VLOOKUP(C4433,'Clients List'!$A:$F,2,FALSE),"")</f>
        <v/>
      </c>
      <c r="F4433" s="1" t="str">
        <f>IF(OR(C4433="",NOT(ISNUMBER(SEARCH("Package",D4433)))),"",VLOOKUP(C4433,'Clients List'!$A:$F,4,FALSE)-SUMIFS($E$2:$E4433,$C$2:$C4433,C4433,$D$2:$D4433,"*Package*"))</f>
        <v/>
      </c>
      <c r="G4433" t="str">
        <f t="shared" si="102"/>
        <v/>
      </c>
      <c r="H4433" s="33">
        <f>IF(ISNUMBER(SEARCH("Group",D4433)),IF(G4433="",E4433,IFERROR(E4433/COUNTIF($G2:$G6000,G4433),E4433)),E4433)</f>
        <v>0</v>
      </c>
      <c r="I4433" s="1" t="str">
        <f>IFERROR(VLOOKUP(C4433,'Clients List'!A:F,6,FALSE),"")</f>
        <v/>
      </c>
    </row>
    <row r="4434" spans="4:9" x14ac:dyDescent="0.45">
      <c r="D4434" t="str">
        <f>IFERROR(VLOOKUP(C4434,'Clients List'!$A:$F,2,FALSE),"")</f>
        <v/>
      </c>
      <c r="F4434" s="1" t="str">
        <f>IF(OR(C4434="",NOT(ISNUMBER(SEARCH("Package",D4434)))),"",VLOOKUP(C4434,'Clients List'!$A:$F,4,FALSE)-SUMIFS($E$2:$E4434,$C$2:$C4434,C4434,$D$2:$D4434,"*Package*"))</f>
        <v/>
      </c>
      <c r="G4434" t="str">
        <f t="shared" si="102"/>
        <v/>
      </c>
      <c r="H4434" s="33">
        <f>IF(ISNUMBER(SEARCH("Group",D4434)),IF(G4434="",E4434,IFERROR(E4434/COUNTIF($G2:$G6000,G4434),E4434)),E4434)</f>
        <v>0</v>
      </c>
      <c r="I4434" s="1" t="str">
        <f>IFERROR(VLOOKUP(C4434,'Clients List'!A:F,6,FALSE),"")</f>
        <v/>
      </c>
    </row>
    <row r="4435" spans="4:9" x14ac:dyDescent="0.45">
      <c r="D4435" t="str">
        <f>IFERROR(VLOOKUP(C4435,'Clients List'!$A:$F,2,FALSE),"")</f>
        <v/>
      </c>
      <c r="F4435" s="1" t="str">
        <f>IF(OR(C4435="",NOT(ISNUMBER(SEARCH("Package",D4435)))),"",VLOOKUP(C4435,'Clients List'!$A:$F,4,FALSE)-SUMIFS($E$2:$E4435,$C$2:$C4435,C4435,$D$2:$D4435,"*Package*"))</f>
        <v/>
      </c>
      <c r="G4435" t="str">
        <f t="shared" si="102"/>
        <v/>
      </c>
      <c r="H4435" s="33">
        <f>IF(ISNUMBER(SEARCH("Group",D4435)),IF(G4435="",E4435,IFERROR(E4435/COUNTIF($G2:$G6000,G4435),E4435)),E4435)</f>
        <v>0</v>
      </c>
      <c r="I4435" s="1" t="str">
        <f>IFERROR(VLOOKUP(C4435,'Clients List'!A:F,6,FALSE),"")</f>
        <v/>
      </c>
    </row>
    <row r="4436" spans="4:9" x14ac:dyDescent="0.45">
      <c r="D4436" t="str">
        <f>IFERROR(VLOOKUP(C4436,'Clients List'!$A:$F,2,FALSE),"")</f>
        <v/>
      </c>
      <c r="F4436" s="1" t="str">
        <f>IF(OR(C4436="",NOT(ISNUMBER(SEARCH("Package",D4436)))),"",VLOOKUP(C4436,'Clients List'!$A:$F,4,FALSE)-SUMIFS($E$2:$E4436,$C$2:$C4436,C4436,$D$2:$D4436,"*Package*"))</f>
        <v/>
      </c>
      <c r="G4436" t="str">
        <f t="shared" si="102"/>
        <v/>
      </c>
      <c r="H4436" s="33">
        <f>IF(ISNUMBER(SEARCH("Group",D4436)),IF(G4436="",E4436,IFERROR(E4436/COUNTIF($G2:$G6000,G4436),E4436)),E4436)</f>
        <v>0</v>
      </c>
      <c r="I4436" s="1" t="str">
        <f>IFERROR(VLOOKUP(C4436,'Clients List'!A:F,6,FALSE),"")</f>
        <v/>
      </c>
    </row>
    <row r="4437" spans="4:9" x14ac:dyDescent="0.45">
      <c r="D4437" t="str">
        <f>IFERROR(VLOOKUP(C4437,'Clients List'!$A:$F,2,FALSE),"")</f>
        <v/>
      </c>
      <c r="F4437" s="1" t="str">
        <f>IF(OR(C4437="",NOT(ISNUMBER(SEARCH("Package",D4437)))),"",VLOOKUP(C4437,'Clients List'!$A:$F,4,FALSE)-SUMIFS($E$2:$E4437,$C$2:$C4437,C4437,$D$2:$D4437,"*Package*"))</f>
        <v/>
      </c>
      <c r="G4437" t="str">
        <f t="shared" si="102"/>
        <v/>
      </c>
      <c r="H4437" s="33">
        <f>IF(ISNUMBER(SEARCH("Group",D4437)),IF(G4437="",E4437,IFERROR(E4437/COUNTIF($G2:$G6000,G4437),E4437)),E4437)</f>
        <v>0</v>
      </c>
      <c r="I4437" s="1" t="str">
        <f>IFERROR(VLOOKUP(C4437,'Clients List'!A:F,6,FALSE),"")</f>
        <v/>
      </c>
    </row>
    <row r="4438" spans="4:9" x14ac:dyDescent="0.45">
      <c r="D4438" t="str">
        <f>IFERROR(VLOOKUP(C4438,'Clients List'!$A:$F,2,FALSE),"")</f>
        <v/>
      </c>
      <c r="F4438" s="1" t="str">
        <f>IF(OR(C4438="",NOT(ISNUMBER(SEARCH("Package",D4438)))),"",VLOOKUP(C4438,'Clients List'!$A:$F,4,FALSE)-SUMIFS($E$2:$E4438,$C$2:$C4438,C4438,$D$2:$D4438,"*Package*"))</f>
        <v/>
      </c>
      <c r="G4438" t="str">
        <f t="shared" si="102"/>
        <v/>
      </c>
      <c r="H4438" s="33">
        <f>IF(ISNUMBER(SEARCH("Group",D4438)),IF(G4438="",E4438,IFERROR(E4438/COUNTIF($G2:$G6000,G4438),E4438)),E4438)</f>
        <v>0</v>
      </c>
      <c r="I4438" s="1" t="str">
        <f>IFERROR(VLOOKUP(C4438,'Clients List'!A:F,6,FALSE),"")</f>
        <v/>
      </c>
    </row>
    <row r="4439" spans="4:9" x14ac:dyDescent="0.45">
      <c r="D4439" t="str">
        <f>IFERROR(VLOOKUP(C4439,'Clients List'!$A:$F,2,FALSE),"")</f>
        <v/>
      </c>
      <c r="F4439" s="1" t="str">
        <f>IF(OR(C4439="",NOT(ISNUMBER(SEARCH("Package",D4439)))),"",VLOOKUP(C4439,'Clients List'!$A:$F,4,FALSE)-SUMIFS($E$2:$E4439,$C$2:$C4439,C4439,$D$2:$D4439,"*Package*"))</f>
        <v/>
      </c>
      <c r="G4439" t="str">
        <f t="shared" si="102"/>
        <v/>
      </c>
      <c r="H4439" s="33">
        <f>IF(ISNUMBER(SEARCH("Group",D4439)),IF(G4439="",E4439,IFERROR(E4439/COUNTIF($G2:$G6000,G4439),E4439)),E4439)</f>
        <v>0</v>
      </c>
      <c r="I4439" s="1" t="str">
        <f>IFERROR(VLOOKUP(C4439,'Clients List'!A:F,6,FALSE),"")</f>
        <v/>
      </c>
    </row>
    <row r="4440" spans="4:9" x14ac:dyDescent="0.45">
      <c r="D4440" t="str">
        <f>IFERROR(VLOOKUP(C4440,'Clients List'!$A:$F,2,FALSE),"")</f>
        <v/>
      </c>
      <c r="F4440" s="1" t="str">
        <f>IF(OR(C4440="",NOT(ISNUMBER(SEARCH("Package",D4440)))),"",VLOOKUP(C4440,'Clients List'!$A:$F,4,FALSE)-SUMIFS($E$2:$E4440,$C$2:$C4440,C4440,$D$2:$D4440,"*Package*"))</f>
        <v/>
      </c>
      <c r="G4440" t="str">
        <f t="shared" si="102"/>
        <v/>
      </c>
      <c r="H4440" s="33">
        <f>IF(ISNUMBER(SEARCH("Group",D4440)),IF(G4440="",E4440,IFERROR(E4440/COUNTIF($G2:$G6000,G4440),E4440)),E4440)</f>
        <v>0</v>
      </c>
      <c r="I4440" s="1" t="str">
        <f>IFERROR(VLOOKUP(C4440,'Clients List'!A:F,6,FALSE),"")</f>
        <v/>
      </c>
    </row>
    <row r="4441" spans="4:9" x14ac:dyDescent="0.45">
      <c r="D4441" t="str">
        <f>IFERROR(VLOOKUP(C4441,'Clients List'!$A:$F,2,FALSE),"")</f>
        <v/>
      </c>
      <c r="F4441" s="1" t="str">
        <f>IF(OR(C4441="",NOT(ISNUMBER(SEARCH("Package",D4441)))),"",VLOOKUP(C4441,'Clients List'!$A:$F,4,FALSE)-SUMIFS($E$2:$E4441,$C$2:$C4441,C4441,$D$2:$D4441,"*Package*"))</f>
        <v/>
      </c>
      <c r="G4441" t="str">
        <f t="shared" si="102"/>
        <v/>
      </c>
      <c r="H4441" s="33">
        <f>IF(ISNUMBER(SEARCH("Group",D4441)),IF(G4441="",E4441,IFERROR(E4441/COUNTIF($G2:$G6000,G4441),E4441)),E4441)</f>
        <v>0</v>
      </c>
      <c r="I4441" s="1" t="str">
        <f>IFERROR(VLOOKUP(C4441,'Clients List'!A:F,6,FALSE),"")</f>
        <v/>
      </c>
    </row>
    <row r="4442" spans="4:9" x14ac:dyDescent="0.45">
      <c r="D4442" t="str">
        <f>IFERROR(VLOOKUP(C4442,'Clients List'!$A:$F,2,FALSE),"")</f>
        <v/>
      </c>
      <c r="F4442" s="1" t="str">
        <f>IF(OR(C4442="",NOT(ISNUMBER(SEARCH("Package",D4442)))),"",VLOOKUP(C4442,'Clients List'!$A:$F,4,FALSE)-SUMIFS($E$2:$E4442,$C$2:$C4442,C4442,$D$2:$D4442,"*Package*"))</f>
        <v/>
      </c>
      <c r="G4442" t="str">
        <f t="shared" si="102"/>
        <v/>
      </c>
      <c r="H4442" s="33">
        <f>IF(ISNUMBER(SEARCH("Group",D4442)),IF(G4442="",E4442,IFERROR(E4442/COUNTIF($G2:$G6000,G4442),E4442)),E4442)</f>
        <v>0</v>
      </c>
      <c r="I4442" s="1" t="str">
        <f>IFERROR(VLOOKUP(C4442,'Clients List'!A:F,6,FALSE),"")</f>
        <v/>
      </c>
    </row>
    <row r="4443" spans="4:9" x14ac:dyDescent="0.45">
      <c r="D4443" t="str">
        <f>IFERROR(VLOOKUP(C4443,'Clients List'!$A:$F,2,FALSE),"")</f>
        <v/>
      </c>
      <c r="F4443" s="1" t="str">
        <f>IF(OR(C4443="",NOT(ISNUMBER(SEARCH("Package",D4443)))),"",VLOOKUP(C4443,'Clients List'!$A:$F,4,FALSE)-SUMIFS($E$2:$E4443,$C$2:$C4443,C4443,$D$2:$D4443,"*Package*"))</f>
        <v/>
      </c>
      <c r="G4443" t="str">
        <f t="shared" si="102"/>
        <v/>
      </c>
      <c r="H4443" s="33">
        <f>IF(ISNUMBER(SEARCH("Group",D4443)),IF(G4443="",E4443,IFERROR(E4443/COUNTIF($G2:$G6000,G4443),E4443)),E4443)</f>
        <v>0</v>
      </c>
      <c r="I4443" s="1" t="str">
        <f>IFERROR(VLOOKUP(C4443,'Clients List'!A:F,6,FALSE),"")</f>
        <v/>
      </c>
    </row>
    <row r="4444" spans="4:9" x14ac:dyDescent="0.45">
      <c r="D4444" t="str">
        <f>IFERROR(VLOOKUP(C4444,'Clients List'!$A:$F,2,FALSE),"")</f>
        <v/>
      </c>
      <c r="F4444" s="1" t="str">
        <f>IF(OR(C4444="",NOT(ISNUMBER(SEARCH("Package",D4444)))),"",VLOOKUP(C4444,'Clients List'!$A:$F,4,FALSE)-SUMIFS($E$2:$E4444,$C$2:$C4444,C4444,$D$2:$D4444,"*Package*"))</f>
        <v/>
      </c>
      <c r="G4444" t="str">
        <f t="shared" si="102"/>
        <v/>
      </c>
      <c r="H4444" s="33">
        <f>IF(ISNUMBER(SEARCH("Group",D4444)),IF(G4444="",E4444,IFERROR(E4444/COUNTIF($G2:$G6000,G4444),E4444)),E4444)</f>
        <v>0</v>
      </c>
      <c r="I4444" s="1" t="str">
        <f>IFERROR(VLOOKUP(C4444,'Clients List'!A:F,6,FALSE),"")</f>
        <v/>
      </c>
    </row>
    <row r="4445" spans="4:9" x14ac:dyDescent="0.45">
      <c r="D4445" t="str">
        <f>IFERROR(VLOOKUP(C4445,'Clients List'!$A:$F,2,FALSE),"")</f>
        <v/>
      </c>
      <c r="F4445" s="1" t="str">
        <f>IF(OR(C4445="",NOT(ISNUMBER(SEARCH("Package",D4445)))),"",VLOOKUP(C4445,'Clients List'!$A:$F,4,FALSE)-SUMIFS($E$2:$E4445,$C$2:$C4445,C4445,$D$2:$D4445,"*Package*"))</f>
        <v/>
      </c>
      <c r="G4445" t="str">
        <f t="shared" si="102"/>
        <v/>
      </c>
      <c r="H4445" s="33">
        <f>IF(ISNUMBER(SEARCH("Group",D4445)),IF(G4445="",E4445,IFERROR(E4445/COUNTIF($G2:$G6000,G4445),E4445)),E4445)</f>
        <v>0</v>
      </c>
      <c r="I4445" s="1" t="str">
        <f>IFERROR(VLOOKUP(C4445,'Clients List'!A:F,6,FALSE),"")</f>
        <v/>
      </c>
    </row>
    <row r="4446" spans="4:9" x14ac:dyDescent="0.45">
      <c r="D4446" t="str">
        <f>IFERROR(VLOOKUP(C4446,'Clients List'!$A:$F,2,FALSE),"")</f>
        <v/>
      </c>
      <c r="F4446" s="1" t="str">
        <f>IF(OR(C4446="",NOT(ISNUMBER(SEARCH("Package",D4446)))),"",VLOOKUP(C4446,'Clients List'!$A:$F,4,FALSE)-SUMIFS($E$2:$E4446,$C$2:$C4446,C4446,$D$2:$D4446,"*Package*"))</f>
        <v/>
      </c>
      <c r="G4446" t="str">
        <f t="shared" si="102"/>
        <v/>
      </c>
      <c r="H4446" s="33">
        <f>IF(ISNUMBER(SEARCH("Group",D4446)),IF(G4446="",E4446,IFERROR(E4446/COUNTIF($G2:$G6000,G4446),E4446)),E4446)</f>
        <v>0</v>
      </c>
      <c r="I4446" s="1" t="str">
        <f>IFERROR(VLOOKUP(C4446,'Clients List'!A:F,6,FALSE),"")</f>
        <v/>
      </c>
    </row>
    <row r="4447" spans="4:9" x14ac:dyDescent="0.45">
      <c r="D4447" t="str">
        <f>IFERROR(VLOOKUP(C4447,'Clients List'!$A:$F,2,FALSE),"")</f>
        <v/>
      </c>
      <c r="F4447" s="1" t="str">
        <f>IF(OR(C4447="",NOT(ISNUMBER(SEARCH("Package",D4447)))),"",VLOOKUP(C4447,'Clients List'!$A:$F,4,FALSE)-SUMIFS($E$2:$E4447,$C$2:$C4447,C4447,$D$2:$D4447,"*Package*"))</f>
        <v/>
      </c>
      <c r="G4447" t="str">
        <f t="shared" si="102"/>
        <v/>
      </c>
      <c r="H4447" s="33">
        <f>IF(ISNUMBER(SEARCH("Group",D4447)),IF(G4447="",E4447,IFERROR(E4447/COUNTIF($G2:$G6000,G4447),E4447)),E4447)</f>
        <v>0</v>
      </c>
      <c r="I4447" s="1" t="str">
        <f>IFERROR(VLOOKUP(C4447,'Clients List'!A:F,6,FALSE),"")</f>
        <v/>
      </c>
    </row>
    <row r="4448" spans="4:9" x14ac:dyDescent="0.45">
      <c r="D4448" t="str">
        <f>IFERROR(VLOOKUP(C4448,'Clients List'!$A:$F,2,FALSE),"")</f>
        <v/>
      </c>
      <c r="F4448" s="1" t="str">
        <f>IF(OR(C4448="",NOT(ISNUMBER(SEARCH("Package",D4448)))),"",VLOOKUP(C4448,'Clients List'!$A:$F,4,FALSE)-SUMIFS($E$2:$E4448,$C$2:$C4448,C4448,$D$2:$D4448,"*Package*"))</f>
        <v/>
      </c>
      <c r="G4448" t="str">
        <f t="shared" si="102"/>
        <v/>
      </c>
      <c r="H4448" s="33">
        <f>IF(ISNUMBER(SEARCH("Group",D4448)),IF(G4448="",E4448,IFERROR(E4448/COUNTIF($G2:$G6000,G4448),E4448)),E4448)</f>
        <v>0</v>
      </c>
      <c r="I4448" s="1" t="str">
        <f>IFERROR(VLOOKUP(C4448,'Clients List'!A:F,6,FALSE),"")</f>
        <v/>
      </c>
    </row>
    <row r="4449" spans="4:9" x14ac:dyDescent="0.45">
      <c r="D4449" t="str">
        <f>IFERROR(VLOOKUP(C4449,'Clients List'!$A:$F,2,FALSE),"")</f>
        <v/>
      </c>
      <c r="F4449" s="1" t="str">
        <f>IF(OR(C4449="",NOT(ISNUMBER(SEARCH("Package",D4449)))),"",VLOOKUP(C4449,'Clients List'!$A:$F,4,FALSE)-SUMIFS($E$2:$E4449,$C$2:$C4449,C4449,$D$2:$D4449,"*Package*"))</f>
        <v/>
      </c>
      <c r="G4449" t="str">
        <f t="shared" si="102"/>
        <v/>
      </c>
      <c r="H4449" s="33">
        <f>IF(ISNUMBER(SEARCH("Group",D4449)),IF(G4449="",E4449,IFERROR(E4449/COUNTIF($G2:$G6000,G4449),E4449)),E4449)</f>
        <v>0</v>
      </c>
      <c r="I4449" s="1" t="str">
        <f>IFERROR(VLOOKUP(C4449,'Clients List'!A:F,6,FALSE),"")</f>
        <v/>
      </c>
    </row>
    <row r="4450" spans="4:9" x14ac:dyDescent="0.45">
      <c r="D4450" t="str">
        <f>IFERROR(VLOOKUP(C4450,'Clients List'!$A:$F,2,FALSE),"")</f>
        <v/>
      </c>
      <c r="F4450" s="1" t="str">
        <f>IF(OR(C4450="",NOT(ISNUMBER(SEARCH("Package",D4450)))),"",VLOOKUP(C4450,'Clients List'!$A:$F,4,FALSE)-SUMIFS($E$2:$E4450,$C$2:$C4450,C4450,$D$2:$D4450,"*Package*"))</f>
        <v/>
      </c>
      <c r="G4450" t="str">
        <f t="shared" si="102"/>
        <v/>
      </c>
      <c r="H4450" s="33">
        <f>IF(ISNUMBER(SEARCH("Group",D4450)),IF(G4450="",E4450,IFERROR(E4450/COUNTIF($G2:$G6000,G4450),E4450)),E4450)</f>
        <v>0</v>
      </c>
      <c r="I4450" s="1" t="str">
        <f>IFERROR(VLOOKUP(C4450,'Clients List'!A:F,6,FALSE),"")</f>
        <v/>
      </c>
    </row>
    <row r="4451" spans="4:9" x14ac:dyDescent="0.45">
      <c r="D4451" t="str">
        <f>IFERROR(VLOOKUP(C4451,'Clients List'!$A:$F,2,FALSE),"")</f>
        <v/>
      </c>
      <c r="F4451" s="1" t="str">
        <f>IF(OR(C4451="",NOT(ISNUMBER(SEARCH("Package",D4451)))),"",VLOOKUP(C4451,'Clients List'!$A:$F,4,FALSE)-SUMIFS($E$2:$E4451,$C$2:$C4451,C4451,$D$2:$D4451,"*Package*"))</f>
        <v/>
      </c>
      <c r="G4451" t="str">
        <f t="shared" si="102"/>
        <v/>
      </c>
      <c r="H4451" s="33">
        <f>IF(ISNUMBER(SEARCH("Group",D4451)),IF(G4451="",E4451,IFERROR(E4451/COUNTIF($G2:$G6000,G4451),E4451)),E4451)</f>
        <v>0</v>
      </c>
      <c r="I4451" s="1" t="str">
        <f>IFERROR(VLOOKUP(C4451,'Clients List'!A:F,6,FALSE),"")</f>
        <v/>
      </c>
    </row>
    <row r="4452" spans="4:9" x14ac:dyDescent="0.45">
      <c r="D4452" t="str">
        <f>IFERROR(VLOOKUP(C4452,'Clients List'!$A:$F,2,FALSE),"")</f>
        <v/>
      </c>
      <c r="F4452" s="1" t="str">
        <f>IF(OR(C4452="",NOT(ISNUMBER(SEARCH("Package",D4452)))),"",VLOOKUP(C4452,'Clients List'!$A:$F,4,FALSE)-SUMIFS($E$2:$E4452,$C$2:$C4452,C4452,$D$2:$D4452,"*Package*"))</f>
        <v/>
      </c>
      <c r="G4452" t="str">
        <f t="shared" si="102"/>
        <v/>
      </c>
      <c r="H4452" s="33">
        <f>IF(ISNUMBER(SEARCH("Group",D4452)),IF(G4452="",E4452,IFERROR(E4452/COUNTIF($G2:$G6000,G4452),E4452)),E4452)</f>
        <v>0</v>
      </c>
      <c r="I4452" s="1" t="str">
        <f>IFERROR(VLOOKUP(C4452,'Clients List'!A:F,6,FALSE),"")</f>
        <v/>
      </c>
    </row>
    <row r="4453" spans="4:9" x14ac:dyDescent="0.45">
      <c r="D4453" t="str">
        <f>IFERROR(VLOOKUP(C4453,'Clients List'!$A:$F,2,FALSE),"")</f>
        <v/>
      </c>
      <c r="F4453" s="1" t="str">
        <f>IF(OR(C4453="",NOT(ISNUMBER(SEARCH("Package",D4453)))),"",VLOOKUP(C4453,'Clients List'!$A:$F,4,FALSE)-SUMIFS($E$2:$E4453,$C$2:$C4453,C4453,$D$2:$D4453,"*Package*"))</f>
        <v/>
      </c>
      <c r="G4453" t="str">
        <f t="shared" si="102"/>
        <v/>
      </c>
      <c r="H4453" s="33">
        <f>IF(ISNUMBER(SEARCH("Group",D4453)),IF(G4453="",E4453,IFERROR(E4453/COUNTIF($G2:$G6000,G4453),E4453)),E4453)</f>
        <v>0</v>
      </c>
      <c r="I4453" s="1" t="str">
        <f>IFERROR(VLOOKUP(C4453,'Clients List'!A:F,6,FALSE),"")</f>
        <v/>
      </c>
    </row>
    <row r="4454" spans="4:9" x14ac:dyDescent="0.45">
      <c r="D4454" t="str">
        <f>IFERROR(VLOOKUP(C4454,'Clients List'!$A:$F,2,FALSE),"")</f>
        <v/>
      </c>
      <c r="F4454" s="1" t="str">
        <f>IF(OR(C4454="",NOT(ISNUMBER(SEARCH("Package",D4454)))),"",VLOOKUP(C4454,'Clients List'!$A:$F,4,FALSE)-SUMIFS($E$2:$E4454,$C$2:$C4454,C4454,$D$2:$D4454,"*Package*"))</f>
        <v/>
      </c>
      <c r="G4454" t="str">
        <f t="shared" si="102"/>
        <v/>
      </c>
      <c r="H4454" s="33">
        <f>IF(ISNUMBER(SEARCH("Group",D4454)),IF(G4454="",E4454,IFERROR(E4454/COUNTIF($G2:$G6000,G4454),E4454)),E4454)</f>
        <v>0</v>
      </c>
      <c r="I4454" s="1" t="str">
        <f>IFERROR(VLOOKUP(C4454,'Clients List'!A:F,6,FALSE),"")</f>
        <v/>
      </c>
    </row>
    <row r="4455" spans="4:9" x14ac:dyDescent="0.45">
      <c r="D4455" t="str">
        <f>IFERROR(VLOOKUP(C4455,'Clients List'!$A:$F,2,FALSE),"")</f>
        <v/>
      </c>
      <c r="F4455" s="1" t="str">
        <f>IF(OR(C4455="",NOT(ISNUMBER(SEARCH("Package",D4455)))),"",VLOOKUP(C4455,'Clients List'!$A:$F,4,FALSE)-SUMIFS($E$2:$E4455,$C$2:$C4455,C4455,$D$2:$D4455,"*Package*"))</f>
        <v/>
      </c>
      <c r="G4455" t="str">
        <f t="shared" si="102"/>
        <v/>
      </c>
      <c r="H4455" s="33">
        <f>IF(ISNUMBER(SEARCH("Group",D4455)),IF(G4455="",E4455,IFERROR(E4455/COUNTIF($G2:$G6000,G4455),E4455)),E4455)</f>
        <v>0</v>
      </c>
      <c r="I4455" s="1" t="str">
        <f>IFERROR(VLOOKUP(C4455,'Clients List'!A:F,6,FALSE),"")</f>
        <v/>
      </c>
    </row>
    <row r="4456" spans="4:9" x14ac:dyDescent="0.45">
      <c r="D4456" t="str">
        <f>IFERROR(VLOOKUP(C4456,'Clients List'!$A:$F,2,FALSE),"")</f>
        <v/>
      </c>
      <c r="F4456" s="1" t="str">
        <f>IF(OR(C4456="",NOT(ISNUMBER(SEARCH("Package",D4456)))),"",VLOOKUP(C4456,'Clients List'!$A:$F,4,FALSE)-SUMIFS($E$2:$E4456,$C$2:$C4456,C4456,$D$2:$D4456,"*Package*"))</f>
        <v/>
      </c>
      <c r="G4456" t="str">
        <f t="shared" si="102"/>
        <v/>
      </c>
      <c r="H4456" s="33">
        <f>IF(ISNUMBER(SEARCH("Group",D4456)),IF(G4456="",E4456,IFERROR(E4456/COUNTIF($G2:$G6000,G4456),E4456)),E4456)</f>
        <v>0</v>
      </c>
      <c r="I4456" s="1" t="str">
        <f>IFERROR(VLOOKUP(C4456,'Clients List'!A:F,6,FALSE),"")</f>
        <v/>
      </c>
    </row>
    <row r="4457" spans="4:9" x14ac:dyDescent="0.45">
      <c r="D4457" t="str">
        <f>IFERROR(VLOOKUP(C4457,'Clients List'!$A:$F,2,FALSE),"")</f>
        <v/>
      </c>
      <c r="F4457" s="1" t="str">
        <f>IF(OR(C4457="",NOT(ISNUMBER(SEARCH("Package",D4457)))),"",VLOOKUP(C4457,'Clients List'!$A:$F,4,FALSE)-SUMIFS($E$2:$E4457,$C$2:$C4457,C4457,$D$2:$D4457,"*Package*"))</f>
        <v/>
      </c>
      <c r="G4457" t="str">
        <f t="shared" si="102"/>
        <v/>
      </c>
      <c r="H4457" s="33">
        <f>IF(ISNUMBER(SEARCH("Group",D4457)),IF(G4457="",E4457,IFERROR(E4457/COUNTIF($G2:$G6000,G4457),E4457)),E4457)</f>
        <v>0</v>
      </c>
      <c r="I4457" s="1" t="str">
        <f>IFERROR(VLOOKUP(C4457,'Clients List'!A:F,6,FALSE),"")</f>
        <v/>
      </c>
    </row>
    <row r="4458" spans="4:9" x14ac:dyDescent="0.45">
      <c r="D4458" t="str">
        <f>IFERROR(VLOOKUP(C4458,'Clients List'!$A:$F,2,FALSE),"")</f>
        <v/>
      </c>
      <c r="F4458" s="1" t="str">
        <f>IF(OR(C4458="",NOT(ISNUMBER(SEARCH("Package",D4458)))),"",VLOOKUP(C4458,'Clients List'!$A:$F,4,FALSE)-SUMIFS($E$2:$E4458,$C$2:$C4458,C4458,$D$2:$D4458,"*Package*"))</f>
        <v/>
      </c>
      <c r="G4458" t="str">
        <f t="shared" si="102"/>
        <v/>
      </c>
      <c r="H4458" s="33">
        <f>IF(ISNUMBER(SEARCH("Group",D4458)),IF(G4458="",E4458,IFERROR(E4458/COUNTIF($G2:$G6000,G4458),E4458)),E4458)</f>
        <v>0</v>
      </c>
      <c r="I4458" s="1" t="str">
        <f>IFERROR(VLOOKUP(C4458,'Clients List'!A:F,6,FALSE),"")</f>
        <v/>
      </c>
    </row>
    <row r="4459" spans="4:9" x14ac:dyDescent="0.45">
      <c r="D4459" t="str">
        <f>IFERROR(VLOOKUP(C4459,'Clients List'!$A:$F,2,FALSE),"")</f>
        <v/>
      </c>
      <c r="F4459" s="1" t="str">
        <f>IF(OR(C4459="",NOT(ISNUMBER(SEARCH("Package",D4459)))),"",VLOOKUP(C4459,'Clients List'!$A:$F,4,FALSE)-SUMIFS($E$2:$E4459,$C$2:$C4459,C4459,$D$2:$D4459,"*Package*"))</f>
        <v/>
      </c>
      <c r="G4459" t="str">
        <f t="shared" si="102"/>
        <v/>
      </c>
      <c r="H4459" s="33">
        <f>IF(ISNUMBER(SEARCH("Group",D4459)),IF(G4459="",E4459,IFERROR(E4459/COUNTIF($G2:$G6000,G4459),E4459)),E4459)</f>
        <v>0</v>
      </c>
      <c r="I4459" s="1" t="str">
        <f>IFERROR(VLOOKUP(C4459,'Clients List'!A:F,6,FALSE),"")</f>
        <v/>
      </c>
    </row>
    <row r="4460" spans="4:9" x14ac:dyDescent="0.45">
      <c r="D4460" t="str">
        <f>IFERROR(VLOOKUP(C4460,'Clients List'!$A:$F,2,FALSE),"")</f>
        <v/>
      </c>
      <c r="F4460" s="1" t="str">
        <f>IF(OR(C4460="",NOT(ISNUMBER(SEARCH("Package",D4460)))),"",VLOOKUP(C4460,'Clients List'!$A:$F,4,FALSE)-SUMIFS($E$2:$E4460,$C$2:$C4460,C4460,$D$2:$D4460,"*Package*"))</f>
        <v/>
      </c>
      <c r="G4460" t="str">
        <f t="shared" si="102"/>
        <v/>
      </c>
      <c r="H4460" s="33">
        <f>IF(ISNUMBER(SEARCH("Group",D4460)),IF(G4460="",E4460,IFERROR(E4460/COUNTIF($G2:$G6000,G4460),E4460)),E4460)</f>
        <v>0</v>
      </c>
      <c r="I4460" s="1" t="str">
        <f>IFERROR(VLOOKUP(C4460,'Clients List'!A:F,6,FALSE),"")</f>
        <v/>
      </c>
    </row>
    <row r="4461" spans="4:9" x14ac:dyDescent="0.45">
      <c r="D4461" t="str">
        <f>IFERROR(VLOOKUP(C4461,'Clients List'!$A:$F,2,FALSE),"")</f>
        <v/>
      </c>
      <c r="F4461" s="1" t="str">
        <f>IF(OR(C4461="",NOT(ISNUMBER(SEARCH("Package",D4461)))),"",VLOOKUP(C4461,'Clients List'!$A:$F,4,FALSE)-SUMIFS($E$2:$E4461,$C$2:$C4461,C4461,$D$2:$D4461,"*Package*"))</f>
        <v/>
      </c>
      <c r="G4461" t="str">
        <f t="shared" si="102"/>
        <v/>
      </c>
      <c r="H4461" s="33">
        <f>IF(ISNUMBER(SEARCH("Group",D4461)),IF(G4461="",E4461,IFERROR(E4461/COUNTIF($G2:$G6000,G4461),E4461)),E4461)</f>
        <v>0</v>
      </c>
      <c r="I4461" s="1" t="str">
        <f>IFERROR(VLOOKUP(C4461,'Clients List'!A:F,6,FALSE),"")</f>
        <v/>
      </c>
    </row>
    <row r="4462" spans="4:9" x14ac:dyDescent="0.45">
      <c r="D4462" t="str">
        <f>IFERROR(VLOOKUP(C4462,'Clients List'!$A:$F,2,FALSE),"")</f>
        <v/>
      </c>
      <c r="F4462" s="1" t="str">
        <f>IF(OR(C4462="",NOT(ISNUMBER(SEARCH("Package",D4462)))),"",VLOOKUP(C4462,'Clients List'!$A:$F,4,FALSE)-SUMIFS($E$2:$E4462,$C$2:$C4462,C4462,$D$2:$D4462,"*Package*"))</f>
        <v/>
      </c>
      <c r="G4462" t="str">
        <f t="shared" si="102"/>
        <v/>
      </c>
      <c r="H4462" s="33">
        <f>IF(ISNUMBER(SEARCH("Group",D4462)),IF(G4462="",E4462,IFERROR(E4462/COUNTIF($G2:$G6000,G4462),E4462)),E4462)</f>
        <v>0</v>
      </c>
      <c r="I4462" s="1" t="str">
        <f>IFERROR(VLOOKUP(C4462,'Clients List'!A:F,6,FALSE),"")</f>
        <v/>
      </c>
    </row>
    <row r="4463" spans="4:9" x14ac:dyDescent="0.45">
      <c r="D4463" t="str">
        <f>IFERROR(VLOOKUP(C4463,'Clients List'!$A:$F,2,FALSE),"")</f>
        <v/>
      </c>
      <c r="F4463" s="1" t="str">
        <f>IF(OR(C4463="",NOT(ISNUMBER(SEARCH("Package",D4463)))),"",VLOOKUP(C4463,'Clients List'!$A:$F,4,FALSE)-SUMIFS($E$2:$E4463,$C$2:$C4463,C4463,$D$2:$D4463,"*Package*"))</f>
        <v/>
      </c>
      <c r="G4463" t="str">
        <f t="shared" si="102"/>
        <v/>
      </c>
      <c r="H4463" s="33">
        <f>IF(ISNUMBER(SEARCH("Group",D4463)),IF(G4463="",E4463,IFERROR(E4463/COUNTIF($G2:$G6000,G4463),E4463)),E4463)</f>
        <v>0</v>
      </c>
      <c r="I4463" s="1" t="str">
        <f>IFERROR(VLOOKUP(C4463,'Clients List'!A:F,6,FALSE),"")</f>
        <v/>
      </c>
    </row>
    <row r="4464" spans="4:9" x14ac:dyDescent="0.45">
      <c r="D4464" t="str">
        <f>IFERROR(VLOOKUP(C4464,'Clients List'!$A:$F,2,FALSE),"")</f>
        <v/>
      </c>
      <c r="F4464" s="1" t="str">
        <f>IF(OR(C4464="",NOT(ISNUMBER(SEARCH("Package",D4464)))),"",VLOOKUP(C4464,'Clients List'!$A:$F,4,FALSE)-SUMIFS($E$2:$E4464,$C$2:$C4464,C4464,$D$2:$D4464,"*Package*"))</f>
        <v/>
      </c>
      <c r="G4464" t="str">
        <f t="shared" si="102"/>
        <v/>
      </c>
      <c r="H4464" s="33">
        <f>IF(ISNUMBER(SEARCH("Group",D4464)),IF(G4464="",E4464,IFERROR(E4464/COUNTIF($G2:$G6000,G4464),E4464)),E4464)</f>
        <v>0</v>
      </c>
      <c r="I4464" s="1" t="str">
        <f>IFERROR(VLOOKUP(C4464,'Clients List'!A:F,6,FALSE),"")</f>
        <v/>
      </c>
    </row>
    <row r="4465" spans="4:9" x14ac:dyDescent="0.45">
      <c r="D4465" t="str">
        <f>IFERROR(VLOOKUP(C4465,'Clients List'!$A:$F,2,FALSE),"")</f>
        <v/>
      </c>
      <c r="F4465" s="1" t="str">
        <f>IF(OR(C4465="",NOT(ISNUMBER(SEARCH("Package",D4465)))),"",VLOOKUP(C4465,'Clients List'!$A:$F,4,FALSE)-SUMIFS($E$2:$E4465,$C$2:$C4465,C4465,$D$2:$D4465,"*Package*"))</f>
        <v/>
      </c>
      <c r="G4465" t="str">
        <f t="shared" si="102"/>
        <v/>
      </c>
      <c r="H4465" s="33">
        <f>IF(ISNUMBER(SEARCH("Group",D4465)),IF(G4465="",E4465,IFERROR(E4465/COUNTIF($G2:$G6000,G4465),E4465)),E4465)</f>
        <v>0</v>
      </c>
      <c r="I4465" s="1" t="str">
        <f>IFERROR(VLOOKUP(C4465,'Clients List'!A:F,6,FALSE),"")</f>
        <v/>
      </c>
    </row>
    <row r="4466" spans="4:9" x14ac:dyDescent="0.45">
      <c r="D4466" t="str">
        <f>IFERROR(VLOOKUP(C4466,'Clients List'!$A:$F,2,FALSE),"")</f>
        <v/>
      </c>
      <c r="F4466" s="1" t="str">
        <f>IF(OR(C4466="",NOT(ISNUMBER(SEARCH("Package",D4466)))),"",VLOOKUP(C4466,'Clients List'!$A:$F,4,FALSE)-SUMIFS($E$2:$E4466,$C$2:$C4466,C4466,$D$2:$D4466,"*Package*"))</f>
        <v/>
      </c>
      <c r="G4466" t="str">
        <f t="shared" si="102"/>
        <v/>
      </c>
      <c r="H4466" s="33">
        <f>IF(ISNUMBER(SEARCH("Group",D4466)),IF(G4466="",E4466,IFERROR(E4466/COUNTIF($G2:$G6000,G4466),E4466)),E4466)</f>
        <v>0</v>
      </c>
      <c r="I4466" s="1" t="str">
        <f>IFERROR(VLOOKUP(C4466,'Clients List'!A:F,6,FALSE),"")</f>
        <v/>
      </c>
    </row>
    <row r="4467" spans="4:9" x14ac:dyDescent="0.45">
      <c r="D4467" t="str">
        <f>IFERROR(VLOOKUP(C4467,'Clients List'!$A:$F,2,FALSE),"")</f>
        <v/>
      </c>
      <c r="F4467" s="1" t="str">
        <f>IF(OR(C4467="",NOT(ISNUMBER(SEARCH("Package",D4467)))),"",VLOOKUP(C4467,'Clients List'!$A:$F,4,FALSE)-SUMIFS($E$2:$E4467,$C$2:$C4467,C4467,$D$2:$D4467,"*Package*"))</f>
        <v/>
      </c>
      <c r="G4467" t="str">
        <f t="shared" si="102"/>
        <v/>
      </c>
      <c r="H4467" s="33">
        <f>IF(ISNUMBER(SEARCH("Group",D4467)),IF(G4467="",E4467,IFERROR(E4467/COUNTIF($G2:$G6000,G4467),E4467)),E4467)</f>
        <v>0</v>
      </c>
      <c r="I4467" s="1" t="str">
        <f>IFERROR(VLOOKUP(C4467,'Clients List'!A:F,6,FALSE),"")</f>
        <v/>
      </c>
    </row>
    <row r="4468" spans="4:9" x14ac:dyDescent="0.45">
      <c r="D4468" t="str">
        <f>IFERROR(VLOOKUP(C4468,'Clients List'!$A:$F,2,FALSE),"")</f>
        <v/>
      </c>
      <c r="F4468" s="1" t="str">
        <f>IF(OR(C4468="",NOT(ISNUMBER(SEARCH("Package",D4468)))),"",VLOOKUP(C4468,'Clients List'!$A:$F,4,FALSE)-SUMIFS($E$2:$E4468,$C$2:$C4468,C4468,$D$2:$D4468,"*Package*"))</f>
        <v/>
      </c>
      <c r="G4468" t="str">
        <f t="shared" si="102"/>
        <v/>
      </c>
      <c r="H4468" s="33">
        <f>IF(ISNUMBER(SEARCH("Group",D4468)),IF(G4468="",E4468,IFERROR(E4468/COUNTIF($G2:$G6000,G4468),E4468)),E4468)</f>
        <v>0</v>
      </c>
      <c r="I4468" s="1" t="str">
        <f>IFERROR(VLOOKUP(C4468,'Clients List'!A:F,6,FALSE),"")</f>
        <v/>
      </c>
    </row>
    <row r="4469" spans="4:9" x14ac:dyDescent="0.45">
      <c r="D4469" t="str">
        <f>IFERROR(VLOOKUP(C4469,'Clients List'!$A:$F,2,FALSE),"")</f>
        <v/>
      </c>
      <c r="F4469" s="1" t="str">
        <f>IF(OR(C4469="",NOT(ISNUMBER(SEARCH("Package",D4469)))),"",VLOOKUP(C4469,'Clients List'!$A:$F,4,FALSE)-SUMIFS($E$2:$E4469,$C$2:$C4469,C4469,$D$2:$D4469,"*Package*"))</f>
        <v/>
      </c>
      <c r="G4469" t="str">
        <f t="shared" ref="G4469:G4532" si="103">IF(ISNUMBER(SEARCH("Group",D4469)),IFERROR("GRP-"&amp;TEXT(IF(ISNUMBER(A4469),A4469,DATEVALUE(A4469)),"yyyymmdd"),""),"" )</f>
        <v/>
      </c>
      <c r="H4469" s="33">
        <f>IF(ISNUMBER(SEARCH("Group",D4469)),IF(G4469="",E4469,IFERROR(E4469/COUNTIF($G2:$G6000,G4469),E4469)),E4469)</f>
        <v>0</v>
      </c>
      <c r="I4469" s="1" t="str">
        <f>IFERROR(VLOOKUP(C4469,'Clients List'!A:F,6,FALSE),"")</f>
        <v/>
      </c>
    </row>
    <row r="4470" spans="4:9" x14ac:dyDescent="0.45">
      <c r="D4470" t="str">
        <f>IFERROR(VLOOKUP(C4470,'Clients List'!$A:$F,2,FALSE),"")</f>
        <v/>
      </c>
      <c r="F4470" s="1" t="str">
        <f>IF(OR(C4470="",NOT(ISNUMBER(SEARCH("Package",D4470)))),"",VLOOKUP(C4470,'Clients List'!$A:$F,4,FALSE)-SUMIFS($E$2:$E4470,$C$2:$C4470,C4470,$D$2:$D4470,"*Package*"))</f>
        <v/>
      </c>
      <c r="G4470" t="str">
        <f t="shared" si="103"/>
        <v/>
      </c>
      <c r="H4470" s="33">
        <f>IF(ISNUMBER(SEARCH("Group",D4470)),IF(G4470="",E4470,IFERROR(E4470/COUNTIF($G2:$G6000,G4470),E4470)),E4470)</f>
        <v>0</v>
      </c>
      <c r="I4470" s="1" t="str">
        <f>IFERROR(VLOOKUP(C4470,'Clients List'!A:F,6,FALSE),"")</f>
        <v/>
      </c>
    </row>
    <row r="4471" spans="4:9" x14ac:dyDescent="0.45">
      <c r="D4471" t="str">
        <f>IFERROR(VLOOKUP(C4471,'Clients List'!$A:$F,2,FALSE),"")</f>
        <v/>
      </c>
      <c r="F4471" s="1" t="str">
        <f>IF(OR(C4471="",NOT(ISNUMBER(SEARCH("Package",D4471)))),"",VLOOKUP(C4471,'Clients List'!$A:$F,4,FALSE)-SUMIFS($E$2:$E4471,$C$2:$C4471,C4471,$D$2:$D4471,"*Package*"))</f>
        <v/>
      </c>
      <c r="G4471" t="str">
        <f t="shared" si="103"/>
        <v/>
      </c>
      <c r="H4471" s="33">
        <f>IF(ISNUMBER(SEARCH("Group",D4471)),IF(G4471="",E4471,IFERROR(E4471/COUNTIF($G2:$G6000,G4471),E4471)),E4471)</f>
        <v>0</v>
      </c>
      <c r="I4471" s="1" t="str">
        <f>IFERROR(VLOOKUP(C4471,'Clients List'!A:F,6,FALSE),"")</f>
        <v/>
      </c>
    </row>
    <row r="4472" spans="4:9" x14ac:dyDescent="0.45">
      <c r="D4472" t="str">
        <f>IFERROR(VLOOKUP(C4472,'Clients List'!$A:$F,2,FALSE),"")</f>
        <v/>
      </c>
      <c r="F4472" s="1" t="str">
        <f>IF(OR(C4472="",NOT(ISNUMBER(SEARCH("Package",D4472)))),"",VLOOKUP(C4472,'Clients List'!$A:$F,4,FALSE)-SUMIFS($E$2:$E4472,$C$2:$C4472,C4472,$D$2:$D4472,"*Package*"))</f>
        <v/>
      </c>
      <c r="G4472" t="str">
        <f t="shared" si="103"/>
        <v/>
      </c>
      <c r="H4472" s="33">
        <f>IF(ISNUMBER(SEARCH("Group",D4472)),IF(G4472="",E4472,IFERROR(E4472/COUNTIF($G2:$G6000,G4472),E4472)),E4472)</f>
        <v>0</v>
      </c>
      <c r="I4472" s="1" t="str">
        <f>IFERROR(VLOOKUP(C4472,'Clients List'!A:F,6,FALSE),"")</f>
        <v/>
      </c>
    </row>
    <row r="4473" spans="4:9" x14ac:dyDescent="0.45">
      <c r="D4473" t="str">
        <f>IFERROR(VLOOKUP(C4473,'Clients List'!$A:$F,2,FALSE),"")</f>
        <v/>
      </c>
      <c r="F4473" s="1" t="str">
        <f>IF(OR(C4473="",NOT(ISNUMBER(SEARCH("Package",D4473)))),"",VLOOKUP(C4473,'Clients List'!$A:$F,4,FALSE)-SUMIFS($E$2:$E4473,$C$2:$C4473,C4473,$D$2:$D4473,"*Package*"))</f>
        <v/>
      </c>
      <c r="G4473" t="str">
        <f t="shared" si="103"/>
        <v/>
      </c>
      <c r="H4473" s="33">
        <f>IF(ISNUMBER(SEARCH("Group",D4473)),IF(G4473="",E4473,IFERROR(E4473/COUNTIF($G2:$G6000,G4473),E4473)),E4473)</f>
        <v>0</v>
      </c>
      <c r="I4473" s="1" t="str">
        <f>IFERROR(VLOOKUP(C4473,'Clients List'!A:F,6,FALSE),"")</f>
        <v/>
      </c>
    </row>
    <row r="4474" spans="4:9" x14ac:dyDescent="0.45">
      <c r="D4474" t="str">
        <f>IFERROR(VLOOKUP(C4474,'Clients List'!$A:$F,2,FALSE),"")</f>
        <v/>
      </c>
      <c r="F4474" s="1" t="str">
        <f>IF(OR(C4474="",NOT(ISNUMBER(SEARCH("Package",D4474)))),"",VLOOKUP(C4474,'Clients List'!$A:$F,4,FALSE)-SUMIFS($E$2:$E4474,$C$2:$C4474,C4474,$D$2:$D4474,"*Package*"))</f>
        <v/>
      </c>
      <c r="G4474" t="str">
        <f t="shared" si="103"/>
        <v/>
      </c>
      <c r="H4474" s="33">
        <f>IF(ISNUMBER(SEARCH("Group",D4474)),IF(G4474="",E4474,IFERROR(E4474/COUNTIF($G2:$G6000,G4474),E4474)),E4474)</f>
        <v>0</v>
      </c>
      <c r="I4474" s="1" t="str">
        <f>IFERROR(VLOOKUP(C4474,'Clients List'!A:F,6,FALSE),"")</f>
        <v/>
      </c>
    </row>
    <row r="4475" spans="4:9" x14ac:dyDescent="0.45">
      <c r="D4475" t="str">
        <f>IFERROR(VLOOKUP(C4475,'Clients List'!$A:$F,2,FALSE),"")</f>
        <v/>
      </c>
      <c r="F4475" s="1" t="str">
        <f>IF(OR(C4475="",NOT(ISNUMBER(SEARCH("Package",D4475)))),"",VLOOKUP(C4475,'Clients List'!$A:$F,4,FALSE)-SUMIFS($E$2:$E4475,$C$2:$C4475,C4475,$D$2:$D4475,"*Package*"))</f>
        <v/>
      </c>
      <c r="G4475" t="str">
        <f t="shared" si="103"/>
        <v/>
      </c>
      <c r="H4475" s="33">
        <f>IF(ISNUMBER(SEARCH("Group",D4475)),IF(G4475="",E4475,IFERROR(E4475/COUNTIF($G2:$G6000,G4475),E4475)),E4475)</f>
        <v>0</v>
      </c>
      <c r="I4475" s="1" t="str">
        <f>IFERROR(VLOOKUP(C4475,'Clients List'!A:F,6,FALSE),"")</f>
        <v/>
      </c>
    </row>
    <row r="4476" spans="4:9" x14ac:dyDescent="0.45">
      <c r="D4476" t="str">
        <f>IFERROR(VLOOKUP(C4476,'Clients List'!$A:$F,2,FALSE),"")</f>
        <v/>
      </c>
      <c r="F4476" s="1" t="str">
        <f>IF(OR(C4476="",NOT(ISNUMBER(SEARCH("Package",D4476)))),"",VLOOKUP(C4476,'Clients List'!$A:$F,4,FALSE)-SUMIFS($E$2:$E4476,$C$2:$C4476,C4476,$D$2:$D4476,"*Package*"))</f>
        <v/>
      </c>
      <c r="G4476" t="str">
        <f t="shared" si="103"/>
        <v/>
      </c>
      <c r="H4476" s="33">
        <f>IF(ISNUMBER(SEARCH("Group",D4476)),IF(G4476="",E4476,IFERROR(E4476/COUNTIF($G2:$G6000,G4476),E4476)),E4476)</f>
        <v>0</v>
      </c>
      <c r="I4476" s="1" t="str">
        <f>IFERROR(VLOOKUP(C4476,'Clients List'!A:F,6,FALSE),"")</f>
        <v/>
      </c>
    </row>
    <row r="4477" spans="4:9" x14ac:dyDescent="0.45">
      <c r="D4477" t="str">
        <f>IFERROR(VLOOKUP(C4477,'Clients List'!$A:$F,2,FALSE),"")</f>
        <v/>
      </c>
      <c r="F4477" s="1" t="str">
        <f>IF(OR(C4477="",NOT(ISNUMBER(SEARCH("Package",D4477)))),"",VLOOKUP(C4477,'Clients List'!$A:$F,4,FALSE)-SUMIFS($E$2:$E4477,$C$2:$C4477,C4477,$D$2:$D4477,"*Package*"))</f>
        <v/>
      </c>
      <c r="G4477" t="str">
        <f t="shared" si="103"/>
        <v/>
      </c>
      <c r="H4477" s="33">
        <f>IF(ISNUMBER(SEARCH("Group",D4477)),IF(G4477="",E4477,IFERROR(E4477/COUNTIF($G2:$G6000,G4477),E4477)),E4477)</f>
        <v>0</v>
      </c>
      <c r="I4477" s="1" t="str">
        <f>IFERROR(VLOOKUP(C4477,'Clients List'!A:F,6,FALSE),"")</f>
        <v/>
      </c>
    </row>
    <row r="4478" spans="4:9" x14ac:dyDescent="0.45">
      <c r="D4478" t="str">
        <f>IFERROR(VLOOKUP(C4478,'Clients List'!$A:$F,2,FALSE),"")</f>
        <v/>
      </c>
      <c r="F4478" s="1" t="str">
        <f>IF(OR(C4478="",NOT(ISNUMBER(SEARCH("Package",D4478)))),"",VLOOKUP(C4478,'Clients List'!$A:$F,4,FALSE)-SUMIFS($E$2:$E4478,$C$2:$C4478,C4478,$D$2:$D4478,"*Package*"))</f>
        <v/>
      </c>
      <c r="G4478" t="str">
        <f t="shared" si="103"/>
        <v/>
      </c>
      <c r="H4478" s="33">
        <f>IF(ISNUMBER(SEARCH("Group",D4478)),IF(G4478="",E4478,IFERROR(E4478/COUNTIF($G2:$G6000,G4478),E4478)),E4478)</f>
        <v>0</v>
      </c>
      <c r="I4478" s="1" t="str">
        <f>IFERROR(VLOOKUP(C4478,'Clients List'!A:F,6,FALSE),"")</f>
        <v/>
      </c>
    </row>
    <row r="4479" spans="4:9" x14ac:dyDescent="0.45">
      <c r="D4479" t="str">
        <f>IFERROR(VLOOKUP(C4479,'Clients List'!$A:$F,2,FALSE),"")</f>
        <v/>
      </c>
      <c r="F4479" s="1" t="str">
        <f>IF(OR(C4479="",NOT(ISNUMBER(SEARCH("Package",D4479)))),"",VLOOKUP(C4479,'Clients List'!$A:$F,4,FALSE)-SUMIFS($E$2:$E4479,$C$2:$C4479,C4479,$D$2:$D4479,"*Package*"))</f>
        <v/>
      </c>
      <c r="G4479" t="str">
        <f t="shared" si="103"/>
        <v/>
      </c>
      <c r="H4479" s="33">
        <f>IF(ISNUMBER(SEARCH("Group",D4479)),IF(G4479="",E4479,IFERROR(E4479/COUNTIF($G2:$G6000,G4479),E4479)),E4479)</f>
        <v>0</v>
      </c>
      <c r="I4479" s="1" t="str">
        <f>IFERROR(VLOOKUP(C4479,'Clients List'!A:F,6,FALSE),"")</f>
        <v/>
      </c>
    </row>
    <row r="4480" spans="4:9" x14ac:dyDescent="0.45">
      <c r="D4480" t="str">
        <f>IFERROR(VLOOKUP(C4480,'Clients List'!$A:$F,2,FALSE),"")</f>
        <v/>
      </c>
      <c r="F4480" s="1" t="str">
        <f>IF(OR(C4480="",NOT(ISNUMBER(SEARCH("Package",D4480)))),"",VLOOKUP(C4480,'Clients List'!$A:$F,4,FALSE)-SUMIFS($E$2:$E4480,$C$2:$C4480,C4480,$D$2:$D4480,"*Package*"))</f>
        <v/>
      </c>
      <c r="G4480" t="str">
        <f t="shared" si="103"/>
        <v/>
      </c>
      <c r="H4480" s="33">
        <f>IF(ISNUMBER(SEARCH("Group",D4480)),IF(G4480="",E4480,IFERROR(E4480/COUNTIF($G2:$G6000,G4480),E4480)),E4480)</f>
        <v>0</v>
      </c>
      <c r="I4480" s="1" t="str">
        <f>IFERROR(VLOOKUP(C4480,'Clients List'!A:F,6,FALSE),"")</f>
        <v/>
      </c>
    </row>
    <row r="4481" spans="4:9" x14ac:dyDescent="0.45">
      <c r="D4481" t="str">
        <f>IFERROR(VLOOKUP(C4481,'Clients List'!$A:$F,2,FALSE),"")</f>
        <v/>
      </c>
      <c r="F4481" s="1" t="str">
        <f>IF(OR(C4481="",NOT(ISNUMBER(SEARCH("Package",D4481)))),"",VLOOKUP(C4481,'Clients List'!$A:$F,4,FALSE)-SUMIFS($E$2:$E4481,$C$2:$C4481,C4481,$D$2:$D4481,"*Package*"))</f>
        <v/>
      </c>
      <c r="G4481" t="str">
        <f t="shared" si="103"/>
        <v/>
      </c>
      <c r="H4481" s="33">
        <f>IF(ISNUMBER(SEARCH("Group",D4481)),IF(G4481="",E4481,IFERROR(E4481/COUNTIF($G2:$G6000,G4481),E4481)),E4481)</f>
        <v>0</v>
      </c>
      <c r="I4481" s="1" t="str">
        <f>IFERROR(VLOOKUP(C4481,'Clients List'!A:F,6,FALSE),"")</f>
        <v/>
      </c>
    </row>
    <row r="4482" spans="4:9" x14ac:dyDescent="0.45">
      <c r="D4482" t="str">
        <f>IFERROR(VLOOKUP(C4482,'Clients List'!$A:$F,2,FALSE),"")</f>
        <v/>
      </c>
      <c r="F4482" s="1" t="str">
        <f>IF(OR(C4482="",NOT(ISNUMBER(SEARCH("Package",D4482)))),"",VLOOKUP(C4482,'Clients List'!$A:$F,4,FALSE)-SUMIFS($E$2:$E4482,$C$2:$C4482,C4482,$D$2:$D4482,"*Package*"))</f>
        <v/>
      </c>
      <c r="G4482" t="str">
        <f t="shared" si="103"/>
        <v/>
      </c>
      <c r="H4482" s="33">
        <f>IF(ISNUMBER(SEARCH("Group",D4482)),IF(G4482="",E4482,IFERROR(E4482/COUNTIF($G2:$G6000,G4482),E4482)),E4482)</f>
        <v>0</v>
      </c>
      <c r="I4482" s="1" t="str">
        <f>IFERROR(VLOOKUP(C4482,'Clients List'!A:F,6,FALSE),"")</f>
        <v/>
      </c>
    </row>
    <row r="4483" spans="4:9" x14ac:dyDescent="0.45">
      <c r="D4483" t="str">
        <f>IFERROR(VLOOKUP(C4483,'Clients List'!$A:$F,2,FALSE),"")</f>
        <v/>
      </c>
      <c r="F4483" s="1" t="str">
        <f>IF(OR(C4483="",NOT(ISNUMBER(SEARCH("Package",D4483)))),"",VLOOKUP(C4483,'Clients List'!$A:$F,4,FALSE)-SUMIFS($E$2:$E4483,$C$2:$C4483,C4483,$D$2:$D4483,"*Package*"))</f>
        <v/>
      </c>
      <c r="G4483" t="str">
        <f t="shared" si="103"/>
        <v/>
      </c>
      <c r="H4483" s="33">
        <f>IF(ISNUMBER(SEARCH("Group",D4483)),IF(G4483="",E4483,IFERROR(E4483/COUNTIF($G2:$G6000,G4483),E4483)),E4483)</f>
        <v>0</v>
      </c>
      <c r="I4483" s="1" t="str">
        <f>IFERROR(VLOOKUP(C4483,'Clients List'!A:F,6,FALSE),"")</f>
        <v/>
      </c>
    </row>
    <row r="4484" spans="4:9" x14ac:dyDescent="0.45">
      <c r="D4484" t="str">
        <f>IFERROR(VLOOKUP(C4484,'Clients List'!$A:$F,2,FALSE),"")</f>
        <v/>
      </c>
      <c r="F4484" s="1" t="str">
        <f>IF(OR(C4484="",NOT(ISNUMBER(SEARCH("Package",D4484)))),"",VLOOKUP(C4484,'Clients List'!$A:$F,4,FALSE)-SUMIFS($E$2:$E4484,$C$2:$C4484,C4484,$D$2:$D4484,"*Package*"))</f>
        <v/>
      </c>
      <c r="G4484" t="str">
        <f t="shared" si="103"/>
        <v/>
      </c>
      <c r="H4484" s="33">
        <f>IF(ISNUMBER(SEARCH("Group",D4484)),IF(G4484="",E4484,IFERROR(E4484/COUNTIF($G2:$G6000,G4484),E4484)),E4484)</f>
        <v>0</v>
      </c>
      <c r="I4484" s="1" t="str">
        <f>IFERROR(VLOOKUP(C4484,'Clients List'!A:F,6,FALSE),"")</f>
        <v/>
      </c>
    </row>
    <row r="4485" spans="4:9" x14ac:dyDescent="0.45">
      <c r="D4485" t="str">
        <f>IFERROR(VLOOKUP(C4485,'Clients List'!$A:$F,2,FALSE),"")</f>
        <v/>
      </c>
      <c r="F4485" s="1" t="str">
        <f>IF(OR(C4485="",NOT(ISNUMBER(SEARCH("Package",D4485)))),"",VLOOKUP(C4485,'Clients List'!$A:$F,4,FALSE)-SUMIFS($E$2:$E4485,$C$2:$C4485,C4485,$D$2:$D4485,"*Package*"))</f>
        <v/>
      </c>
      <c r="G4485" t="str">
        <f t="shared" si="103"/>
        <v/>
      </c>
      <c r="H4485" s="33">
        <f>IF(ISNUMBER(SEARCH("Group",D4485)),IF(G4485="",E4485,IFERROR(E4485/COUNTIF($G2:$G6000,G4485),E4485)),E4485)</f>
        <v>0</v>
      </c>
      <c r="I4485" s="1" t="str">
        <f>IFERROR(VLOOKUP(C4485,'Clients List'!A:F,6,FALSE),"")</f>
        <v/>
      </c>
    </row>
    <row r="4486" spans="4:9" x14ac:dyDescent="0.45">
      <c r="D4486" t="str">
        <f>IFERROR(VLOOKUP(C4486,'Clients List'!$A:$F,2,FALSE),"")</f>
        <v/>
      </c>
      <c r="F4486" s="1" t="str">
        <f>IF(OR(C4486="",NOT(ISNUMBER(SEARCH("Package",D4486)))),"",VLOOKUP(C4486,'Clients List'!$A:$F,4,FALSE)-SUMIFS($E$2:$E4486,$C$2:$C4486,C4486,$D$2:$D4486,"*Package*"))</f>
        <v/>
      </c>
      <c r="G4486" t="str">
        <f t="shared" si="103"/>
        <v/>
      </c>
      <c r="H4486" s="33">
        <f>IF(ISNUMBER(SEARCH("Group",D4486)),IF(G4486="",E4486,IFERROR(E4486/COUNTIF($G2:$G6000,G4486),E4486)),E4486)</f>
        <v>0</v>
      </c>
      <c r="I4486" s="1" t="str">
        <f>IFERROR(VLOOKUP(C4486,'Clients List'!A:F,6,FALSE),"")</f>
        <v/>
      </c>
    </row>
    <row r="4487" spans="4:9" x14ac:dyDescent="0.45">
      <c r="D4487" t="str">
        <f>IFERROR(VLOOKUP(C4487,'Clients List'!$A:$F,2,FALSE),"")</f>
        <v/>
      </c>
      <c r="F4487" s="1" t="str">
        <f>IF(OR(C4487="",NOT(ISNUMBER(SEARCH("Package",D4487)))),"",VLOOKUP(C4487,'Clients List'!$A:$F,4,FALSE)-SUMIFS($E$2:$E4487,$C$2:$C4487,C4487,$D$2:$D4487,"*Package*"))</f>
        <v/>
      </c>
      <c r="G4487" t="str">
        <f t="shared" si="103"/>
        <v/>
      </c>
      <c r="H4487" s="33">
        <f>IF(ISNUMBER(SEARCH("Group",D4487)),IF(G4487="",E4487,IFERROR(E4487/COUNTIF($G2:$G6000,G4487),E4487)),E4487)</f>
        <v>0</v>
      </c>
      <c r="I4487" s="1" t="str">
        <f>IFERROR(VLOOKUP(C4487,'Clients List'!A:F,6,FALSE),"")</f>
        <v/>
      </c>
    </row>
    <row r="4488" spans="4:9" x14ac:dyDescent="0.45">
      <c r="D4488" t="str">
        <f>IFERROR(VLOOKUP(C4488,'Clients List'!$A:$F,2,FALSE),"")</f>
        <v/>
      </c>
      <c r="F4488" s="1" t="str">
        <f>IF(OR(C4488="",NOT(ISNUMBER(SEARCH("Package",D4488)))),"",VLOOKUP(C4488,'Clients List'!$A:$F,4,FALSE)-SUMIFS($E$2:$E4488,$C$2:$C4488,C4488,$D$2:$D4488,"*Package*"))</f>
        <v/>
      </c>
      <c r="G4488" t="str">
        <f t="shared" si="103"/>
        <v/>
      </c>
      <c r="H4488" s="33">
        <f>IF(ISNUMBER(SEARCH("Group",D4488)),IF(G4488="",E4488,IFERROR(E4488/COUNTIF($G2:$G6000,G4488),E4488)),E4488)</f>
        <v>0</v>
      </c>
      <c r="I4488" s="1" t="str">
        <f>IFERROR(VLOOKUP(C4488,'Clients List'!A:F,6,FALSE),"")</f>
        <v/>
      </c>
    </row>
    <row r="4489" spans="4:9" x14ac:dyDescent="0.45">
      <c r="D4489" t="str">
        <f>IFERROR(VLOOKUP(C4489,'Clients List'!$A:$F,2,FALSE),"")</f>
        <v/>
      </c>
      <c r="F4489" s="1" t="str">
        <f>IF(OR(C4489="",NOT(ISNUMBER(SEARCH("Package",D4489)))),"",VLOOKUP(C4489,'Clients List'!$A:$F,4,FALSE)-SUMIFS($E$2:$E4489,$C$2:$C4489,C4489,$D$2:$D4489,"*Package*"))</f>
        <v/>
      </c>
      <c r="G4489" t="str">
        <f t="shared" si="103"/>
        <v/>
      </c>
      <c r="H4489" s="33">
        <f>IF(ISNUMBER(SEARCH("Group",D4489)),IF(G4489="",E4489,IFERROR(E4489/COUNTIF($G2:$G6000,G4489),E4489)),E4489)</f>
        <v>0</v>
      </c>
      <c r="I4489" s="1" t="str">
        <f>IFERROR(VLOOKUP(C4489,'Clients List'!A:F,6,FALSE),"")</f>
        <v/>
      </c>
    </row>
    <row r="4490" spans="4:9" x14ac:dyDescent="0.45">
      <c r="D4490" t="str">
        <f>IFERROR(VLOOKUP(C4490,'Clients List'!$A:$F,2,FALSE),"")</f>
        <v/>
      </c>
      <c r="F4490" s="1" t="str">
        <f>IF(OR(C4490="",NOT(ISNUMBER(SEARCH("Package",D4490)))),"",VLOOKUP(C4490,'Clients List'!$A:$F,4,FALSE)-SUMIFS($E$2:$E4490,$C$2:$C4490,C4490,$D$2:$D4490,"*Package*"))</f>
        <v/>
      </c>
      <c r="G4490" t="str">
        <f t="shared" si="103"/>
        <v/>
      </c>
      <c r="H4490" s="33">
        <f>IF(ISNUMBER(SEARCH("Group",D4490)),IF(G4490="",E4490,IFERROR(E4490/COUNTIF($G2:$G6000,G4490),E4490)),E4490)</f>
        <v>0</v>
      </c>
      <c r="I4490" s="1" t="str">
        <f>IFERROR(VLOOKUP(C4490,'Clients List'!A:F,6,FALSE),"")</f>
        <v/>
      </c>
    </row>
    <row r="4491" spans="4:9" x14ac:dyDescent="0.45">
      <c r="D4491" t="str">
        <f>IFERROR(VLOOKUP(C4491,'Clients List'!$A:$F,2,FALSE),"")</f>
        <v/>
      </c>
      <c r="F4491" s="1" t="str">
        <f>IF(OR(C4491="",NOT(ISNUMBER(SEARCH("Package",D4491)))),"",VLOOKUP(C4491,'Clients List'!$A:$F,4,FALSE)-SUMIFS($E$2:$E4491,$C$2:$C4491,C4491,$D$2:$D4491,"*Package*"))</f>
        <v/>
      </c>
      <c r="G4491" t="str">
        <f t="shared" si="103"/>
        <v/>
      </c>
      <c r="H4491" s="33">
        <f>IF(ISNUMBER(SEARCH("Group",D4491)),IF(G4491="",E4491,IFERROR(E4491/COUNTIF($G2:$G6000,G4491),E4491)),E4491)</f>
        <v>0</v>
      </c>
      <c r="I4491" s="1" t="str">
        <f>IFERROR(VLOOKUP(C4491,'Clients List'!A:F,6,FALSE),"")</f>
        <v/>
      </c>
    </row>
    <row r="4492" spans="4:9" x14ac:dyDescent="0.45">
      <c r="D4492" t="str">
        <f>IFERROR(VLOOKUP(C4492,'Clients List'!$A:$F,2,FALSE),"")</f>
        <v/>
      </c>
      <c r="F4492" s="1" t="str">
        <f>IF(OR(C4492="",NOT(ISNUMBER(SEARCH("Package",D4492)))),"",VLOOKUP(C4492,'Clients List'!$A:$F,4,FALSE)-SUMIFS($E$2:$E4492,$C$2:$C4492,C4492,$D$2:$D4492,"*Package*"))</f>
        <v/>
      </c>
      <c r="G4492" t="str">
        <f t="shared" si="103"/>
        <v/>
      </c>
      <c r="H4492" s="33">
        <f>IF(ISNUMBER(SEARCH("Group",D4492)),IF(G4492="",E4492,IFERROR(E4492/COUNTIF($G2:$G6000,G4492),E4492)),E4492)</f>
        <v>0</v>
      </c>
      <c r="I4492" s="1" t="str">
        <f>IFERROR(VLOOKUP(C4492,'Clients List'!A:F,6,FALSE),"")</f>
        <v/>
      </c>
    </row>
    <row r="4493" spans="4:9" x14ac:dyDescent="0.45">
      <c r="D4493" t="str">
        <f>IFERROR(VLOOKUP(C4493,'Clients List'!$A:$F,2,FALSE),"")</f>
        <v/>
      </c>
      <c r="F4493" s="1" t="str">
        <f>IF(OR(C4493="",NOT(ISNUMBER(SEARCH("Package",D4493)))),"",VLOOKUP(C4493,'Clients List'!$A:$F,4,FALSE)-SUMIFS($E$2:$E4493,$C$2:$C4493,C4493,$D$2:$D4493,"*Package*"))</f>
        <v/>
      </c>
      <c r="G4493" t="str">
        <f t="shared" si="103"/>
        <v/>
      </c>
      <c r="H4493" s="33">
        <f>IF(ISNUMBER(SEARCH("Group",D4493)),IF(G4493="",E4493,IFERROR(E4493/COUNTIF($G2:$G6000,G4493),E4493)),E4493)</f>
        <v>0</v>
      </c>
      <c r="I4493" s="1" t="str">
        <f>IFERROR(VLOOKUP(C4493,'Clients List'!A:F,6,FALSE),"")</f>
        <v/>
      </c>
    </row>
    <row r="4494" spans="4:9" x14ac:dyDescent="0.45">
      <c r="D4494" t="str">
        <f>IFERROR(VLOOKUP(C4494,'Clients List'!$A:$F,2,FALSE),"")</f>
        <v/>
      </c>
      <c r="F4494" s="1" t="str">
        <f>IF(OR(C4494="",NOT(ISNUMBER(SEARCH("Package",D4494)))),"",VLOOKUP(C4494,'Clients List'!$A:$F,4,FALSE)-SUMIFS($E$2:$E4494,$C$2:$C4494,C4494,$D$2:$D4494,"*Package*"))</f>
        <v/>
      </c>
      <c r="G4494" t="str">
        <f t="shared" si="103"/>
        <v/>
      </c>
      <c r="H4494" s="33">
        <f>IF(ISNUMBER(SEARCH("Group",D4494)),IF(G4494="",E4494,IFERROR(E4494/COUNTIF($G2:$G6000,G4494),E4494)),E4494)</f>
        <v>0</v>
      </c>
      <c r="I4494" s="1" t="str">
        <f>IFERROR(VLOOKUP(C4494,'Clients List'!A:F,6,FALSE),"")</f>
        <v/>
      </c>
    </row>
    <row r="4495" spans="4:9" x14ac:dyDescent="0.45">
      <c r="D4495" t="str">
        <f>IFERROR(VLOOKUP(C4495,'Clients List'!$A:$F,2,FALSE),"")</f>
        <v/>
      </c>
      <c r="F4495" s="1" t="str">
        <f>IF(OR(C4495="",NOT(ISNUMBER(SEARCH("Package",D4495)))),"",VLOOKUP(C4495,'Clients List'!$A:$F,4,FALSE)-SUMIFS($E$2:$E4495,$C$2:$C4495,C4495,$D$2:$D4495,"*Package*"))</f>
        <v/>
      </c>
      <c r="G4495" t="str">
        <f t="shared" si="103"/>
        <v/>
      </c>
      <c r="H4495" s="33">
        <f>IF(ISNUMBER(SEARCH("Group",D4495)),IF(G4495="",E4495,IFERROR(E4495/COUNTIF($G2:$G6000,G4495),E4495)),E4495)</f>
        <v>0</v>
      </c>
      <c r="I4495" s="1" t="str">
        <f>IFERROR(VLOOKUP(C4495,'Clients List'!A:F,6,FALSE),"")</f>
        <v/>
      </c>
    </row>
    <row r="4496" spans="4:9" x14ac:dyDescent="0.45">
      <c r="D4496" t="str">
        <f>IFERROR(VLOOKUP(C4496,'Clients List'!$A:$F,2,FALSE),"")</f>
        <v/>
      </c>
      <c r="F4496" s="1" t="str">
        <f>IF(OR(C4496="",NOT(ISNUMBER(SEARCH("Package",D4496)))),"",VLOOKUP(C4496,'Clients List'!$A:$F,4,FALSE)-SUMIFS($E$2:$E4496,$C$2:$C4496,C4496,$D$2:$D4496,"*Package*"))</f>
        <v/>
      </c>
      <c r="G4496" t="str">
        <f t="shared" si="103"/>
        <v/>
      </c>
      <c r="H4496" s="33">
        <f>IF(ISNUMBER(SEARCH("Group",D4496)),IF(G4496="",E4496,IFERROR(E4496/COUNTIF($G2:$G6000,G4496),E4496)),E4496)</f>
        <v>0</v>
      </c>
      <c r="I4496" s="1" t="str">
        <f>IFERROR(VLOOKUP(C4496,'Clients List'!A:F,6,FALSE),"")</f>
        <v/>
      </c>
    </row>
    <row r="4497" spans="4:9" x14ac:dyDescent="0.45">
      <c r="D4497" t="str">
        <f>IFERROR(VLOOKUP(C4497,'Clients List'!$A:$F,2,FALSE),"")</f>
        <v/>
      </c>
      <c r="F4497" s="1" t="str">
        <f>IF(OR(C4497="",NOT(ISNUMBER(SEARCH("Package",D4497)))),"",VLOOKUP(C4497,'Clients List'!$A:$F,4,FALSE)-SUMIFS($E$2:$E4497,$C$2:$C4497,C4497,$D$2:$D4497,"*Package*"))</f>
        <v/>
      </c>
      <c r="G4497" t="str">
        <f t="shared" si="103"/>
        <v/>
      </c>
      <c r="H4497" s="33">
        <f>IF(ISNUMBER(SEARCH("Group",D4497)),IF(G4497="",E4497,IFERROR(E4497/COUNTIF($G2:$G6000,G4497),E4497)),E4497)</f>
        <v>0</v>
      </c>
      <c r="I4497" s="1" t="str">
        <f>IFERROR(VLOOKUP(C4497,'Clients List'!A:F,6,FALSE),"")</f>
        <v/>
      </c>
    </row>
    <row r="4498" spans="4:9" x14ac:dyDescent="0.45">
      <c r="D4498" t="str">
        <f>IFERROR(VLOOKUP(C4498,'Clients List'!$A:$F,2,FALSE),"")</f>
        <v/>
      </c>
      <c r="F4498" s="1" t="str">
        <f>IF(OR(C4498="",NOT(ISNUMBER(SEARCH("Package",D4498)))),"",VLOOKUP(C4498,'Clients List'!$A:$F,4,FALSE)-SUMIFS($E$2:$E4498,$C$2:$C4498,C4498,$D$2:$D4498,"*Package*"))</f>
        <v/>
      </c>
      <c r="G4498" t="str">
        <f t="shared" si="103"/>
        <v/>
      </c>
      <c r="H4498" s="33">
        <f>IF(ISNUMBER(SEARCH("Group",D4498)),IF(G4498="",E4498,IFERROR(E4498/COUNTIF($G2:$G6000,G4498),E4498)),E4498)</f>
        <v>0</v>
      </c>
      <c r="I4498" s="1" t="str">
        <f>IFERROR(VLOOKUP(C4498,'Clients List'!A:F,6,FALSE),"")</f>
        <v/>
      </c>
    </row>
    <row r="4499" spans="4:9" x14ac:dyDescent="0.45">
      <c r="D4499" t="str">
        <f>IFERROR(VLOOKUP(C4499,'Clients List'!$A:$F,2,FALSE),"")</f>
        <v/>
      </c>
      <c r="F4499" s="1" t="str">
        <f>IF(OR(C4499="",NOT(ISNUMBER(SEARCH("Package",D4499)))),"",VLOOKUP(C4499,'Clients List'!$A:$F,4,FALSE)-SUMIFS($E$2:$E4499,$C$2:$C4499,C4499,$D$2:$D4499,"*Package*"))</f>
        <v/>
      </c>
      <c r="G4499" t="str">
        <f t="shared" si="103"/>
        <v/>
      </c>
      <c r="H4499" s="33">
        <f>IF(ISNUMBER(SEARCH("Group",D4499)),IF(G4499="",E4499,IFERROR(E4499/COUNTIF($G2:$G6000,G4499),E4499)),E4499)</f>
        <v>0</v>
      </c>
      <c r="I4499" s="1" t="str">
        <f>IFERROR(VLOOKUP(C4499,'Clients List'!A:F,6,FALSE),"")</f>
        <v/>
      </c>
    </row>
    <row r="4500" spans="4:9" x14ac:dyDescent="0.45">
      <c r="D4500" t="str">
        <f>IFERROR(VLOOKUP(C4500,'Clients List'!$A:$F,2,FALSE),"")</f>
        <v/>
      </c>
      <c r="F4500" s="1" t="str">
        <f>IF(OR(C4500="",NOT(ISNUMBER(SEARCH("Package",D4500)))),"",VLOOKUP(C4500,'Clients List'!$A:$F,4,FALSE)-SUMIFS($E$2:$E4500,$C$2:$C4500,C4500,$D$2:$D4500,"*Package*"))</f>
        <v/>
      </c>
      <c r="G4500" t="str">
        <f t="shared" si="103"/>
        <v/>
      </c>
      <c r="H4500" s="33">
        <f>IF(ISNUMBER(SEARCH("Group",D4500)),IF(G4500="",E4500,IFERROR(E4500/COUNTIF($G2:$G6000,G4500),E4500)),E4500)</f>
        <v>0</v>
      </c>
      <c r="I4500" s="1" t="str">
        <f>IFERROR(VLOOKUP(C4500,'Clients List'!A:F,6,FALSE),"")</f>
        <v/>
      </c>
    </row>
    <row r="4501" spans="4:9" x14ac:dyDescent="0.45">
      <c r="D4501" t="str">
        <f>IFERROR(VLOOKUP(C4501,'Clients List'!$A:$F,2,FALSE),"")</f>
        <v/>
      </c>
      <c r="F4501" s="1" t="str">
        <f>IF(OR(C4501="",NOT(ISNUMBER(SEARCH("Package",D4501)))),"",VLOOKUP(C4501,'Clients List'!$A:$F,4,FALSE)-SUMIFS($E$2:$E4501,$C$2:$C4501,C4501,$D$2:$D4501,"*Package*"))</f>
        <v/>
      </c>
      <c r="G4501" t="str">
        <f t="shared" si="103"/>
        <v/>
      </c>
      <c r="H4501" s="33">
        <f>IF(ISNUMBER(SEARCH("Group",D4501)),IF(G4501="",E4501,IFERROR(E4501/COUNTIF($G2:$G6000,G4501),E4501)),E4501)</f>
        <v>0</v>
      </c>
      <c r="I4501" s="1" t="str">
        <f>IFERROR(VLOOKUP(C4501,'Clients List'!A:F,6,FALSE),"")</f>
        <v/>
      </c>
    </row>
    <row r="4502" spans="4:9" x14ac:dyDescent="0.45">
      <c r="D4502" t="str">
        <f>IFERROR(VLOOKUP(C4502,'Clients List'!$A:$F,2,FALSE),"")</f>
        <v/>
      </c>
      <c r="F4502" s="1" t="str">
        <f>IF(OR(C4502="",NOT(ISNUMBER(SEARCH("Package",D4502)))),"",VLOOKUP(C4502,'Clients List'!$A:$F,4,FALSE)-SUMIFS($E$2:$E4502,$C$2:$C4502,C4502,$D$2:$D4502,"*Package*"))</f>
        <v/>
      </c>
      <c r="G4502" t="str">
        <f t="shared" si="103"/>
        <v/>
      </c>
      <c r="H4502" s="33">
        <f>IF(ISNUMBER(SEARCH("Group",D4502)),IF(G4502="",E4502,IFERROR(E4502/COUNTIF($G2:$G6000,G4502),E4502)),E4502)</f>
        <v>0</v>
      </c>
      <c r="I4502" s="1" t="str">
        <f>IFERROR(VLOOKUP(C4502,'Clients List'!A:F,6,FALSE),"")</f>
        <v/>
      </c>
    </row>
    <row r="4503" spans="4:9" x14ac:dyDescent="0.45">
      <c r="D4503" t="str">
        <f>IFERROR(VLOOKUP(C4503,'Clients List'!$A:$F,2,FALSE),"")</f>
        <v/>
      </c>
      <c r="F4503" s="1" t="str">
        <f>IF(OR(C4503="",NOT(ISNUMBER(SEARCH("Package",D4503)))),"",VLOOKUP(C4503,'Clients List'!$A:$F,4,FALSE)-SUMIFS($E$2:$E4503,$C$2:$C4503,C4503,$D$2:$D4503,"*Package*"))</f>
        <v/>
      </c>
      <c r="G4503" t="str">
        <f t="shared" si="103"/>
        <v/>
      </c>
      <c r="H4503" s="33">
        <f>IF(ISNUMBER(SEARCH("Group",D4503)),IF(G4503="",E4503,IFERROR(E4503/COUNTIF($G2:$G6000,G4503),E4503)),E4503)</f>
        <v>0</v>
      </c>
      <c r="I4503" s="1" t="str">
        <f>IFERROR(VLOOKUP(C4503,'Clients List'!A:F,6,FALSE),"")</f>
        <v/>
      </c>
    </row>
    <row r="4504" spans="4:9" x14ac:dyDescent="0.45">
      <c r="D4504" t="str">
        <f>IFERROR(VLOOKUP(C4504,'Clients List'!$A:$F,2,FALSE),"")</f>
        <v/>
      </c>
      <c r="F4504" s="1" t="str">
        <f>IF(OR(C4504="",NOT(ISNUMBER(SEARCH("Package",D4504)))),"",VLOOKUP(C4504,'Clients List'!$A:$F,4,FALSE)-SUMIFS($E$2:$E4504,$C$2:$C4504,C4504,$D$2:$D4504,"*Package*"))</f>
        <v/>
      </c>
      <c r="G4504" t="str">
        <f t="shared" si="103"/>
        <v/>
      </c>
      <c r="H4504" s="33">
        <f>IF(ISNUMBER(SEARCH("Group",D4504)),IF(G4504="",E4504,IFERROR(E4504/COUNTIF($G2:$G6000,G4504),E4504)),E4504)</f>
        <v>0</v>
      </c>
      <c r="I4504" s="1" t="str">
        <f>IFERROR(VLOOKUP(C4504,'Clients List'!A:F,6,FALSE),"")</f>
        <v/>
      </c>
    </row>
    <row r="4505" spans="4:9" x14ac:dyDescent="0.45">
      <c r="D4505" t="str">
        <f>IFERROR(VLOOKUP(C4505,'Clients List'!$A:$F,2,FALSE),"")</f>
        <v/>
      </c>
      <c r="F4505" s="1" t="str">
        <f>IF(OR(C4505="",NOT(ISNUMBER(SEARCH("Package",D4505)))),"",VLOOKUP(C4505,'Clients List'!$A:$F,4,FALSE)-SUMIFS($E$2:$E4505,$C$2:$C4505,C4505,$D$2:$D4505,"*Package*"))</f>
        <v/>
      </c>
      <c r="G4505" t="str">
        <f t="shared" si="103"/>
        <v/>
      </c>
      <c r="H4505" s="33">
        <f>IF(ISNUMBER(SEARCH("Group",D4505)),IF(G4505="",E4505,IFERROR(E4505/COUNTIF($G2:$G6000,G4505),E4505)),E4505)</f>
        <v>0</v>
      </c>
      <c r="I4505" s="1" t="str">
        <f>IFERROR(VLOOKUP(C4505,'Clients List'!A:F,6,FALSE),"")</f>
        <v/>
      </c>
    </row>
    <row r="4506" spans="4:9" x14ac:dyDescent="0.45">
      <c r="D4506" t="str">
        <f>IFERROR(VLOOKUP(C4506,'Clients List'!$A:$F,2,FALSE),"")</f>
        <v/>
      </c>
      <c r="F4506" s="1" t="str">
        <f>IF(OR(C4506="",NOT(ISNUMBER(SEARCH("Package",D4506)))),"",VLOOKUP(C4506,'Clients List'!$A:$F,4,FALSE)-SUMIFS($E$2:$E4506,$C$2:$C4506,C4506,$D$2:$D4506,"*Package*"))</f>
        <v/>
      </c>
      <c r="G4506" t="str">
        <f t="shared" si="103"/>
        <v/>
      </c>
      <c r="H4506" s="33">
        <f>IF(ISNUMBER(SEARCH("Group",D4506)),IF(G4506="",E4506,IFERROR(E4506/COUNTIF($G2:$G6000,G4506),E4506)),E4506)</f>
        <v>0</v>
      </c>
      <c r="I4506" s="1" t="str">
        <f>IFERROR(VLOOKUP(C4506,'Clients List'!A:F,6,FALSE),"")</f>
        <v/>
      </c>
    </row>
    <row r="4507" spans="4:9" x14ac:dyDescent="0.45">
      <c r="D4507" t="str">
        <f>IFERROR(VLOOKUP(C4507,'Clients List'!$A:$F,2,FALSE),"")</f>
        <v/>
      </c>
      <c r="F4507" s="1" t="str">
        <f>IF(OR(C4507="",NOT(ISNUMBER(SEARCH("Package",D4507)))),"",VLOOKUP(C4507,'Clients List'!$A:$F,4,FALSE)-SUMIFS($E$2:$E4507,$C$2:$C4507,C4507,$D$2:$D4507,"*Package*"))</f>
        <v/>
      </c>
      <c r="G4507" t="str">
        <f t="shared" si="103"/>
        <v/>
      </c>
      <c r="H4507" s="33">
        <f>IF(ISNUMBER(SEARCH("Group",D4507)),IF(G4507="",E4507,IFERROR(E4507/COUNTIF($G2:$G6000,G4507),E4507)),E4507)</f>
        <v>0</v>
      </c>
      <c r="I4507" s="1" t="str">
        <f>IFERROR(VLOOKUP(C4507,'Clients List'!A:F,6,FALSE),"")</f>
        <v/>
      </c>
    </row>
    <row r="4508" spans="4:9" x14ac:dyDescent="0.45">
      <c r="D4508" t="str">
        <f>IFERROR(VLOOKUP(C4508,'Clients List'!$A:$F,2,FALSE),"")</f>
        <v/>
      </c>
      <c r="F4508" s="1" t="str">
        <f>IF(OR(C4508="",NOT(ISNUMBER(SEARCH("Package",D4508)))),"",VLOOKUP(C4508,'Clients List'!$A:$F,4,FALSE)-SUMIFS($E$2:$E4508,$C$2:$C4508,C4508,$D$2:$D4508,"*Package*"))</f>
        <v/>
      </c>
      <c r="G4508" t="str">
        <f t="shared" si="103"/>
        <v/>
      </c>
      <c r="H4508" s="33">
        <f>IF(ISNUMBER(SEARCH("Group",D4508)),IF(G4508="",E4508,IFERROR(E4508/COUNTIF($G2:$G6000,G4508),E4508)),E4508)</f>
        <v>0</v>
      </c>
      <c r="I4508" s="1" t="str">
        <f>IFERROR(VLOOKUP(C4508,'Clients List'!A:F,6,FALSE),"")</f>
        <v/>
      </c>
    </row>
    <row r="4509" spans="4:9" x14ac:dyDescent="0.45">
      <c r="D4509" t="str">
        <f>IFERROR(VLOOKUP(C4509,'Clients List'!$A:$F,2,FALSE),"")</f>
        <v/>
      </c>
      <c r="F4509" s="1" t="str">
        <f>IF(OR(C4509="",NOT(ISNUMBER(SEARCH("Package",D4509)))),"",VLOOKUP(C4509,'Clients List'!$A:$F,4,FALSE)-SUMIFS($E$2:$E4509,$C$2:$C4509,C4509,$D$2:$D4509,"*Package*"))</f>
        <v/>
      </c>
      <c r="G4509" t="str">
        <f t="shared" si="103"/>
        <v/>
      </c>
      <c r="H4509" s="33">
        <f>IF(ISNUMBER(SEARCH("Group",D4509)),IF(G4509="",E4509,IFERROR(E4509/COUNTIF($G2:$G6000,G4509),E4509)),E4509)</f>
        <v>0</v>
      </c>
      <c r="I4509" s="1" t="str">
        <f>IFERROR(VLOOKUP(C4509,'Clients List'!A:F,6,FALSE),"")</f>
        <v/>
      </c>
    </row>
    <row r="4510" spans="4:9" x14ac:dyDescent="0.45">
      <c r="D4510" t="str">
        <f>IFERROR(VLOOKUP(C4510,'Clients List'!$A:$F,2,FALSE),"")</f>
        <v/>
      </c>
      <c r="F4510" s="1" t="str">
        <f>IF(OR(C4510="",NOT(ISNUMBER(SEARCH("Package",D4510)))),"",VLOOKUP(C4510,'Clients List'!$A:$F,4,FALSE)-SUMIFS($E$2:$E4510,$C$2:$C4510,C4510,$D$2:$D4510,"*Package*"))</f>
        <v/>
      </c>
      <c r="G4510" t="str">
        <f t="shared" si="103"/>
        <v/>
      </c>
      <c r="H4510" s="33">
        <f>IF(ISNUMBER(SEARCH("Group",D4510)),IF(G4510="",E4510,IFERROR(E4510/COUNTIF($G2:$G6000,G4510),E4510)),E4510)</f>
        <v>0</v>
      </c>
      <c r="I4510" s="1" t="str">
        <f>IFERROR(VLOOKUP(C4510,'Clients List'!A:F,6,FALSE),"")</f>
        <v/>
      </c>
    </row>
    <row r="4511" spans="4:9" x14ac:dyDescent="0.45">
      <c r="D4511" t="str">
        <f>IFERROR(VLOOKUP(C4511,'Clients List'!$A:$F,2,FALSE),"")</f>
        <v/>
      </c>
      <c r="F4511" s="1" t="str">
        <f>IF(OR(C4511="",NOT(ISNUMBER(SEARCH("Package",D4511)))),"",VLOOKUP(C4511,'Clients List'!$A:$F,4,FALSE)-SUMIFS($E$2:$E4511,$C$2:$C4511,C4511,$D$2:$D4511,"*Package*"))</f>
        <v/>
      </c>
      <c r="G4511" t="str">
        <f t="shared" si="103"/>
        <v/>
      </c>
      <c r="H4511" s="33">
        <f>IF(ISNUMBER(SEARCH("Group",D4511)),IF(G4511="",E4511,IFERROR(E4511/COUNTIF($G2:$G6000,G4511),E4511)),E4511)</f>
        <v>0</v>
      </c>
      <c r="I4511" s="1" t="str">
        <f>IFERROR(VLOOKUP(C4511,'Clients List'!A:F,6,FALSE),"")</f>
        <v/>
      </c>
    </row>
    <row r="4512" spans="4:9" x14ac:dyDescent="0.45">
      <c r="D4512" t="str">
        <f>IFERROR(VLOOKUP(C4512,'Clients List'!$A:$F,2,FALSE),"")</f>
        <v/>
      </c>
      <c r="F4512" s="1" t="str">
        <f>IF(OR(C4512="",NOT(ISNUMBER(SEARCH("Package",D4512)))),"",VLOOKUP(C4512,'Clients List'!$A:$F,4,FALSE)-SUMIFS($E$2:$E4512,$C$2:$C4512,C4512,$D$2:$D4512,"*Package*"))</f>
        <v/>
      </c>
      <c r="G4512" t="str">
        <f t="shared" si="103"/>
        <v/>
      </c>
      <c r="H4512" s="33">
        <f>IF(ISNUMBER(SEARCH("Group",D4512)),IF(G4512="",E4512,IFERROR(E4512/COUNTIF($G2:$G6000,G4512),E4512)),E4512)</f>
        <v>0</v>
      </c>
      <c r="I4512" s="1" t="str">
        <f>IFERROR(VLOOKUP(C4512,'Clients List'!A:F,6,FALSE),"")</f>
        <v/>
      </c>
    </row>
    <row r="4513" spans="4:9" x14ac:dyDescent="0.45">
      <c r="D4513" t="str">
        <f>IFERROR(VLOOKUP(C4513,'Clients List'!$A:$F,2,FALSE),"")</f>
        <v/>
      </c>
      <c r="F4513" s="1" t="str">
        <f>IF(OR(C4513="",NOT(ISNUMBER(SEARCH("Package",D4513)))),"",VLOOKUP(C4513,'Clients List'!$A:$F,4,FALSE)-SUMIFS($E$2:$E4513,$C$2:$C4513,C4513,$D$2:$D4513,"*Package*"))</f>
        <v/>
      </c>
      <c r="G4513" t="str">
        <f t="shared" si="103"/>
        <v/>
      </c>
      <c r="H4513" s="33">
        <f>IF(ISNUMBER(SEARCH("Group",D4513)),IF(G4513="",E4513,IFERROR(E4513/COUNTIF($G2:$G6000,G4513),E4513)),E4513)</f>
        <v>0</v>
      </c>
      <c r="I4513" s="1" t="str">
        <f>IFERROR(VLOOKUP(C4513,'Clients List'!A:F,6,FALSE),"")</f>
        <v/>
      </c>
    </row>
    <row r="4514" spans="4:9" x14ac:dyDescent="0.45">
      <c r="D4514" t="str">
        <f>IFERROR(VLOOKUP(C4514,'Clients List'!$A:$F,2,FALSE),"")</f>
        <v/>
      </c>
      <c r="F4514" s="1" t="str">
        <f>IF(OR(C4514="",NOT(ISNUMBER(SEARCH("Package",D4514)))),"",VLOOKUP(C4514,'Clients List'!$A:$F,4,FALSE)-SUMIFS($E$2:$E4514,$C$2:$C4514,C4514,$D$2:$D4514,"*Package*"))</f>
        <v/>
      </c>
      <c r="G4514" t="str">
        <f t="shared" si="103"/>
        <v/>
      </c>
      <c r="H4514" s="33">
        <f>IF(ISNUMBER(SEARCH("Group",D4514)),IF(G4514="",E4514,IFERROR(E4514/COUNTIF($G2:$G6000,G4514),E4514)),E4514)</f>
        <v>0</v>
      </c>
      <c r="I4514" s="1" t="str">
        <f>IFERROR(VLOOKUP(C4514,'Clients List'!A:F,6,FALSE),"")</f>
        <v/>
      </c>
    </row>
    <row r="4515" spans="4:9" x14ac:dyDescent="0.45">
      <c r="D4515" t="str">
        <f>IFERROR(VLOOKUP(C4515,'Clients List'!$A:$F,2,FALSE),"")</f>
        <v/>
      </c>
      <c r="F4515" s="1" t="str">
        <f>IF(OR(C4515="",NOT(ISNUMBER(SEARCH("Package",D4515)))),"",VLOOKUP(C4515,'Clients List'!$A:$F,4,FALSE)-SUMIFS($E$2:$E4515,$C$2:$C4515,C4515,$D$2:$D4515,"*Package*"))</f>
        <v/>
      </c>
      <c r="G4515" t="str">
        <f t="shared" si="103"/>
        <v/>
      </c>
      <c r="H4515" s="33">
        <f>IF(ISNUMBER(SEARCH("Group",D4515)),IF(G4515="",E4515,IFERROR(E4515/COUNTIF($G2:$G6000,G4515),E4515)),E4515)</f>
        <v>0</v>
      </c>
      <c r="I4515" s="1" t="str">
        <f>IFERROR(VLOOKUP(C4515,'Clients List'!A:F,6,FALSE),"")</f>
        <v/>
      </c>
    </row>
    <row r="4516" spans="4:9" x14ac:dyDescent="0.45">
      <c r="D4516" t="str">
        <f>IFERROR(VLOOKUP(C4516,'Clients List'!$A:$F,2,FALSE),"")</f>
        <v/>
      </c>
      <c r="F4516" s="1" t="str">
        <f>IF(OR(C4516="",NOT(ISNUMBER(SEARCH("Package",D4516)))),"",VLOOKUP(C4516,'Clients List'!$A:$F,4,FALSE)-SUMIFS($E$2:$E4516,$C$2:$C4516,C4516,$D$2:$D4516,"*Package*"))</f>
        <v/>
      </c>
      <c r="G4516" t="str">
        <f t="shared" si="103"/>
        <v/>
      </c>
      <c r="H4516" s="33">
        <f>IF(ISNUMBER(SEARCH("Group",D4516)),IF(G4516="",E4516,IFERROR(E4516/COUNTIF($G2:$G6000,G4516),E4516)),E4516)</f>
        <v>0</v>
      </c>
      <c r="I4516" s="1" t="str">
        <f>IFERROR(VLOOKUP(C4516,'Clients List'!A:F,6,FALSE),"")</f>
        <v/>
      </c>
    </row>
    <row r="4517" spans="4:9" x14ac:dyDescent="0.45">
      <c r="D4517" t="str">
        <f>IFERROR(VLOOKUP(C4517,'Clients List'!$A:$F,2,FALSE),"")</f>
        <v/>
      </c>
      <c r="F4517" s="1" t="str">
        <f>IF(OR(C4517="",NOT(ISNUMBER(SEARCH("Package",D4517)))),"",VLOOKUP(C4517,'Clients List'!$A:$F,4,FALSE)-SUMIFS($E$2:$E4517,$C$2:$C4517,C4517,$D$2:$D4517,"*Package*"))</f>
        <v/>
      </c>
      <c r="G4517" t="str">
        <f t="shared" si="103"/>
        <v/>
      </c>
      <c r="H4517" s="33">
        <f>IF(ISNUMBER(SEARCH("Group",D4517)),IF(G4517="",E4517,IFERROR(E4517/COUNTIF($G2:$G6000,G4517),E4517)),E4517)</f>
        <v>0</v>
      </c>
      <c r="I4517" s="1" t="str">
        <f>IFERROR(VLOOKUP(C4517,'Clients List'!A:F,6,FALSE),"")</f>
        <v/>
      </c>
    </row>
    <row r="4518" spans="4:9" x14ac:dyDescent="0.45">
      <c r="D4518" t="str">
        <f>IFERROR(VLOOKUP(C4518,'Clients List'!$A:$F,2,FALSE),"")</f>
        <v/>
      </c>
      <c r="F4518" s="1" t="str">
        <f>IF(OR(C4518="",NOT(ISNUMBER(SEARCH("Package",D4518)))),"",VLOOKUP(C4518,'Clients List'!$A:$F,4,FALSE)-SUMIFS($E$2:$E4518,$C$2:$C4518,C4518,$D$2:$D4518,"*Package*"))</f>
        <v/>
      </c>
      <c r="G4518" t="str">
        <f t="shared" si="103"/>
        <v/>
      </c>
      <c r="H4518" s="33">
        <f>IF(ISNUMBER(SEARCH("Group",D4518)),IF(G4518="",E4518,IFERROR(E4518/COUNTIF($G2:$G6000,G4518),E4518)),E4518)</f>
        <v>0</v>
      </c>
      <c r="I4518" s="1" t="str">
        <f>IFERROR(VLOOKUP(C4518,'Clients List'!A:F,6,FALSE),"")</f>
        <v/>
      </c>
    </row>
    <row r="4519" spans="4:9" x14ac:dyDescent="0.45">
      <c r="D4519" t="str">
        <f>IFERROR(VLOOKUP(C4519,'Clients List'!$A:$F,2,FALSE),"")</f>
        <v/>
      </c>
      <c r="F4519" s="1" t="str">
        <f>IF(OR(C4519="",NOT(ISNUMBER(SEARCH("Package",D4519)))),"",VLOOKUP(C4519,'Clients List'!$A:$F,4,FALSE)-SUMIFS($E$2:$E4519,$C$2:$C4519,C4519,$D$2:$D4519,"*Package*"))</f>
        <v/>
      </c>
      <c r="G4519" t="str">
        <f t="shared" si="103"/>
        <v/>
      </c>
      <c r="H4519" s="33">
        <f>IF(ISNUMBER(SEARCH("Group",D4519)),IF(G4519="",E4519,IFERROR(E4519/COUNTIF($G2:$G6000,G4519),E4519)),E4519)</f>
        <v>0</v>
      </c>
      <c r="I4519" s="1" t="str">
        <f>IFERROR(VLOOKUP(C4519,'Clients List'!A:F,6,FALSE),"")</f>
        <v/>
      </c>
    </row>
    <row r="4520" spans="4:9" x14ac:dyDescent="0.45">
      <c r="D4520" t="str">
        <f>IFERROR(VLOOKUP(C4520,'Clients List'!$A:$F,2,FALSE),"")</f>
        <v/>
      </c>
      <c r="F4520" s="1" t="str">
        <f>IF(OR(C4520="",NOT(ISNUMBER(SEARCH("Package",D4520)))),"",VLOOKUP(C4520,'Clients List'!$A:$F,4,FALSE)-SUMIFS($E$2:$E4520,$C$2:$C4520,C4520,$D$2:$D4520,"*Package*"))</f>
        <v/>
      </c>
      <c r="G4520" t="str">
        <f t="shared" si="103"/>
        <v/>
      </c>
      <c r="H4520" s="33">
        <f>IF(ISNUMBER(SEARCH("Group",D4520)),IF(G4520="",E4520,IFERROR(E4520/COUNTIF($G2:$G6000,G4520),E4520)),E4520)</f>
        <v>0</v>
      </c>
      <c r="I4520" s="1" t="str">
        <f>IFERROR(VLOOKUP(C4520,'Clients List'!A:F,6,FALSE),"")</f>
        <v/>
      </c>
    </row>
    <row r="4521" spans="4:9" x14ac:dyDescent="0.45">
      <c r="D4521" t="str">
        <f>IFERROR(VLOOKUP(C4521,'Clients List'!$A:$F,2,FALSE),"")</f>
        <v/>
      </c>
      <c r="F4521" s="1" t="str">
        <f>IF(OR(C4521="",NOT(ISNUMBER(SEARCH("Package",D4521)))),"",VLOOKUP(C4521,'Clients List'!$A:$F,4,FALSE)-SUMIFS($E$2:$E4521,$C$2:$C4521,C4521,$D$2:$D4521,"*Package*"))</f>
        <v/>
      </c>
      <c r="G4521" t="str">
        <f t="shared" si="103"/>
        <v/>
      </c>
      <c r="H4521" s="33">
        <f>IF(ISNUMBER(SEARCH("Group",D4521)),IF(G4521="",E4521,IFERROR(E4521/COUNTIF($G2:$G6000,G4521),E4521)),E4521)</f>
        <v>0</v>
      </c>
      <c r="I4521" s="1" t="str">
        <f>IFERROR(VLOOKUP(C4521,'Clients List'!A:F,6,FALSE),"")</f>
        <v/>
      </c>
    </row>
    <row r="4522" spans="4:9" x14ac:dyDescent="0.45">
      <c r="D4522" t="str">
        <f>IFERROR(VLOOKUP(C4522,'Clients List'!$A:$F,2,FALSE),"")</f>
        <v/>
      </c>
      <c r="F4522" s="1" t="str">
        <f>IF(OR(C4522="",NOT(ISNUMBER(SEARCH("Package",D4522)))),"",VLOOKUP(C4522,'Clients List'!$A:$F,4,FALSE)-SUMIFS($E$2:$E4522,$C$2:$C4522,C4522,$D$2:$D4522,"*Package*"))</f>
        <v/>
      </c>
      <c r="G4522" t="str">
        <f t="shared" si="103"/>
        <v/>
      </c>
      <c r="H4522" s="33">
        <f>IF(ISNUMBER(SEARCH("Group",D4522)),IF(G4522="",E4522,IFERROR(E4522/COUNTIF($G2:$G6000,G4522),E4522)),E4522)</f>
        <v>0</v>
      </c>
      <c r="I4522" s="1" t="str">
        <f>IFERROR(VLOOKUP(C4522,'Clients List'!A:F,6,FALSE),"")</f>
        <v/>
      </c>
    </row>
    <row r="4523" spans="4:9" x14ac:dyDescent="0.45">
      <c r="D4523" t="str">
        <f>IFERROR(VLOOKUP(C4523,'Clients List'!$A:$F,2,FALSE),"")</f>
        <v/>
      </c>
      <c r="F4523" s="1" t="str">
        <f>IF(OR(C4523="",NOT(ISNUMBER(SEARCH("Package",D4523)))),"",VLOOKUP(C4523,'Clients List'!$A:$F,4,FALSE)-SUMIFS($E$2:$E4523,$C$2:$C4523,C4523,$D$2:$D4523,"*Package*"))</f>
        <v/>
      </c>
      <c r="G4523" t="str">
        <f t="shared" si="103"/>
        <v/>
      </c>
      <c r="H4523" s="33">
        <f>IF(ISNUMBER(SEARCH("Group",D4523)),IF(G4523="",E4523,IFERROR(E4523/COUNTIF($G2:$G6000,G4523),E4523)),E4523)</f>
        <v>0</v>
      </c>
      <c r="I4523" s="1" t="str">
        <f>IFERROR(VLOOKUP(C4523,'Clients List'!A:F,6,FALSE),"")</f>
        <v/>
      </c>
    </row>
    <row r="4524" spans="4:9" x14ac:dyDescent="0.45">
      <c r="D4524" t="str">
        <f>IFERROR(VLOOKUP(C4524,'Clients List'!$A:$F,2,FALSE),"")</f>
        <v/>
      </c>
      <c r="F4524" s="1" t="str">
        <f>IF(OR(C4524="",NOT(ISNUMBER(SEARCH("Package",D4524)))),"",VLOOKUP(C4524,'Clients List'!$A:$F,4,FALSE)-SUMIFS($E$2:$E4524,$C$2:$C4524,C4524,$D$2:$D4524,"*Package*"))</f>
        <v/>
      </c>
      <c r="G4524" t="str">
        <f t="shared" si="103"/>
        <v/>
      </c>
      <c r="H4524" s="33">
        <f>IF(ISNUMBER(SEARCH("Group",D4524)),IF(G4524="",E4524,IFERROR(E4524/COUNTIF($G2:$G6000,G4524),E4524)),E4524)</f>
        <v>0</v>
      </c>
      <c r="I4524" s="1" t="str">
        <f>IFERROR(VLOOKUP(C4524,'Clients List'!A:F,6,FALSE),"")</f>
        <v/>
      </c>
    </row>
    <row r="4525" spans="4:9" x14ac:dyDescent="0.45">
      <c r="D4525" t="str">
        <f>IFERROR(VLOOKUP(C4525,'Clients List'!$A:$F,2,FALSE),"")</f>
        <v/>
      </c>
      <c r="F4525" s="1" t="str">
        <f>IF(OR(C4525="",NOT(ISNUMBER(SEARCH("Package",D4525)))),"",VLOOKUP(C4525,'Clients List'!$A:$F,4,FALSE)-SUMIFS($E$2:$E4525,$C$2:$C4525,C4525,$D$2:$D4525,"*Package*"))</f>
        <v/>
      </c>
      <c r="G4525" t="str">
        <f t="shared" si="103"/>
        <v/>
      </c>
      <c r="H4525" s="33">
        <f>IF(ISNUMBER(SEARCH("Group",D4525)),IF(G4525="",E4525,IFERROR(E4525/COUNTIF($G2:$G6000,G4525),E4525)),E4525)</f>
        <v>0</v>
      </c>
      <c r="I4525" s="1" t="str">
        <f>IFERROR(VLOOKUP(C4525,'Clients List'!A:F,6,FALSE),"")</f>
        <v/>
      </c>
    </row>
    <row r="4526" spans="4:9" x14ac:dyDescent="0.45">
      <c r="D4526" t="str">
        <f>IFERROR(VLOOKUP(C4526,'Clients List'!$A:$F,2,FALSE),"")</f>
        <v/>
      </c>
      <c r="F4526" s="1" t="str">
        <f>IF(OR(C4526="",NOT(ISNUMBER(SEARCH("Package",D4526)))),"",VLOOKUP(C4526,'Clients List'!$A:$F,4,FALSE)-SUMIFS($E$2:$E4526,$C$2:$C4526,C4526,$D$2:$D4526,"*Package*"))</f>
        <v/>
      </c>
      <c r="G4526" t="str">
        <f t="shared" si="103"/>
        <v/>
      </c>
      <c r="H4526" s="33">
        <f>IF(ISNUMBER(SEARCH("Group",D4526)),IF(G4526="",E4526,IFERROR(E4526/COUNTIF($G2:$G6000,G4526),E4526)),E4526)</f>
        <v>0</v>
      </c>
      <c r="I4526" s="1" t="str">
        <f>IFERROR(VLOOKUP(C4526,'Clients List'!A:F,6,FALSE),"")</f>
        <v/>
      </c>
    </row>
    <row r="4527" spans="4:9" x14ac:dyDescent="0.45">
      <c r="D4527" t="str">
        <f>IFERROR(VLOOKUP(C4527,'Clients List'!$A:$F,2,FALSE),"")</f>
        <v/>
      </c>
      <c r="F4527" s="1" t="str">
        <f>IF(OR(C4527="",NOT(ISNUMBER(SEARCH("Package",D4527)))),"",VLOOKUP(C4527,'Clients List'!$A:$F,4,FALSE)-SUMIFS($E$2:$E4527,$C$2:$C4527,C4527,$D$2:$D4527,"*Package*"))</f>
        <v/>
      </c>
      <c r="G4527" t="str">
        <f t="shared" si="103"/>
        <v/>
      </c>
      <c r="H4527" s="33">
        <f>IF(ISNUMBER(SEARCH("Group",D4527)),IF(G4527="",E4527,IFERROR(E4527/COUNTIF($G2:$G6000,G4527),E4527)),E4527)</f>
        <v>0</v>
      </c>
      <c r="I4527" s="1" t="str">
        <f>IFERROR(VLOOKUP(C4527,'Clients List'!A:F,6,FALSE),"")</f>
        <v/>
      </c>
    </row>
    <row r="4528" spans="4:9" x14ac:dyDescent="0.45">
      <c r="D4528" t="str">
        <f>IFERROR(VLOOKUP(C4528,'Clients List'!$A:$F,2,FALSE),"")</f>
        <v/>
      </c>
      <c r="F4528" s="1" t="str">
        <f>IF(OR(C4528="",NOT(ISNUMBER(SEARCH("Package",D4528)))),"",VLOOKUP(C4528,'Clients List'!$A:$F,4,FALSE)-SUMIFS($E$2:$E4528,$C$2:$C4528,C4528,$D$2:$D4528,"*Package*"))</f>
        <v/>
      </c>
      <c r="G4528" t="str">
        <f t="shared" si="103"/>
        <v/>
      </c>
      <c r="H4528" s="33">
        <f>IF(ISNUMBER(SEARCH("Group",D4528)),IF(G4528="",E4528,IFERROR(E4528/COUNTIF($G2:$G6000,G4528),E4528)),E4528)</f>
        <v>0</v>
      </c>
      <c r="I4528" s="1" t="str">
        <f>IFERROR(VLOOKUP(C4528,'Clients List'!A:F,6,FALSE),"")</f>
        <v/>
      </c>
    </row>
    <row r="4529" spans="4:9" x14ac:dyDescent="0.45">
      <c r="D4529" t="str">
        <f>IFERROR(VLOOKUP(C4529,'Clients List'!$A:$F,2,FALSE),"")</f>
        <v/>
      </c>
      <c r="F4529" s="1" t="str">
        <f>IF(OR(C4529="",NOT(ISNUMBER(SEARCH("Package",D4529)))),"",VLOOKUP(C4529,'Clients List'!$A:$F,4,FALSE)-SUMIFS($E$2:$E4529,$C$2:$C4529,C4529,$D$2:$D4529,"*Package*"))</f>
        <v/>
      </c>
      <c r="G4529" t="str">
        <f t="shared" si="103"/>
        <v/>
      </c>
      <c r="H4529" s="33">
        <f>IF(ISNUMBER(SEARCH("Group",D4529)),IF(G4529="",E4529,IFERROR(E4529/COUNTIF($G2:$G6000,G4529),E4529)),E4529)</f>
        <v>0</v>
      </c>
      <c r="I4529" s="1" t="str">
        <f>IFERROR(VLOOKUP(C4529,'Clients List'!A:F,6,FALSE),"")</f>
        <v/>
      </c>
    </row>
    <row r="4530" spans="4:9" x14ac:dyDescent="0.45">
      <c r="D4530" t="str">
        <f>IFERROR(VLOOKUP(C4530,'Clients List'!$A:$F,2,FALSE),"")</f>
        <v/>
      </c>
      <c r="F4530" s="1" t="str">
        <f>IF(OR(C4530="",NOT(ISNUMBER(SEARCH("Package",D4530)))),"",VLOOKUP(C4530,'Clients List'!$A:$F,4,FALSE)-SUMIFS($E$2:$E4530,$C$2:$C4530,C4530,$D$2:$D4530,"*Package*"))</f>
        <v/>
      </c>
      <c r="G4530" t="str">
        <f t="shared" si="103"/>
        <v/>
      </c>
      <c r="H4530" s="33">
        <f>IF(ISNUMBER(SEARCH("Group",D4530)),IF(G4530="",E4530,IFERROR(E4530/COUNTIF($G2:$G6000,G4530),E4530)),E4530)</f>
        <v>0</v>
      </c>
      <c r="I4530" s="1" t="str">
        <f>IFERROR(VLOOKUP(C4530,'Clients List'!A:F,6,FALSE),"")</f>
        <v/>
      </c>
    </row>
    <row r="4531" spans="4:9" x14ac:dyDescent="0.45">
      <c r="D4531" t="str">
        <f>IFERROR(VLOOKUP(C4531,'Clients List'!$A:$F,2,FALSE),"")</f>
        <v/>
      </c>
      <c r="F4531" s="1" t="str">
        <f>IF(OR(C4531="",NOT(ISNUMBER(SEARCH("Package",D4531)))),"",VLOOKUP(C4531,'Clients List'!$A:$F,4,FALSE)-SUMIFS($E$2:$E4531,$C$2:$C4531,C4531,$D$2:$D4531,"*Package*"))</f>
        <v/>
      </c>
      <c r="G4531" t="str">
        <f t="shared" si="103"/>
        <v/>
      </c>
      <c r="H4531" s="33">
        <f>IF(ISNUMBER(SEARCH("Group",D4531)),IF(G4531="",E4531,IFERROR(E4531/COUNTIF($G2:$G6000,G4531),E4531)),E4531)</f>
        <v>0</v>
      </c>
      <c r="I4531" s="1" t="str">
        <f>IFERROR(VLOOKUP(C4531,'Clients List'!A:F,6,FALSE),"")</f>
        <v/>
      </c>
    </row>
    <row r="4532" spans="4:9" x14ac:dyDescent="0.45">
      <c r="D4532" t="str">
        <f>IFERROR(VLOOKUP(C4532,'Clients List'!$A:$F,2,FALSE),"")</f>
        <v/>
      </c>
      <c r="F4532" s="1" t="str">
        <f>IF(OR(C4532="",NOT(ISNUMBER(SEARCH("Package",D4532)))),"",VLOOKUP(C4532,'Clients List'!$A:$F,4,FALSE)-SUMIFS($E$2:$E4532,$C$2:$C4532,C4532,$D$2:$D4532,"*Package*"))</f>
        <v/>
      </c>
      <c r="G4532" t="str">
        <f t="shared" si="103"/>
        <v/>
      </c>
      <c r="H4532" s="33">
        <f>IF(ISNUMBER(SEARCH("Group",D4532)),IF(G4532="",E4532,IFERROR(E4532/COUNTIF($G2:$G6000,G4532),E4532)),E4532)</f>
        <v>0</v>
      </c>
      <c r="I4532" s="1" t="str">
        <f>IFERROR(VLOOKUP(C4532,'Clients List'!A:F,6,FALSE),"")</f>
        <v/>
      </c>
    </row>
    <row r="4533" spans="4:9" x14ac:dyDescent="0.45">
      <c r="D4533" t="str">
        <f>IFERROR(VLOOKUP(C4533,'Clients List'!$A:$F,2,FALSE),"")</f>
        <v/>
      </c>
      <c r="F4533" s="1" t="str">
        <f>IF(OR(C4533="",NOT(ISNUMBER(SEARCH("Package",D4533)))),"",VLOOKUP(C4533,'Clients List'!$A:$F,4,FALSE)-SUMIFS($E$2:$E4533,$C$2:$C4533,C4533,$D$2:$D4533,"*Package*"))</f>
        <v/>
      </c>
      <c r="G4533" t="str">
        <f t="shared" ref="G4533:G4596" si="104">IF(ISNUMBER(SEARCH("Group",D4533)),IFERROR("GRP-"&amp;TEXT(IF(ISNUMBER(A4533),A4533,DATEVALUE(A4533)),"yyyymmdd"),""),"" )</f>
        <v/>
      </c>
      <c r="H4533" s="33">
        <f>IF(ISNUMBER(SEARCH("Group",D4533)),IF(G4533="",E4533,IFERROR(E4533/COUNTIF($G2:$G6000,G4533),E4533)),E4533)</f>
        <v>0</v>
      </c>
      <c r="I4533" s="1" t="str">
        <f>IFERROR(VLOOKUP(C4533,'Clients List'!A:F,6,FALSE),"")</f>
        <v/>
      </c>
    </row>
    <row r="4534" spans="4:9" x14ac:dyDescent="0.45">
      <c r="D4534" t="str">
        <f>IFERROR(VLOOKUP(C4534,'Clients List'!$A:$F,2,FALSE),"")</f>
        <v/>
      </c>
      <c r="F4534" s="1" t="str">
        <f>IF(OR(C4534="",NOT(ISNUMBER(SEARCH("Package",D4534)))),"",VLOOKUP(C4534,'Clients List'!$A:$F,4,FALSE)-SUMIFS($E$2:$E4534,$C$2:$C4534,C4534,$D$2:$D4534,"*Package*"))</f>
        <v/>
      </c>
      <c r="G4534" t="str">
        <f t="shared" si="104"/>
        <v/>
      </c>
      <c r="H4534" s="33">
        <f>IF(ISNUMBER(SEARCH("Group",D4534)),IF(G4534="",E4534,IFERROR(E4534/COUNTIF($G2:$G6000,G4534),E4534)),E4534)</f>
        <v>0</v>
      </c>
      <c r="I4534" s="1" t="str">
        <f>IFERROR(VLOOKUP(C4534,'Clients List'!A:F,6,FALSE),"")</f>
        <v/>
      </c>
    </row>
    <row r="4535" spans="4:9" x14ac:dyDescent="0.45">
      <c r="D4535" t="str">
        <f>IFERROR(VLOOKUP(C4535,'Clients List'!$A:$F,2,FALSE),"")</f>
        <v/>
      </c>
      <c r="F4535" s="1" t="str">
        <f>IF(OR(C4535="",NOT(ISNUMBER(SEARCH("Package",D4535)))),"",VLOOKUP(C4535,'Clients List'!$A:$F,4,FALSE)-SUMIFS($E$2:$E4535,$C$2:$C4535,C4535,$D$2:$D4535,"*Package*"))</f>
        <v/>
      </c>
      <c r="G4535" t="str">
        <f t="shared" si="104"/>
        <v/>
      </c>
      <c r="H4535" s="33">
        <f>IF(ISNUMBER(SEARCH("Group",D4535)),IF(G4535="",E4535,IFERROR(E4535/COUNTIF($G2:$G6000,G4535),E4535)),E4535)</f>
        <v>0</v>
      </c>
      <c r="I4535" s="1" t="str">
        <f>IFERROR(VLOOKUP(C4535,'Clients List'!A:F,6,FALSE),"")</f>
        <v/>
      </c>
    </row>
    <row r="4536" spans="4:9" x14ac:dyDescent="0.45">
      <c r="D4536" t="str">
        <f>IFERROR(VLOOKUP(C4536,'Clients List'!$A:$F,2,FALSE),"")</f>
        <v/>
      </c>
      <c r="F4536" s="1" t="str">
        <f>IF(OR(C4536="",NOT(ISNUMBER(SEARCH("Package",D4536)))),"",VLOOKUP(C4536,'Clients List'!$A:$F,4,FALSE)-SUMIFS($E$2:$E4536,$C$2:$C4536,C4536,$D$2:$D4536,"*Package*"))</f>
        <v/>
      </c>
      <c r="G4536" t="str">
        <f t="shared" si="104"/>
        <v/>
      </c>
      <c r="H4536" s="33">
        <f>IF(ISNUMBER(SEARCH("Group",D4536)),IF(G4536="",E4536,IFERROR(E4536/COUNTIF($G2:$G6000,G4536),E4536)),E4536)</f>
        <v>0</v>
      </c>
      <c r="I4536" s="1" t="str">
        <f>IFERROR(VLOOKUP(C4536,'Clients List'!A:F,6,FALSE),"")</f>
        <v/>
      </c>
    </row>
    <row r="4537" spans="4:9" x14ac:dyDescent="0.45">
      <c r="D4537" t="str">
        <f>IFERROR(VLOOKUP(C4537,'Clients List'!$A:$F,2,FALSE),"")</f>
        <v/>
      </c>
      <c r="F4537" s="1" t="str">
        <f>IF(OR(C4537="",NOT(ISNUMBER(SEARCH("Package",D4537)))),"",VLOOKUP(C4537,'Clients List'!$A:$F,4,FALSE)-SUMIFS($E$2:$E4537,$C$2:$C4537,C4537,$D$2:$D4537,"*Package*"))</f>
        <v/>
      </c>
      <c r="G4537" t="str">
        <f t="shared" si="104"/>
        <v/>
      </c>
      <c r="H4537" s="33">
        <f>IF(ISNUMBER(SEARCH("Group",D4537)),IF(G4537="",E4537,IFERROR(E4537/COUNTIF($G2:$G6000,G4537),E4537)),E4537)</f>
        <v>0</v>
      </c>
      <c r="I4537" s="1" t="str">
        <f>IFERROR(VLOOKUP(C4537,'Clients List'!A:F,6,FALSE),"")</f>
        <v/>
      </c>
    </row>
    <row r="4538" spans="4:9" x14ac:dyDescent="0.45">
      <c r="D4538" t="str">
        <f>IFERROR(VLOOKUP(C4538,'Clients List'!$A:$F,2,FALSE),"")</f>
        <v/>
      </c>
      <c r="F4538" s="1" t="str">
        <f>IF(OR(C4538="",NOT(ISNUMBER(SEARCH("Package",D4538)))),"",VLOOKUP(C4538,'Clients List'!$A:$F,4,FALSE)-SUMIFS($E$2:$E4538,$C$2:$C4538,C4538,$D$2:$D4538,"*Package*"))</f>
        <v/>
      </c>
      <c r="G4538" t="str">
        <f t="shared" si="104"/>
        <v/>
      </c>
      <c r="H4538" s="33">
        <f>IF(ISNUMBER(SEARCH("Group",D4538)),IF(G4538="",E4538,IFERROR(E4538/COUNTIF($G2:$G6000,G4538),E4538)),E4538)</f>
        <v>0</v>
      </c>
      <c r="I4538" s="1" t="str">
        <f>IFERROR(VLOOKUP(C4538,'Clients List'!A:F,6,FALSE),"")</f>
        <v/>
      </c>
    </row>
    <row r="4539" spans="4:9" x14ac:dyDescent="0.45">
      <c r="D4539" t="str">
        <f>IFERROR(VLOOKUP(C4539,'Clients List'!$A:$F,2,FALSE),"")</f>
        <v/>
      </c>
      <c r="F4539" s="1" t="str">
        <f>IF(OR(C4539="",NOT(ISNUMBER(SEARCH("Package",D4539)))),"",VLOOKUP(C4539,'Clients List'!$A:$F,4,FALSE)-SUMIFS($E$2:$E4539,$C$2:$C4539,C4539,$D$2:$D4539,"*Package*"))</f>
        <v/>
      </c>
      <c r="G4539" t="str">
        <f t="shared" si="104"/>
        <v/>
      </c>
      <c r="H4539" s="33">
        <f>IF(ISNUMBER(SEARCH("Group",D4539)),IF(G4539="",E4539,IFERROR(E4539/COUNTIF($G2:$G6000,G4539),E4539)),E4539)</f>
        <v>0</v>
      </c>
      <c r="I4539" s="1" t="str">
        <f>IFERROR(VLOOKUP(C4539,'Clients List'!A:F,6,FALSE),"")</f>
        <v/>
      </c>
    </row>
    <row r="4540" spans="4:9" x14ac:dyDescent="0.45">
      <c r="D4540" t="str">
        <f>IFERROR(VLOOKUP(C4540,'Clients List'!$A:$F,2,FALSE),"")</f>
        <v/>
      </c>
      <c r="F4540" s="1" t="str">
        <f>IF(OR(C4540="",NOT(ISNUMBER(SEARCH("Package",D4540)))),"",VLOOKUP(C4540,'Clients List'!$A:$F,4,FALSE)-SUMIFS($E$2:$E4540,$C$2:$C4540,C4540,$D$2:$D4540,"*Package*"))</f>
        <v/>
      </c>
      <c r="G4540" t="str">
        <f t="shared" si="104"/>
        <v/>
      </c>
      <c r="H4540" s="33">
        <f>IF(ISNUMBER(SEARCH("Group",D4540)),IF(G4540="",E4540,IFERROR(E4540/COUNTIF($G2:$G6000,G4540),E4540)),E4540)</f>
        <v>0</v>
      </c>
      <c r="I4540" s="1" t="str">
        <f>IFERROR(VLOOKUP(C4540,'Clients List'!A:F,6,FALSE),"")</f>
        <v/>
      </c>
    </row>
    <row r="4541" spans="4:9" x14ac:dyDescent="0.45">
      <c r="D4541" t="str">
        <f>IFERROR(VLOOKUP(C4541,'Clients List'!$A:$F,2,FALSE),"")</f>
        <v/>
      </c>
      <c r="F4541" s="1" t="str">
        <f>IF(OR(C4541="",NOT(ISNUMBER(SEARCH("Package",D4541)))),"",VLOOKUP(C4541,'Clients List'!$A:$F,4,FALSE)-SUMIFS($E$2:$E4541,$C$2:$C4541,C4541,$D$2:$D4541,"*Package*"))</f>
        <v/>
      </c>
      <c r="G4541" t="str">
        <f t="shared" si="104"/>
        <v/>
      </c>
      <c r="H4541" s="33">
        <f>IF(ISNUMBER(SEARCH("Group",D4541)),IF(G4541="",E4541,IFERROR(E4541/COUNTIF($G2:$G6000,G4541),E4541)),E4541)</f>
        <v>0</v>
      </c>
      <c r="I4541" s="1" t="str">
        <f>IFERROR(VLOOKUP(C4541,'Clients List'!A:F,6,FALSE),"")</f>
        <v/>
      </c>
    </row>
    <row r="4542" spans="4:9" x14ac:dyDescent="0.45">
      <c r="D4542" t="str">
        <f>IFERROR(VLOOKUP(C4542,'Clients List'!$A:$F,2,FALSE),"")</f>
        <v/>
      </c>
      <c r="F4542" s="1" t="str">
        <f>IF(OR(C4542="",NOT(ISNUMBER(SEARCH("Package",D4542)))),"",VLOOKUP(C4542,'Clients List'!$A:$F,4,FALSE)-SUMIFS($E$2:$E4542,$C$2:$C4542,C4542,$D$2:$D4542,"*Package*"))</f>
        <v/>
      </c>
      <c r="G4542" t="str">
        <f t="shared" si="104"/>
        <v/>
      </c>
      <c r="H4542" s="33">
        <f>IF(ISNUMBER(SEARCH("Group",D4542)),IF(G4542="",E4542,IFERROR(E4542/COUNTIF($G2:$G6000,G4542),E4542)),E4542)</f>
        <v>0</v>
      </c>
      <c r="I4542" s="1" t="str">
        <f>IFERROR(VLOOKUP(C4542,'Clients List'!A:F,6,FALSE),"")</f>
        <v/>
      </c>
    </row>
    <row r="4543" spans="4:9" x14ac:dyDescent="0.45">
      <c r="D4543" t="str">
        <f>IFERROR(VLOOKUP(C4543,'Clients List'!$A:$F,2,FALSE),"")</f>
        <v/>
      </c>
      <c r="F4543" s="1" t="str">
        <f>IF(OR(C4543="",NOT(ISNUMBER(SEARCH("Package",D4543)))),"",VLOOKUP(C4543,'Clients List'!$A:$F,4,FALSE)-SUMIFS($E$2:$E4543,$C$2:$C4543,C4543,$D$2:$D4543,"*Package*"))</f>
        <v/>
      </c>
      <c r="G4543" t="str">
        <f t="shared" si="104"/>
        <v/>
      </c>
      <c r="H4543" s="33">
        <f>IF(ISNUMBER(SEARCH("Group",D4543)),IF(G4543="",E4543,IFERROR(E4543/COUNTIF($G2:$G6000,G4543),E4543)),E4543)</f>
        <v>0</v>
      </c>
      <c r="I4543" s="1" t="str">
        <f>IFERROR(VLOOKUP(C4543,'Clients List'!A:F,6,FALSE),"")</f>
        <v/>
      </c>
    </row>
    <row r="4544" spans="4:9" x14ac:dyDescent="0.45">
      <c r="D4544" t="str">
        <f>IFERROR(VLOOKUP(C4544,'Clients List'!$A:$F,2,FALSE),"")</f>
        <v/>
      </c>
      <c r="F4544" s="1" t="str">
        <f>IF(OR(C4544="",NOT(ISNUMBER(SEARCH("Package",D4544)))),"",VLOOKUP(C4544,'Clients List'!$A:$F,4,FALSE)-SUMIFS($E$2:$E4544,$C$2:$C4544,C4544,$D$2:$D4544,"*Package*"))</f>
        <v/>
      </c>
      <c r="G4544" t="str">
        <f t="shared" si="104"/>
        <v/>
      </c>
      <c r="H4544" s="33">
        <f>IF(ISNUMBER(SEARCH("Group",D4544)),IF(G4544="",E4544,IFERROR(E4544/COUNTIF($G2:$G6000,G4544),E4544)),E4544)</f>
        <v>0</v>
      </c>
      <c r="I4544" s="1" t="str">
        <f>IFERROR(VLOOKUP(C4544,'Clients List'!A:F,6,FALSE),"")</f>
        <v/>
      </c>
    </row>
    <row r="4545" spans="4:9" x14ac:dyDescent="0.45">
      <c r="D4545" t="str">
        <f>IFERROR(VLOOKUP(C4545,'Clients List'!$A:$F,2,FALSE),"")</f>
        <v/>
      </c>
      <c r="F4545" s="1" t="str">
        <f>IF(OR(C4545="",NOT(ISNUMBER(SEARCH("Package",D4545)))),"",VLOOKUP(C4545,'Clients List'!$A:$F,4,FALSE)-SUMIFS($E$2:$E4545,$C$2:$C4545,C4545,$D$2:$D4545,"*Package*"))</f>
        <v/>
      </c>
      <c r="G4545" t="str">
        <f t="shared" si="104"/>
        <v/>
      </c>
      <c r="H4545" s="33">
        <f>IF(ISNUMBER(SEARCH("Group",D4545)),IF(G4545="",E4545,IFERROR(E4545/COUNTIF($G2:$G6000,G4545),E4545)),E4545)</f>
        <v>0</v>
      </c>
      <c r="I4545" s="1" t="str">
        <f>IFERROR(VLOOKUP(C4545,'Clients List'!A:F,6,FALSE),"")</f>
        <v/>
      </c>
    </row>
    <row r="4546" spans="4:9" x14ac:dyDescent="0.45">
      <c r="D4546" t="str">
        <f>IFERROR(VLOOKUP(C4546,'Clients List'!$A:$F,2,FALSE),"")</f>
        <v/>
      </c>
      <c r="F4546" s="1" t="str">
        <f>IF(OR(C4546="",NOT(ISNUMBER(SEARCH("Package",D4546)))),"",VLOOKUP(C4546,'Clients List'!$A:$F,4,FALSE)-SUMIFS($E$2:$E4546,$C$2:$C4546,C4546,$D$2:$D4546,"*Package*"))</f>
        <v/>
      </c>
      <c r="G4546" t="str">
        <f t="shared" si="104"/>
        <v/>
      </c>
      <c r="H4546" s="33">
        <f>IF(ISNUMBER(SEARCH("Group",D4546)),IF(G4546="",E4546,IFERROR(E4546/COUNTIF($G2:$G6000,G4546),E4546)),E4546)</f>
        <v>0</v>
      </c>
      <c r="I4546" s="1" t="str">
        <f>IFERROR(VLOOKUP(C4546,'Clients List'!A:F,6,FALSE),"")</f>
        <v/>
      </c>
    </row>
    <row r="4547" spans="4:9" x14ac:dyDescent="0.45">
      <c r="D4547" t="str">
        <f>IFERROR(VLOOKUP(C4547,'Clients List'!$A:$F,2,FALSE),"")</f>
        <v/>
      </c>
      <c r="F4547" s="1" t="str">
        <f>IF(OR(C4547="",NOT(ISNUMBER(SEARCH("Package",D4547)))),"",VLOOKUP(C4547,'Clients List'!$A:$F,4,FALSE)-SUMIFS($E$2:$E4547,$C$2:$C4547,C4547,$D$2:$D4547,"*Package*"))</f>
        <v/>
      </c>
      <c r="G4547" t="str">
        <f t="shared" si="104"/>
        <v/>
      </c>
      <c r="H4547" s="33">
        <f>IF(ISNUMBER(SEARCH("Group",D4547)),IF(G4547="",E4547,IFERROR(E4547/COUNTIF($G2:$G6000,G4547),E4547)),E4547)</f>
        <v>0</v>
      </c>
      <c r="I4547" s="1" t="str">
        <f>IFERROR(VLOOKUP(C4547,'Clients List'!A:F,6,FALSE),"")</f>
        <v/>
      </c>
    </row>
    <row r="4548" spans="4:9" x14ac:dyDescent="0.45">
      <c r="D4548" t="str">
        <f>IFERROR(VLOOKUP(C4548,'Clients List'!$A:$F,2,FALSE),"")</f>
        <v/>
      </c>
      <c r="F4548" s="1" t="str">
        <f>IF(OR(C4548="",NOT(ISNUMBER(SEARCH("Package",D4548)))),"",VLOOKUP(C4548,'Clients List'!$A:$F,4,FALSE)-SUMIFS($E$2:$E4548,$C$2:$C4548,C4548,$D$2:$D4548,"*Package*"))</f>
        <v/>
      </c>
      <c r="G4548" t="str">
        <f t="shared" si="104"/>
        <v/>
      </c>
      <c r="H4548" s="33">
        <f>IF(ISNUMBER(SEARCH("Group",D4548)),IF(G4548="",E4548,IFERROR(E4548/COUNTIF($G2:$G6000,G4548),E4548)),E4548)</f>
        <v>0</v>
      </c>
      <c r="I4548" s="1" t="str">
        <f>IFERROR(VLOOKUP(C4548,'Clients List'!A:F,6,FALSE),"")</f>
        <v/>
      </c>
    </row>
    <row r="4549" spans="4:9" x14ac:dyDescent="0.45">
      <c r="D4549" t="str">
        <f>IFERROR(VLOOKUP(C4549,'Clients List'!$A:$F,2,FALSE),"")</f>
        <v/>
      </c>
      <c r="F4549" s="1" t="str">
        <f>IF(OR(C4549="",NOT(ISNUMBER(SEARCH("Package",D4549)))),"",VLOOKUP(C4549,'Clients List'!$A:$F,4,FALSE)-SUMIFS($E$2:$E4549,$C$2:$C4549,C4549,$D$2:$D4549,"*Package*"))</f>
        <v/>
      </c>
      <c r="G4549" t="str">
        <f t="shared" si="104"/>
        <v/>
      </c>
      <c r="H4549" s="33">
        <f>IF(ISNUMBER(SEARCH("Group",D4549)),IF(G4549="",E4549,IFERROR(E4549/COUNTIF($G2:$G6000,G4549),E4549)),E4549)</f>
        <v>0</v>
      </c>
      <c r="I4549" s="1" t="str">
        <f>IFERROR(VLOOKUP(C4549,'Clients List'!A:F,6,FALSE),"")</f>
        <v/>
      </c>
    </row>
    <row r="4550" spans="4:9" x14ac:dyDescent="0.45">
      <c r="D4550" t="str">
        <f>IFERROR(VLOOKUP(C4550,'Clients List'!$A:$F,2,FALSE),"")</f>
        <v/>
      </c>
      <c r="F4550" s="1" t="str">
        <f>IF(OR(C4550="",NOT(ISNUMBER(SEARCH("Package",D4550)))),"",VLOOKUP(C4550,'Clients List'!$A:$F,4,FALSE)-SUMIFS($E$2:$E4550,$C$2:$C4550,C4550,$D$2:$D4550,"*Package*"))</f>
        <v/>
      </c>
      <c r="G4550" t="str">
        <f t="shared" si="104"/>
        <v/>
      </c>
      <c r="H4550" s="33">
        <f>IF(ISNUMBER(SEARCH("Group",D4550)),IF(G4550="",E4550,IFERROR(E4550/COUNTIF($G2:$G6000,G4550),E4550)),E4550)</f>
        <v>0</v>
      </c>
      <c r="I4550" s="1" t="str">
        <f>IFERROR(VLOOKUP(C4550,'Clients List'!A:F,6,FALSE),"")</f>
        <v/>
      </c>
    </row>
    <row r="4551" spans="4:9" x14ac:dyDescent="0.45">
      <c r="D4551" t="str">
        <f>IFERROR(VLOOKUP(C4551,'Clients List'!$A:$F,2,FALSE),"")</f>
        <v/>
      </c>
      <c r="F4551" s="1" t="str">
        <f>IF(OR(C4551="",NOT(ISNUMBER(SEARCH("Package",D4551)))),"",VLOOKUP(C4551,'Clients List'!$A:$F,4,FALSE)-SUMIFS($E$2:$E4551,$C$2:$C4551,C4551,$D$2:$D4551,"*Package*"))</f>
        <v/>
      </c>
      <c r="G4551" t="str">
        <f t="shared" si="104"/>
        <v/>
      </c>
      <c r="H4551" s="33">
        <f>IF(ISNUMBER(SEARCH("Group",D4551)),IF(G4551="",E4551,IFERROR(E4551/COUNTIF($G2:$G6000,G4551),E4551)),E4551)</f>
        <v>0</v>
      </c>
      <c r="I4551" s="1" t="str">
        <f>IFERROR(VLOOKUP(C4551,'Clients List'!A:F,6,FALSE),"")</f>
        <v/>
      </c>
    </row>
    <row r="4552" spans="4:9" x14ac:dyDescent="0.45">
      <c r="D4552" t="str">
        <f>IFERROR(VLOOKUP(C4552,'Clients List'!$A:$F,2,FALSE),"")</f>
        <v/>
      </c>
      <c r="F4552" s="1" t="str">
        <f>IF(OR(C4552="",NOT(ISNUMBER(SEARCH("Package",D4552)))),"",VLOOKUP(C4552,'Clients List'!$A:$F,4,FALSE)-SUMIFS($E$2:$E4552,$C$2:$C4552,C4552,$D$2:$D4552,"*Package*"))</f>
        <v/>
      </c>
      <c r="G4552" t="str">
        <f t="shared" si="104"/>
        <v/>
      </c>
      <c r="H4552" s="33">
        <f>IF(ISNUMBER(SEARCH("Group",D4552)),IF(G4552="",E4552,IFERROR(E4552/COUNTIF($G2:$G6000,G4552),E4552)),E4552)</f>
        <v>0</v>
      </c>
      <c r="I4552" s="1" t="str">
        <f>IFERROR(VLOOKUP(C4552,'Clients List'!A:F,6,FALSE),"")</f>
        <v/>
      </c>
    </row>
    <row r="4553" spans="4:9" x14ac:dyDescent="0.45">
      <c r="D4553" t="str">
        <f>IFERROR(VLOOKUP(C4553,'Clients List'!$A:$F,2,FALSE),"")</f>
        <v/>
      </c>
      <c r="F4553" s="1" t="str">
        <f>IF(OR(C4553="",NOT(ISNUMBER(SEARCH("Package",D4553)))),"",VLOOKUP(C4553,'Clients List'!$A:$F,4,FALSE)-SUMIFS($E$2:$E4553,$C$2:$C4553,C4553,$D$2:$D4553,"*Package*"))</f>
        <v/>
      </c>
      <c r="G4553" t="str">
        <f t="shared" si="104"/>
        <v/>
      </c>
      <c r="H4553" s="33">
        <f>IF(ISNUMBER(SEARCH("Group",D4553)),IF(G4553="",E4553,IFERROR(E4553/COUNTIF($G2:$G6000,G4553),E4553)),E4553)</f>
        <v>0</v>
      </c>
      <c r="I4553" s="1" t="str">
        <f>IFERROR(VLOOKUP(C4553,'Clients List'!A:F,6,FALSE),"")</f>
        <v/>
      </c>
    </row>
    <row r="4554" spans="4:9" x14ac:dyDescent="0.45">
      <c r="D4554" t="str">
        <f>IFERROR(VLOOKUP(C4554,'Clients List'!$A:$F,2,FALSE),"")</f>
        <v/>
      </c>
      <c r="F4554" s="1" t="str">
        <f>IF(OR(C4554="",NOT(ISNUMBER(SEARCH("Package",D4554)))),"",VLOOKUP(C4554,'Clients List'!$A:$F,4,FALSE)-SUMIFS($E$2:$E4554,$C$2:$C4554,C4554,$D$2:$D4554,"*Package*"))</f>
        <v/>
      </c>
      <c r="G4554" t="str">
        <f t="shared" si="104"/>
        <v/>
      </c>
      <c r="H4554" s="33">
        <f>IF(ISNUMBER(SEARCH("Group",D4554)),IF(G4554="",E4554,IFERROR(E4554/COUNTIF($G2:$G6000,G4554),E4554)),E4554)</f>
        <v>0</v>
      </c>
      <c r="I4554" s="1" t="str">
        <f>IFERROR(VLOOKUP(C4554,'Clients List'!A:F,6,FALSE),"")</f>
        <v/>
      </c>
    </row>
    <row r="4555" spans="4:9" x14ac:dyDescent="0.45">
      <c r="D4555" t="str">
        <f>IFERROR(VLOOKUP(C4555,'Clients List'!$A:$F,2,FALSE),"")</f>
        <v/>
      </c>
      <c r="F4555" s="1" t="str">
        <f>IF(OR(C4555="",NOT(ISNUMBER(SEARCH("Package",D4555)))),"",VLOOKUP(C4555,'Clients List'!$A:$F,4,FALSE)-SUMIFS($E$2:$E4555,$C$2:$C4555,C4555,$D$2:$D4555,"*Package*"))</f>
        <v/>
      </c>
      <c r="G4555" t="str">
        <f t="shared" si="104"/>
        <v/>
      </c>
      <c r="H4555" s="33">
        <f>IF(ISNUMBER(SEARCH("Group",D4555)),IF(G4555="",E4555,IFERROR(E4555/COUNTIF($G2:$G6000,G4555),E4555)),E4555)</f>
        <v>0</v>
      </c>
      <c r="I4555" s="1" t="str">
        <f>IFERROR(VLOOKUP(C4555,'Clients List'!A:F,6,FALSE),"")</f>
        <v/>
      </c>
    </row>
    <row r="4556" spans="4:9" x14ac:dyDescent="0.45">
      <c r="D4556" t="str">
        <f>IFERROR(VLOOKUP(C4556,'Clients List'!$A:$F,2,FALSE),"")</f>
        <v/>
      </c>
      <c r="F4556" s="1" t="str">
        <f>IF(OR(C4556="",NOT(ISNUMBER(SEARCH("Package",D4556)))),"",VLOOKUP(C4556,'Clients List'!$A:$F,4,FALSE)-SUMIFS($E$2:$E4556,$C$2:$C4556,C4556,$D$2:$D4556,"*Package*"))</f>
        <v/>
      </c>
      <c r="G4556" t="str">
        <f t="shared" si="104"/>
        <v/>
      </c>
      <c r="H4556" s="33">
        <f>IF(ISNUMBER(SEARCH("Group",D4556)),IF(G4556="",E4556,IFERROR(E4556/COUNTIF($G2:$G6000,G4556),E4556)),E4556)</f>
        <v>0</v>
      </c>
      <c r="I4556" s="1" t="str">
        <f>IFERROR(VLOOKUP(C4556,'Clients List'!A:F,6,FALSE),"")</f>
        <v/>
      </c>
    </row>
    <row r="4557" spans="4:9" x14ac:dyDescent="0.45">
      <c r="D4557" t="str">
        <f>IFERROR(VLOOKUP(C4557,'Clients List'!$A:$F,2,FALSE),"")</f>
        <v/>
      </c>
      <c r="F4557" s="1" t="str">
        <f>IF(OR(C4557="",NOT(ISNUMBER(SEARCH("Package",D4557)))),"",VLOOKUP(C4557,'Clients List'!$A:$F,4,FALSE)-SUMIFS($E$2:$E4557,$C$2:$C4557,C4557,$D$2:$D4557,"*Package*"))</f>
        <v/>
      </c>
      <c r="G4557" t="str">
        <f t="shared" si="104"/>
        <v/>
      </c>
      <c r="H4557" s="33">
        <f>IF(ISNUMBER(SEARCH("Group",D4557)),IF(G4557="",E4557,IFERROR(E4557/COUNTIF($G2:$G6000,G4557),E4557)),E4557)</f>
        <v>0</v>
      </c>
      <c r="I4557" s="1" t="str">
        <f>IFERROR(VLOOKUP(C4557,'Clients List'!A:F,6,FALSE),"")</f>
        <v/>
      </c>
    </row>
    <row r="4558" spans="4:9" x14ac:dyDescent="0.45">
      <c r="D4558" t="str">
        <f>IFERROR(VLOOKUP(C4558,'Clients List'!$A:$F,2,FALSE),"")</f>
        <v/>
      </c>
      <c r="F4558" s="1" t="str">
        <f>IF(OR(C4558="",NOT(ISNUMBER(SEARCH("Package",D4558)))),"",VLOOKUP(C4558,'Clients List'!$A:$F,4,FALSE)-SUMIFS($E$2:$E4558,$C$2:$C4558,C4558,$D$2:$D4558,"*Package*"))</f>
        <v/>
      </c>
      <c r="G4558" t="str">
        <f t="shared" si="104"/>
        <v/>
      </c>
      <c r="H4558" s="33">
        <f>IF(ISNUMBER(SEARCH("Group",D4558)),IF(G4558="",E4558,IFERROR(E4558/COUNTIF($G2:$G6000,G4558),E4558)),E4558)</f>
        <v>0</v>
      </c>
      <c r="I4558" s="1" t="str">
        <f>IFERROR(VLOOKUP(C4558,'Clients List'!A:F,6,FALSE),"")</f>
        <v/>
      </c>
    </row>
    <row r="4559" spans="4:9" x14ac:dyDescent="0.45">
      <c r="D4559" t="str">
        <f>IFERROR(VLOOKUP(C4559,'Clients List'!$A:$F,2,FALSE),"")</f>
        <v/>
      </c>
      <c r="F4559" s="1" t="str">
        <f>IF(OR(C4559="",NOT(ISNUMBER(SEARCH("Package",D4559)))),"",VLOOKUP(C4559,'Clients List'!$A:$F,4,FALSE)-SUMIFS($E$2:$E4559,$C$2:$C4559,C4559,$D$2:$D4559,"*Package*"))</f>
        <v/>
      </c>
      <c r="G4559" t="str">
        <f t="shared" si="104"/>
        <v/>
      </c>
      <c r="H4559" s="33">
        <f>IF(ISNUMBER(SEARCH("Group",D4559)),IF(G4559="",E4559,IFERROR(E4559/COUNTIF($G2:$G6000,G4559),E4559)),E4559)</f>
        <v>0</v>
      </c>
      <c r="I4559" s="1" t="str">
        <f>IFERROR(VLOOKUP(C4559,'Clients List'!A:F,6,FALSE),"")</f>
        <v/>
      </c>
    </row>
    <row r="4560" spans="4:9" x14ac:dyDescent="0.45">
      <c r="D4560" t="str">
        <f>IFERROR(VLOOKUP(C4560,'Clients List'!$A:$F,2,FALSE),"")</f>
        <v/>
      </c>
      <c r="F4560" s="1" t="str">
        <f>IF(OR(C4560="",NOT(ISNUMBER(SEARCH("Package",D4560)))),"",VLOOKUP(C4560,'Clients List'!$A:$F,4,FALSE)-SUMIFS($E$2:$E4560,$C$2:$C4560,C4560,$D$2:$D4560,"*Package*"))</f>
        <v/>
      </c>
      <c r="G4560" t="str">
        <f t="shared" si="104"/>
        <v/>
      </c>
      <c r="H4560" s="33">
        <f>IF(ISNUMBER(SEARCH("Group",D4560)),IF(G4560="",E4560,IFERROR(E4560/COUNTIF($G2:$G6000,G4560),E4560)),E4560)</f>
        <v>0</v>
      </c>
      <c r="I4560" s="1" t="str">
        <f>IFERROR(VLOOKUP(C4560,'Clients List'!A:F,6,FALSE),"")</f>
        <v/>
      </c>
    </row>
    <row r="4561" spans="4:9" x14ac:dyDescent="0.45">
      <c r="D4561" t="str">
        <f>IFERROR(VLOOKUP(C4561,'Clients List'!$A:$F,2,FALSE),"")</f>
        <v/>
      </c>
      <c r="F4561" s="1" t="str">
        <f>IF(OR(C4561="",NOT(ISNUMBER(SEARCH("Package",D4561)))),"",VLOOKUP(C4561,'Clients List'!$A:$F,4,FALSE)-SUMIFS($E$2:$E4561,$C$2:$C4561,C4561,$D$2:$D4561,"*Package*"))</f>
        <v/>
      </c>
      <c r="G4561" t="str">
        <f t="shared" si="104"/>
        <v/>
      </c>
      <c r="H4561" s="33">
        <f>IF(ISNUMBER(SEARCH("Group",D4561)),IF(G4561="",E4561,IFERROR(E4561/COUNTIF($G2:$G6000,G4561),E4561)),E4561)</f>
        <v>0</v>
      </c>
      <c r="I4561" s="1" t="str">
        <f>IFERROR(VLOOKUP(C4561,'Clients List'!A:F,6,FALSE),"")</f>
        <v/>
      </c>
    </row>
    <row r="4562" spans="4:9" x14ac:dyDescent="0.45">
      <c r="D4562" t="str">
        <f>IFERROR(VLOOKUP(C4562,'Clients List'!$A:$F,2,FALSE),"")</f>
        <v/>
      </c>
      <c r="F4562" s="1" t="str">
        <f>IF(OR(C4562="",NOT(ISNUMBER(SEARCH("Package",D4562)))),"",VLOOKUP(C4562,'Clients List'!$A:$F,4,FALSE)-SUMIFS($E$2:$E4562,$C$2:$C4562,C4562,$D$2:$D4562,"*Package*"))</f>
        <v/>
      </c>
      <c r="G4562" t="str">
        <f t="shared" si="104"/>
        <v/>
      </c>
      <c r="H4562" s="33">
        <f>IF(ISNUMBER(SEARCH("Group",D4562)),IF(G4562="",E4562,IFERROR(E4562/COUNTIF($G2:$G6000,G4562),E4562)),E4562)</f>
        <v>0</v>
      </c>
      <c r="I4562" s="1" t="str">
        <f>IFERROR(VLOOKUP(C4562,'Clients List'!A:F,6,FALSE),"")</f>
        <v/>
      </c>
    </row>
    <row r="4563" spans="4:9" x14ac:dyDescent="0.45">
      <c r="D4563" t="str">
        <f>IFERROR(VLOOKUP(C4563,'Clients List'!$A:$F,2,FALSE),"")</f>
        <v/>
      </c>
      <c r="F4563" s="1" t="str">
        <f>IF(OR(C4563="",NOT(ISNUMBER(SEARCH("Package",D4563)))),"",VLOOKUP(C4563,'Clients List'!$A:$F,4,FALSE)-SUMIFS($E$2:$E4563,$C$2:$C4563,C4563,$D$2:$D4563,"*Package*"))</f>
        <v/>
      </c>
      <c r="G4563" t="str">
        <f t="shared" si="104"/>
        <v/>
      </c>
      <c r="H4563" s="33">
        <f>IF(ISNUMBER(SEARCH("Group",D4563)),IF(G4563="",E4563,IFERROR(E4563/COUNTIF($G2:$G6000,G4563),E4563)),E4563)</f>
        <v>0</v>
      </c>
      <c r="I4563" s="1" t="str">
        <f>IFERROR(VLOOKUP(C4563,'Clients List'!A:F,6,FALSE),"")</f>
        <v/>
      </c>
    </row>
    <row r="4564" spans="4:9" x14ac:dyDescent="0.45">
      <c r="D4564" t="str">
        <f>IFERROR(VLOOKUP(C4564,'Clients List'!$A:$F,2,FALSE),"")</f>
        <v/>
      </c>
      <c r="F4564" s="1" t="str">
        <f>IF(OR(C4564="",NOT(ISNUMBER(SEARCH("Package",D4564)))),"",VLOOKUP(C4564,'Clients List'!$A:$F,4,FALSE)-SUMIFS($E$2:$E4564,$C$2:$C4564,C4564,$D$2:$D4564,"*Package*"))</f>
        <v/>
      </c>
      <c r="G4564" t="str">
        <f t="shared" si="104"/>
        <v/>
      </c>
      <c r="H4564" s="33">
        <f>IF(ISNUMBER(SEARCH("Group",D4564)),IF(G4564="",E4564,IFERROR(E4564/COUNTIF($G2:$G6000,G4564),E4564)),E4564)</f>
        <v>0</v>
      </c>
      <c r="I4564" s="1" t="str">
        <f>IFERROR(VLOOKUP(C4564,'Clients List'!A:F,6,FALSE),"")</f>
        <v/>
      </c>
    </row>
    <row r="4565" spans="4:9" x14ac:dyDescent="0.45">
      <c r="D4565" t="str">
        <f>IFERROR(VLOOKUP(C4565,'Clients List'!$A:$F,2,FALSE),"")</f>
        <v/>
      </c>
      <c r="F4565" s="1" t="str">
        <f>IF(OR(C4565="",NOT(ISNUMBER(SEARCH("Package",D4565)))),"",VLOOKUP(C4565,'Clients List'!$A:$F,4,FALSE)-SUMIFS($E$2:$E4565,$C$2:$C4565,C4565,$D$2:$D4565,"*Package*"))</f>
        <v/>
      </c>
      <c r="G4565" t="str">
        <f t="shared" si="104"/>
        <v/>
      </c>
      <c r="H4565" s="33">
        <f>IF(ISNUMBER(SEARCH("Group",D4565)),IF(G4565="",E4565,IFERROR(E4565/COUNTIF($G2:$G6000,G4565),E4565)),E4565)</f>
        <v>0</v>
      </c>
      <c r="I4565" s="1" t="str">
        <f>IFERROR(VLOOKUP(C4565,'Clients List'!A:F,6,FALSE),"")</f>
        <v/>
      </c>
    </row>
    <row r="4566" spans="4:9" x14ac:dyDescent="0.45">
      <c r="D4566" t="str">
        <f>IFERROR(VLOOKUP(C4566,'Clients List'!$A:$F,2,FALSE),"")</f>
        <v/>
      </c>
      <c r="F4566" s="1" t="str">
        <f>IF(OR(C4566="",NOT(ISNUMBER(SEARCH("Package",D4566)))),"",VLOOKUP(C4566,'Clients List'!$A:$F,4,FALSE)-SUMIFS($E$2:$E4566,$C$2:$C4566,C4566,$D$2:$D4566,"*Package*"))</f>
        <v/>
      </c>
      <c r="G4566" t="str">
        <f t="shared" si="104"/>
        <v/>
      </c>
      <c r="H4566" s="33">
        <f>IF(ISNUMBER(SEARCH("Group",D4566)),IF(G4566="",E4566,IFERROR(E4566/COUNTIF($G2:$G6000,G4566),E4566)),E4566)</f>
        <v>0</v>
      </c>
      <c r="I4566" s="1" t="str">
        <f>IFERROR(VLOOKUP(C4566,'Clients List'!A:F,6,FALSE),"")</f>
        <v/>
      </c>
    </row>
    <row r="4567" spans="4:9" x14ac:dyDescent="0.45">
      <c r="D4567" t="str">
        <f>IFERROR(VLOOKUP(C4567,'Clients List'!$A:$F,2,FALSE),"")</f>
        <v/>
      </c>
      <c r="F4567" s="1" t="str">
        <f>IF(OR(C4567="",NOT(ISNUMBER(SEARCH("Package",D4567)))),"",VLOOKUP(C4567,'Clients List'!$A:$F,4,FALSE)-SUMIFS($E$2:$E4567,$C$2:$C4567,C4567,$D$2:$D4567,"*Package*"))</f>
        <v/>
      </c>
      <c r="G4567" t="str">
        <f t="shared" si="104"/>
        <v/>
      </c>
      <c r="H4567" s="33">
        <f>IF(ISNUMBER(SEARCH("Group",D4567)),IF(G4567="",E4567,IFERROR(E4567/COUNTIF($G2:$G6000,G4567),E4567)),E4567)</f>
        <v>0</v>
      </c>
      <c r="I4567" s="1" t="str">
        <f>IFERROR(VLOOKUP(C4567,'Clients List'!A:F,6,FALSE),"")</f>
        <v/>
      </c>
    </row>
    <row r="4568" spans="4:9" x14ac:dyDescent="0.45">
      <c r="D4568" t="str">
        <f>IFERROR(VLOOKUP(C4568,'Clients List'!$A:$F,2,FALSE),"")</f>
        <v/>
      </c>
      <c r="F4568" s="1" t="str">
        <f>IF(OR(C4568="",NOT(ISNUMBER(SEARCH("Package",D4568)))),"",VLOOKUP(C4568,'Clients List'!$A:$F,4,FALSE)-SUMIFS($E$2:$E4568,$C$2:$C4568,C4568,$D$2:$D4568,"*Package*"))</f>
        <v/>
      </c>
      <c r="G4568" t="str">
        <f t="shared" si="104"/>
        <v/>
      </c>
      <c r="H4568" s="33">
        <f>IF(ISNUMBER(SEARCH("Group",D4568)),IF(G4568="",E4568,IFERROR(E4568/COUNTIF($G2:$G6000,G4568),E4568)),E4568)</f>
        <v>0</v>
      </c>
      <c r="I4568" s="1" t="str">
        <f>IFERROR(VLOOKUP(C4568,'Clients List'!A:F,6,FALSE),"")</f>
        <v/>
      </c>
    </row>
    <row r="4569" spans="4:9" x14ac:dyDescent="0.45">
      <c r="D4569" t="str">
        <f>IFERROR(VLOOKUP(C4569,'Clients List'!$A:$F,2,FALSE),"")</f>
        <v/>
      </c>
      <c r="F4569" s="1" t="str">
        <f>IF(OR(C4569="",NOT(ISNUMBER(SEARCH("Package",D4569)))),"",VLOOKUP(C4569,'Clients List'!$A:$F,4,FALSE)-SUMIFS($E$2:$E4569,$C$2:$C4569,C4569,$D$2:$D4569,"*Package*"))</f>
        <v/>
      </c>
      <c r="G4569" t="str">
        <f t="shared" si="104"/>
        <v/>
      </c>
      <c r="H4569" s="33">
        <f>IF(ISNUMBER(SEARCH("Group",D4569)),IF(G4569="",E4569,IFERROR(E4569/COUNTIF($G2:$G6000,G4569),E4569)),E4569)</f>
        <v>0</v>
      </c>
      <c r="I4569" s="1" t="str">
        <f>IFERROR(VLOOKUP(C4569,'Clients List'!A:F,6,FALSE),"")</f>
        <v/>
      </c>
    </row>
    <row r="4570" spans="4:9" x14ac:dyDescent="0.45">
      <c r="D4570" t="str">
        <f>IFERROR(VLOOKUP(C4570,'Clients List'!$A:$F,2,FALSE),"")</f>
        <v/>
      </c>
      <c r="F4570" s="1" t="str">
        <f>IF(OR(C4570="",NOT(ISNUMBER(SEARCH("Package",D4570)))),"",VLOOKUP(C4570,'Clients List'!$A:$F,4,FALSE)-SUMIFS($E$2:$E4570,$C$2:$C4570,C4570,$D$2:$D4570,"*Package*"))</f>
        <v/>
      </c>
      <c r="G4570" t="str">
        <f t="shared" si="104"/>
        <v/>
      </c>
      <c r="H4570" s="33">
        <f>IF(ISNUMBER(SEARCH("Group",D4570)),IF(G4570="",E4570,IFERROR(E4570/COUNTIF($G2:$G6000,G4570),E4570)),E4570)</f>
        <v>0</v>
      </c>
      <c r="I4570" s="1" t="str">
        <f>IFERROR(VLOOKUP(C4570,'Clients List'!A:F,6,FALSE),"")</f>
        <v/>
      </c>
    </row>
    <row r="4571" spans="4:9" x14ac:dyDescent="0.45">
      <c r="D4571" t="str">
        <f>IFERROR(VLOOKUP(C4571,'Clients List'!$A:$F,2,FALSE),"")</f>
        <v/>
      </c>
      <c r="F4571" s="1" t="str">
        <f>IF(OR(C4571="",NOT(ISNUMBER(SEARCH("Package",D4571)))),"",VLOOKUP(C4571,'Clients List'!$A:$F,4,FALSE)-SUMIFS($E$2:$E4571,$C$2:$C4571,C4571,$D$2:$D4571,"*Package*"))</f>
        <v/>
      </c>
      <c r="G4571" t="str">
        <f t="shared" si="104"/>
        <v/>
      </c>
      <c r="H4571" s="33">
        <f>IF(ISNUMBER(SEARCH("Group",D4571)),IF(G4571="",E4571,IFERROR(E4571/COUNTIF($G2:$G6000,G4571),E4571)),E4571)</f>
        <v>0</v>
      </c>
      <c r="I4571" s="1" t="str">
        <f>IFERROR(VLOOKUP(C4571,'Clients List'!A:F,6,FALSE),"")</f>
        <v/>
      </c>
    </row>
    <row r="4572" spans="4:9" x14ac:dyDescent="0.45">
      <c r="D4572" t="str">
        <f>IFERROR(VLOOKUP(C4572,'Clients List'!$A:$F,2,FALSE),"")</f>
        <v/>
      </c>
      <c r="F4572" s="1" t="str">
        <f>IF(OR(C4572="",NOT(ISNUMBER(SEARCH("Package",D4572)))),"",VLOOKUP(C4572,'Clients List'!$A:$F,4,FALSE)-SUMIFS($E$2:$E4572,$C$2:$C4572,C4572,$D$2:$D4572,"*Package*"))</f>
        <v/>
      </c>
      <c r="G4572" t="str">
        <f t="shared" si="104"/>
        <v/>
      </c>
      <c r="H4572" s="33">
        <f>IF(ISNUMBER(SEARCH("Group",D4572)),IF(G4572="",E4572,IFERROR(E4572/COUNTIF($G2:$G6000,G4572),E4572)),E4572)</f>
        <v>0</v>
      </c>
      <c r="I4572" s="1" t="str">
        <f>IFERROR(VLOOKUP(C4572,'Clients List'!A:F,6,FALSE),"")</f>
        <v/>
      </c>
    </row>
    <row r="4573" spans="4:9" x14ac:dyDescent="0.45">
      <c r="D4573" t="str">
        <f>IFERROR(VLOOKUP(C4573,'Clients List'!$A:$F,2,FALSE),"")</f>
        <v/>
      </c>
      <c r="F4573" s="1" t="str">
        <f>IF(OR(C4573="",NOT(ISNUMBER(SEARCH("Package",D4573)))),"",VLOOKUP(C4573,'Clients List'!$A:$F,4,FALSE)-SUMIFS($E$2:$E4573,$C$2:$C4573,C4573,$D$2:$D4573,"*Package*"))</f>
        <v/>
      </c>
      <c r="G4573" t="str">
        <f t="shared" si="104"/>
        <v/>
      </c>
      <c r="H4573" s="33">
        <f>IF(ISNUMBER(SEARCH("Group",D4573)),IF(G4573="",E4573,IFERROR(E4573/COUNTIF($G2:$G6000,G4573),E4573)),E4573)</f>
        <v>0</v>
      </c>
      <c r="I4573" s="1" t="str">
        <f>IFERROR(VLOOKUP(C4573,'Clients List'!A:F,6,FALSE),"")</f>
        <v/>
      </c>
    </row>
    <row r="4574" spans="4:9" x14ac:dyDescent="0.45">
      <c r="D4574" t="str">
        <f>IFERROR(VLOOKUP(C4574,'Clients List'!$A:$F,2,FALSE),"")</f>
        <v/>
      </c>
      <c r="F4574" s="1" t="str">
        <f>IF(OR(C4574="",NOT(ISNUMBER(SEARCH("Package",D4574)))),"",VLOOKUP(C4574,'Clients List'!$A:$F,4,FALSE)-SUMIFS($E$2:$E4574,$C$2:$C4574,C4574,$D$2:$D4574,"*Package*"))</f>
        <v/>
      </c>
      <c r="G4574" t="str">
        <f t="shared" si="104"/>
        <v/>
      </c>
      <c r="H4574" s="33">
        <f>IF(ISNUMBER(SEARCH("Group",D4574)),IF(G4574="",E4574,IFERROR(E4574/COUNTIF($G2:$G6000,G4574),E4574)),E4574)</f>
        <v>0</v>
      </c>
      <c r="I4574" s="1" t="str">
        <f>IFERROR(VLOOKUP(C4574,'Clients List'!A:F,6,FALSE),"")</f>
        <v/>
      </c>
    </row>
    <row r="4575" spans="4:9" x14ac:dyDescent="0.45">
      <c r="D4575" t="str">
        <f>IFERROR(VLOOKUP(C4575,'Clients List'!$A:$F,2,FALSE),"")</f>
        <v/>
      </c>
      <c r="F4575" s="1" t="str">
        <f>IF(OR(C4575="",NOT(ISNUMBER(SEARCH("Package",D4575)))),"",VLOOKUP(C4575,'Clients List'!$A:$F,4,FALSE)-SUMIFS($E$2:$E4575,$C$2:$C4575,C4575,$D$2:$D4575,"*Package*"))</f>
        <v/>
      </c>
      <c r="G4575" t="str">
        <f t="shared" si="104"/>
        <v/>
      </c>
      <c r="H4575" s="33">
        <f>IF(ISNUMBER(SEARCH("Group",D4575)),IF(G4575="",E4575,IFERROR(E4575/COUNTIF($G2:$G6000,G4575),E4575)),E4575)</f>
        <v>0</v>
      </c>
      <c r="I4575" s="1" t="str">
        <f>IFERROR(VLOOKUP(C4575,'Clients List'!A:F,6,FALSE),"")</f>
        <v/>
      </c>
    </row>
    <row r="4576" spans="4:9" x14ac:dyDescent="0.45">
      <c r="D4576" t="str">
        <f>IFERROR(VLOOKUP(C4576,'Clients List'!$A:$F,2,FALSE),"")</f>
        <v/>
      </c>
      <c r="F4576" s="1" t="str">
        <f>IF(OR(C4576="",NOT(ISNUMBER(SEARCH("Package",D4576)))),"",VLOOKUP(C4576,'Clients List'!$A:$F,4,FALSE)-SUMIFS($E$2:$E4576,$C$2:$C4576,C4576,$D$2:$D4576,"*Package*"))</f>
        <v/>
      </c>
      <c r="G4576" t="str">
        <f t="shared" si="104"/>
        <v/>
      </c>
      <c r="H4576" s="33">
        <f>IF(ISNUMBER(SEARCH("Group",D4576)),IF(G4576="",E4576,IFERROR(E4576/COUNTIF($G2:$G6000,G4576),E4576)),E4576)</f>
        <v>0</v>
      </c>
      <c r="I4576" s="1" t="str">
        <f>IFERROR(VLOOKUP(C4576,'Clients List'!A:F,6,FALSE),"")</f>
        <v/>
      </c>
    </row>
    <row r="4577" spans="4:9" x14ac:dyDescent="0.45">
      <c r="D4577" t="str">
        <f>IFERROR(VLOOKUP(C4577,'Clients List'!$A:$F,2,FALSE),"")</f>
        <v/>
      </c>
      <c r="F4577" s="1" t="str">
        <f>IF(OR(C4577="",NOT(ISNUMBER(SEARCH("Package",D4577)))),"",VLOOKUP(C4577,'Clients List'!$A:$F,4,FALSE)-SUMIFS($E$2:$E4577,$C$2:$C4577,C4577,$D$2:$D4577,"*Package*"))</f>
        <v/>
      </c>
      <c r="G4577" t="str">
        <f t="shared" si="104"/>
        <v/>
      </c>
      <c r="H4577" s="33">
        <f>IF(ISNUMBER(SEARCH("Group",D4577)),IF(G4577="",E4577,IFERROR(E4577/COUNTIF($G2:$G6000,G4577),E4577)),E4577)</f>
        <v>0</v>
      </c>
      <c r="I4577" s="1" t="str">
        <f>IFERROR(VLOOKUP(C4577,'Clients List'!A:F,6,FALSE),"")</f>
        <v/>
      </c>
    </row>
    <row r="4578" spans="4:9" x14ac:dyDescent="0.45">
      <c r="D4578" t="str">
        <f>IFERROR(VLOOKUP(C4578,'Clients List'!$A:$F,2,FALSE),"")</f>
        <v/>
      </c>
      <c r="F4578" s="1" t="str">
        <f>IF(OR(C4578="",NOT(ISNUMBER(SEARCH("Package",D4578)))),"",VLOOKUP(C4578,'Clients List'!$A:$F,4,FALSE)-SUMIFS($E$2:$E4578,$C$2:$C4578,C4578,$D$2:$D4578,"*Package*"))</f>
        <v/>
      </c>
      <c r="G4578" t="str">
        <f t="shared" si="104"/>
        <v/>
      </c>
      <c r="H4578" s="33">
        <f>IF(ISNUMBER(SEARCH("Group",D4578)),IF(G4578="",E4578,IFERROR(E4578/COUNTIF($G2:$G6000,G4578),E4578)),E4578)</f>
        <v>0</v>
      </c>
      <c r="I4578" s="1" t="str">
        <f>IFERROR(VLOOKUP(C4578,'Clients List'!A:F,6,FALSE),"")</f>
        <v/>
      </c>
    </row>
    <row r="4579" spans="4:9" x14ac:dyDescent="0.45">
      <c r="D4579" t="str">
        <f>IFERROR(VLOOKUP(C4579,'Clients List'!$A:$F,2,FALSE),"")</f>
        <v/>
      </c>
      <c r="F4579" s="1" t="str">
        <f>IF(OR(C4579="",NOT(ISNUMBER(SEARCH("Package",D4579)))),"",VLOOKUP(C4579,'Clients List'!$A:$F,4,FALSE)-SUMIFS($E$2:$E4579,$C$2:$C4579,C4579,$D$2:$D4579,"*Package*"))</f>
        <v/>
      </c>
      <c r="G4579" t="str">
        <f t="shared" si="104"/>
        <v/>
      </c>
      <c r="H4579" s="33">
        <f>IF(ISNUMBER(SEARCH("Group",D4579)),IF(G4579="",E4579,IFERROR(E4579/COUNTIF($G2:$G6000,G4579),E4579)),E4579)</f>
        <v>0</v>
      </c>
      <c r="I4579" s="1" t="str">
        <f>IFERROR(VLOOKUP(C4579,'Clients List'!A:F,6,FALSE),"")</f>
        <v/>
      </c>
    </row>
    <row r="4580" spans="4:9" x14ac:dyDescent="0.45">
      <c r="D4580" t="str">
        <f>IFERROR(VLOOKUP(C4580,'Clients List'!$A:$F,2,FALSE),"")</f>
        <v/>
      </c>
      <c r="F4580" s="1" t="str">
        <f>IF(OR(C4580="",NOT(ISNUMBER(SEARCH("Package",D4580)))),"",VLOOKUP(C4580,'Clients List'!$A:$F,4,FALSE)-SUMIFS($E$2:$E4580,$C$2:$C4580,C4580,$D$2:$D4580,"*Package*"))</f>
        <v/>
      </c>
      <c r="G4580" t="str">
        <f t="shared" si="104"/>
        <v/>
      </c>
      <c r="H4580" s="33">
        <f>IF(ISNUMBER(SEARCH("Group",D4580)),IF(G4580="",E4580,IFERROR(E4580/COUNTIF($G2:$G6000,G4580),E4580)),E4580)</f>
        <v>0</v>
      </c>
      <c r="I4580" s="1" t="str">
        <f>IFERROR(VLOOKUP(C4580,'Clients List'!A:F,6,FALSE),"")</f>
        <v/>
      </c>
    </row>
    <row r="4581" spans="4:9" x14ac:dyDescent="0.45">
      <c r="D4581" t="str">
        <f>IFERROR(VLOOKUP(C4581,'Clients List'!$A:$F,2,FALSE),"")</f>
        <v/>
      </c>
      <c r="F4581" s="1" t="str">
        <f>IF(OR(C4581="",NOT(ISNUMBER(SEARCH("Package",D4581)))),"",VLOOKUP(C4581,'Clients List'!$A:$F,4,FALSE)-SUMIFS($E$2:$E4581,$C$2:$C4581,C4581,$D$2:$D4581,"*Package*"))</f>
        <v/>
      </c>
      <c r="G4581" t="str">
        <f t="shared" si="104"/>
        <v/>
      </c>
      <c r="H4581" s="33">
        <f>IF(ISNUMBER(SEARCH("Group",D4581)),IF(G4581="",E4581,IFERROR(E4581/COUNTIF($G2:$G6000,G4581),E4581)),E4581)</f>
        <v>0</v>
      </c>
      <c r="I4581" s="1" t="str">
        <f>IFERROR(VLOOKUP(C4581,'Clients List'!A:F,6,FALSE),"")</f>
        <v/>
      </c>
    </row>
    <row r="4582" spans="4:9" x14ac:dyDescent="0.45">
      <c r="D4582" t="str">
        <f>IFERROR(VLOOKUP(C4582,'Clients List'!$A:$F,2,FALSE),"")</f>
        <v/>
      </c>
      <c r="F4582" s="1" t="str">
        <f>IF(OR(C4582="",NOT(ISNUMBER(SEARCH("Package",D4582)))),"",VLOOKUP(C4582,'Clients List'!$A:$F,4,FALSE)-SUMIFS($E$2:$E4582,$C$2:$C4582,C4582,$D$2:$D4582,"*Package*"))</f>
        <v/>
      </c>
      <c r="G4582" t="str">
        <f t="shared" si="104"/>
        <v/>
      </c>
      <c r="H4582" s="33">
        <f>IF(ISNUMBER(SEARCH("Group",D4582)),IF(G4582="",E4582,IFERROR(E4582/COUNTIF($G2:$G6000,G4582),E4582)),E4582)</f>
        <v>0</v>
      </c>
      <c r="I4582" s="1" t="str">
        <f>IFERROR(VLOOKUP(C4582,'Clients List'!A:F,6,FALSE),"")</f>
        <v/>
      </c>
    </row>
    <row r="4583" spans="4:9" x14ac:dyDescent="0.45">
      <c r="D4583" t="str">
        <f>IFERROR(VLOOKUP(C4583,'Clients List'!$A:$F,2,FALSE),"")</f>
        <v/>
      </c>
      <c r="F4583" s="1" t="str">
        <f>IF(OR(C4583="",NOT(ISNUMBER(SEARCH("Package",D4583)))),"",VLOOKUP(C4583,'Clients List'!$A:$F,4,FALSE)-SUMIFS($E$2:$E4583,$C$2:$C4583,C4583,$D$2:$D4583,"*Package*"))</f>
        <v/>
      </c>
      <c r="G4583" t="str">
        <f t="shared" si="104"/>
        <v/>
      </c>
      <c r="H4583" s="33">
        <f>IF(ISNUMBER(SEARCH("Group",D4583)),IF(G4583="",E4583,IFERROR(E4583/COUNTIF($G2:$G6000,G4583),E4583)),E4583)</f>
        <v>0</v>
      </c>
      <c r="I4583" s="1" t="str">
        <f>IFERROR(VLOOKUP(C4583,'Clients List'!A:F,6,FALSE),"")</f>
        <v/>
      </c>
    </row>
    <row r="4584" spans="4:9" x14ac:dyDescent="0.45">
      <c r="D4584" t="str">
        <f>IFERROR(VLOOKUP(C4584,'Clients List'!$A:$F,2,FALSE),"")</f>
        <v/>
      </c>
      <c r="F4584" s="1" t="str">
        <f>IF(OR(C4584="",NOT(ISNUMBER(SEARCH("Package",D4584)))),"",VLOOKUP(C4584,'Clients List'!$A:$F,4,FALSE)-SUMIFS($E$2:$E4584,$C$2:$C4584,C4584,$D$2:$D4584,"*Package*"))</f>
        <v/>
      </c>
      <c r="G4584" t="str">
        <f t="shared" si="104"/>
        <v/>
      </c>
      <c r="H4584" s="33">
        <f>IF(ISNUMBER(SEARCH("Group",D4584)),IF(G4584="",E4584,IFERROR(E4584/COUNTIF($G2:$G6000,G4584),E4584)),E4584)</f>
        <v>0</v>
      </c>
      <c r="I4584" s="1" t="str">
        <f>IFERROR(VLOOKUP(C4584,'Clients List'!A:F,6,FALSE),"")</f>
        <v/>
      </c>
    </row>
    <row r="4585" spans="4:9" x14ac:dyDescent="0.45">
      <c r="D4585" t="str">
        <f>IFERROR(VLOOKUP(C4585,'Clients List'!$A:$F,2,FALSE),"")</f>
        <v/>
      </c>
      <c r="F4585" s="1" t="str">
        <f>IF(OR(C4585="",NOT(ISNUMBER(SEARCH("Package",D4585)))),"",VLOOKUP(C4585,'Clients List'!$A:$F,4,FALSE)-SUMIFS($E$2:$E4585,$C$2:$C4585,C4585,$D$2:$D4585,"*Package*"))</f>
        <v/>
      </c>
      <c r="G4585" t="str">
        <f t="shared" si="104"/>
        <v/>
      </c>
      <c r="H4585" s="33">
        <f>IF(ISNUMBER(SEARCH("Group",D4585)),IF(G4585="",E4585,IFERROR(E4585/COUNTIF($G2:$G6000,G4585),E4585)),E4585)</f>
        <v>0</v>
      </c>
      <c r="I4585" s="1" t="str">
        <f>IFERROR(VLOOKUP(C4585,'Clients List'!A:F,6,FALSE),"")</f>
        <v/>
      </c>
    </row>
    <row r="4586" spans="4:9" x14ac:dyDescent="0.45">
      <c r="D4586" t="str">
        <f>IFERROR(VLOOKUP(C4586,'Clients List'!$A:$F,2,FALSE),"")</f>
        <v/>
      </c>
      <c r="F4586" s="1" t="str">
        <f>IF(OR(C4586="",NOT(ISNUMBER(SEARCH("Package",D4586)))),"",VLOOKUP(C4586,'Clients List'!$A:$F,4,FALSE)-SUMIFS($E$2:$E4586,$C$2:$C4586,C4586,$D$2:$D4586,"*Package*"))</f>
        <v/>
      </c>
      <c r="G4586" t="str">
        <f t="shared" si="104"/>
        <v/>
      </c>
      <c r="H4586" s="33">
        <f>IF(ISNUMBER(SEARCH("Group",D4586)),IF(G4586="",E4586,IFERROR(E4586/COUNTIF($G2:$G6000,G4586),E4586)),E4586)</f>
        <v>0</v>
      </c>
      <c r="I4586" s="1" t="str">
        <f>IFERROR(VLOOKUP(C4586,'Clients List'!A:F,6,FALSE),"")</f>
        <v/>
      </c>
    </row>
    <row r="4587" spans="4:9" x14ac:dyDescent="0.45">
      <c r="D4587" t="str">
        <f>IFERROR(VLOOKUP(C4587,'Clients List'!$A:$F,2,FALSE),"")</f>
        <v/>
      </c>
      <c r="F4587" s="1" t="str">
        <f>IF(OR(C4587="",NOT(ISNUMBER(SEARCH("Package",D4587)))),"",VLOOKUP(C4587,'Clients List'!$A:$F,4,FALSE)-SUMIFS($E$2:$E4587,$C$2:$C4587,C4587,$D$2:$D4587,"*Package*"))</f>
        <v/>
      </c>
      <c r="G4587" t="str">
        <f t="shared" si="104"/>
        <v/>
      </c>
      <c r="H4587" s="33">
        <f>IF(ISNUMBER(SEARCH("Group",D4587)),IF(G4587="",E4587,IFERROR(E4587/COUNTIF($G2:$G6000,G4587),E4587)),E4587)</f>
        <v>0</v>
      </c>
      <c r="I4587" s="1" t="str">
        <f>IFERROR(VLOOKUP(C4587,'Clients List'!A:F,6,FALSE),"")</f>
        <v/>
      </c>
    </row>
    <row r="4588" spans="4:9" x14ac:dyDescent="0.45">
      <c r="D4588" t="str">
        <f>IFERROR(VLOOKUP(C4588,'Clients List'!$A:$F,2,FALSE),"")</f>
        <v/>
      </c>
      <c r="F4588" s="1" t="str">
        <f>IF(OR(C4588="",NOT(ISNUMBER(SEARCH("Package",D4588)))),"",VLOOKUP(C4588,'Clients List'!$A:$F,4,FALSE)-SUMIFS($E$2:$E4588,$C$2:$C4588,C4588,$D$2:$D4588,"*Package*"))</f>
        <v/>
      </c>
      <c r="G4588" t="str">
        <f t="shared" si="104"/>
        <v/>
      </c>
      <c r="H4588" s="33">
        <f>IF(ISNUMBER(SEARCH("Group",D4588)),IF(G4588="",E4588,IFERROR(E4588/COUNTIF($G2:$G6000,G4588),E4588)),E4588)</f>
        <v>0</v>
      </c>
      <c r="I4588" s="1" t="str">
        <f>IFERROR(VLOOKUP(C4588,'Clients List'!A:F,6,FALSE),"")</f>
        <v/>
      </c>
    </row>
    <row r="4589" spans="4:9" x14ac:dyDescent="0.45">
      <c r="D4589" t="str">
        <f>IFERROR(VLOOKUP(C4589,'Clients List'!$A:$F,2,FALSE),"")</f>
        <v/>
      </c>
      <c r="F4589" s="1" t="str">
        <f>IF(OR(C4589="",NOT(ISNUMBER(SEARCH("Package",D4589)))),"",VLOOKUP(C4589,'Clients List'!$A:$F,4,FALSE)-SUMIFS($E$2:$E4589,$C$2:$C4589,C4589,$D$2:$D4589,"*Package*"))</f>
        <v/>
      </c>
      <c r="G4589" t="str">
        <f t="shared" si="104"/>
        <v/>
      </c>
      <c r="H4589" s="33">
        <f>IF(ISNUMBER(SEARCH("Group",D4589)),IF(G4589="",E4589,IFERROR(E4589/COUNTIF($G2:$G6000,G4589),E4589)),E4589)</f>
        <v>0</v>
      </c>
      <c r="I4589" s="1" t="str">
        <f>IFERROR(VLOOKUP(C4589,'Clients List'!A:F,6,FALSE),"")</f>
        <v/>
      </c>
    </row>
    <row r="4590" spans="4:9" x14ac:dyDescent="0.45">
      <c r="D4590" t="str">
        <f>IFERROR(VLOOKUP(C4590,'Clients List'!$A:$F,2,FALSE),"")</f>
        <v/>
      </c>
      <c r="F4590" s="1" t="str">
        <f>IF(OR(C4590="",NOT(ISNUMBER(SEARCH("Package",D4590)))),"",VLOOKUP(C4590,'Clients List'!$A:$F,4,FALSE)-SUMIFS($E$2:$E4590,$C$2:$C4590,C4590,$D$2:$D4590,"*Package*"))</f>
        <v/>
      </c>
      <c r="G4590" t="str">
        <f t="shared" si="104"/>
        <v/>
      </c>
      <c r="H4590" s="33">
        <f>IF(ISNUMBER(SEARCH("Group",D4590)),IF(G4590="",E4590,IFERROR(E4590/COUNTIF($G2:$G6000,G4590),E4590)),E4590)</f>
        <v>0</v>
      </c>
      <c r="I4590" s="1" t="str">
        <f>IFERROR(VLOOKUP(C4590,'Clients List'!A:F,6,FALSE),"")</f>
        <v/>
      </c>
    </row>
    <row r="4591" spans="4:9" x14ac:dyDescent="0.45">
      <c r="D4591" t="str">
        <f>IFERROR(VLOOKUP(C4591,'Clients List'!$A:$F,2,FALSE),"")</f>
        <v/>
      </c>
      <c r="F4591" s="1" t="str">
        <f>IF(OR(C4591="",NOT(ISNUMBER(SEARCH("Package",D4591)))),"",VLOOKUP(C4591,'Clients List'!$A:$F,4,FALSE)-SUMIFS($E$2:$E4591,$C$2:$C4591,C4591,$D$2:$D4591,"*Package*"))</f>
        <v/>
      </c>
      <c r="G4591" t="str">
        <f t="shared" si="104"/>
        <v/>
      </c>
      <c r="H4591" s="33">
        <f>IF(ISNUMBER(SEARCH("Group",D4591)),IF(G4591="",E4591,IFERROR(E4591/COUNTIF($G2:$G6000,G4591),E4591)),E4591)</f>
        <v>0</v>
      </c>
      <c r="I4591" s="1" t="str">
        <f>IFERROR(VLOOKUP(C4591,'Clients List'!A:F,6,FALSE),"")</f>
        <v/>
      </c>
    </row>
    <row r="4592" spans="4:9" x14ac:dyDescent="0.45">
      <c r="D4592" t="str">
        <f>IFERROR(VLOOKUP(C4592,'Clients List'!$A:$F,2,FALSE),"")</f>
        <v/>
      </c>
      <c r="F4592" s="1" t="str">
        <f>IF(OR(C4592="",NOT(ISNUMBER(SEARCH("Package",D4592)))),"",VLOOKUP(C4592,'Clients List'!$A:$F,4,FALSE)-SUMIFS($E$2:$E4592,$C$2:$C4592,C4592,$D$2:$D4592,"*Package*"))</f>
        <v/>
      </c>
      <c r="G4592" t="str">
        <f t="shared" si="104"/>
        <v/>
      </c>
      <c r="H4592" s="33">
        <f>IF(ISNUMBER(SEARCH("Group",D4592)),IF(G4592="",E4592,IFERROR(E4592/COUNTIF($G2:$G6000,G4592),E4592)),E4592)</f>
        <v>0</v>
      </c>
      <c r="I4592" s="1" t="str">
        <f>IFERROR(VLOOKUP(C4592,'Clients List'!A:F,6,FALSE),"")</f>
        <v/>
      </c>
    </row>
    <row r="4593" spans="4:9" x14ac:dyDescent="0.45">
      <c r="D4593" t="str">
        <f>IFERROR(VLOOKUP(C4593,'Clients List'!$A:$F,2,FALSE),"")</f>
        <v/>
      </c>
      <c r="F4593" s="1" t="str">
        <f>IF(OR(C4593="",NOT(ISNUMBER(SEARCH("Package",D4593)))),"",VLOOKUP(C4593,'Clients List'!$A:$F,4,FALSE)-SUMIFS($E$2:$E4593,$C$2:$C4593,C4593,$D$2:$D4593,"*Package*"))</f>
        <v/>
      </c>
      <c r="G4593" t="str">
        <f t="shared" si="104"/>
        <v/>
      </c>
      <c r="H4593" s="33">
        <f>IF(ISNUMBER(SEARCH("Group",D4593)),IF(G4593="",E4593,IFERROR(E4593/COUNTIF($G2:$G6000,G4593),E4593)),E4593)</f>
        <v>0</v>
      </c>
      <c r="I4593" s="1" t="str">
        <f>IFERROR(VLOOKUP(C4593,'Clients List'!A:F,6,FALSE),"")</f>
        <v/>
      </c>
    </row>
    <row r="4594" spans="4:9" x14ac:dyDescent="0.45">
      <c r="D4594" t="str">
        <f>IFERROR(VLOOKUP(C4594,'Clients List'!$A:$F,2,FALSE),"")</f>
        <v/>
      </c>
      <c r="F4594" s="1" t="str">
        <f>IF(OR(C4594="",NOT(ISNUMBER(SEARCH("Package",D4594)))),"",VLOOKUP(C4594,'Clients List'!$A:$F,4,FALSE)-SUMIFS($E$2:$E4594,$C$2:$C4594,C4594,$D$2:$D4594,"*Package*"))</f>
        <v/>
      </c>
      <c r="G4594" t="str">
        <f t="shared" si="104"/>
        <v/>
      </c>
      <c r="H4594" s="33">
        <f>IF(ISNUMBER(SEARCH("Group",D4594)),IF(G4594="",E4594,IFERROR(E4594/COUNTIF($G2:$G6000,G4594),E4594)),E4594)</f>
        <v>0</v>
      </c>
      <c r="I4594" s="1" t="str">
        <f>IFERROR(VLOOKUP(C4594,'Clients List'!A:F,6,FALSE),"")</f>
        <v/>
      </c>
    </row>
    <row r="4595" spans="4:9" x14ac:dyDescent="0.45">
      <c r="D4595" t="str">
        <f>IFERROR(VLOOKUP(C4595,'Clients List'!$A:$F,2,FALSE),"")</f>
        <v/>
      </c>
      <c r="F4595" s="1" t="str">
        <f>IF(OR(C4595="",NOT(ISNUMBER(SEARCH("Package",D4595)))),"",VLOOKUP(C4595,'Clients List'!$A:$F,4,FALSE)-SUMIFS($E$2:$E4595,$C$2:$C4595,C4595,$D$2:$D4595,"*Package*"))</f>
        <v/>
      </c>
      <c r="G4595" t="str">
        <f t="shared" si="104"/>
        <v/>
      </c>
      <c r="H4595" s="33">
        <f>IF(ISNUMBER(SEARCH("Group",D4595)),IF(G4595="",E4595,IFERROR(E4595/COUNTIF($G2:$G6000,G4595),E4595)),E4595)</f>
        <v>0</v>
      </c>
      <c r="I4595" s="1" t="str">
        <f>IFERROR(VLOOKUP(C4595,'Clients List'!A:F,6,FALSE),"")</f>
        <v/>
      </c>
    </row>
    <row r="4596" spans="4:9" x14ac:dyDescent="0.45">
      <c r="D4596" t="str">
        <f>IFERROR(VLOOKUP(C4596,'Clients List'!$A:$F,2,FALSE),"")</f>
        <v/>
      </c>
      <c r="F4596" s="1" t="str">
        <f>IF(OR(C4596="",NOT(ISNUMBER(SEARCH("Package",D4596)))),"",VLOOKUP(C4596,'Clients List'!$A:$F,4,FALSE)-SUMIFS($E$2:$E4596,$C$2:$C4596,C4596,$D$2:$D4596,"*Package*"))</f>
        <v/>
      </c>
      <c r="G4596" t="str">
        <f t="shared" si="104"/>
        <v/>
      </c>
      <c r="H4596" s="33">
        <f>IF(ISNUMBER(SEARCH("Group",D4596)),IF(G4596="",E4596,IFERROR(E4596/COUNTIF($G2:$G6000,G4596),E4596)),E4596)</f>
        <v>0</v>
      </c>
      <c r="I4596" s="1" t="str">
        <f>IFERROR(VLOOKUP(C4596,'Clients List'!A:F,6,FALSE),"")</f>
        <v/>
      </c>
    </row>
    <row r="4597" spans="4:9" x14ac:dyDescent="0.45">
      <c r="D4597" t="str">
        <f>IFERROR(VLOOKUP(C4597,'Clients List'!$A:$F,2,FALSE),"")</f>
        <v/>
      </c>
      <c r="F4597" s="1" t="str">
        <f>IF(OR(C4597="",NOT(ISNUMBER(SEARCH("Package",D4597)))),"",VLOOKUP(C4597,'Clients List'!$A:$F,4,FALSE)-SUMIFS($E$2:$E4597,$C$2:$C4597,C4597,$D$2:$D4597,"*Package*"))</f>
        <v/>
      </c>
      <c r="G4597" t="str">
        <f t="shared" ref="G4597:G4660" si="105">IF(ISNUMBER(SEARCH("Group",D4597)),IFERROR("GRP-"&amp;TEXT(IF(ISNUMBER(A4597),A4597,DATEVALUE(A4597)),"yyyymmdd"),""),"" )</f>
        <v/>
      </c>
      <c r="H4597" s="33">
        <f>IF(ISNUMBER(SEARCH("Group",D4597)),IF(G4597="",E4597,IFERROR(E4597/COUNTIF($G2:$G6000,G4597),E4597)),E4597)</f>
        <v>0</v>
      </c>
      <c r="I4597" s="1" t="str">
        <f>IFERROR(VLOOKUP(C4597,'Clients List'!A:F,6,FALSE),"")</f>
        <v/>
      </c>
    </row>
    <row r="4598" spans="4:9" x14ac:dyDescent="0.45">
      <c r="D4598" t="str">
        <f>IFERROR(VLOOKUP(C4598,'Clients List'!$A:$F,2,FALSE),"")</f>
        <v/>
      </c>
      <c r="F4598" s="1" t="str">
        <f>IF(OR(C4598="",NOT(ISNUMBER(SEARCH("Package",D4598)))),"",VLOOKUP(C4598,'Clients List'!$A:$F,4,FALSE)-SUMIFS($E$2:$E4598,$C$2:$C4598,C4598,$D$2:$D4598,"*Package*"))</f>
        <v/>
      </c>
      <c r="G4598" t="str">
        <f t="shared" si="105"/>
        <v/>
      </c>
      <c r="H4598" s="33">
        <f>IF(ISNUMBER(SEARCH("Group",D4598)),IF(G4598="",E4598,IFERROR(E4598/COUNTIF($G2:$G6000,G4598),E4598)),E4598)</f>
        <v>0</v>
      </c>
      <c r="I4598" s="1" t="str">
        <f>IFERROR(VLOOKUP(C4598,'Clients List'!A:F,6,FALSE),"")</f>
        <v/>
      </c>
    </row>
    <row r="4599" spans="4:9" x14ac:dyDescent="0.45">
      <c r="D4599" t="str">
        <f>IFERROR(VLOOKUP(C4599,'Clients List'!$A:$F,2,FALSE),"")</f>
        <v/>
      </c>
      <c r="F4599" s="1" t="str">
        <f>IF(OR(C4599="",NOT(ISNUMBER(SEARCH("Package",D4599)))),"",VLOOKUP(C4599,'Clients List'!$A:$F,4,FALSE)-SUMIFS($E$2:$E4599,$C$2:$C4599,C4599,$D$2:$D4599,"*Package*"))</f>
        <v/>
      </c>
      <c r="G4599" t="str">
        <f t="shared" si="105"/>
        <v/>
      </c>
      <c r="H4599" s="33">
        <f>IF(ISNUMBER(SEARCH("Group",D4599)),IF(G4599="",E4599,IFERROR(E4599/COUNTIF($G2:$G6000,G4599),E4599)),E4599)</f>
        <v>0</v>
      </c>
      <c r="I4599" s="1" t="str">
        <f>IFERROR(VLOOKUP(C4599,'Clients List'!A:F,6,FALSE),"")</f>
        <v/>
      </c>
    </row>
    <row r="4600" spans="4:9" x14ac:dyDescent="0.45">
      <c r="D4600" t="str">
        <f>IFERROR(VLOOKUP(C4600,'Clients List'!$A:$F,2,FALSE),"")</f>
        <v/>
      </c>
      <c r="F4600" s="1" t="str">
        <f>IF(OR(C4600="",NOT(ISNUMBER(SEARCH("Package",D4600)))),"",VLOOKUP(C4600,'Clients List'!$A:$F,4,FALSE)-SUMIFS($E$2:$E4600,$C$2:$C4600,C4600,$D$2:$D4600,"*Package*"))</f>
        <v/>
      </c>
      <c r="G4600" t="str">
        <f t="shared" si="105"/>
        <v/>
      </c>
      <c r="H4600" s="33">
        <f>IF(ISNUMBER(SEARCH("Group",D4600)),IF(G4600="",E4600,IFERROR(E4600/COUNTIF($G2:$G6000,G4600),E4600)),E4600)</f>
        <v>0</v>
      </c>
      <c r="I4600" s="1" t="str">
        <f>IFERROR(VLOOKUP(C4600,'Clients List'!A:F,6,FALSE),"")</f>
        <v/>
      </c>
    </row>
    <row r="4601" spans="4:9" x14ac:dyDescent="0.45">
      <c r="D4601" t="str">
        <f>IFERROR(VLOOKUP(C4601,'Clients List'!$A:$F,2,FALSE),"")</f>
        <v/>
      </c>
      <c r="F4601" s="1" t="str">
        <f>IF(OR(C4601="",NOT(ISNUMBER(SEARCH("Package",D4601)))),"",VLOOKUP(C4601,'Clients List'!$A:$F,4,FALSE)-SUMIFS($E$2:$E4601,$C$2:$C4601,C4601,$D$2:$D4601,"*Package*"))</f>
        <v/>
      </c>
      <c r="G4601" t="str">
        <f t="shared" si="105"/>
        <v/>
      </c>
      <c r="H4601" s="33">
        <f>IF(ISNUMBER(SEARCH("Group",D4601)),IF(G4601="",E4601,IFERROR(E4601/COUNTIF($G2:$G6000,G4601),E4601)),E4601)</f>
        <v>0</v>
      </c>
      <c r="I4601" s="1" t="str">
        <f>IFERROR(VLOOKUP(C4601,'Clients List'!A:F,6,FALSE),"")</f>
        <v/>
      </c>
    </row>
    <row r="4602" spans="4:9" x14ac:dyDescent="0.45">
      <c r="D4602" t="str">
        <f>IFERROR(VLOOKUP(C4602,'Clients List'!$A:$F,2,FALSE),"")</f>
        <v/>
      </c>
      <c r="F4602" s="1" t="str">
        <f>IF(OR(C4602="",NOT(ISNUMBER(SEARCH("Package",D4602)))),"",VLOOKUP(C4602,'Clients List'!$A:$F,4,FALSE)-SUMIFS($E$2:$E4602,$C$2:$C4602,C4602,$D$2:$D4602,"*Package*"))</f>
        <v/>
      </c>
      <c r="G4602" t="str">
        <f t="shared" si="105"/>
        <v/>
      </c>
      <c r="H4602" s="33">
        <f>IF(ISNUMBER(SEARCH("Group",D4602)),IF(G4602="",E4602,IFERROR(E4602/COUNTIF($G2:$G6000,G4602),E4602)),E4602)</f>
        <v>0</v>
      </c>
      <c r="I4602" s="1" t="str">
        <f>IFERROR(VLOOKUP(C4602,'Clients List'!A:F,6,FALSE),"")</f>
        <v/>
      </c>
    </row>
    <row r="4603" spans="4:9" x14ac:dyDescent="0.45">
      <c r="D4603" t="str">
        <f>IFERROR(VLOOKUP(C4603,'Clients List'!$A:$F,2,FALSE),"")</f>
        <v/>
      </c>
      <c r="F4603" s="1" t="str">
        <f>IF(OR(C4603="",NOT(ISNUMBER(SEARCH("Package",D4603)))),"",VLOOKUP(C4603,'Clients List'!$A:$F,4,FALSE)-SUMIFS($E$2:$E4603,$C$2:$C4603,C4603,$D$2:$D4603,"*Package*"))</f>
        <v/>
      </c>
      <c r="G4603" t="str">
        <f t="shared" si="105"/>
        <v/>
      </c>
      <c r="H4603" s="33">
        <f>IF(ISNUMBER(SEARCH("Group",D4603)),IF(G4603="",E4603,IFERROR(E4603/COUNTIF($G2:$G6000,G4603),E4603)),E4603)</f>
        <v>0</v>
      </c>
      <c r="I4603" s="1" t="str">
        <f>IFERROR(VLOOKUP(C4603,'Clients List'!A:F,6,FALSE),"")</f>
        <v/>
      </c>
    </row>
    <row r="4604" spans="4:9" x14ac:dyDescent="0.45">
      <c r="D4604" t="str">
        <f>IFERROR(VLOOKUP(C4604,'Clients List'!$A:$F,2,FALSE),"")</f>
        <v/>
      </c>
      <c r="F4604" s="1" t="str">
        <f>IF(OR(C4604="",NOT(ISNUMBER(SEARCH("Package",D4604)))),"",VLOOKUP(C4604,'Clients List'!$A:$F,4,FALSE)-SUMIFS($E$2:$E4604,$C$2:$C4604,C4604,$D$2:$D4604,"*Package*"))</f>
        <v/>
      </c>
      <c r="G4604" t="str">
        <f t="shared" si="105"/>
        <v/>
      </c>
      <c r="H4604" s="33">
        <f>IF(ISNUMBER(SEARCH("Group",D4604)),IF(G4604="",E4604,IFERROR(E4604/COUNTIF($G2:$G6000,G4604),E4604)),E4604)</f>
        <v>0</v>
      </c>
      <c r="I4604" s="1" t="str">
        <f>IFERROR(VLOOKUP(C4604,'Clients List'!A:F,6,FALSE),"")</f>
        <v/>
      </c>
    </row>
    <row r="4605" spans="4:9" x14ac:dyDescent="0.45">
      <c r="D4605" t="str">
        <f>IFERROR(VLOOKUP(C4605,'Clients List'!$A:$F,2,FALSE),"")</f>
        <v/>
      </c>
      <c r="F4605" s="1" t="str">
        <f>IF(OR(C4605="",NOT(ISNUMBER(SEARCH("Package",D4605)))),"",VLOOKUP(C4605,'Clients List'!$A:$F,4,FALSE)-SUMIFS($E$2:$E4605,$C$2:$C4605,C4605,$D$2:$D4605,"*Package*"))</f>
        <v/>
      </c>
      <c r="G4605" t="str">
        <f t="shared" si="105"/>
        <v/>
      </c>
      <c r="H4605" s="33">
        <f>IF(ISNUMBER(SEARCH("Group",D4605)),IF(G4605="",E4605,IFERROR(E4605/COUNTIF($G2:$G6000,G4605),E4605)),E4605)</f>
        <v>0</v>
      </c>
      <c r="I4605" s="1" t="str">
        <f>IFERROR(VLOOKUP(C4605,'Clients List'!A:F,6,FALSE),"")</f>
        <v/>
      </c>
    </row>
    <row r="4606" spans="4:9" x14ac:dyDescent="0.45">
      <c r="D4606" t="str">
        <f>IFERROR(VLOOKUP(C4606,'Clients List'!$A:$F,2,FALSE),"")</f>
        <v/>
      </c>
      <c r="F4606" s="1" t="str">
        <f>IF(OR(C4606="",NOT(ISNUMBER(SEARCH("Package",D4606)))),"",VLOOKUP(C4606,'Clients List'!$A:$F,4,FALSE)-SUMIFS($E$2:$E4606,$C$2:$C4606,C4606,$D$2:$D4606,"*Package*"))</f>
        <v/>
      </c>
      <c r="G4606" t="str">
        <f t="shared" si="105"/>
        <v/>
      </c>
      <c r="H4606" s="33">
        <f>IF(ISNUMBER(SEARCH("Group",D4606)),IF(G4606="",E4606,IFERROR(E4606/COUNTIF($G2:$G6000,G4606),E4606)),E4606)</f>
        <v>0</v>
      </c>
      <c r="I4606" s="1" t="str">
        <f>IFERROR(VLOOKUP(C4606,'Clients List'!A:F,6,FALSE),"")</f>
        <v/>
      </c>
    </row>
    <row r="4607" spans="4:9" x14ac:dyDescent="0.45">
      <c r="D4607" t="str">
        <f>IFERROR(VLOOKUP(C4607,'Clients List'!$A:$F,2,FALSE),"")</f>
        <v/>
      </c>
      <c r="F4607" s="1" t="str">
        <f>IF(OR(C4607="",NOT(ISNUMBER(SEARCH("Package",D4607)))),"",VLOOKUP(C4607,'Clients List'!$A:$F,4,FALSE)-SUMIFS($E$2:$E4607,$C$2:$C4607,C4607,$D$2:$D4607,"*Package*"))</f>
        <v/>
      </c>
      <c r="G4607" t="str">
        <f t="shared" si="105"/>
        <v/>
      </c>
      <c r="H4607" s="33">
        <f>IF(ISNUMBER(SEARCH("Group",D4607)),IF(G4607="",E4607,IFERROR(E4607/COUNTIF($G2:$G6000,G4607),E4607)),E4607)</f>
        <v>0</v>
      </c>
      <c r="I4607" s="1" t="str">
        <f>IFERROR(VLOOKUP(C4607,'Clients List'!A:F,6,FALSE),"")</f>
        <v/>
      </c>
    </row>
    <row r="4608" spans="4:9" x14ac:dyDescent="0.45">
      <c r="D4608" t="str">
        <f>IFERROR(VLOOKUP(C4608,'Clients List'!$A:$F,2,FALSE),"")</f>
        <v/>
      </c>
      <c r="F4608" s="1" t="str">
        <f>IF(OR(C4608="",NOT(ISNUMBER(SEARCH("Package",D4608)))),"",VLOOKUP(C4608,'Clients List'!$A:$F,4,FALSE)-SUMIFS($E$2:$E4608,$C$2:$C4608,C4608,$D$2:$D4608,"*Package*"))</f>
        <v/>
      </c>
      <c r="G4608" t="str">
        <f t="shared" si="105"/>
        <v/>
      </c>
      <c r="H4608" s="33">
        <f>IF(ISNUMBER(SEARCH("Group",D4608)),IF(G4608="",E4608,IFERROR(E4608/COUNTIF($G2:$G6000,G4608),E4608)),E4608)</f>
        <v>0</v>
      </c>
      <c r="I4608" s="1" t="str">
        <f>IFERROR(VLOOKUP(C4608,'Clients List'!A:F,6,FALSE),"")</f>
        <v/>
      </c>
    </row>
    <row r="4609" spans="4:9" x14ac:dyDescent="0.45">
      <c r="D4609" t="str">
        <f>IFERROR(VLOOKUP(C4609,'Clients List'!$A:$F,2,FALSE),"")</f>
        <v/>
      </c>
      <c r="F4609" s="1" t="str">
        <f>IF(OR(C4609="",NOT(ISNUMBER(SEARCH("Package",D4609)))),"",VLOOKUP(C4609,'Clients List'!$A:$F,4,FALSE)-SUMIFS($E$2:$E4609,$C$2:$C4609,C4609,$D$2:$D4609,"*Package*"))</f>
        <v/>
      </c>
      <c r="G4609" t="str">
        <f t="shared" si="105"/>
        <v/>
      </c>
      <c r="H4609" s="33">
        <f>IF(ISNUMBER(SEARCH("Group",D4609)),IF(G4609="",E4609,IFERROR(E4609/COUNTIF($G2:$G6000,G4609),E4609)),E4609)</f>
        <v>0</v>
      </c>
      <c r="I4609" s="1" t="str">
        <f>IFERROR(VLOOKUP(C4609,'Clients List'!A:F,6,FALSE),"")</f>
        <v/>
      </c>
    </row>
    <row r="4610" spans="4:9" x14ac:dyDescent="0.45">
      <c r="D4610" t="str">
        <f>IFERROR(VLOOKUP(C4610,'Clients List'!$A:$F,2,FALSE),"")</f>
        <v/>
      </c>
      <c r="F4610" s="1" t="str">
        <f>IF(OR(C4610="",NOT(ISNUMBER(SEARCH("Package",D4610)))),"",VLOOKUP(C4610,'Clients List'!$A:$F,4,FALSE)-SUMIFS($E$2:$E4610,$C$2:$C4610,C4610,$D$2:$D4610,"*Package*"))</f>
        <v/>
      </c>
      <c r="G4610" t="str">
        <f t="shared" si="105"/>
        <v/>
      </c>
      <c r="H4610" s="33">
        <f>IF(ISNUMBER(SEARCH("Group",D4610)),IF(G4610="",E4610,IFERROR(E4610/COUNTIF($G2:$G6000,G4610),E4610)),E4610)</f>
        <v>0</v>
      </c>
      <c r="I4610" s="1" t="str">
        <f>IFERROR(VLOOKUP(C4610,'Clients List'!A:F,6,FALSE),"")</f>
        <v/>
      </c>
    </row>
    <row r="4611" spans="4:9" x14ac:dyDescent="0.45">
      <c r="D4611" t="str">
        <f>IFERROR(VLOOKUP(C4611,'Clients List'!$A:$F,2,FALSE),"")</f>
        <v/>
      </c>
      <c r="F4611" s="1" t="str">
        <f>IF(OR(C4611="",NOT(ISNUMBER(SEARCH("Package",D4611)))),"",VLOOKUP(C4611,'Clients List'!$A:$F,4,FALSE)-SUMIFS($E$2:$E4611,$C$2:$C4611,C4611,$D$2:$D4611,"*Package*"))</f>
        <v/>
      </c>
      <c r="G4611" t="str">
        <f t="shared" si="105"/>
        <v/>
      </c>
      <c r="H4611" s="33">
        <f>IF(ISNUMBER(SEARCH("Group",D4611)),IF(G4611="",E4611,IFERROR(E4611/COUNTIF($G2:$G6000,G4611),E4611)),E4611)</f>
        <v>0</v>
      </c>
      <c r="I4611" s="1" t="str">
        <f>IFERROR(VLOOKUP(C4611,'Clients List'!A:F,6,FALSE),"")</f>
        <v/>
      </c>
    </row>
    <row r="4612" spans="4:9" x14ac:dyDescent="0.45">
      <c r="D4612" t="str">
        <f>IFERROR(VLOOKUP(C4612,'Clients List'!$A:$F,2,FALSE),"")</f>
        <v/>
      </c>
      <c r="F4612" s="1" t="str">
        <f>IF(OR(C4612="",NOT(ISNUMBER(SEARCH("Package",D4612)))),"",VLOOKUP(C4612,'Clients List'!$A:$F,4,FALSE)-SUMIFS($E$2:$E4612,$C$2:$C4612,C4612,$D$2:$D4612,"*Package*"))</f>
        <v/>
      </c>
      <c r="G4612" t="str">
        <f t="shared" si="105"/>
        <v/>
      </c>
      <c r="H4612" s="33">
        <f>IF(ISNUMBER(SEARCH("Group",D4612)),IF(G4612="",E4612,IFERROR(E4612/COUNTIF($G2:$G6000,G4612),E4612)),E4612)</f>
        <v>0</v>
      </c>
      <c r="I4612" s="1" t="str">
        <f>IFERROR(VLOOKUP(C4612,'Clients List'!A:F,6,FALSE),"")</f>
        <v/>
      </c>
    </row>
    <row r="4613" spans="4:9" x14ac:dyDescent="0.45">
      <c r="D4613" t="str">
        <f>IFERROR(VLOOKUP(C4613,'Clients List'!$A:$F,2,FALSE),"")</f>
        <v/>
      </c>
      <c r="F4613" s="1" t="str">
        <f>IF(OR(C4613="",NOT(ISNUMBER(SEARCH("Package",D4613)))),"",VLOOKUP(C4613,'Clients List'!$A:$F,4,FALSE)-SUMIFS($E$2:$E4613,$C$2:$C4613,C4613,$D$2:$D4613,"*Package*"))</f>
        <v/>
      </c>
      <c r="G4613" t="str">
        <f t="shared" si="105"/>
        <v/>
      </c>
      <c r="H4613" s="33">
        <f>IF(ISNUMBER(SEARCH("Group",D4613)),IF(G4613="",E4613,IFERROR(E4613/COUNTIF($G2:$G6000,G4613),E4613)),E4613)</f>
        <v>0</v>
      </c>
      <c r="I4613" s="1" t="str">
        <f>IFERROR(VLOOKUP(C4613,'Clients List'!A:F,6,FALSE),"")</f>
        <v/>
      </c>
    </row>
    <row r="4614" spans="4:9" x14ac:dyDescent="0.45">
      <c r="D4614" t="str">
        <f>IFERROR(VLOOKUP(C4614,'Clients List'!$A:$F,2,FALSE),"")</f>
        <v/>
      </c>
      <c r="F4614" s="1" t="str">
        <f>IF(OR(C4614="",NOT(ISNUMBER(SEARCH("Package",D4614)))),"",VLOOKUP(C4614,'Clients List'!$A:$F,4,FALSE)-SUMIFS($E$2:$E4614,$C$2:$C4614,C4614,$D$2:$D4614,"*Package*"))</f>
        <v/>
      </c>
      <c r="G4614" t="str">
        <f t="shared" si="105"/>
        <v/>
      </c>
      <c r="H4614" s="33">
        <f>IF(ISNUMBER(SEARCH("Group",D4614)),IF(G4614="",E4614,IFERROR(E4614/COUNTIF($G2:$G6000,G4614),E4614)),E4614)</f>
        <v>0</v>
      </c>
      <c r="I4614" s="1" t="str">
        <f>IFERROR(VLOOKUP(C4614,'Clients List'!A:F,6,FALSE),"")</f>
        <v/>
      </c>
    </row>
    <row r="4615" spans="4:9" x14ac:dyDescent="0.45">
      <c r="D4615" t="str">
        <f>IFERROR(VLOOKUP(C4615,'Clients List'!$A:$F,2,FALSE),"")</f>
        <v/>
      </c>
      <c r="F4615" s="1" t="str">
        <f>IF(OR(C4615="",NOT(ISNUMBER(SEARCH("Package",D4615)))),"",VLOOKUP(C4615,'Clients List'!$A:$F,4,FALSE)-SUMIFS($E$2:$E4615,$C$2:$C4615,C4615,$D$2:$D4615,"*Package*"))</f>
        <v/>
      </c>
      <c r="G4615" t="str">
        <f t="shared" si="105"/>
        <v/>
      </c>
      <c r="H4615" s="33">
        <f>IF(ISNUMBER(SEARCH("Group",D4615)),IF(G4615="",E4615,IFERROR(E4615/COUNTIF($G2:$G6000,G4615),E4615)),E4615)</f>
        <v>0</v>
      </c>
      <c r="I4615" s="1" t="str">
        <f>IFERROR(VLOOKUP(C4615,'Clients List'!A:F,6,FALSE),"")</f>
        <v/>
      </c>
    </row>
    <row r="4616" spans="4:9" x14ac:dyDescent="0.45">
      <c r="D4616" t="str">
        <f>IFERROR(VLOOKUP(C4616,'Clients List'!$A:$F,2,FALSE),"")</f>
        <v/>
      </c>
      <c r="F4616" s="1" t="str">
        <f>IF(OR(C4616="",NOT(ISNUMBER(SEARCH("Package",D4616)))),"",VLOOKUP(C4616,'Clients List'!$A:$F,4,FALSE)-SUMIFS($E$2:$E4616,$C$2:$C4616,C4616,$D$2:$D4616,"*Package*"))</f>
        <v/>
      </c>
      <c r="G4616" t="str">
        <f t="shared" si="105"/>
        <v/>
      </c>
      <c r="H4616" s="33">
        <f>IF(ISNUMBER(SEARCH("Group",D4616)),IF(G4616="",E4616,IFERROR(E4616/COUNTIF($G2:$G6000,G4616),E4616)),E4616)</f>
        <v>0</v>
      </c>
      <c r="I4616" s="1" t="str">
        <f>IFERROR(VLOOKUP(C4616,'Clients List'!A:F,6,FALSE),"")</f>
        <v/>
      </c>
    </row>
    <row r="4617" spans="4:9" x14ac:dyDescent="0.45">
      <c r="D4617" t="str">
        <f>IFERROR(VLOOKUP(C4617,'Clients List'!$A:$F,2,FALSE),"")</f>
        <v/>
      </c>
      <c r="F4617" s="1" t="str">
        <f>IF(OR(C4617="",NOT(ISNUMBER(SEARCH("Package",D4617)))),"",VLOOKUP(C4617,'Clients List'!$A:$F,4,FALSE)-SUMIFS($E$2:$E4617,$C$2:$C4617,C4617,$D$2:$D4617,"*Package*"))</f>
        <v/>
      </c>
      <c r="G4617" t="str">
        <f t="shared" si="105"/>
        <v/>
      </c>
      <c r="H4617" s="33">
        <f>IF(ISNUMBER(SEARCH("Group",D4617)),IF(G4617="",E4617,IFERROR(E4617/COUNTIF($G2:$G6000,G4617),E4617)),E4617)</f>
        <v>0</v>
      </c>
      <c r="I4617" s="1" t="str">
        <f>IFERROR(VLOOKUP(C4617,'Clients List'!A:F,6,FALSE),"")</f>
        <v/>
      </c>
    </row>
    <row r="4618" spans="4:9" x14ac:dyDescent="0.45">
      <c r="D4618" t="str">
        <f>IFERROR(VLOOKUP(C4618,'Clients List'!$A:$F,2,FALSE),"")</f>
        <v/>
      </c>
      <c r="F4618" s="1" t="str">
        <f>IF(OR(C4618="",NOT(ISNUMBER(SEARCH("Package",D4618)))),"",VLOOKUP(C4618,'Clients List'!$A:$F,4,FALSE)-SUMIFS($E$2:$E4618,$C$2:$C4618,C4618,$D$2:$D4618,"*Package*"))</f>
        <v/>
      </c>
      <c r="G4618" t="str">
        <f t="shared" si="105"/>
        <v/>
      </c>
      <c r="H4618" s="33">
        <f>IF(ISNUMBER(SEARCH("Group",D4618)),IF(G4618="",E4618,IFERROR(E4618/COUNTIF($G2:$G6000,G4618),E4618)),E4618)</f>
        <v>0</v>
      </c>
      <c r="I4618" s="1" t="str">
        <f>IFERROR(VLOOKUP(C4618,'Clients List'!A:F,6,FALSE),"")</f>
        <v/>
      </c>
    </row>
    <row r="4619" spans="4:9" x14ac:dyDescent="0.45">
      <c r="D4619" t="str">
        <f>IFERROR(VLOOKUP(C4619,'Clients List'!$A:$F,2,FALSE),"")</f>
        <v/>
      </c>
      <c r="F4619" s="1" t="str">
        <f>IF(OR(C4619="",NOT(ISNUMBER(SEARCH("Package",D4619)))),"",VLOOKUP(C4619,'Clients List'!$A:$F,4,FALSE)-SUMIFS($E$2:$E4619,$C$2:$C4619,C4619,$D$2:$D4619,"*Package*"))</f>
        <v/>
      </c>
      <c r="G4619" t="str">
        <f t="shared" si="105"/>
        <v/>
      </c>
      <c r="H4619" s="33">
        <f>IF(ISNUMBER(SEARCH("Group",D4619)),IF(G4619="",E4619,IFERROR(E4619/COUNTIF($G2:$G6000,G4619),E4619)),E4619)</f>
        <v>0</v>
      </c>
      <c r="I4619" s="1" t="str">
        <f>IFERROR(VLOOKUP(C4619,'Clients List'!A:F,6,FALSE),"")</f>
        <v/>
      </c>
    </row>
    <row r="4620" spans="4:9" x14ac:dyDescent="0.45">
      <c r="D4620" t="str">
        <f>IFERROR(VLOOKUP(C4620,'Clients List'!$A:$F,2,FALSE),"")</f>
        <v/>
      </c>
      <c r="F4620" s="1" t="str">
        <f>IF(OR(C4620="",NOT(ISNUMBER(SEARCH("Package",D4620)))),"",VLOOKUP(C4620,'Clients List'!$A:$F,4,FALSE)-SUMIFS($E$2:$E4620,$C$2:$C4620,C4620,$D$2:$D4620,"*Package*"))</f>
        <v/>
      </c>
      <c r="G4620" t="str">
        <f t="shared" si="105"/>
        <v/>
      </c>
      <c r="H4620" s="33">
        <f>IF(ISNUMBER(SEARCH("Group",D4620)),IF(G4620="",E4620,IFERROR(E4620/COUNTIF($G2:$G6000,G4620),E4620)),E4620)</f>
        <v>0</v>
      </c>
      <c r="I4620" s="1" t="str">
        <f>IFERROR(VLOOKUP(C4620,'Clients List'!A:F,6,FALSE),"")</f>
        <v/>
      </c>
    </row>
    <row r="4621" spans="4:9" x14ac:dyDescent="0.45">
      <c r="D4621" t="str">
        <f>IFERROR(VLOOKUP(C4621,'Clients List'!$A:$F,2,FALSE),"")</f>
        <v/>
      </c>
      <c r="F4621" s="1" t="str">
        <f>IF(OR(C4621="",NOT(ISNUMBER(SEARCH("Package",D4621)))),"",VLOOKUP(C4621,'Clients List'!$A:$F,4,FALSE)-SUMIFS($E$2:$E4621,$C$2:$C4621,C4621,$D$2:$D4621,"*Package*"))</f>
        <v/>
      </c>
      <c r="G4621" t="str">
        <f t="shared" si="105"/>
        <v/>
      </c>
      <c r="H4621" s="33">
        <f>IF(ISNUMBER(SEARCH("Group",D4621)),IF(G4621="",E4621,IFERROR(E4621/COUNTIF($G2:$G6000,G4621),E4621)),E4621)</f>
        <v>0</v>
      </c>
      <c r="I4621" s="1" t="str">
        <f>IFERROR(VLOOKUP(C4621,'Clients List'!A:F,6,FALSE),"")</f>
        <v/>
      </c>
    </row>
    <row r="4622" spans="4:9" x14ac:dyDescent="0.45">
      <c r="D4622" t="str">
        <f>IFERROR(VLOOKUP(C4622,'Clients List'!$A:$F,2,FALSE),"")</f>
        <v/>
      </c>
      <c r="F4622" s="1" t="str">
        <f>IF(OR(C4622="",NOT(ISNUMBER(SEARCH("Package",D4622)))),"",VLOOKUP(C4622,'Clients List'!$A:$F,4,FALSE)-SUMIFS($E$2:$E4622,$C$2:$C4622,C4622,$D$2:$D4622,"*Package*"))</f>
        <v/>
      </c>
      <c r="G4622" t="str">
        <f t="shared" si="105"/>
        <v/>
      </c>
      <c r="H4622" s="33">
        <f>IF(ISNUMBER(SEARCH("Group",D4622)),IF(G4622="",E4622,IFERROR(E4622/COUNTIF($G2:$G6000,G4622),E4622)),E4622)</f>
        <v>0</v>
      </c>
      <c r="I4622" s="1" t="str">
        <f>IFERROR(VLOOKUP(C4622,'Clients List'!A:F,6,FALSE),"")</f>
        <v/>
      </c>
    </row>
    <row r="4623" spans="4:9" x14ac:dyDescent="0.45">
      <c r="D4623" t="str">
        <f>IFERROR(VLOOKUP(C4623,'Clients List'!$A:$F,2,FALSE),"")</f>
        <v/>
      </c>
      <c r="F4623" s="1" t="str">
        <f>IF(OR(C4623="",NOT(ISNUMBER(SEARCH("Package",D4623)))),"",VLOOKUP(C4623,'Clients List'!$A:$F,4,FALSE)-SUMIFS($E$2:$E4623,$C$2:$C4623,C4623,$D$2:$D4623,"*Package*"))</f>
        <v/>
      </c>
      <c r="G4623" t="str">
        <f t="shared" si="105"/>
        <v/>
      </c>
      <c r="H4623" s="33">
        <f>IF(ISNUMBER(SEARCH("Group",D4623)),IF(G4623="",E4623,IFERROR(E4623/COUNTIF($G2:$G6000,G4623),E4623)),E4623)</f>
        <v>0</v>
      </c>
      <c r="I4623" s="1" t="str">
        <f>IFERROR(VLOOKUP(C4623,'Clients List'!A:F,6,FALSE),"")</f>
        <v/>
      </c>
    </row>
    <row r="4624" spans="4:9" x14ac:dyDescent="0.45">
      <c r="D4624" t="str">
        <f>IFERROR(VLOOKUP(C4624,'Clients List'!$A:$F,2,FALSE),"")</f>
        <v/>
      </c>
      <c r="F4624" s="1" t="str">
        <f>IF(OR(C4624="",NOT(ISNUMBER(SEARCH("Package",D4624)))),"",VLOOKUP(C4624,'Clients List'!$A:$F,4,FALSE)-SUMIFS($E$2:$E4624,$C$2:$C4624,C4624,$D$2:$D4624,"*Package*"))</f>
        <v/>
      </c>
      <c r="G4624" t="str">
        <f t="shared" si="105"/>
        <v/>
      </c>
      <c r="H4624" s="33">
        <f>IF(ISNUMBER(SEARCH("Group",D4624)),IF(G4624="",E4624,IFERROR(E4624/COUNTIF($G2:$G6000,G4624),E4624)),E4624)</f>
        <v>0</v>
      </c>
      <c r="I4624" s="1" t="str">
        <f>IFERROR(VLOOKUP(C4624,'Clients List'!A:F,6,FALSE),"")</f>
        <v/>
      </c>
    </row>
    <row r="4625" spans="4:9" x14ac:dyDescent="0.45">
      <c r="D4625" t="str">
        <f>IFERROR(VLOOKUP(C4625,'Clients List'!$A:$F,2,FALSE),"")</f>
        <v/>
      </c>
      <c r="F4625" s="1" t="str">
        <f>IF(OR(C4625="",NOT(ISNUMBER(SEARCH("Package",D4625)))),"",VLOOKUP(C4625,'Clients List'!$A:$F,4,FALSE)-SUMIFS($E$2:$E4625,$C$2:$C4625,C4625,$D$2:$D4625,"*Package*"))</f>
        <v/>
      </c>
      <c r="G4625" t="str">
        <f t="shared" si="105"/>
        <v/>
      </c>
      <c r="H4625" s="33">
        <f>IF(ISNUMBER(SEARCH("Group",D4625)),IF(G4625="",E4625,IFERROR(E4625/COUNTIF($G2:$G6000,G4625),E4625)),E4625)</f>
        <v>0</v>
      </c>
      <c r="I4625" s="1" t="str">
        <f>IFERROR(VLOOKUP(C4625,'Clients List'!A:F,6,FALSE),"")</f>
        <v/>
      </c>
    </row>
    <row r="4626" spans="4:9" x14ac:dyDescent="0.45">
      <c r="D4626" t="str">
        <f>IFERROR(VLOOKUP(C4626,'Clients List'!$A:$F,2,FALSE),"")</f>
        <v/>
      </c>
      <c r="F4626" s="1" t="str">
        <f>IF(OR(C4626="",NOT(ISNUMBER(SEARCH("Package",D4626)))),"",VLOOKUP(C4626,'Clients List'!$A:$F,4,FALSE)-SUMIFS($E$2:$E4626,$C$2:$C4626,C4626,$D$2:$D4626,"*Package*"))</f>
        <v/>
      </c>
      <c r="G4626" t="str">
        <f t="shared" si="105"/>
        <v/>
      </c>
      <c r="H4626" s="33">
        <f>IF(ISNUMBER(SEARCH("Group",D4626)),IF(G4626="",E4626,IFERROR(E4626/COUNTIF($G2:$G6000,G4626),E4626)),E4626)</f>
        <v>0</v>
      </c>
      <c r="I4626" s="1" t="str">
        <f>IFERROR(VLOOKUP(C4626,'Clients List'!A:F,6,FALSE),"")</f>
        <v/>
      </c>
    </row>
    <row r="4627" spans="4:9" x14ac:dyDescent="0.45">
      <c r="D4627" t="str">
        <f>IFERROR(VLOOKUP(C4627,'Clients List'!$A:$F,2,FALSE),"")</f>
        <v/>
      </c>
      <c r="F4627" s="1" t="str">
        <f>IF(OR(C4627="",NOT(ISNUMBER(SEARCH("Package",D4627)))),"",VLOOKUP(C4627,'Clients List'!$A:$F,4,FALSE)-SUMIFS($E$2:$E4627,$C$2:$C4627,C4627,$D$2:$D4627,"*Package*"))</f>
        <v/>
      </c>
      <c r="G4627" t="str">
        <f t="shared" si="105"/>
        <v/>
      </c>
      <c r="H4627" s="33">
        <f>IF(ISNUMBER(SEARCH("Group",D4627)),IF(G4627="",E4627,IFERROR(E4627/COUNTIF($G2:$G6000,G4627),E4627)),E4627)</f>
        <v>0</v>
      </c>
      <c r="I4627" s="1" t="str">
        <f>IFERROR(VLOOKUP(C4627,'Clients List'!A:F,6,FALSE),"")</f>
        <v/>
      </c>
    </row>
    <row r="4628" spans="4:9" x14ac:dyDescent="0.45">
      <c r="D4628" t="str">
        <f>IFERROR(VLOOKUP(C4628,'Clients List'!$A:$F,2,FALSE),"")</f>
        <v/>
      </c>
      <c r="F4628" s="1" t="str">
        <f>IF(OR(C4628="",NOT(ISNUMBER(SEARCH("Package",D4628)))),"",VLOOKUP(C4628,'Clients List'!$A:$F,4,FALSE)-SUMIFS($E$2:$E4628,$C$2:$C4628,C4628,$D$2:$D4628,"*Package*"))</f>
        <v/>
      </c>
      <c r="G4628" t="str">
        <f t="shared" si="105"/>
        <v/>
      </c>
      <c r="H4628" s="33">
        <f>IF(ISNUMBER(SEARCH("Group",D4628)),IF(G4628="",E4628,IFERROR(E4628/COUNTIF($G2:$G6000,G4628),E4628)),E4628)</f>
        <v>0</v>
      </c>
      <c r="I4628" s="1" t="str">
        <f>IFERROR(VLOOKUP(C4628,'Clients List'!A:F,6,FALSE),"")</f>
        <v/>
      </c>
    </row>
    <row r="4629" spans="4:9" x14ac:dyDescent="0.45">
      <c r="D4629" t="str">
        <f>IFERROR(VLOOKUP(C4629,'Clients List'!$A:$F,2,FALSE),"")</f>
        <v/>
      </c>
      <c r="F4629" s="1" t="str">
        <f>IF(OR(C4629="",NOT(ISNUMBER(SEARCH("Package",D4629)))),"",VLOOKUP(C4629,'Clients List'!$A:$F,4,FALSE)-SUMIFS($E$2:$E4629,$C$2:$C4629,C4629,$D$2:$D4629,"*Package*"))</f>
        <v/>
      </c>
      <c r="G4629" t="str">
        <f t="shared" si="105"/>
        <v/>
      </c>
      <c r="H4629" s="33">
        <f>IF(ISNUMBER(SEARCH("Group",D4629)),IF(G4629="",E4629,IFERROR(E4629/COUNTIF($G2:$G6000,G4629),E4629)),E4629)</f>
        <v>0</v>
      </c>
      <c r="I4629" s="1" t="str">
        <f>IFERROR(VLOOKUP(C4629,'Clients List'!A:F,6,FALSE),"")</f>
        <v/>
      </c>
    </row>
    <row r="4630" spans="4:9" x14ac:dyDescent="0.45">
      <c r="D4630" t="str">
        <f>IFERROR(VLOOKUP(C4630,'Clients List'!$A:$F,2,FALSE),"")</f>
        <v/>
      </c>
      <c r="F4630" s="1" t="str">
        <f>IF(OR(C4630="",NOT(ISNUMBER(SEARCH("Package",D4630)))),"",VLOOKUP(C4630,'Clients List'!$A:$F,4,FALSE)-SUMIFS($E$2:$E4630,$C$2:$C4630,C4630,$D$2:$D4630,"*Package*"))</f>
        <v/>
      </c>
      <c r="G4630" t="str">
        <f t="shared" si="105"/>
        <v/>
      </c>
      <c r="H4630" s="33">
        <f>IF(ISNUMBER(SEARCH("Group",D4630)),IF(G4630="",E4630,IFERROR(E4630/COUNTIF($G2:$G6000,G4630),E4630)),E4630)</f>
        <v>0</v>
      </c>
      <c r="I4630" s="1" t="str">
        <f>IFERROR(VLOOKUP(C4630,'Clients List'!A:F,6,FALSE),"")</f>
        <v/>
      </c>
    </row>
    <row r="4631" spans="4:9" x14ac:dyDescent="0.45">
      <c r="D4631" t="str">
        <f>IFERROR(VLOOKUP(C4631,'Clients List'!$A:$F,2,FALSE),"")</f>
        <v/>
      </c>
      <c r="F4631" s="1" t="str">
        <f>IF(OR(C4631="",NOT(ISNUMBER(SEARCH("Package",D4631)))),"",VLOOKUP(C4631,'Clients List'!$A:$F,4,FALSE)-SUMIFS($E$2:$E4631,$C$2:$C4631,C4631,$D$2:$D4631,"*Package*"))</f>
        <v/>
      </c>
      <c r="G4631" t="str">
        <f t="shared" si="105"/>
        <v/>
      </c>
      <c r="H4631" s="33">
        <f>IF(ISNUMBER(SEARCH("Group",D4631)),IF(G4631="",E4631,IFERROR(E4631/COUNTIF($G2:$G6000,G4631),E4631)),E4631)</f>
        <v>0</v>
      </c>
      <c r="I4631" s="1" t="str">
        <f>IFERROR(VLOOKUP(C4631,'Clients List'!A:F,6,FALSE),"")</f>
        <v/>
      </c>
    </row>
    <row r="4632" spans="4:9" x14ac:dyDescent="0.45">
      <c r="D4632" t="str">
        <f>IFERROR(VLOOKUP(C4632,'Clients List'!$A:$F,2,FALSE),"")</f>
        <v/>
      </c>
      <c r="F4632" s="1" t="str">
        <f>IF(OR(C4632="",NOT(ISNUMBER(SEARCH("Package",D4632)))),"",VLOOKUP(C4632,'Clients List'!$A:$F,4,FALSE)-SUMIFS($E$2:$E4632,$C$2:$C4632,C4632,$D$2:$D4632,"*Package*"))</f>
        <v/>
      </c>
      <c r="G4632" t="str">
        <f t="shared" si="105"/>
        <v/>
      </c>
      <c r="H4632" s="33">
        <f>IF(ISNUMBER(SEARCH("Group",D4632)),IF(G4632="",E4632,IFERROR(E4632/COUNTIF($G2:$G6000,G4632),E4632)),E4632)</f>
        <v>0</v>
      </c>
      <c r="I4632" s="1" t="str">
        <f>IFERROR(VLOOKUP(C4632,'Clients List'!A:F,6,FALSE),"")</f>
        <v/>
      </c>
    </row>
    <row r="4633" spans="4:9" x14ac:dyDescent="0.45">
      <c r="D4633" t="str">
        <f>IFERROR(VLOOKUP(C4633,'Clients List'!$A:$F,2,FALSE),"")</f>
        <v/>
      </c>
      <c r="F4633" s="1" t="str">
        <f>IF(OR(C4633="",NOT(ISNUMBER(SEARCH("Package",D4633)))),"",VLOOKUP(C4633,'Clients List'!$A:$F,4,FALSE)-SUMIFS($E$2:$E4633,$C$2:$C4633,C4633,$D$2:$D4633,"*Package*"))</f>
        <v/>
      </c>
      <c r="G4633" t="str">
        <f t="shared" si="105"/>
        <v/>
      </c>
      <c r="H4633" s="33">
        <f>IF(ISNUMBER(SEARCH("Group",D4633)),IF(G4633="",E4633,IFERROR(E4633/COUNTIF($G2:$G6000,G4633),E4633)),E4633)</f>
        <v>0</v>
      </c>
      <c r="I4633" s="1" t="str">
        <f>IFERROR(VLOOKUP(C4633,'Clients List'!A:F,6,FALSE),"")</f>
        <v/>
      </c>
    </row>
    <row r="4634" spans="4:9" x14ac:dyDescent="0.45">
      <c r="D4634" t="str">
        <f>IFERROR(VLOOKUP(C4634,'Clients List'!$A:$F,2,FALSE),"")</f>
        <v/>
      </c>
      <c r="F4634" s="1" t="str">
        <f>IF(OR(C4634="",NOT(ISNUMBER(SEARCH("Package",D4634)))),"",VLOOKUP(C4634,'Clients List'!$A:$F,4,FALSE)-SUMIFS($E$2:$E4634,$C$2:$C4634,C4634,$D$2:$D4634,"*Package*"))</f>
        <v/>
      </c>
      <c r="G4634" t="str">
        <f t="shared" si="105"/>
        <v/>
      </c>
      <c r="H4634" s="33">
        <f>IF(ISNUMBER(SEARCH("Group",D4634)),IF(G4634="",E4634,IFERROR(E4634/COUNTIF($G2:$G6000,G4634),E4634)),E4634)</f>
        <v>0</v>
      </c>
      <c r="I4634" s="1" t="str">
        <f>IFERROR(VLOOKUP(C4634,'Clients List'!A:F,6,FALSE),"")</f>
        <v/>
      </c>
    </row>
    <row r="4635" spans="4:9" x14ac:dyDescent="0.45">
      <c r="D4635" t="str">
        <f>IFERROR(VLOOKUP(C4635,'Clients List'!$A:$F,2,FALSE),"")</f>
        <v/>
      </c>
      <c r="F4635" s="1" t="str">
        <f>IF(OR(C4635="",NOT(ISNUMBER(SEARCH("Package",D4635)))),"",VLOOKUP(C4635,'Clients List'!$A:$F,4,FALSE)-SUMIFS($E$2:$E4635,$C$2:$C4635,C4635,$D$2:$D4635,"*Package*"))</f>
        <v/>
      </c>
      <c r="G4635" t="str">
        <f t="shared" si="105"/>
        <v/>
      </c>
      <c r="H4635" s="33">
        <f>IF(ISNUMBER(SEARCH("Group",D4635)),IF(G4635="",E4635,IFERROR(E4635/COUNTIF($G2:$G6000,G4635),E4635)),E4635)</f>
        <v>0</v>
      </c>
      <c r="I4635" s="1" t="str">
        <f>IFERROR(VLOOKUP(C4635,'Clients List'!A:F,6,FALSE),"")</f>
        <v/>
      </c>
    </row>
    <row r="4636" spans="4:9" x14ac:dyDescent="0.45">
      <c r="D4636" t="str">
        <f>IFERROR(VLOOKUP(C4636,'Clients List'!$A:$F,2,FALSE),"")</f>
        <v/>
      </c>
      <c r="F4636" s="1" t="str">
        <f>IF(OR(C4636="",NOT(ISNUMBER(SEARCH("Package",D4636)))),"",VLOOKUP(C4636,'Clients List'!$A:$F,4,FALSE)-SUMIFS($E$2:$E4636,$C$2:$C4636,C4636,$D$2:$D4636,"*Package*"))</f>
        <v/>
      </c>
      <c r="G4636" t="str">
        <f t="shared" si="105"/>
        <v/>
      </c>
      <c r="H4636" s="33">
        <f>IF(ISNUMBER(SEARCH("Group",D4636)),IF(G4636="",E4636,IFERROR(E4636/COUNTIF($G2:$G6000,G4636),E4636)),E4636)</f>
        <v>0</v>
      </c>
      <c r="I4636" s="1" t="str">
        <f>IFERROR(VLOOKUP(C4636,'Clients List'!A:F,6,FALSE),"")</f>
        <v/>
      </c>
    </row>
    <row r="4637" spans="4:9" x14ac:dyDescent="0.45">
      <c r="D4637" t="str">
        <f>IFERROR(VLOOKUP(C4637,'Clients List'!$A:$F,2,FALSE),"")</f>
        <v/>
      </c>
      <c r="F4637" s="1" t="str">
        <f>IF(OR(C4637="",NOT(ISNUMBER(SEARCH("Package",D4637)))),"",VLOOKUP(C4637,'Clients List'!$A:$F,4,FALSE)-SUMIFS($E$2:$E4637,$C$2:$C4637,C4637,$D$2:$D4637,"*Package*"))</f>
        <v/>
      </c>
      <c r="G4637" t="str">
        <f t="shared" si="105"/>
        <v/>
      </c>
      <c r="H4637" s="33">
        <f>IF(ISNUMBER(SEARCH("Group",D4637)),IF(G4637="",E4637,IFERROR(E4637/COUNTIF($G2:$G6000,G4637),E4637)),E4637)</f>
        <v>0</v>
      </c>
      <c r="I4637" s="1" t="str">
        <f>IFERROR(VLOOKUP(C4637,'Clients List'!A:F,6,FALSE),"")</f>
        <v/>
      </c>
    </row>
    <row r="4638" spans="4:9" x14ac:dyDescent="0.45">
      <c r="D4638" t="str">
        <f>IFERROR(VLOOKUP(C4638,'Clients List'!$A:$F,2,FALSE),"")</f>
        <v/>
      </c>
      <c r="F4638" s="1" t="str">
        <f>IF(OR(C4638="",NOT(ISNUMBER(SEARCH("Package",D4638)))),"",VLOOKUP(C4638,'Clients List'!$A:$F,4,FALSE)-SUMIFS($E$2:$E4638,$C$2:$C4638,C4638,$D$2:$D4638,"*Package*"))</f>
        <v/>
      </c>
      <c r="G4638" t="str">
        <f t="shared" si="105"/>
        <v/>
      </c>
      <c r="H4638" s="33">
        <f>IF(ISNUMBER(SEARCH("Group",D4638)),IF(G4638="",E4638,IFERROR(E4638/COUNTIF($G2:$G6000,G4638),E4638)),E4638)</f>
        <v>0</v>
      </c>
      <c r="I4638" s="1" t="str">
        <f>IFERROR(VLOOKUP(C4638,'Clients List'!A:F,6,FALSE),"")</f>
        <v/>
      </c>
    </row>
    <row r="4639" spans="4:9" x14ac:dyDescent="0.45">
      <c r="D4639" t="str">
        <f>IFERROR(VLOOKUP(C4639,'Clients List'!$A:$F,2,FALSE),"")</f>
        <v/>
      </c>
      <c r="F4639" s="1" t="str">
        <f>IF(OR(C4639="",NOT(ISNUMBER(SEARCH("Package",D4639)))),"",VLOOKUP(C4639,'Clients List'!$A:$F,4,FALSE)-SUMIFS($E$2:$E4639,$C$2:$C4639,C4639,$D$2:$D4639,"*Package*"))</f>
        <v/>
      </c>
      <c r="G4639" t="str">
        <f t="shared" si="105"/>
        <v/>
      </c>
      <c r="H4639" s="33">
        <f>IF(ISNUMBER(SEARCH("Group",D4639)),IF(G4639="",E4639,IFERROR(E4639/COUNTIF($G2:$G6000,G4639),E4639)),E4639)</f>
        <v>0</v>
      </c>
      <c r="I4639" s="1" t="str">
        <f>IFERROR(VLOOKUP(C4639,'Clients List'!A:F,6,FALSE),"")</f>
        <v/>
      </c>
    </row>
    <row r="4640" spans="4:9" x14ac:dyDescent="0.45">
      <c r="D4640" t="str">
        <f>IFERROR(VLOOKUP(C4640,'Clients List'!$A:$F,2,FALSE),"")</f>
        <v/>
      </c>
      <c r="F4640" s="1" t="str">
        <f>IF(OR(C4640="",NOT(ISNUMBER(SEARCH("Package",D4640)))),"",VLOOKUP(C4640,'Clients List'!$A:$F,4,FALSE)-SUMIFS($E$2:$E4640,$C$2:$C4640,C4640,$D$2:$D4640,"*Package*"))</f>
        <v/>
      </c>
      <c r="G4640" t="str">
        <f t="shared" si="105"/>
        <v/>
      </c>
      <c r="H4640" s="33">
        <f>IF(ISNUMBER(SEARCH("Group",D4640)),IF(G4640="",E4640,IFERROR(E4640/COUNTIF($G2:$G6000,G4640),E4640)),E4640)</f>
        <v>0</v>
      </c>
      <c r="I4640" s="1" t="str">
        <f>IFERROR(VLOOKUP(C4640,'Clients List'!A:F,6,FALSE),"")</f>
        <v/>
      </c>
    </row>
    <row r="4641" spans="4:9" x14ac:dyDescent="0.45">
      <c r="D4641" t="str">
        <f>IFERROR(VLOOKUP(C4641,'Clients List'!$A:$F,2,FALSE),"")</f>
        <v/>
      </c>
      <c r="F4641" s="1" t="str">
        <f>IF(OR(C4641="",NOT(ISNUMBER(SEARCH("Package",D4641)))),"",VLOOKUP(C4641,'Clients List'!$A:$F,4,FALSE)-SUMIFS($E$2:$E4641,$C$2:$C4641,C4641,$D$2:$D4641,"*Package*"))</f>
        <v/>
      </c>
      <c r="G4641" t="str">
        <f t="shared" si="105"/>
        <v/>
      </c>
      <c r="H4641" s="33">
        <f>IF(ISNUMBER(SEARCH("Group",D4641)),IF(G4641="",E4641,IFERROR(E4641/COUNTIF($G2:$G6000,G4641),E4641)),E4641)</f>
        <v>0</v>
      </c>
      <c r="I4641" s="1" t="str">
        <f>IFERROR(VLOOKUP(C4641,'Clients List'!A:F,6,FALSE),"")</f>
        <v/>
      </c>
    </row>
    <row r="4642" spans="4:9" x14ac:dyDescent="0.45">
      <c r="D4642" t="str">
        <f>IFERROR(VLOOKUP(C4642,'Clients List'!$A:$F,2,FALSE),"")</f>
        <v/>
      </c>
      <c r="F4642" s="1" t="str">
        <f>IF(OR(C4642="",NOT(ISNUMBER(SEARCH("Package",D4642)))),"",VLOOKUP(C4642,'Clients List'!$A:$F,4,FALSE)-SUMIFS($E$2:$E4642,$C$2:$C4642,C4642,$D$2:$D4642,"*Package*"))</f>
        <v/>
      </c>
      <c r="G4642" t="str">
        <f t="shared" si="105"/>
        <v/>
      </c>
      <c r="H4642" s="33">
        <f>IF(ISNUMBER(SEARCH("Group",D4642)),IF(G4642="",E4642,IFERROR(E4642/COUNTIF($G2:$G6000,G4642),E4642)),E4642)</f>
        <v>0</v>
      </c>
      <c r="I4642" s="1" t="str">
        <f>IFERROR(VLOOKUP(C4642,'Clients List'!A:F,6,FALSE),"")</f>
        <v/>
      </c>
    </row>
    <row r="4643" spans="4:9" x14ac:dyDescent="0.45">
      <c r="D4643" t="str">
        <f>IFERROR(VLOOKUP(C4643,'Clients List'!$A:$F,2,FALSE),"")</f>
        <v/>
      </c>
      <c r="F4643" s="1" t="str">
        <f>IF(OR(C4643="",NOT(ISNUMBER(SEARCH("Package",D4643)))),"",VLOOKUP(C4643,'Clients List'!$A:$F,4,FALSE)-SUMIFS($E$2:$E4643,$C$2:$C4643,C4643,$D$2:$D4643,"*Package*"))</f>
        <v/>
      </c>
      <c r="G4643" t="str">
        <f t="shared" si="105"/>
        <v/>
      </c>
      <c r="H4643" s="33">
        <f>IF(ISNUMBER(SEARCH("Group",D4643)),IF(G4643="",E4643,IFERROR(E4643/COUNTIF($G2:$G6000,G4643),E4643)),E4643)</f>
        <v>0</v>
      </c>
      <c r="I4643" s="1" t="str">
        <f>IFERROR(VLOOKUP(C4643,'Clients List'!A:F,6,FALSE),"")</f>
        <v/>
      </c>
    </row>
    <row r="4644" spans="4:9" x14ac:dyDescent="0.45">
      <c r="D4644" t="str">
        <f>IFERROR(VLOOKUP(C4644,'Clients List'!$A:$F,2,FALSE),"")</f>
        <v/>
      </c>
      <c r="F4644" s="1" t="str">
        <f>IF(OR(C4644="",NOT(ISNUMBER(SEARCH("Package",D4644)))),"",VLOOKUP(C4644,'Clients List'!$A:$F,4,FALSE)-SUMIFS($E$2:$E4644,$C$2:$C4644,C4644,$D$2:$D4644,"*Package*"))</f>
        <v/>
      </c>
      <c r="G4644" t="str">
        <f t="shared" si="105"/>
        <v/>
      </c>
      <c r="H4644" s="33">
        <f>IF(ISNUMBER(SEARCH("Group",D4644)),IF(G4644="",E4644,IFERROR(E4644/COUNTIF($G2:$G6000,G4644),E4644)),E4644)</f>
        <v>0</v>
      </c>
      <c r="I4644" s="1" t="str">
        <f>IFERROR(VLOOKUP(C4644,'Clients List'!A:F,6,FALSE),"")</f>
        <v/>
      </c>
    </row>
    <row r="4645" spans="4:9" x14ac:dyDescent="0.45">
      <c r="D4645" t="str">
        <f>IFERROR(VLOOKUP(C4645,'Clients List'!$A:$F,2,FALSE),"")</f>
        <v/>
      </c>
      <c r="F4645" s="1" t="str">
        <f>IF(OR(C4645="",NOT(ISNUMBER(SEARCH("Package",D4645)))),"",VLOOKUP(C4645,'Clients List'!$A:$F,4,FALSE)-SUMIFS($E$2:$E4645,$C$2:$C4645,C4645,$D$2:$D4645,"*Package*"))</f>
        <v/>
      </c>
      <c r="G4645" t="str">
        <f t="shared" si="105"/>
        <v/>
      </c>
      <c r="H4645" s="33">
        <f>IF(ISNUMBER(SEARCH("Group",D4645)),IF(G4645="",E4645,IFERROR(E4645/COUNTIF($G2:$G6000,G4645),E4645)),E4645)</f>
        <v>0</v>
      </c>
      <c r="I4645" s="1" t="str">
        <f>IFERROR(VLOOKUP(C4645,'Clients List'!A:F,6,FALSE),"")</f>
        <v/>
      </c>
    </row>
    <row r="4646" spans="4:9" x14ac:dyDescent="0.45">
      <c r="D4646" t="str">
        <f>IFERROR(VLOOKUP(C4646,'Clients List'!$A:$F,2,FALSE),"")</f>
        <v/>
      </c>
      <c r="F4646" s="1" t="str">
        <f>IF(OR(C4646="",NOT(ISNUMBER(SEARCH("Package",D4646)))),"",VLOOKUP(C4646,'Clients List'!$A:$F,4,FALSE)-SUMIFS($E$2:$E4646,$C$2:$C4646,C4646,$D$2:$D4646,"*Package*"))</f>
        <v/>
      </c>
      <c r="G4646" t="str">
        <f t="shared" si="105"/>
        <v/>
      </c>
      <c r="H4646" s="33">
        <f>IF(ISNUMBER(SEARCH("Group",D4646)),IF(G4646="",E4646,IFERROR(E4646/COUNTIF($G2:$G6000,G4646),E4646)),E4646)</f>
        <v>0</v>
      </c>
      <c r="I4646" s="1" t="str">
        <f>IFERROR(VLOOKUP(C4646,'Clients List'!A:F,6,FALSE),"")</f>
        <v/>
      </c>
    </row>
    <row r="4647" spans="4:9" x14ac:dyDescent="0.45">
      <c r="D4647" t="str">
        <f>IFERROR(VLOOKUP(C4647,'Clients List'!$A:$F,2,FALSE),"")</f>
        <v/>
      </c>
      <c r="F4647" s="1" t="str">
        <f>IF(OR(C4647="",NOT(ISNUMBER(SEARCH("Package",D4647)))),"",VLOOKUP(C4647,'Clients List'!$A:$F,4,FALSE)-SUMIFS($E$2:$E4647,$C$2:$C4647,C4647,$D$2:$D4647,"*Package*"))</f>
        <v/>
      </c>
      <c r="G4647" t="str">
        <f t="shared" si="105"/>
        <v/>
      </c>
      <c r="H4647" s="33">
        <f>IF(ISNUMBER(SEARCH("Group",D4647)),IF(G4647="",E4647,IFERROR(E4647/COUNTIF($G2:$G6000,G4647),E4647)),E4647)</f>
        <v>0</v>
      </c>
      <c r="I4647" s="1" t="str">
        <f>IFERROR(VLOOKUP(C4647,'Clients List'!A:F,6,FALSE),"")</f>
        <v/>
      </c>
    </row>
    <row r="4648" spans="4:9" x14ac:dyDescent="0.45">
      <c r="D4648" t="str">
        <f>IFERROR(VLOOKUP(C4648,'Clients List'!$A:$F,2,FALSE),"")</f>
        <v/>
      </c>
      <c r="F4648" s="1" t="str">
        <f>IF(OR(C4648="",NOT(ISNUMBER(SEARCH("Package",D4648)))),"",VLOOKUP(C4648,'Clients List'!$A:$F,4,FALSE)-SUMIFS($E$2:$E4648,$C$2:$C4648,C4648,$D$2:$D4648,"*Package*"))</f>
        <v/>
      </c>
      <c r="G4648" t="str">
        <f t="shared" si="105"/>
        <v/>
      </c>
      <c r="H4648" s="33">
        <f>IF(ISNUMBER(SEARCH("Group",D4648)),IF(G4648="",E4648,IFERROR(E4648/COUNTIF($G2:$G6000,G4648),E4648)),E4648)</f>
        <v>0</v>
      </c>
      <c r="I4648" s="1" t="str">
        <f>IFERROR(VLOOKUP(C4648,'Clients List'!A:F,6,FALSE),"")</f>
        <v/>
      </c>
    </row>
    <row r="4649" spans="4:9" x14ac:dyDescent="0.45">
      <c r="D4649" t="str">
        <f>IFERROR(VLOOKUP(C4649,'Clients List'!$A:$F,2,FALSE),"")</f>
        <v/>
      </c>
      <c r="F4649" s="1" t="str">
        <f>IF(OR(C4649="",NOT(ISNUMBER(SEARCH("Package",D4649)))),"",VLOOKUP(C4649,'Clients List'!$A:$F,4,FALSE)-SUMIFS($E$2:$E4649,$C$2:$C4649,C4649,$D$2:$D4649,"*Package*"))</f>
        <v/>
      </c>
      <c r="G4649" t="str">
        <f t="shared" si="105"/>
        <v/>
      </c>
      <c r="H4649" s="33">
        <f>IF(ISNUMBER(SEARCH("Group",D4649)),IF(G4649="",E4649,IFERROR(E4649/COUNTIF($G2:$G6000,G4649),E4649)),E4649)</f>
        <v>0</v>
      </c>
      <c r="I4649" s="1" t="str">
        <f>IFERROR(VLOOKUP(C4649,'Clients List'!A:F,6,FALSE),"")</f>
        <v/>
      </c>
    </row>
    <row r="4650" spans="4:9" x14ac:dyDescent="0.45">
      <c r="D4650" t="str">
        <f>IFERROR(VLOOKUP(C4650,'Clients List'!$A:$F,2,FALSE),"")</f>
        <v/>
      </c>
      <c r="F4650" s="1" t="str">
        <f>IF(OR(C4650="",NOT(ISNUMBER(SEARCH("Package",D4650)))),"",VLOOKUP(C4650,'Clients List'!$A:$F,4,FALSE)-SUMIFS($E$2:$E4650,$C$2:$C4650,C4650,$D$2:$D4650,"*Package*"))</f>
        <v/>
      </c>
      <c r="G4650" t="str">
        <f t="shared" si="105"/>
        <v/>
      </c>
      <c r="H4650" s="33">
        <f>IF(ISNUMBER(SEARCH("Group",D4650)),IF(G4650="",E4650,IFERROR(E4650/COUNTIF($G2:$G6000,G4650),E4650)),E4650)</f>
        <v>0</v>
      </c>
      <c r="I4650" s="1" t="str">
        <f>IFERROR(VLOOKUP(C4650,'Clients List'!A:F,6,FALSE),"")</f>
        <v/>
      </c>
    </row>
    <row r="4651" spans="4:9" x14ac:dyDescent="0.45">
      <c r="D4651" t="str">
        <f>IFERROR(VLOOKUP(C4651,'Clients List'!$A:$F,2,FALSE),"")</f>
        <v/>
      </c>
      <c r="F4651" s="1" t="str">
        <f>IF(OR(C4651="",NOT(ISNUMBER(SEARCH("Package",D4651)))),"",VLOOKUP(C4651,'Clients List'!$A:$F,4,FALSE)-SUMIFS($E$2:$E4651,$C$2:$C4651,C4651,$D$2:$D4651,"*Package*"))</f>
        <v/>
      </c>
      <c r="G4651" t="str">
        <f t="shared" si="105"/>
        <v/>
      </c>
      <c r="H4651" s="33">
        <f>IF(ISNUMBER(SEARCH("Group",D4651)),IF(G4651="",E4651,IFERROR(E4651/COUNTIF($G2:$G6000,G4651),E4651)),E4651)</f>
        <v>0</v>
      </c>
      <c r="I4651" s="1" t="str">
        <f>IFERROR(VLOOKUP(C4651,'Clients List'!A:F,6,FALSE),"")</f>
        <v/>
      </c>
    </row>
    <row r="4652" spans="4:9" x14ac:dyDescent="0.45">
      <c r="D4652" t="str">
        <f>IFERROR(VLOOKUP(C4652,'Clients List'!$A:$F,2,FALSE),"")</f>
        <v/>
      </c>
      <c r="F4652" s="1" t="str">
        <f>IF(OR(C4652="",NOT(ISNUMBER(SEARCH("Package",D4652)))),"",VLOOKUP(C4652,'Clients List'!$A:$F,4,FALSE)-SUMIFS($E$2:$E4652,$C$2:$C4652,C4652,$D$2:$D4652,"*Package*"))</f>
        <v/>
      </c>
      <c r="G4652" t="str">
        <f t="shared" si="105"/>
        <v/>
      </c>
      <c r="H4652" s="33">
        <f>IF(ISNUMBER(SEARCH("Group",D4652)),IF(G4652="",E4652,IFERROR(E4652/COUNTIF($G2:$G6000,G4652),E4652)),E4652)</f>
        <v>0</v>
      </c>
      <c r="I4652" s="1" t="str">
        <f>IFERROR(VLOOKUP(C4652,'Clients List'!A:F,6,FALSE),"")</f>
        <v/>
      </c>
    </row>
    <row r="4653" spans="4:9" x14ac:dyDescent="0.45">
      <c r="D4653" t="str">
        <f>IFERROR(VLOOKUP(C4653,'Clients List'!$A:$F,2,FALSE),"")</f>
        <v/>
      </c>
      <c r="F4653" s="1" t="str">
        <f>IF(OR(C4653="",NOT(ISNUMBER(SEARCH("Package",D4653)))),"",VLOOKUP(C4653,'Clients List'!$A:$F,4,FALSE)-SUMIFS($E$2:$E4653,$C$2:$C4653,C4653,$D$2:$D4653,"*Package*"))</f>
        <v/>
      </c>
      <c r="G4653" t="str">
        <f t="shared" si="105"/>
        <v/>
      </c>
      <c r="H4653" s="33">
        <f>IF(ISNUMBER(SEARCH("Group",D4653)),IF(G4653="",E4653,IFERROR(E4653/COUNTIF($G2:$G6000,G4653),E4653)),E4653)</f>
        <v>0</v>
      </c>
      <c r="I4653" s="1" t="str">
        <f>IFERROR(VLOOKUP(C4653,'Clients List'!A:F,6,FALSE),"")</f>
        <v/>
      </c>
    </row>
    <row r="4654" spans="4:9" x14ac:dyDescent="0.45">
      <c r="D4654" t="str">
        <f>IFERROR(VLOOKUP(C4654,'Clients List'!$A:$F,2,FALSE),"")</f>
        <v/>
      </c>
      <c r="F4654" s="1" t="str">
        <f>IF(OR(C4654="",NOT(ISNUMBER(SEARCH("Package",D4654)))),"",VLOOKUP(C4654,'Clients List'!$A:$F,4,FALSE)-SUMIFS($E$2:$E4654,$C$2:$C4654,C4654,$D$2:$D4654,"*Package*"))</f>
        <v/>
      </c>
      <c r="G4654" t="str">
        <f t="shared" si="105"/>
        <v/>
      </c>
      <c r="H4654" s="33">
        <f>IF(ISNUMBER(SEARCH("Group",D4654)),IF(G4654="",E4654,IFERROR(E4654/COUNTIF($G2:$G6000,G4654),E4654)),E4654)</f>
        <v>0</v>
      </c>
      <c r="I4654" s="1" t="str">
        <f>IFERROR(VLOOKUP(C4654,'Clients List'!A:F,6,FALSE),"")</f>
        <v/>
      </c>
    </row>
    <row r="4655" spans="4:9" x14ac:dyDescent="0.45">
      <c r="D4655" t="str">
        <f>IFERROR(VLOOKUP(C4655,'Clients List'!$A:$F,2,FALSE),"")</f>
        <v/>
      </c>
      <c r="F4655" s="1" t="str">
        <f>IF(OR(C4655="",NOT(ISNUMBER(SEARCH("Package",D4655)))),"",VLOOKUP(C4655,'Clients List'!$A:$F,4,FALSE)-SUMIFS($E$2:$E4655,$C$2:$C4655,C4655,$D$2:$D4655,"*Package*"))</f>
        <v/>
      </c>
      <c r="G4655" t="str">
        <f t="shared" si="105"/>
        <v/>
      </c>
      <c r="H4655" s="33">
        <f>IF(ISNUMBER(SEARCH("Group",D4655)),IF(G4655="",E4655,IFERROR(E4655/COUNTIF($G2:$G6000,G4655),E4655)),E4655)</f>
        <v>0</v>
      </c>
      <c r="I4655" s="1" t="str">
        <f>IFERROR(VLOOKUP(C4655,'Clients List'!A:F,6,FALSE),"")</f>
        <v/>
      </c>
    </row>
    <row r="4656" spans="4:9" x14ac:dyDescent="0.45">
      <c r="D4656" t="str">
        <f>IFERROR(VLOOKUP(C4656,'Clients List'!$A:$F,2,FALSE),"")</f>
        <v/>
      </c>
      <c r="F4656" s="1" t="str">
        <f>IF(OR(C4656="",NOT(ISNUMBER(SEARCH("Package",D4656)))),"",VLOOKUP(C4656,'Clients List'!$A:$F,4,FALSE)-SUMIFS($E$2:$E4656,$C$2:$C4656,C4656,$D$2:$D4656,"*Package*"))</f>
        <v/>
      </c>
      <c r="G4656" t="str">
        <f t="shared" si="105"/>
        <v/>
      </c>
      <c r="H4656" s="33">
        <f>IF(ISNUMBER(SEARCH("Group",D4656)),IF(G4656="",E4656,IFERROR(E4656/COUNTIF($G2:$G6000,G4656),E4656)),E4656)</f>
        <v>0</v>
      </c>
      <c r="I4656" s="1" t="str">
        <f>IFERROR(VLOOKUP(C4656,'Clients List'!A:F,6,FALSE),"")</f>
        <v/>
      </c>
    </row>
    <row r="4657" spans="4:9" x14ac:dyDescent="0.45">
      <c r="D4657" t="str">
        <f>IFERROR(VLOOKUP(C4657,'Clients List'!$A:$F,2,FALSE),"")</f>
        <v/>
      </c>
      <c r="F4657" s="1" t="str">
        <f>IF(OR(C4657="",NOT(ISNUMBER(SEARCH("Package",D4657)))),"",VLOOKUP(C4657,'Clients List'!$A:$F,4,FALSE)-SUMIFS($E$2:$E4657,$C$2:$C4657,C4657,$D$2:$D4657,"*Package*"))</f>
        <v/>
      </c>
      <c r="G4657" t="str">
        <f t="shared" si="105"/>
        <v/>
      </c>
      <c r="H4657" s="33">
        <f>IF(ISNUMBER(SEARCH("Group",D4657)),IF(G4657="",E4657,IFERROR(E4657/COUNTIF($G2:$G6000,G4657),E4657)),E4657)</f>
        <v>0</v>
      </c>
      <c r="I4657" s="1" t="str">
        <f>IFERROR(VLOOKUP(C4657,'Clients List'!A:F,6,FALSE),"")</f>
        <v/>
      </c>
    </row>
    <row r="4658" spans="4:9" x14ac:dyDescent="0.45">
      <c r="D4658" t="str">
        <f>IFERROR(VLOOKUP(C4658,'Clients List'!$A:$F,2,FALSE),"")</f>
        <v/>
      </c>
      <c r="F4658" s="1" t="str">
        <f>IF(OR(C4658="",NOT(ISNUMBER(SEARCH("Package",D4658)))),"",VLOOKUP(C4658,'Clients List'!$A:$F,4,FALSE)-SUMIFS($E$2:$E4658,$C$2:$C4658,C4658,$D$2:$D4658,"*Package*"))</f>
        <v/>
      </c>
      <c r="G4658" t="str">
        <f t="shared" si="105"/>
        <v/>
      </c>
      <c r="H4658" s="33">
        <f>IF(ISNUMBER(SEARCH("Group",D4658)),IF(G4658="",E4658,IFERROR(E4658/COUNTIF($G2:$G6000,G4658),E4658)),E4658)</f>
        <v>0</v>
      </c>
      <c r="I4658" s="1" t="str">
        <f>IFERROR(VLOOKUP(C4658,'Clients List'!A:F,6,FALSE),"")</f>
        <v/>
      </c>
    </row>
    <row r="4659" spans="4:9" x14ac:dyDescent="0.45">
      <c r="D4659" t="str">
        <f>IFERROR(VLOOKUP(C4659,'Clients List'!$A:$F,2,FALSE),"")</f>
        <v/>
      </c>
      <c r="F4659" s="1" t="str">
        <f>IF(OR(C4659="",NOT(ISNUMBER(SEARCH("Package",D4659)))),"",VLOOKUP(C4659,'Clients List'!$A:$F,4,FALSE)-SUMIFS($E$2:$E4659,$C$2:$C4659,C4659,$D$2:$D4659,"*Package*"))</f>
        <v/>
      </c>
      <c r="G4659" t="str">
        <f t="shared" si="105"/>
        <v/>
      </c>
      <c r="H4659" s="33">
        <f>IF(ISNUMBER(SEARCH("Group",D4659)),IF(G4659="",E4659,IFERROR(E4659/COUNTIF($G2:$G6000,G4659),E4659)),E4659)</f>
        <v>0</v>
      </c>
      <c r="I4659" s="1" t="str">
        <f>IFERROR(VLOOKUP(C4659,'Clients List'!A:F,6,FALSE),"")</f>
        <v/>
      </c>
    </row>
    <row r="4660" spans="4:9" x14ac:dyDescent="0.45">
      <c r="D4660" t="str">
        <f>IFERROR(VLOOKUP(C4660,'Clients List'!$A:$F,2,FALSE),"")</f>
        <v/>
      </c>
      <c r="F4660" s="1" t="str">
        <f>IF(OR(C4660="",NOT(ISNUMBER(SEARCH("Package",D4660)))),"",VLOOKUP(C4660,'Clients List'!$A:$F,4,FALSE)-SUMIFS($E$2:$E4660,$C$2:$C4660,C4660,$D$2:$D4660,"*Package*"))</f>
        <v/>
      </c>
      <c r="G4660" t="str">
        <f t="shared" si="105"/>
        <v/>
      </c>
      <c r="H4660" s="33">
        <f>IF(ISNUMBER(SEARCH("Group",D4660)),IF(G4660="",E4660,IFERROR(E4660/COUNTIF($G2:$G6000,G4660),E4660)),E4660)</f>
        <v>0</v>
      </c>
      <c r="I4660" s="1" t="str">
        <f>IFERROR(VLOOKUP(C4660,'Clients List'!A:F,6,FALSE),"")</f>
        <v/>
      </c>
    </row>
    <row r="4661" spans="4:9" x14ac:dyDescent="0.45">
      <c r="D4661" t="str">
        <f>IFERROR(VLOOKUP(C4661,'Clients List'!$A:$F,2,FALSE),"")</f>
        <v/>
      </c>
      <c r="F4661" s="1" t="str">
        <f>IF(OR(C4661="",NOT(ISNUMBER(SEARCH("Package",D4661)))),"",VLOOKUP(C4661,'Clients List'!$A:$F,4,FALSE)-SUMIFS($E$2:$E4661,$C$2:$C4661,C4661,$D$2:$D4661,"*Package*"))</f>
        <v/>
      </c>
      <c r="G4661" t="str">
        <f t="shared" ref="G4661:G4724" si="106">IF(ISNUMBER(SEARCH("Group",D4661)),IFERROR("GRP-"&amp;TEXT(IF(ISNUMBER(A4661),A4661,DATEVALUE(A4661)),"yyyymmdd"),""),"" )</f>
        <v/>
      </c>
      <c r="H4661" s="33">
        <f>IF(ISNUMBER(SEARCH("Group",D4661)),IF(G4661="",E4661,IFERROR(E4661/COUNTIF($G2:$G6000,G4661),E4661)),E4661)</f>
        <v>0</v>
      </c>
      <c r="I4661" s="1" t="str">
        <f>IFERROR(VLOOKUP(C4661,'Clients List'!A:F,6,FALSE),"")</f>
        <v/>
      </c>
    </row>
    <row r="4662" spans="4:9" x14ac:dyDescent="0.45">
      <c r="D4662" t="str">
        <f>IFERROR(VLOOKUP(C4662,'Clients List'!$A:$F,2,FALSE),"")</f>
        <v/>
      </c>
      <c r="F4662" s="1" t="str">
        <f>IF(OR(C4662="",NOT(ISNUMBER(SEARCH("Package",D4662)))),"",VLOOKUP(C4662,'Clients List'!$A:$F,4,FALSE)-SUMIFS($E$2:$E4662,$C$2:$C4662,C4662,$D$2:$D4662,"*Package*"))</f>
        <v/>
      </c>
      <c r="G4662" t="str">
        <f t="shared" si="106"/>
        <v/>
      </c>
      <c r="H4662" s="33">
        <f>IF(ISNUMBER(SEARCH("Group",D4662)),IF(G4662="",E4662,IFERROR(E4662/COUNTIF($G2:$G6000,G4662),E4662)),E4662)</f>
        <v>0</v>
      </c>
      <c r="I4662" s="1" t="str">
        <f>IFERROR(VLOOKUP(C4662,'Clients List'!A:F,6,FALSE),"")</f>
        <v/>
      </c>
    </row>
    <row r="4663" spans="4:9" x14ac:dyDescent="0.45">
      <c r="D4663" t="str">
        <f>IFERROR(VLOOKUP(C4663,'Clients List'!$A:$F,2,FALSE),"")</f>
        <v/>
      </c>
      <c r="F4663" s="1" t="str">
        <f>IF(OR(C4663="",NOT(ISNUMBER(SEARCH("Package",D4663)))),"",VLOOKUP(C4663,'Clients List'!$A:$F,4,FALSE)-SUMIFS($E$2:$E4663,$C$2:$C4663,C4663,$D$2:$D4663,"*Package*"))</f>
        <v/>
      </c>
      <c r="G4663" t="str">
        <f t="shared" si="106"/>
        <v/>
      </c>
      <c r="H4663" s="33">
        <f>IF(ISNUMBER(SEARCH("Group",D4663)),IF(G4663="",E4663,IFERROR(E4663/COUNTIF($G2:$G6000,G4663),E4663)),E4663)</f>
        <v>0</v>
      </c>
      <c r="I4663" s="1" t="str">
        <f>IFERROR(VLOOKUP(C4663,'Clients List'!A:F,6,FALSE),"")</f>
        <v/>
      </c>
    </row>
    <row r="4664" spans="4:9" x14ac:dyDescent="0.45">
      <c r="D4664" t="str">
        <f>IFERROR(VLOOKUP(C4664,'Clients List'!$A:$F,2,FALSE),"")</f>
        <v/>
      </c>
      <c r="F4664" s="1" t="str">
        <f>IF(OR(C4664="",NOT(ISNUMBER(SEARCH("Package",D4664)))),"",VLOOKUP(C4664,'Clients List'!$A:$F,4,FALSE)-SUMIFS($E$2:$E4664,$C$2:$C4664,C4664,$D$2:$D4664,"*Package*"))</f>
        <v/>
      </c>
      <c r="G4664" t="str">
        <f t="shared" si="106"/>
        <v/>
      </c>
      <c r="H4664" s="33">
        <f>IF(ISNUMBER(SEARCH("Group",D4664)),IF(G4664="",E4664,IFERROR(E4664/COUNTIF($G2:$G6000,G4664),E4664)),E4664)</f>
        <v>0</v>
      </c>
      <c r="I4664" s="1" t="str">
        <f>IFERROR(VLOOKUP(C4664,'Clients List'!A:F,6,FALSE),"")</f>
        <v/>
      </c>
    </row>
    <row r="4665" spans="4:9" x14ac:dyDescent="0.45">
      <c r="D4665" t="str">
        <f>IFERROR(VLOOKUP(C4665,'Clients List'!$A:$F,2,FALSE),"")</f>
        <v/>
      </c>
      <c r="F4665" s="1" t="str">
        <f>IF(OR(C4665="",NOT(ISNUMBER(SEARCH("Package",D4665)))),"",VLOOKUP(C4665,'Clients List'!$A:$F,4,FALSE)-SUMIFS($E$2:$E4665,$C$2:$C4665,C4665,$D$2:$D4665,"*Package*"))</f>
        <v/>
      </c>
      <c r="G4665" t="str">
        <f t="shared" si="106"/>
        <v/>
      </c>
      <c r="H4665" s="33">
        <f>IF(ISNUMBER(SEARCH("Group",D4665)),IF(G4665="",E4665,IFERROR(E4665/COUNTIF($G2:$G6000,G4665),E4665)),E4665)</f>
        <v>0</v>
      </c>
      <c r="I4665" s="1" t="str">
        <f>IFERROR(VLOOKUP(C4665,'Clients List'!A:F,6,FALSE),"")</f>
        <v/>
      </c>
    </row>
    <row r="4666" spans="4:9" x14ac:dyDescent="0.45">
      <c r="D4666" t="str">
        <f>IFERROR(VLOOKUP(C4666,'Clients List'!$A:$F,2,FALSE),"")</f>
        <v/>
      </c>
      <c r="F4666" s="1" t="str">
        <f>IF(OR(C4666="",NOT(ISNUMBER(SEARCH("Package",D4666)))),"",VLOOKUP(C4666,'Clients List'!$A:$F,4,FALSE)-SUMIFS($E$2:$E4666,$C$2:$C4666,C4666,$D$2:$D4666,"*Package*"))</f>
        <v/>
      </c>
      <c r="G4666" t="str">
        <f t="shared" si="106"/>
        <v/>
      </c>
      <c r="H4666" s="33">
        <f>IF(ISNUMBER(SEARCH("Group",D4666)),IF(G4666="",E4666,IFERROR(E4666/COUNTIF($G2:$G6000,G4666),E4666)),E4666)</f>
        <v>0</v>
      </c>
      <c r="I4666" s="1" t="str">
        <f>IFERROR(VLOOKUP(C4666,'Clients List'!A:F,6,FALSE),"")</f>
        <v/>
      </c>
    </row>
    <row r="4667" spans="4:9" x14ac:dyDescent="0.45">
      <c r="D4667" t="str">
        <f>IFERROR(VLOOKUP(C4667,'Clients List'!$A:$F,2,FALSE),"")</f>
        <v/>
      </c>
      <c r="F4667" s="1" t="str">
        <f>IF(OR(C4667="",NOT(ISNUMBER(SEARCH("Package",D4667)))),"",VLOOKUP(C4667,'Clients List'!$A:$F,4,FALSE)-SUMIFS($E$2:$E4667,$C$2:$C4667,C4667,$D$2:$D4667,"*Package*"))</f>
        <v/>
      </c>
      <c r="G4667" t="str">
        <f t="shared" si="106"/>
        <v/>
      </c>
      <c r="H4667" s="33">
        <f>IF(ISNUMBER(SEARCH("Group",D4667)),IF(G4667="",E4667,IFERROR(E4667/COUNTIF($G2:$G6000,G4667),E4667)),E4667)</f>
        <v>0</v>
      </c>
      <c r="I4667" s="1" t="str">
        <f>IFERROR(VLOOKUP(C4667,'Clients List'!A:F,6,FALSE),"")</f>
        <v/>
      </c>
    </row>
    <row r="4668" spans="4:9" x14ac:dyDescent="0.45">
      <c r="D4668" t="str">
        <f>IFERROR(VLOOKUP(C4668,'Clients List'!$A:$F,2,FALSE),"")</f>
        <v/>
      </c>
      <c r="F4668" s="1" t="str">
        <f>IF(OR(C4668="",NOT(ISNUMBER(SEARCH("Package",D4668)))),"",VLOOKUP(C4668,'Clients List'!$A:$F,4,FALSE)-SUMIFS($E$2:$E4668,$C$2:$C4668,C4668,$D$2:$D4668,"*Package*"))</f>
        <v/>
      </c>
      <c r="G4668" t="str">
        <f t="shared" si="106"/>
        <v/>
      </c>
      <c r="H4668" s="33">
        <f>IF(ISNUMBER(SEARCH("Group",D4668)),IF(G4668="",E4668,IFERROR(E4668/COUNTIF($G2:$G6000,G4668),E4668)),E4668)</f>
        <v>0</v>
      </c>
      <c r="I4668" s="1" t="str">
        <f>IFERROR(VLOOKUP(C4668,'Clients List'!A:F,6,FALSE),"")</f>
        <v/>
      </c>
    </row>
    <row r="4669" spans="4:9" x14ac:dyDescent="0.45">
      <c r="D4669" t="str">
        <f>IFERROR(VLOOKUP(C4669,'Clients List'!$A:$F,2,FALSE),"")</f>
        <v/>
      </c>
      <c r="F4669" s="1" t="str">
        <f>IF(OR(C4669="",NOT(ISNUMBER(SEARCH("Package",D4669)))),"",VLOOKUP(C4669,'Clients List'!$A:$F,4,FALSE)-SUMIFS($E$2:$E4669,$C$2:$C4669,C4669,$D$2:$D4669,"*Package*"))</f>
        <v/>
      </c>
      <c r="G4669" t="str">
        <f t="shared" si="106"/>
        <v/>
      </c>
      <c r="H4669" s="33">
        <f>IF(ISNUMBER(SEARCH("Group",D4669)),IF(G4669="",E4669,IFERROR(E4669/COUNTIF($G2:$G6000,G4669),E4669)),E4669)</f>
        <v>0</v>
      </c>
      <c r="I4669" s="1" t="str">
        <f>IFERROR(VLOOKUP(C4669,'Clients List'!A:F,6,FALSE),"")</f>
        <v/>
      </c>
    </row>
    <row r="4670" spans="4:9" x14ac:dyDescent="0.45">
      <c r="D4670" t="str">
        <f>IFERROR(VLOOKUP(C4670,'Clients List'!$A:$F,2,FALSE),"")</f>
        <v/>
      </c>
      <c r="F4670" s="1" t="str">
        <f>IF(OR(C4670="",NOT(ISNUMBER(SEARCH("Package",D4670)))),"",VLOOKUP(C4670,'Clients List'!$A:$F,4,FALSE)-SUMIFS($E$2:$E4670,$C$2:$C4670,C4670,$D$2:$D4670,"*Package*"))</f>
        <v/>
      </c>
      <c r="G4670" t="str">
        <f t="shared" si="106"/>
        <v/>
      </c>
      <c r="H4670" s="33">
        <f>IF(ISNUMBER(SEARCH("Group",D4670)),IF(G4670="",E4670,IFERROR(E4670/COUNTIF($G2:$G6000,G4670),E4670)),E4670)</f>
        <v>0</v>
      </c>
      <c r="I4670" s="1" t="str">
        <f>IFERROR(VLOOKUP(C4670,'Clients List'!A:F,6,FALSE),"")</f>
        <v/>
      </c>
    </row>
    <row r="4671" spans="4:9" x14ac:dyDescent="0.45">
      <c r="D4671" t="str">
        <f>IFERROR(VLOOKUP(C4671,'Clients List'!$A:$F,2,FALSE),"")</f>
        <v/>
      </c>
      <c r="F4671" s="1" t="str">
        <f>IF(OR(C4671="",NOT(ISNUMBER(SEARCH("Package",D4671)))),"",VLOOKUP(C4671,'Clients List'!$A:$F,4,FALSE)-SUMIFS($E$2:$E4671,$C$2:$C4671,C4671,$D$2:$D4671,"*Package*"))</f>
        <v/>
      </c>
      <c r="G4671" t="str">
        <f t="shared" si="106"/>
        <v/>
      </c>
      <c r="H4671" s="33">
        <f>IF(ISNUMBER(SEARCH("Group",D4671)),IF(G4671="",E4671,IFERROR(E4671/COUNTIF($G2:$G6000,G4671),E4671)),E4671)</f>
        <v>0</v>
      </c>
      <c r="I4671" s="1" t="str">
        <f>IFERROR(VLOOKUP(C4671,'Clients List'!A:F,6,FALSE),"")</f>
        <v/>
      </c>
    </row>
    <row r="4672" spans="4:9" x14ac:dyDescent="0.45">
      <c r="D4672" t="str">
        <f>IFERROR(VLOOKUP(C4672,'Clients List'!$A:$F,2,FALSE),"")</f>
        <v/>
      </c>
      <c r="F4672" s="1" t="str">
        <f>IF(OR(C4672="",NOT(ISNUMBER(SEARCH("Package",D4672)))),"",VLOOKUP(C4672,'Clients List'!$A:$F,4,FALSE)-SUMIFS($E$2:$E4672,$C$2:$C4672,C4672,$D$2:$D4672,"*Package*"))</f>
        <v/>
      </c>
      <c r="G4672" t="str">
        <f t="shared" si="106"/>
        <v/>
      </c>
      <c r="H4672" s="33">
        <f>IF(ISNUMBER(SEARCH("Group",D4672)),IF(G4672="",E4672,IFERROR(E4672/COUNTIF($G2:$G6000,G4672),E4672)),E4672)</f>
        <v>0</v>
      </c>
      <c r="I4672" s="1" t="str">
        <f>IFERROR(VLOOKUP(C4672,'Clients List'!A:F,6,FALSE),"")</f>
        <v/>
      </c>
    </row>
    <row r="4673" spans="4:9" x14ac:dyDescent="0.45">
      <c r="D4673" t="str">
        <f>IFERROR(VLOOKUP(C4673,'Clients List'!$A:$F,2,FALSE),"")</f>
        <v/>
      </c>
      <c r="F4673" s="1" t="str">
        <f>IF(OR(C4673="",NOT(ISNUMBER(SEARCH("Package",D4673)))),"",VLOOKUP(C4673,'Clients List'!$A:$F,4,FALSE)-SUMIFS($E$2:$E4673,$C$2:$C4673,C4673,$D$2:$D4673,"*Package*"))</f>
        <v/>
      </c>
      <c r="G4673" t="str">
        <f t="shared" si="106"/>
        <v/>
      </c>
      <c r="H4673" s="33">
        <f>IF(ISNUMBER(SEARCH("Group",D4673)),IF(G4673="",E4673,IFERROR(E4673/COUNTIF($G2:$G6000,G4673),E4673)),E4673)</f>
        <v>0</v>
      </c>
      <c r="I4673" s="1" t="str">
        <f>IFERROR(VLOOKUP(C4673,'Clients List'!A:F,6,FALSE),"")</f>
        <v/>
      </c>
    </row>
    <row r="4674" spans="4:9" x14ac:dyDescent="0.45">
      <c r="D4674" t="str">
        <f>IFERROR(VLOOKUP(C4674,'Clients List'!$A:$F,2,FALSE),"")</f>
        <v/>
      </c>
      <c r="F4674" s="1" t="str">
        <f>IF(OR(C4674="",NOT(ISNUMBER(SEARCH("Package",D4674)))),"",VLOOKUP(C4674,'Clients List'!$A:$F,4,FALSE)-SUMIFS($E$2:$E4674,$C$2:$C4674,C4674,$D$2:$D4674,"*Package*"))</f>
        <v/>
      </c>
      <c r="G4674" t="str">
        <f t="shared" si="106"/>
        <v/>
      </c>
      <c r="H4674" s="33">
        <f>IF(ISNUMBER(SEARCH("Group",D4674)),IF(G4674="",E4674,IFERROR(E4674/COUNTIF($G2:$G6000,G4674),E4674)),E4674)</f>
        <v>0</v>
      </c>
      <c r="I4674" s="1" t="str">
        <f>IFERROR(VLOOKUP(C4674,'Clients List'!A:F,6,FALSE),"")</f>
        <v/>
      </c>
    </row>
    <row r="4675" spans="4:9" x14ac:dyDescent="0.45">
      <c r="D4675" t="str">
        <f>IFERROR(VLOOKUP(C4675,'Clients List'!$A:$F,2,FALSE),"")</f>
        <v/>
      </c>
      <c r="F4675" s="1" t="str">
        <f>IF(OR(C4675="",NOT(ISNUMBER(SEARCH("Package",D4675)))),"",VLOOKUP(C4675,'Clients List'!$A:$F,4,FALSE)-SUMIFS($E$2:$E4675,$C$2:$C4675,C4675,$D$2:$D4675,"*Package*"))</f>
        <v/>
      </c>
      <c r="G4675" t="str">
        <f t="shared" si="106"/>
        <v/>
      </c>
      <c r="H4675" s="33">
        <f>IF(ISNUMBER(SEARCH("Group",D4675)),IF(G4675="",E4675,IFERROR(E4675/COUNTIF($G2:$G6000,G4675),E4675)),E4675)</f>
        <v>0</v>
      </c>
      <c r="I4675" s="1" t="str">
        <f>IFERROR(VLOOKUP(C4675,'Clients List'!A:F,6,FALSE),"")</f>
        <v/>
      </c>
    </row>
    <row r="4676" spans="4:9" x14ac:dyDescent="0.45">
      <c r="D4676" t="str">
        <f>IFERROR(VLOOKUP(C4676,'Clients List'!$A:$F,2,FALSE),"")</f>
        <v/>
      </c>
      <c r="F4676" s="1" t="str">
        <f>IF(OR(C4676="",NOT(ISNUMBER(SEARCH("Package",D4676)))),"",VLOOKUP(C4676,'Clients List'!$A:$F,4,FALSE)-SUMIFS($E$2:$E4676,$C$2:$C4676,C4676,$D$2:$D4676,"*Package*"))</f>
        <v/>
      </c>
      <c r="G4676" t="str">
        <f t="shared" si="106"/>
        <v/>
      </c>
      <c r="H4676" s="33">
        <f>IF(ISNUMBER(SEARCH("Group",D4676)),IF(G4676="",E4676,IFERROR(E4676/COUNTIF($G2:$G6000,G4676),E4676)),E4676)</f>
        <v>0</v>
      </c>
      <c r="I4676" s="1" t="str">
        <f>IFERROR(VLOOKUP(C4676,'Clients List'!A:F,6,FALSE),"")</f>
        <v/>
      </c>
    </row>
    <row r="4677" spans="4:9" x14ac:dyDescent="0.45">
      <c r="D4677" t="str">
        <f>IFERROR(VLOOKUP(C4677,'Clients List'!$A:$F,2,FALSE),"")</f>
        <v/>
      </c>
      <c r="F4677" s="1" t="str">
        <f>IF(OR(C4677="",NOT(ISNUMBER(SEARCH("Package",D4677)))),"",VLOOKUP(C4677,'Clients List'!$A:$F,4,FALSE)-SUMIFS($E$2:$E4677,$C$2:$C4677,C4677,$D$2:$D4677,"*Package*"))</f>
        <v/>
      </c>
      <c r="G4677" t="str">
        <f t="shared" si="106"/>
        <v/>
      </c>
      <c r="H4677" s="33">
        <f>IF(ISNUMBER(SEARCH("Group",D4677)),IF(G4677="",E4677,IFERROR(E4677/COUNTIF($G2:$G6000,G4677),E4677)),E4677)</f>
        <v>0</v>
      </c>
      <c r="I4677" s="1" t="str">
        <f>IFERROR(VLOOKUP(C4677,'Clients List'!A:F,6,FALSE),"")</f>
        <v/>
      </c>
    </row>
    <row r="4678" spans="4:9" x14ac:dyDescent="0.45">
      <c r="D4678" t="str">
        <f>IFERROR(VLOOKUP(C4678,'Clients List'!$A:$F,2,FALSE),"")</f>
        <v/>
      </c>
      <c r="F4678" s="1" t="str">
        <f>IF(OR(C4678="",NOT(ISNUMBER(SEARCH("Package",D4678)))),"",VLOOKUP(C4678,'Clients List'!$A:$F,4,FALSE)-SUMIFS($E$2:$E4678,$C$2:$C4678,C4678,$D$2:$D4678,"*Package*"))</f>
        <v/>
      </c>
      <c r="G4678" t="str">
        <f t="shared" si="106"/>
        <v/>
      </c>
      <c r="H4678" s="33">
        <f>IF(ISNUMBER(SEARCH("Group",D4678)),IF(G4678="",E4678,IFERROR(E4678/COUNTIF($G2:$G6000,G4678),E4678)),E4678)</f>
        <v>0</v>
      </c>
      <c r="I4678" s="1" t="str">
        <f>IFERROR(VLOOKUP(C4678,'Clients List'!A:F,6,FALSE),"")</f>
        <v/>
      </c>
    </row>
    <row r="4679" spans="4:9" x14ac:dyDescent="0.45">
      <c r="D4679" t="str">
        <f>IFERROR(VLOOKUP(C4679,'Clients List'!$A:$F,2,FALSE),"")</f>
        <v/>
      </c>
      <c r="F4679" s="1" t="str">
        <f>IF(OR(C4679="",NOT(ISNUMBER(SEARCH("Package",D4679)))),"",VLOOKUP(C4679,'Clients List'!$A:$F,4,FALSE)-SUMIFS($E$2:$E4679,$C$2:$C4679,C4679,$D$2:$D4679,"*Package*"))</f>
        <v/>
      </c>
      <c r="G4679" t="str">
        <f t="shared" si="106"/>
        <v/>
      </c>
      <c r="H4679" s="33">
        <f>IF(ISNUMBER(SEARCH("Group",D4679)),IF(G4679="",E4679,IFERROR(E4679/COUNTIF($G2:$G6000,G4679),E4679)),E4679)</f>
        <v>0</v>
      </c>
      <c r="I4679" s="1" t="str">
        <f>IFERROR(VLOOKUP(C4679,'Clients List'!A:F,6,FALSE),"")</f>
        <v/>
      </c>
    </row>
    <row r="4680" spans="4:9" x14ac:dyDescent="0.45">
      <c r="D4680" t="str">
        <f>IFERROR(VLOOKUP(C4680,'Clients List'!$A:$F,2,FALSE),"")</f>
        <v/>
      </c>
      <c r="F4680" s="1" t="str">
        <f>IF(OR(C4680="",NOT(ISNUMBER(SEARCH("Package",D4680)))),"",VLOOKUP(C4680,'Clients List'!$A:$F,4,FALSE)-SUMIFS($E$2:$E4680,$C$2:$C4680,C4680,$D$2:$D4680,"*Package*"))</f>
        <v/>
      </c>
      <c r="G4680" t="str">
        <f t="shared" si="106"/>
        <v/>
      </c>
      <c r="H4680" s="33">
        <f>IF(ISNUMBER(SEARCH("Group",D4680)),IF(G4680="",E4680,IFERROR(E4680/COUNTIF($G2:$G6000,G4680),E4680)),E4680)</f>
        <v>0</v>
      </c>
      <c r="I4680" s="1" t="str">
        <f>IFERROR(VLOOKUP(C4680,'Clients List'!A:F,6,FALSE),"")</f>
        <v/>
      </c>
    </row>
    <row r="4681" spans="4:9" x14ac:dyDescent="0.45">
      <c r="D4681" t="str">
        <f>IFERROR(VLOOKUP(C4681,'Clients List'!$A:$F,2,FALSE),"")</f>
        <v/>
      </c>
      <c r="F4681" s="1" t="str">
        <f>IF(OR(C4681="",NOT(ISNUMBER(SEARCH("Package",D4681)))),"",VLOOKUP(C4681,'Clients List'!$A:$F,4,FALSE)-SUMIFS($E$2:$E4681,$C$2:$C4681,C4681,$D$2:$D4681,"*Package*"))</f>
        <v/>
      </c>
      <c r="G4681" t="str">
        <f t="shared" si="106"/>
        <v/>
      </c>
      <c r="H4681" s="33">
        <f>IF(ISNUMBER(SEARCH("Group",D4681)),IF(G4681="",E4681,IFERROR(E4681/COUNTIF($G2:$G6000,G4681),E4681)),E4681)</f>
        <v>0</v>
      </c>
      <c r="I4681" s="1" t="str">
        <f>IFERROR(VLOOKUP(C4681,'Clients List'!A:F,6,FALSE),"")</f>
        <v/>
      </c>
    </row>
    <row r="4682" spans="4:9" x14ac:dyDescent="0.45">
      <c r="D4682" t="str">
        <f>IFERROR(VLOOKUP(C4682,'Clients List'!$A:$F,2,FALSE),"")</f>
        <v/>
      </c>
      <c r="F4682" s="1" t="str">
        <f>IF(OR(C4682="",NOT(ISNUMBER(SEARCH("Package",D4682)))),"",VLOOKUP(C4682,'Clients List'!$A:$F,4,FALSE)-SUMIFS($E$2:$E4682,$C$2:$C4682,C4682,$D$2:$D4682,"*Package*"))</f>
        <v/>
      </c>
      <c r="G4682" t="str">
        <f t="shared" si="106"/>
        <v/>
      </c>
      <c r="H4682" s="33">
        <f>IF(ISNUMBER(SEARCH("Group",D4682)),IF(G4682="",E4682,IFERROR(E4682/COUNTIF($G2:$G6000,G4682),E4682)),E4682)</f>
        <v>0</v>
      </c>
      <c r="I4682" s="1" t="str">
        <f>IFERROR(VLOOKUP(C4682,'Clients List'!A:F,6,FALSE),"")</f>
        <v/>
      </c>
    </row>
    <row r="4683" spans="4:9" x14ac:dyDescent="0.45">
      <c r="D4683" t="str">
        <f>IFERROR(VLOOKUP(C4683,'Clients List'!$A:$F,2,FALSE),"")</f>
        <v/>
      </c>
      <c r="F4683" s="1" t="str">
        <f>IF(OR(C4683="",NOT(ISNUMBER(SEARCH("Package",D4683)))),"",VLOOKUP(C4683,'Clients List'!$A:$F,4,FALSE)-SUMIFS($E$2:$E4683,$C$2:$C4683,C4683,$D$2:$D4683,"*Package*"))</f>
        <v/>
      </c>
      <c r="G4683" t="str">
        <f t="shared" si="106"/>
        <v/>
      </c>
      <c r="H4683" s="33">
        <f>IF(ISNUMBER(SEARCH("Group",D4683)),IF(G4683="",E4683,IFERROR(E4683/COUNTIF($G2:$G6000,G4683),E4683)),E4683)</f>
        <v>0</v>
      </c>
      <c r="I4683" s="1" t="str">
        <f>IFERROR(VLOOKUP(C4683,'Clients List'!A:F,6,FALSE),"")</f>
        <v/>
      </c>
    </row>
    <row r="4684" spans="4:9" x14ac:dyDescent="0.45">
      <c r="D4684" t="str">
        <f>IFERROR(VLOOKUP(C4684,'Clients List'!$A:$F,2,FALSE),"")</f>
        <v/>
      </c>
      <c r="F4684" s="1" t="str">
        <f>IF(OR(C4684="",NOT(ISNUMBER(SEARCH("Package",D4684)))),"",VLOOKUP(C4684,'Clients List'!$A:$F,4,FALSE)-SUMIFS($E$2:$E4684,$C$2:$C4684,C4684,$D$2:$D4684,"*Package*"))</f>
        <v/>
      </c>
      <c r="G4684" t="str">
        <f t="shared" si="106"/>
        <v/>
      </c>
      <c r="H4684" s="33">
        <f>IF(ISNUMBER(SEARCH("Group",D4684)),IF(G4684="",E4684,IFERROR(E4684/COUNTIF($G2:$G6000,G4684),E4684)),E4684)</f>
        <v>0</v>
      </c>
      <c r="I4684" s="1" t="str">
        <f>IFERROR(VLOOKUP(C4684,'Clients List'!A:F,6,FALSE),"")</f>
        <v/>
      </c>
    </row>
    <row r="4685" spans="4:9" x14ac:dyDescent="0.45">
      <c r="D4685" t="str">
        <f>IFERROR(VLOOKUP(C4685,'Clients List'!$A:$F,2,FALSE),"")</f>
        <v/>
      </c>
      <c r="F4685" s="1" t="str">
        <f>IF(OR(C4685="",NOT(ISNUMBER(SEARCH("Package",D4685)))),"",VLOOKUP(C4685,'Clients List'!$A:$F,4,FALSE)-SUMIFS($E$2:$E4685,$C$2:$C4685,C4685,$D$2:$D4685,"*Package*"))</f>
        <v/>
      </c>
      <c r="G4685" t="str">
        <f t="shared" si="106"/>
        <v/>
      </c>
      <c r="H4685" s="33">
        <f>IF(ISNUMBER(SEARCH("Group",D4685)),IF(G4685="",E4685,IFERROR(E4685/COUNTIF($G2:$G6000,G4685),E4685)),E4685)</f>
        <v>0</v>
      </c>
      <c r="I4685" s="1" t="str">
        <f>IFERROR(VLOOKUP(C4685,'Clients List'!A:F,6,FALSE),"")</f>
        <v/>
      </c>
    </row>
    <row r="4686" spans="4:9" x14ac:dyDescent="0.45">
      <c r="D4686" t="str">
        <f>IFERROR(VLOOKUP(C4686,'Clients List'!$A:$F,2,FALSE),"")</f>
        <v/>
      </c>
      <c r="F4686" s="1" t="str">
        <f>IF(OR(C4686="",NOT(ISNUMBER(SEARCH("Package",D4686)))),"",VLOOKUP(C4686,'Clients List'!$A:$F,4,FALSE)-SUMIFS($E$2:$E4686,$C$2:$C4686,C4686,$D$2:$D4686,"*Package*"))</f>
        <v/>
      </c>
      <c r="G4686" t="str">
        <f t="shared" si="106"/>
        <v/>
      </c>
      <c r="H4686" s="33">
        <f>IF(ISNUMBER(SEARCH("Group",D4686)),IF(G4686="",E4686,IFERROR(E4686/COUNTIF($G2:$G6000,G4686),E4686)),E4686)</f>
        <v>0</v>
      </c>
      <c r="I4686" s="1" t="str">
        <f>IFERROR(VLOOKUP(C4686,'Clients List'!A:F,6,FALSE),"")</f>
        <v/>
      </c>
    </row>
    <row r="4687" spans="4:9" x14ac:dyDescent="0.45">
      <c r="D4687" t="str">
        <f>IFERROR(VLOOKUP(C4687,'Clients List'!$A:$F,2,FALSE),"")</f>
        <v/>
      </c>
      <c r="F4687" s="1" t="str">
        <f>IF(OR(C4687="",NOT(ISNUMBER(SEARCH("Package",D4687)))),"",VLOOKUP(C4687,'Clients List'!$A:$F,4,FALSE)-SUMIFS($E$2:$E4687,$C$2:$C4687,C4687,$D$2:$D4687,"*Package*"))</f>
        <v/>
      </c>
      <c r="G4687" t="str">
        <f t="shared" si="106"/>
        <v/>
      </c>
      <c r="H4687" s="33">
        <f>IF(ISNUMBER(SEARCH("Group",D4687)),IF(G4687="",E4687,IFERROR(E4687/COUNTIF($G2:$G6000,G4687),E4687)),E4687)</f>
        <v>0</v>
      </c>
      <c r="I4687" s="1" t="str">
        <f>IFERROR(VLOOKUP(C4687,'Clients List'!A:F,6,FALSE),"")</f>
        <v/>
      </c>
    </row>
    <row r="4688" spans="4:9" x14ac:dyDescent="0.45">
      <c r="D4688" t="str">
        <f>IFERROR(VLOOKUP(C4688,'Clients List'!$A:$F,2,FALSE),"")</f>
        <v/>
      </c>
      <c r="F4688" s="1" t="str">
        <f>IF(OR(C4688="",NOT(ISNUMBER(SEARCH("Package",D4688)))),"",VLOOKUP(C4688,'Clients List'!$A:$F,4,FALSE)-SUMIFS($E$2:$E4688,$C$2:$C4688,C4688,$D$2:$D4688,"*Package*"))</f>
        <v/>
      </c>
      <c r="G4688" t="str">
        <f t="shared" si="106"/>
        <v/>
      </c>
      <c r="H4688" s="33">
        <f>IF(ISNUMBER(SEARCH("Group",D4688)),IF(G4688="",E4688,IFERROR(E4688/COUNTIF($G2:$G6000,G4688),E4688)),E4688)</f>
        <v>0</v>
      </c>
      <c r="I4688" s="1" t="str">
        <f>IFERROR(VLOOKUP(C4688,'Clients List'!A:F,6,FALSE),"")</f>
        <v/>
      </c>
    </row>
    <row r="4689" spans="4:9" x14ac:dyDescent="0.45">
      <c r="D4689" t="str">
        <f>IFERROR(VLOOKUP(C4689,'Clients List'!$A:$F,2,FALSE),"")</f>
        <v/>
      </c>
      <c r="F4689" s="1" t="str">
        <f>IF(OR(C4689="",NOT(ISNUMBER(SEARCH("Package",D4689)))),"",VLOOKUP(C4689,'Clients List'!$A:$F,4,FALSE)-SUMIFS($E$2:$E4689,$C$2:$C4689,C4689,$D$2:$D4689,"*Package*"))</f>
        <v/>
      </c>
      <c r="G4689" t="str">
        <f t="shared" si="106"/>
        <v/>
      </c>
      <c r="H4689" s="33">
        <f>IF(ISNUMBER(SEARCH("Group",D4689)),IF(G4689="",E4689,IFERROR(E4689/COUNTIF($G2:$G6000,G4689),E4689)),E4689)</f>
        <v>0</v>
      </c>
      <c r="I4689" s="1" t="str">
        <f>IFERROR(VLOOKUP(C4689,'Clients List'!A:F,6,FALSE),"")</f>
        <v/>
      </c>
    </row>
    <row r="4690" spans="4:9" x14ac:dyDescent="0.45">
      <c r="D4690" t="str">
        <f>IFERROR(VLOOKUP(C4690,'Clients List'!$A:$F,2,FALSE),"")</f>
        <v/>
      </c>
      <c r="F4690" s="1" t="str">
        <f>IF(OR(C4690="",NOT(ISNUMBER(SEARCH("Package",D4690)))),"",VLOOKUP(C4690,'Clients List'!$A:$F,4,FALSE)-SUMIFS($E$2:$E4690,$C$2:$C4690,C4690,$D$2:$D4690,"*Package*"))</f>
        <v/>
      </c>
      <c r="G4690" t="str">
        <f t="shared" si="106"/>
        <v/>
      </c>
      <c r="H4690" s="33">
        <f>IF(ISNUMBER(SEARCH("Group",D4690)),IF(G4690="",E4690,IFERROR(E4690/COUNTIF($G2:$G6000,G4690),E4690)),E4690)</f>
        <v>0</v>
      </c>
      <c r="I4690" s="1" t="str">
        <f>IFERROR(VLOOKUP(C4690,'Clients List'!A:F,6,FALSE),"")</f>
        <v/>
      </c>
    </row>
    <row r="4691" spans="4:9" x14ac:dyDescent="0.45">
      <c r="D4691" t="str">
        <f>IFERROR(VLOOKUP(C4691,'Clients List'!$A:$F,2,FALSE),"")</f>
        <v/>
      </c>
      <c r="F4691" s="1" t="str">
        <f>IF(OR(C4691="",NOT(ISNUMBER(SEARCH("Package",D4691)))),"",VLOOKUP(C4691,'Clients List'!$A:$F,4,FALSE)-SUMIFS($E$2:$E4691,$C$2:$C4691,C4691,$D$2:$D4691,"*Package*"))</f>
        <v/>
      </c>
      <c r="G4691" t="str">
        <f t="shared" si="106"/>
        <v/>
      </c>
      <c r="H4691" s="33">
        <f>IF(ISNUMBER(SEARCH("Group",D4691)),IF(G4691="",E4691,IFERROR(E4691/COUNTIF($G2:$G6000,G4691),E4691)),E4691)</f>
        <v>0</v>
      </c>
      <c r="I4691" s="1" t="str">
        <f>IFERROR(VLOOKUP(C4691,'Clients List'!A:F,6,FALSE),"")</f>
        <v/>
      </c>
    </row>
    <row r="4692" spans="4:9" x14ac:dyDescent="0.45">
      <c r="D4692" t="str">
        <f>IFERROR(VLOOKUP(C4692,'Clients List'!$A:$F,2,FALSE),"")</f>
        <v/>
      </c>
      <c r="F4692" s="1" t="str">
        <f>IF(OR(C4692="",NOT(ISNUMBER(SEARCH("Package",D4692)))),"",VLOOKUP(C4692,'Clients List'!$A:$F,4,FALSE)-SUMIFS($E$2:$E4692,$C$2:$C4692,C4692,$D$2:$D4692,"*Package*"))</f>
        <v/>
      </c>
      <c r="G4692" t="str">
        <f t="shared" si="106"/>
        <v/>
      </c>
      <c r="H4692" s="33">
        <f>IF(ISNUMBER(SEARCH("Group",D4692)),IF(G4692="",E4692,IFERROR(E4692/COUNTIF($G2:$G6000,G4692),E4692)),E4692)</f>
        <v>0</v>
      </c>
      <c r="I4692" s="1" t="str">
        <f>IFERROR(VLOOKUP(C4692,'Clients List'!A:F,6,FALSE),"")</f>
        <v/>
      </c>
    </row>
    <row r="4693" spans="4:9" x14ac:dyDescent="0.45">
      <c r="D4693" t="str">
        <f>IFERROR(VLOOKUP(C4693,'Clients List'!$A:$F,2,FALSE),"")</f>
        <v/>
      </c>
      <c r="F4693" s="1" t="str">
        <f>IF(OR(C4693="",NOT(ISNUMBER(SEARCH("Package",D4693)))),"",VLOOKUP(C4693,'Clients List'!$A:$F,4,FALSE)-SUMIFS($E$2:$E4693,$C$2:$C4693,C4693,$D$2:$D4693,"*Package*"))</f>
        <v/>
      </c>
      <c r="G4693" t="str">
        <f t="shared" si="106"/>
        <v/>
      </c>
      <c r="H4693" s="33">
        <f>IF(ISNUMBER(SEARCH("Group",D4693)),IF(G4693="",E4693,IFERROR(E4693/COUNTIF($G2:$G6000,G4693),E4693)),E4693)</f>
        <v>0</v>
      </c>
      <c r="I4693" s="1" t="str">
        <f>IFERROR(VLOOKUP(C4693,'Clients List'!A:F,6,FALSE),"")</f>
        <v/>
      </c>
    </row>
    <row r="4694" spans="4:9" x14ac:dyDescent="0.45">
      <c r="D4694" t="str">
        <f>IFERROR(VLOOKUP(C4694,'Clients List'!$A:$F,2,FALSE),"")</f>
        <v/>
      </c>
      <c r="F4694" s="1" t="str">
        <f>IF(OR(C4694="",NOT(ISNUMBER(SEARCH("Package",D4694)))),"",VLOOKUP(C4694,'Clients List'!$A:$F,4,FALSE)-SUMIFS($E$2:$E4694,$C$2:$C4694,C4694,$D$2:$D4694,"*Package*"))</f>
        <v/>
      </c>
      <c r="G4694" t="str">
        <f t="shared" si="106"/>
        <v/>
      </c>
      <c r="H4694" s="33">
        <f>IF(ISNUMBER(SEARCH("Group",D4694)),IF(G4694="",E4694,IFERROR(E4694/COUNTIF($G2:$G6000,G4694),E4694)),E4694)</f>
        <v>0</v>
      </c>
      <c r="I4694" s="1" t="str">
        <f>IFERROR(VLOOKUP(C4694,'Clients List'!A:F,6,FALSE),"")</f>
        <v/>
      </c>
    </row>
    <row r="4695" spans="4:9" x14ac:dyDescent="0.45">
      <c r="D4695" t="str">
        <f>IFERROR(VLOOKUP(C4695,'Clients List'!$A:$F,2,FALSE),"")</f>
        <v/>
      </c>
      <c r="F4695" s="1" t="str">
        <f>IF(OR(C4695="",NOT(ISNUMBER(SEARCH("Package",D4695)))),"",VLOOKUP(C4695,'Clients List'!$A:$F,4,FALSE)-SUMIFS($E$2:$E4695,$C$2:$C4695,C4695,$D$2:$D4695,"*Package*"))</f>
        <v/>
      </c>
      <c r="G4695" t="str">
        <f t="shared" si="106"/>
        <v/>
      </c>
      <c r="H4695" s="33">
        <f>IF(ISNUMBER(SEARCH("Group",D4695)),IF(G4695="",E4695,IFERROR(E4695/COUNTIF($G2:$G6000,G4695),E4695)),E4695)</f>
        <v>0</v>
      </c>
      <c r="I4695" s="1" t="str">
        <f>IFERROR(VLOOKUP(C4695,'Clients List'!A:F,6,FALSE),"")</f>
        <v/>
      </c>
    </row>
    <row r="4696" spans="4:9" x14ac:dyDescent="0.45">
      <c r="D4696" t="str">
        <f>IFERROR(VLOOKUP(C4696,'Clients List'!$A:$F,2,FALSE),"")</f>
        <v/>
      </c>
      <c r="F4696" s="1" t="str">
        <f>IF(OR(C4696="",NOT(ISNUMBER(SEARCH("Package",D4696)))),"",VLOOKUP(C4696,'Clients List'!$A:$F,4,FALSE)-SUMIFS($E$2:$E4696,$C$2:$C4696,C4696,$D$2:$D4696,"*Package*"))</f>
        <v/>
      </c>
      <c r="G4696" t="str">
        <f t="shared" si="106"/>
        <v/>
      </c>
      <c r="H4696" s="33">
        <f>IF(ISNUMBER(SEARCH("Group",D4696)),IF(G4696="",E4696,IFERROR(E4696/COUNTIF($G2:$G6000,G4696),E4696)),E4696)</f>
        <v>0</v>
      </c>
      <c r="I4696" s="1" t="str">
        <f>IFERROR(VLOOKUP(C4696,'Clients List'!A:F,6,FALSE),"")</f>
        <v/>
      </c>
    </row>
    <row r="4697" spans="4:9" x14ac:dyDescent="0.45">
      <c r="D4697" t="str">
        <f>IFERROR(VLOOKUP(C4697,'Clients List'!$A:$F,2,FALSE),"")</f>
        <v/>
      </c>
      <c r="F4697" s="1" t="str">
        <f>IF(OR(C4697="",NOT(ISNUMBER(SEARCH("Package",D4697)))),"",VLOOKUP(C4697,'Clients List'!$A:$F,4,FALSE)-SUMIFS($E$2:$E4697,$C$2:$C4697,C4697,$D$2:$D4697,"*Package*"))</f>
        <v/>
      </c>
      <c r="G4697" t="str">
        <f t="shared" si="106"/>
        <v/>
      </c>
      <c r="H4697" s="33">
        <f>IF(ISNUMBER(SEARCH("Group",D4697)),IF(G4697="",E4697,IFERROR(E4697/COUNTIF($G2:$G6000,G4697),E4697)),E4697)</f>
        <v>0</v>
      </c>
      <c r="I4697" s="1" t="str">
        <f>IFERROR(VLOOKUP(C4697,'Clients List'!A:F,6,FALSE),"")</f>
        <v/>
      </c>
    </row>
    <row r="4698" spans="4:9" x14ac:dyDescent="0.45">
      <c r="D4698" t="str">
        <f>IFERROR(VLOOKUP(C4698,'Clients List'!$A:$F,2,FALSE),"")</f>
        <v/>
      </c>
      <c r="F4698" s="1" t="str">
        <f>IF(OR(C4698="",NOT(ISNUMBER(SEARCH("Package",D4698)))),"",VLOOKUP(C4698,'Clients List'!$A:$F,4,FALSE)-SUMIFS($E$2:$E4698,$C$2:$C4698,C4698,$D$2:$D4698,"*Package*"))</f>
        <v/>
      </c>
      <c r="G4698" t="str">
        <f t="shared" si="106"/>
        <v/>
      </c>
      <c r="H4698" s="33">
        <f>IF(ISNUMBER(SEARCH("Group",D4698)),IF(G4698="",E4698,IFERROR(E4698/COUNTIF($G2:$G6000,G4698),E4698)),E4698)</f>
        <v>0</v>
      </c>
      <c r="I4698" s="1" t="str">
        <f>IFERROR(VLOOKUP(C4698,'Clients List'!A:F,6,FALSE),"")</f>
        <v/>
      </c>
    </row>
    <row r="4699" spans="4:9" x14ac:dyDescent="0.45">
      <c r="D4699" t="str">
        <f>IFERROR(VLOOKUP(C4699,'Clients List'!$A:$F,2,FALSE),"")</f>
        <v/>
      </c>
      <c r="F4699" s="1" t="str">
        <f>IF(OR(C4699="",NOT(ISNUMBER(SEARCH("Package",D4699)))),"",VLOOKUP(C4699,'Clients List'!$A:$F,4,FALSE)-SUMIFS($E$2:$E4699,$C$2:$C4699,C4699,$D$2:$D4699,"*Package*"))</f>
        <v/>
      </c>
      <c r="G4699" t="str">
        <f t="shared" si="106"/>
        <v/>
      </c>
      <c r="H4699" s="33">
        <f>IF(ISNUMBER(SEARCH("Group",D4699)),IF(G4699="",E4699,IFERROR(E4699/COUNTIF($G2:$G6000,G4699),E4699)),E4699)</f>
        <v>0</v>
      </c>
      <c r="I4699" s="1" t="str">
        <f>IFERROR(VLOOKUP(C4699,'Clients List'!A:F,6,FALSE),"")</f>
        <v/>
      </c>
    </row>
    <row r="4700" spans="4:9" x14ac:dyDescent="0.45">
      <c r="D4700" t="str">
        <f>IFERROR(VLOOKUP(C4700,'Clients List'!$A:$F,2,FALSE),"")</f>
        <v/>
      </c>
      <c r="F4700" s="1" t="str">
        <f>IF(OR(C4700="",NOT(ISNUMBER(SEARCH("Package",D4700)))),"",VLOOKUP(C4700,'Clients List'!$A:$F,4,FALSE)-SUMIFS($E$2:$E4700,$C$2:$C4700,C4700,$D$2:$D4700,"*Package*"))</f>
        <v/>
      </c>
      <c r="G4700" t="str">
        <f t="shared" si="106"/>
        <v/>
      </c>
      <c r="H4700" s="33">
        <f>IF(ISNUMBER(SEARCH("Group",D4700)),IF(G4700="",E4700,IFERROR(E4700/COUNTIF($G2:$G6000,G4700),E4700)),E4700)</f>
        <v>0</v>
      </c>
      <c r="I4700" s="1" t="str">
        <f>IFERROR(VLOOKUP(C4700,'Clients List'!A:F,6,FALSE),"")</f>
        <v/>
      </c>
    </row>
    <row r="4701" spans="4:9" x14ac:dyDescent="0.45">
      <c r="D4701" t="str">
        <f>IFERROR(VLOOKUP(C4701,'Clients List'!$A:$F,2,FALSE),"")</f>
        <v/>
      </c>
      <c r="F4701" s="1" t="str">
        <f>IF(OR(C4701="",NOT(ISNUMBER(SEARCH("Package",D4701)))),"",VLOOKUP(C4701,'Clients List'!$A:$F,4,FALSE)-SUMIFS($E$2:$E4701,$C$2:$C4701,C4701,$D$2:$D4701,"*Package*"))</f>
        <v/>
      </c>
      <c r="G4701" t="str">
        <f t="shared" si="106"/>
        <v/>
      </c>
      <c r="H4701" s="33">
        <f>IF(ISNUMBER(SEARCH("Group",D4701)),IF(G4701="",E4701,IFERROR(E4701/COUNTIF($G2:$G6000,G4701),E4701)),E4701)</f>
        <v>0</v>
      </c>
      <c r="I4701" s="1" t="str">
        <f>IFERROR(VLOOKUP(C4701,'Clients List'!A:F,6,FALSE),"")</f>
        <v/>
      </c>
    </row>
    <row r="4702" spans="4:9" x14ac:dyDescent="0.45">
      <c r="D4702" t="str">
        <f>IFERROR(VLOOKUP(C4702,'Clients List'!$A:$F,2,FALSE),"")</f>
        <v/>
      </c>
      <c r="F4702" s="1" t="str">
        <f>IF(OR(C4702="",NOT(ISNUMBER(SEARCH("Package",D4702)))),"",VLOOKUP(C4702,'Clients List'!$A:$F,4,FALSE)-SUMIFS($E$2:$E4702,$C$2:$C4702,C4702,$D$2:$D4702,"*Package*"))</f>
        <v/>
      </c>
      <c r="G4702" t="str">
        <f t="shared" si="106"/>
        <v/>
      </c>
      <c r="H4702" s="33">
        <f>IF(ISNUMBER(SEARCH("Group",D4702)),IF(G4702="",E4702,IFERROR(E4702/COUNTIF($G2:$G6000,G4702),E4702)),E4702)</f>
        <v>0</v>
      </c>
      <c r="I4702" s="1" t="str">
        <f>IFERROR(VLOOKUP(C4702,'Clients List'!A:F,6,FALSE),"")</f>
        <v/>
      </c>
    </row>
    <row r="4703" spans="4:9" x14ac:dyDescent="0.45">
      <c r="D4703" t="str">
        <f>IFERROR(VLOOKUP(C4703,'Clients List'!$A:$F,2,FALSE),"")</f>
        <v/>
      </c>
      <c r="F4703" s="1" t="str">
        <f>IF(OR(C4703="",NOT(ISNUMBER(SEARCH("Package",D4703)))),"",VLOOKUP(C4703,'Clients List'!$A:$F,4,FALSE)-SUMIFS($E$2:$E4703,$C$2:$C4703,C4703,$D$2:$D4703,"*Package*"))</f>
        <v/>
      </c>
      <c r="G4703" t="str">
        <f t="shared" si="106"/>
        <v/>
      </c>
      <c r="H4703" s="33">
        <f>IF(ISNUMBER(SEARCH("Group",D4703)),IF(G4703="",E4703,IFERROR(E4703/COUNTIF($G2:$G6000,G4703),E4703)),E4703)</f>
        <v>0</v>
      </c>
      <c r="I4703" s="1" t="str">
        <f>IFERROR(VLOOKUP(C4703,'Clients List'!A:F,6,FALSE),"")</f>
        <v/>
      </c>
    </row>
    <row r="4704" spans="4:9" x14ac:dyDescent="0.45">
      <c r="D4704" t="str">
        <f>IFERROR(VLOOKUP(C4704,'Clients List'!$A:$F,2,FALSE),"")</f>
        <v/>
      </c>
      <c r="F4704" s="1" t="str">
        <f>IF(OR(C4704="",NOT(ISNUMBER(SEARCH("Package",D4704)))),"",VLOOKUP(C4704,'Clients List'!$A:$F,4,FALSE)-SUMIFS($E$2:$E4704,$C$2:$C4704,C4704,$D$2:$D4704,"*Package*"))</f>
        <v/>
      </c>
      <c r="G4704" t="str">
        <f t="shared" si="106"/>
        <v/>
      </c>
      <c r="H4704" s="33">
        <f>IF(ISNUMBER(SEARCH("Group",D4704)),IF(G4704="",E4704,IFERROR(E4704/COUNTIF($G2:$G6000,G4704),E4704)),E4704)</f>
        <v>0</v>
      </c>
      <c r="I4704" s="1" t="str">
        <f>IFERROR(VLOOKUP(C4704,'Clients List'!A:F,6,FALSE),"")</f>
        <v/>
      </c>
    </row>
    <row r="4705" spans="4:9" x14ac:dyDescent="0.45">
      <c r="D4705" t="str">
        <f>IFERROR(VLOOKUP(C4705,'Clients List'!$A:$F,2,FALSE),"")</f>
        <v/>
      </c>
      <c r="F4705" s="1" t="str">
        <f>IF(OR(C4705="",NOT(ISNUMBER(SEARCH("Package",D4705)))),"",VLOOKUP(C4705,'Clients List'!$A:$F,4,FALSE)-SUMIFS($E$2:$E4705,$C$2:$C4705,C4705,$D$2:$D4705,"*Package*"))</f>
        <v/>
      </c>
      <c r="G4705" t="str">
        <f t="shared" si="106"/>
        <v/>
      </c>
      <c r="H4705" s="33">
        <f>IF(ISNUMBER(SEARCH("Group",D4705)),IF(G4705="",E4705,IFERROR(E4705/COUNTIF($G2:$G6000,G4705),E4705)),E4705)</f>
        <v>0</v>
      </c>
      <c r="I4705" s="1" t="str">
        <f>IFERROR(VLOOKUP(C4705,'Clients List'!A:F,6,FALSE),"")</f>
        <v/>
      </c>
    </row>
    <row r="4706" spans="4:9" x14ac:dyDescent="0.45">
      <c r="D4706" t="str">
        <f>IFERROR(VLOOKUP(C4706,'Clients List'!$A:$F,2,FALSE),"")</f>
        <v/>
      </c>
      <c r="F4706" s="1" t="str">
        <f>IF(OR(C4706="",NOT(ISNUMBER(SEARCH("Package",D4706)))),"",VLOOKUP(C4706,'Clients List'!$A:$F,4,FALSE)-SUMIFS($E$2:$E4706,$C$2:$C4706,C4706,$D$2:$D4706,"*Package*"))</f>
        <v/>
      </c>
      <c r="G4706" t="str">
        <f t="shared" si="106"/>
        <v/>
      </c>
      <c r="H4706" s="33">
        <f>IF(ISNUMBER(SEARCH("Group",D4706)),IF(G4706="",E4706,IFERROR(E4706/COUNTIF($G2:$G6000,G4706),E4706)),E4706)</f>
        <v>0</v>
      </c>
      <c r="I4706" s="1" t="str">
        <f>IFERROR(VLOOKUP(C4706,'Clients List'!A:F,6,FALSE),"")</f>
        <v/>
      </c>
    </row>
    <row r="4707" spans="4:9" x14ac:dyDescent="0.45">
      <c r="D4707" t="str">
        <f>IFERROR(VLOOKUP(C4707,'Clients List'!$A:$F,2,FALSE),"")</f>
        <v/>
      </c>
      <c r="F4707" s="1" t="str">
        <f>IF(OR(C4707="",NOT(ISNUMBER(SEARCH("Package",D4707)))),"",VLOOKUP(C4707,'Clients List'!$A:$F,4,FALSE)-SUMIFS($E$2:$E4707,$C$2:$C4707,C4707,$D$2:$D4707,"*Package*"))</f>
        <v/>
      </c>
      <c r="G4707" t="str">
        <f t="shared" si="106"/>
        <v/>
      </c>
      <c r="H4707" s="33">
        <f>IF(ISNUMBER(SEARCH("Group",D4707)),IF(G4707="",E4707,IFERROR(E4707/COUNTIF($G2:$G6000,G4707),E4707)),E4707)</f>
        <v>0</v>
      </c>
      <c r="I4707" s="1" t="str">
        <f>IFERROR(VLOOKUP(C4707,'Clients List'!A:F,6,FALSE),"")</f>
        <v/>
      </c>
    </row>
    <row r="4708" spans="4:9" x14ac:dyDescent="0.45">
      <c r="D4708" t="str">
        <f>IFERROR(VLOOKUP(C4708,'Clients List'!$A:$F,2,FALSE),"")</f>
        <v/>
      </c>
      <c r="F4708" s="1" t="str">
        <f>IF(OR(C4708="",NOT(ISNUMBER(SEARCH("Package",D4708)))),"",VLOOKUP(C4708,'Clients List'!$A:$F,4,FALSE)-SUMIFS($E$2:$E4708,$C$2:$C4708,C4708,$D$2:$D4708,"*Package*"))</f>
        <v/>
      </c>
      <c r="G4708" t="str">
        <f t="shared" si="106"/>
        <v/>
      </c>
      <c r="H4708" s="33">
        <f>IF(ISNUMBER(SEARCH("Group",D4708)),IF(G4708="",E4708,IFERROR(E4708/COUNTIF($G2:$G6000,G4708),E4708)),E4708)</f>
        <v>0</v>
      </c>
      <c r="I4708" s="1" t="str">
        <f>IFERROR(VLOOKUP(C4708,'Clients List'!A:F,6,FALSE),"")</f>
        <v/>
      </c>
    </row>
    <row r="4709" spans="4:9" x14ac:dyDescent="0.45">
      <c r="D4709" t="str">
        <f>IFERROR(VLOOKUP(C4709,'Clients List'!$A:$F,2,FALSE),"")</f>
        <v/>
      </c>
      <c r="F4709" s="1" t="str">
        <f>IF(OR(C4709="",NOT(ISNUMBER(SEARCH("Package",D4709)))),"",VLOOKUP(C4709,'Clients List'!$A:$F,4,FALSE)-SUMIFS($E$2:$E4709,$C$2:$C4709,C4709,$D$2:$D4709,"*Package*"))</f>
        <v/>
      </c>
      <c r="G4709" t="str">
        <f t="shared" si="106"/>
        <v/>
      </c>
      <c r="H4709" s="33">
        <f>IF(ISNUMBER(SEARCH("Group",D4709)),IF(G4709="",E4709,IFERROR(E4709/COUNTIF($G2:$G6000,G4709),E4709)),E4709)</f>
        <v>0</v>
      </c>
      <c r="I4709" s="1" t="str">
        <f>IFERROR(VLOOKUP(C4709,'Clients List'!A:F,6,FALSE),"")</f>
        <v/>
      </c>
    </row>
    <row r="4710" spans="4:9" x14ac:dyDescent="0.45">
      <c r="D4710" t="str">
        <f>IFERROR(VLOOKUP(C4710,'Clients List'!$A:$F,2,FALSE),"")</f>
        <v/>
      </c>
      <c r="F4710" s="1" t="str">
        <f>IF(OR(C4710="",NOT(ISNUMBER(SEARCH("Package",D4710)))),"",VLOOKUP(C4710,'Clients List'!$A:$F,4,FALSE)-SUMIFS($E$2:$E4710,$C$2:$C4710,C4710,$D$2:$D4710,"*Package*"))</f>
        <v/>
      </c>
      <c r="G4710" t="str">
        <f t="shared" si="106"/>
        <v/>
      </c>
      <c r="H4710" s="33">
        <f>IF(ISNUMBER(SEARCH("Group",D4710)),IF(G4710="",E4710,IFERROR(E4710/COUNTIF($G2:$G6000,G4710),E4710)),E4710)</f>
        <v>0</v>
      </c>
      <c r="I4710" s="1" t="str">
        <f>IFERROR(VLOOKUP(C4710,'Clients List'!A:F,6,FALSE),"")</f>
        <v/>
      </c>
    </row>
    <row r="4711" spans="4:9" x14ac:dyDescent="0.45">
      <c r="D4711" t="str">
        <f>IFERROR(VLOOKUP(C4711,'Clients List'!$A:$F,2,FALSE),"")</f>
        <v/>
      </c>
      <c r="F4711" s="1" t="str">
        <f>IF(OR(C4711="",NOT(ISNUMBER(SEARCH("Package",D4711)))),"",VLOOKUP(C4711,'Clients List'!$A:$F,4,FALSE)-SUMIFS($E$2:$E4711,$C$2:$C4711,C4711,$D$2:$D4711,"*Package*"))</f>
        <v/>
      </c>
      <c r="G4711" t="str">
        <f t="shared" si="106"/>
        <v/>
      </c>
      <c r="H4711" s="33">
        <f>IF(ISNUMBER(SEARCH("Group",D4711)),IF(G4711="",E4711,IFERROR(E4711/COUNTIF($G2:$G6000,G4711),E4711)),E4711)</f>
        <v>0</v>
      </c>
      <c r="I4711" s="1" t="str">
        <f>IFERROR(VLOOKUP(C4711,'Clients List'!A:F,6,FALSE),"")</f>
        <v/>
      </c>
    </row>
    <row r="4712" spans="4:9" x14ac:dyDescent="0.45">
      <c r="D4712" t="str">
        <f>IFERROR(VLOOKUP(C4712,'Clients List'!$A:$F,2,FALSE),"")</f>
        <v/>
      </c>
      <c r="F4712" s="1" t="str">
        <f>IF(OR(C4712="",NOT(ISNUMBER(SEARCH("Package",D4712)))),"",VLOOKUP(C4712,'Clients List'!$A:$F,4,FALSE)-SUMIFS($E$2:$E4712,$C$2:$C4712,C4712,$D$2:$D4712,"*Package*"))</f>
        <v/>
      </c>
      <c r="G4712" t="str">
        <f t="shared" si="106"/>
        <v/>
      </c>
      <c r="H4712" s="33">
        <f>IF(ISNUMBER(SEARCH("Group",D4712)),IF(G4712="",E4712,IFERROR(E4712/COUNTIF($G2:$G6000,G4712),E4712)),E4712)</f>
        <v>0</v>
      </c>
      <c r="I4712" s="1" t="str">
        <f>IFERROR(VLOOKUP(C4712,'Clients List'!A:F,6,FALSE),"")</f>
        <v/>
      </c>
    </row>
    <row r="4713" spans="4:9" x14ac:dyDescent="0.45">
      <c r="D4713" t="str">
        <f>IFERROR(VLOOKUP(C4713,'Clients List'!$A:$F,2,FALSE),"")</f>
        <v/>
      </c>
      <c r="F4713" s="1" t="str">
        <f>IF(OR(C4713="",NOT(ISNUMBER(SEARCH("Package",D4713)))),"",VLOOKUP(C4713,'Clients List'!$A:$F,4,FALSE)-SUMIFS($E$2:$E4713,$C$2:$C4713,C4713,$D$2:$D4713,"*Package*"))</f>
        <v/>
      </c>
      <c r="G4713" t="str">
        <f t="shared" si="106"/>
        <v/>
      </c>
      <c r="H4713" s="33">
        <f>IF(ISNUMBER(SEARCH("Group",D4713)),IF(G4713="",E4713,IFERROR(E4713/COUNTIF($G2:$G6000,G4713),E4713)),E4713)</f>
        <v>0</v>
      </c>
      <c r="I4713" s="1" t="str">
        <f>IFERROR(VLOOKUP(C4713,'Clients List'!A:F,6,FALSE),"")</f>
        <v/>
      </c>
    </row>
    <row r="4714" spans="4:9" x14ac:dyDescent="0.45">
      <c r="D4714" t="str">
        <f>IFERROR(VLOOKUP(C4714,'Clients List'!$A:$F,2,FALSE),"")</f>
        <v/>
      </c>
      <c r="F4714" s="1" t="str">
        <f>IF(OR(C4714="",NOT(ISNUMBER(SEARCH("Package",D4714)))),"",VLOOKUP(C4714,'Clients List'!$A:$F,4,FALSE)-SUMIFS($E$2:$E4714,$C$2:$C4714,C4714,$D$2:$D4714,"*Package*"))</f>
        <v/>
      </c>
      <c r="G4714" t="str">
        <f t="shared" si="106"/>
        <v/>
      </c>
      <c r="H4714" s="33">
        <f>IF(ISNUMBER(SEARCH("Group",D4714)),IF(G4714="",E4714,IFERROR(E4714/COUNTIF($G2:$G6000,G4714),E4714)),E4714)</f>
        <v>0</v>
      </c>
      <c r="I4714" s="1" t="str">
        <f>IFERROR(VLOOKUP(C4714,'Clients List'!A:F,6,FALSE),"")</f>
        <v/>
      </c>
    </row>
    <row r="4715" spans="4:9" x14ac:dyDescent="0.45">
      <c r="D4715" t="str">
        <f>IFERROR(VLOOKUP(C4715,'Clients List'!$A:$F,2,FALSE),"")</f>
        <v/>
      </c>
      <c r="F4715" s="1" t="str">
        <f>IF(OR(C4715="",NOT(ISNUMBER(SEARCH("Package",D4715)))),"",VLOOKUP(C4715,'Clients List'!$A:$F,4,FALSE)-SUMIFS($E$2:$E4715,$C$2:$C4715,C4715,$D$2:$D4715,"*Package*"))</f>
        <v/>
      </c>
      <c r="G4715" t="str">
        <f t="shared" si="106"/>
        <v/>
      </c>
      <c r="H4715" s="33">
        <f>IF(ISNUMBER(SEARCH("Group",D4715)),IF(G4715="",E4715,IFERROR(E4715/COUNTIF($G2:$G6000,G4715),E4715)),E4715)</f>
        <v>0</v>
      </c>
      <c r="I4715" s="1" t="str">
        <f>IFERROR(VLOOKUP(C4715,'Clients List'!A:F,6,FALSE),"")</f>
        <v/>
      </c>
    </row>
    <row r="4716" spans="4:9" x14ac:dyDescent="0.45">
      <c r="D4716" t="str">
        <f>IFERROR(VLOOKUP(C4716,'Clients List'!$A:$F,2,FALSE),"")</f>
        <v/>
      </c>
      <c r="F4716" s="1" t="str">
        <f>IF(OR(C4716="",NOT(ISNUMBER(SEARCH("Package",D4716)))),"",VLOOKUP(C4716,'Clients List'!$A:$F,4,FALSE)-SUMIFS($E$2:$E4716,$C$2:$C4716,C4716,$D$2:$D4716,"*Package*"))</f>
        <v/>
      </c>
      <c r="G4716" t="str">
        <f t="shared" si="106"/>
        <v/>
      </c>
      <c r="H4716" s="33">
        <f>IF(ISNUMBER(SEARCH("Group",D4716)),IF(G4716="",E4716,IFERROR(E4716/COUNTIF($G2:$G6000,G4716),E4716)),E4716)</f>
        <v>0</v>
      </c>
      <c r="I4716" s="1" t="str">
        <f>IFERROR(VLOOKUP(C4716,'Clients List'!A:F,6,FALSE),"")</f>
        <v/>
      </c>
    </row>
    <row r="4717" spans="4:9" x14ac:dyDescent="0.45">
      <c r="D4717" t="str">
        <f>IFERROR(VLOOKUP(C4717,'Clients List'!$A:$F,2,FALSE),"")</f>
        <v/>
      </c>
      <c r="F4717" s="1" t="str">
        <f>IF(OR(C4717="",NOT(ISNUMBER(SEARCH("Package",D4717)))),"",VLOOKUP(C4717,'Clients List'!$A:$F,4,FALSE)-SUMIFS($E$2:$E4717,$C$2:$C4717,C4717,$D$2:$D4717,"*Package*"))</f>
        <v/>
      </c>
      <c r="G4717" t="str">
        <f t="shared" si="106"/>
        <v/>
      </c>
      <c r="H4717" s="33">
        <f>IF(ISNUMBER(SEARCH("Group",D4717)),IF(G4717="",E4717,IFERROR(E4717/COUNTIF($G2:$G6000,G4717),E4717)),E4717)</f>
        <v>0</v>
      </c>
      <c r="I4717" s="1" t="str">
        <f>IFERROR(VLOOKUP(C4717,'Clients List'!A:F,6,FALSE),"")</f>
        <v/>
      </c>
    </row>
    <row r="4718" spans="4:9" x14ac:dyDescent="0.45">
      <c r="D4718" t="str">
        <f>IFERROR(VLOOKUP(C4718,'Clients List'!$A:$F,2,FALSE),"")</f>
        <v/>
      </c>
      <c r="F4718" s="1" t="str">
        <f>IF(OR(C4718="",NOT(ISNUMBER(SEARCH("Package",D4718)))),"",VLOOKUP(C4718,'Clients List'!$A:$F,4,FALSE)-SUMIFS($E$2:$E4718,$C$2:$C4718,C4718,$D$2:$D4718,"*Package*"))</f>
        <v/>
      </c>
      <c r="G4718" t="str">
        <f t="shared" si="106"/>
        <v/>
      </c>
      <c r="H4718" s="33">
        <f>IF(ISNUMBER(SEARCH("Group",D4718)),IF(G4718="",E4718,IFERROR(E4718/COUNTIF($G2:$G6000,G4718),E4718)),E4718)</f>
        <v>0</v>
      </c>
      <c r="I4718" s="1" t="str">
        <f>IFERROR(VLOOKUP(C4718,'Clients List'!A:F,6,FALSE),"")</f>
        <v/>
      </c>
    </row>
    <row r="4719" spans="4:9" x14ac:dyDescent="0.45">
      <c r="D4719" t="str">
        <f>IFERROR(VLOOKUP(C4719,'Clients List'!$A:$F,2,FALSE),"")</f>
        <v/>
      </c>
      <c r="F4719" s="1" t="str">
        <f>IF(OR(C4719="",NOT(ISNUMBER(SEARCH("Package",D4719)))),"",VLOOKUP(C4719,'Clients List'!$A:$F,4,FALSE)-SUMIFS($E$2:$E4719,$C$2:$C4719,C4719,$D$2:$D4719,"*Package*"))</f>
        <v/>
      </c>
      <c r="G4719" t="str">
        <f t="shared" si="106"/>
        <v/>
      </c>
      <c r="H4719" s="33">
        <f>IF(ISNUMBER(SEARCH("Group",D4719)),IF(G4719="",E4719,IFERROR(E4719/COUNTIF($G2:$G6000,G4719),E4719)),E4719)</f>
        <v>0</v>
      </c>
      <c r="I4719" s="1" t="str">
        <f>IFERROR(VLOOKUP(C4719,'Clients List'!A:F,6,FALSE),"")</f>
        <v/>
      </c>
    </row>
    <row r="4720" spans="4:9" x14ac:dyDescent="0.45">
      <c r="D4720" t="str">
        <f>IFERROR(VLOOKUP(C4720,'Clients List'!$A:$F,2,FALSE),"")</f>
        <v/>
      </c>
      <c r="F4720" s="1" t="str">
        <f>IF(OR(C4720="",NOT(ISNUMBER(SEARCH("Package",D4720)))),"",VLOOKUP(C4720,'Clients List'!$A:$F,4,FALSE)-SUMIFS($E$2:$E4720,$C$2:$C4720,C4720,$D$2:$D4720,"*Package*"))</f>
        <v/>
      </c>
      <c r="G4720" t="str">
        <f t="shared" si="106"/>
        <v/>
      </c>
      <c r="H4720" s="33">
        <f>IF(ISNUMBER(SEARCH("Group",D4720)),IF(G4720="",E4720,IFERROR(E4720/COUNTIF($G2:$G6000,G4720),E4720)),E4720)</f>
        <v>0</v>
      </c>
      <c r="I4720" s="1" t="str">
        <f>IFERROR(VLOOKUP(C4720,'Clients List'!A:F,6,FALSE),"")</f>
        <v/>
      </c>
    </row>
    <row r="4721" spans="4:9" x14ac:dyDescent="0.45">
      <c r="D4721" t="str">
        <f>IFERROR(VLOOKUP(C4721,'Clients List'!$A:$F,2,FALSE),"")</f>
        <v/>
      </c>
      <c r="F4721" s="1" t="str">
        <f>IF(OR(C4721="",NOT(ISNUMBER(SEARCH("Package",D4721)))),"",VLOOKUP(C4721,'Clients List'!$A:$F,4,FALSE)-SUMIFS($E$2:$E4721,$C$2:$C4721,C4721,$D$2:$D4721,"*Package*"))</f>
        <v/>
      </c>
      <c r="G4721" t="str">
        <f t="shared" si="106"/>
        <v/>
      </c>
      <c r="H4721" s="33">
        <f>IF(ISNUMBER(SEARCH("Group",D4721)),IF(G4721="",E4721,IFERROR(E4721/COUNTIF($G2:$G6000,G4721),E4721)),E4721)</f>
        <v>0</v>
      </c>
      <c r="I4721" s="1" t="str">
        <f>IFERROR(VLOOKUP(C4721,'Clients List'!A:F,6,FALSE),"")</f>
        <v/>
      </c>
    </row>
    <row r="4722" spans="4:9" x14ac:dyDescent="0.45">
      <c r="D4722" t="str">
        <f>IFERROR(VLOOKUP(C4722,'Clients List'!$A:$F,2,FALSE),"")</f>
        <v/>
      </c>
      <c r="F4722" s="1" t="str">
        <f>IF(OR(C4722="",NOT(ISNUMBER(SEARCH("Package",D4722)))),"",VLOOKUP(C4722,'Clients List'!$A:$F,4,FALSE)-SUMIFS($E$2:$E4722,$C$2:$C4722,C4722,$D$2:$D4722,"*Package*"))</f>
        <v/>
      </c>
      <c r="G4722" t="str">
        <f t="shared" si="106"/>
        <v/>
      </c>
      <c r="H4722" s="33">
        <f>IF(ISNUMBER(SEARCH("Group",D4722)),IF(G4722="",E4722,IFERROR(E4722/COUNTIF($G2:$G6000,G4722),E4722)),E4722)</f>
        <v>0</v>
      </c>
      <c r="I4722" s="1" t="str">
        <f>IFERROR(VLOOKUP(C4722,'Clients List'!A:F,6,FALSE),"")</f>
        <v/>
      </c>
    </row>
    <row r="4723" spans="4:9" x14ac:dyDescent="0.45">
      <c r="D4723" t="str">
        <f>IFERROR(VLOOKUP(C4723,'Clients List'!$A:$F,2,FALSE),"")</f>
        <v/>
      </c>
      <c r="F4723" s="1" t="str">
        <f>IF(OR(C4723="",NOT(ISNUMBER(SEARCH("Package",D4723)))),"",VLOOKUP(C4723,'Clients List'!$A:$F,4,FALSE)-SUMIFS($E$2:$E4723,$C$2:$C4723,C4723,$D$2:$D4723,"*Package*"))</f>
        <v/>
      </c>
      <c r="G4723" t="str">
        <f t="shared" si="106"/>
        <v/>
      </c>
      <c r="H4723" s="33">
        <f>IF(ISNUMBER(SEARCH("Group",D4723)),IF(G4723="",E4723,IFERROR(E4723/COUNTIF($G2:$G6000,G4723),E4723)),E4723)</f>
        <v>0</v>
      </c>
      <c r="I4723" s="1" t="str">
        <f>IFERROR(VLOOKUP(C4723,'Clients List'!A:F,6,FALSE),"")</f>
        <v/>
      </c>
    </row>
    <row r="4724" spans="4:9" x14ac:dyDescent="0.45">
      <c r="D4724" t="str">
        <f>IFERROR(VLOOKUP(C4724,'Clients List'!$A:$F,2,FALSE),"")</f>
        <v/>
      </c>
      <c r="F4724" s="1" t="str">
        <f>IF(OR(C4724="",NOT(ISNUMBER(SEARCH("Package",D4724)))),"",VLOOKUP(C4724,'Clients List'!$A:$F,4,FALSE)-SUMIFS($E$2:$E4724,$C$2:$C4724,C4724,$D$2:$D4724,"*Package*"))</f>
        <v/>
      </c>
      <c r="G4724" t="str">
        <f t="shared" si="106"/>
        <v/>
      </c>
      <c r="H4724" s="33">
        <f>IF(ISNUMBER(SEARCH("Group",D4724)),IF(G4724="",E4724,IFERROR(E4724/COUNTIF($G2:$G6000,G4724),E4724)),E4724)</f>
        <v>0</v>
      </c>
      <c r="I4724" s="1" t="str">
        <f>IFERROR(VLOOKUP(C4724,'Clients List'!A:F,6,FALSE),"")</f>
        <v/>
      </c>
    </row>
    <row r="4725" spans="4:9" x14ac:dyDescent="0.45">
      <c r="D4725" t="str">
        <f>IFERROR(VLOOKUP(C4725,'Clients List'!$A:$F,2,FALSE),"")</f>
        <v/>
      </c>
      <c r="F4725" s="1" t="str">
        <f>IF(OR(C4725="",NOT(ISNUMBER(SEARCH("Package",D4725)))),"",VLOOKUP(C4725,'Clients List'!$A:$F,4,FALSE)-SUMIFS($E$2:$E4725,$C$2:$C4725,C4725,$D$2:$D4725,"*Package*"))</f>
        <v/>
      </c>
      <c r="G4725" t="str">
        <f t="shared" ref="G4725:G4788" si="107">IF(ISNUMBER(SEARCH("Group",D4725)),IFERROR("GRP-"&amp;TEXT(IF(ISNUMBER(A4725),A4725,DATEVALUE(A4725)),"yyyymmdd"),""),"" )</f>
        <v/>
      </c>
      <c r="H4725" s="33">
        <f>IF(ISNUMBER(SEARCH("Group",D4725)),IF(G4725="",E4725,IFERROR(E4725/COUNTIF($G2:$G6000,G4725),E4725)),E4725)</f>
        <v>0</v>
      </c>
      <c r="I4725" s="1" t="str">
        <f>IFERROR(VLOOKUP(C4725,'Clients List'!A:F,6,FALSE),"")</f>
        <v/>
      </c>
    </row>
    <row r="4726" spans="4:9" x14ac:dyDescent="0.45">
      <c r="D4726" t="str">
        <f>IFERROR(VLOOKUP(C4726,'Clients List'!$A:$F,2,FALSE),"")</f>
        <v/>
      </c>
      <c r="F4726" s="1" t="str">
        <f>IF(OR(C4726="",NOT(ISNUMBER(SEARCH("Package",D4726)))),"",VLOOKUP(C4726,'Clients List'!$A:$F,4,FALSE)-SUMIFS($E$2:$E4726,$C$2:$C4726,C4726,$D$2:$D4726,"*Package*"))</f>
        <v/>
      </c>
      <c r="G4726" t="str">
        <f t="shared" si="107"/>
        <v/>
      </c>
      <c r="H4726" s="33">
        <f>IF(ISNUMBER(SEARCH("Group",D4726)),IF(G4726="",E4726,IFERROR(E4726/COUNTIF($G2:$G6000,G4726),E4726)),E4726)</f>
        <v>0</v>
      </c>
      <c r="I4726" s="1" t="str">
        <f>IFERROR(VLOOKUP(C4726,'Clients List'!A:F,6,FALSE),"")</f>
        <v/>
      </c>
    </row>
    <row r="4727" spans="4:9" x14ac:dyDescent="0.45">
      <c r="D4727" t="str">
        <f>IFERROR(VLOOKUP(C4727,'Clients List'!$A:$F,2,FALSE),"")</f>
        <v/>
      </c>
      <c r="F4727" s="1" t="str">
        <f>IF(OR(C4727="",NOT(ISNUMBER(SEARCH("Package",D4727)))),"",VLOOKUP(C4727,'Clients List'!$A:$F,4,FALSE)-SUMIFS($E$2:$E4727,$C$2:$C4727,C4727,$D$2:$D4727,"*Package*"))</f>
        <v/>
      </c>
      <c r="G4727" t="str">
        <f t="shared" si="107"/>
        <v/>
      </c>
      <c r="H4727" s="33">
        <f>IF(ISNUMBER(SEARCH("Group",D4727)),IF(G4727="",E4727,IFERROR(E4727/COUNTIF($G2:$G6000,G4727),E4727)),E4727)</f>
        <v>0</v>
      </c>
      <c r="I4727" s="1" t="str">
        <f>IFERROR(VLOOKUP(C4727,'Clients List'!A:F,6,FALSE),"")</f>
        <v/>
      </c>
    </row>
    <row r="4728" spans="4:9" x14ac:dyDescent="0.45">
      <c r="D4728" t="str">
        <f>IFERROR(VLOOKUP(C4728,'Clients List'!$A:$F,2,FALSE),"")</f>
        <v/>
      </c>
      <c r="F4728" s="1" t="str">
        <f>IF(OR(C4728="",NOT(ISNUMBER(SEARCH("Package",D4728)))),"",VLOOKUP(C4728,'Clients List'!$A:$F,4,FALSE)-SUMIFS($E$2:$E4728,$C$2:$C4728,C4728,$D$2:$D4728,"*Package*"))</f>
        <v/>
      </c>
      <c r="G4728" t="str">
        <f t="shared" si="107"/>
        <v/>
      </c>
      <c r="H4728" s="33">
        <f>IF(ISNUMBER(SEARCH("Group",D4728)),IF(G4728="",E4728,IFERROR(E4728/COUNTIF($G2:$G6000,G4728),E4728)),E4728)</f>
        <v>0</v>
      </c>
      <c r="I4728" s="1" t="str">
        <f>IFERROR(VLOOKUP(C4728,'Clients List'!A:F,6,FALSE),"")</f>
        <v/>
      </c>
    </row>
    <row r="4729" spans="4:9" x14ac:dyDescent="0.45">
      <c r="D4729" t="str">
        <f>IFERROR(VLOOKUP(C4729,'Clients List'!$A:$F,2,FALSE),"")</f>
        <v/>
      </c>
      <c r="F4729" s="1" t="str">
        <f>IF(OR(C4729="",NOT(ISNUMBER(SEARCH("Package",D4729)))),"",VLOOKUP(C4729,'Clients List'!$A:$F,4,FALSE)-SUMIFS($E$2:$E4729,$C$2:$C4729,C4729,$D$2:$D4729,"*Package*"))</f>
        <v/>
      </c>
      <c r="G4729" t="str">
        <f t="shared" si="107"/>
        <v/>
      </c>
      <c r="H4729" s="33">
        <f>IF(ISNUMBER(SEARCH("Group",D4729)),IF(G4729="",E4729,IFERROR(E4729/COUNTIF($G2:$G6000,G4729),E4729)),E4729)</f>
        <v>0</v>
      </c>
      <c r="I4729" s="1" t="str">
        <f>IFERROR(VLOOKUP(C4729,'Clients List'!A:F,6,FALSE),"")</f>
        <v/>
      </c>
    </row>
    <row r="4730" spans="4:9" x14ac:dyDescent="0.45">
      <c r="D4730" t="str">
        <f>IFERROR(VLOOKUP(C4730,'Clients List'!$A:$F,2,FALSE),"")</f>
        <v/>
      </c>
      <c r="F4730" s="1" t="str">
        <f>IF(OR(C4730="",NOT(ISNUMBER(SEARCH("Package",D4730)))),"",VLOOKUP(C4730,'Clients List'!$A:$F,4,FALSE)-SUMIFS($E$2:$E4730,$C$2:$C4730,C4730,$D$2:$D4730,"*Package*"))</f>
        <v/>
      </c>
      <c r="G4730" t="str">
        <f t="shared" si="107"/>
        <v/>
      </c>
      <c r="H4730" s="33">
        <f>IF(ISNUMBER(SEARCH("Group",D4730)),IF(G4730="",E4730,IFERROR(E4730/COUNTIF($G2:$G6000,G4730),E4730)),E4730)</f>
        <v>0</v>
      </c>
      <c r="I4730" s="1" t="str">
        <f>IFERROR(VLOOKUP(C4730,'Clients List'!A:F,6,FALSE),"")</f>
        <v/>
      </c>
    </row>
    <row r="4731" spans="4:9" x14ac:dyDescent="0.45">
      <c r="D4731" t="str">
        <f>IFERROR(VLOOKUP(C4731,'Clients List'!$A:$F,2,FALSE),"")</f>
        <v/>
      </c>
      <c r="F4731" s="1" t="str">
        <f>IF(OR(C4731="",NOT(ISNUMBER(SEARCH("Package",D4731)))),"",VLOOKUP(C4731,'Clients List'!$A:$F,4,FALSE)-SUMIFS($E$2:$E4731,$C$2:$C4731,C4731,$D$2:$D4731,"*Package*"))</f>
        <v/>
      </c>
      <c r="G4731" t="str">
        <f t="shared" si="107"/>
        <v/>
      </c>
      <c r="H4731" s="33">
        <f>IF(ISNUMBER(SEARCH("Group",D4731)),IF(G4731="",E4731,IFERROR(E4731/COUNTIF($G2:$G6000,G4731),E4731)),E4731)</f>
        <v>0</v>
      </c>
      <c r="I4731" s="1" t="str">
        <f>IFERROR(VLOOKUP(C4731,'Clients List'!A:F,6,FALSE),"")</f>
        <v/>
      </c>
    </row>
    <row r="4732" spans="4:9" x14ac:dyDescent="0.45">
      <c r="D4732" t="str">
        <f>IFERROR(VLOOKUP(C4732,'Clients List'!$A:$F,2,FALSE),"")</f>
        <v/>
      </c>
      <c r="F4732" s="1" t="str">
        <f>IF(OR(C4732="",NOT(ISNUMBER(SEARCH("Package",D4732)))),"",VLOOKUP(C4732,'Clients List'!$A:$F,4,FALSE)-SUMIFS($E$2:$E4732,$C$2:$C4732,C4732,$D$2:$D4732,"*Package*"))</f>
        <v/>
      </c>
      <c r="G4732" t="str">
        <f t="shared" si="107"/>
        <v/>
      </c>
      <c r="H4732" s="33">
        <f>IF(ISNUMBER(SEARCH("Group",D4732)),IF(G4732="",E4732,IFERROR(E4732/COUNTIF($G2:$G6000,G4732),E4732)),E4732)</f>
        <v>0</v>
      </c>
      <c r="I4732" s="1" t="str">
        <f>IFERROR(VLOOKUP(C4732,'Clients List'!A:F,6,FALSE),"")</f>
        <v/>
      </c>
    </row>
    <row r="4733" spans="4:9" x14ac:dyDescent="0.45">
      <c r="D4733" t="str">
        <f>IFERROR(VLOOKUP(C4733,'Clients List'!$A:$F,2,FALSE),"")</f>
        <v/>
      </c>
      <c r="F4733" s="1" t="str">
        <f>IF(OR(C4733="",NOT(ISNUMBER(SEARCH("Package",D4733)))),"",VLOOKUP(C4733,'Clients List'!$A:$F,4,FALSE)-SUMIFS($E$2:$E4733,$C$2:$C4733,C4733,$D$2:$D4733,"*Package*"))</f>
        <v/>
      </c>
      <c r="G4733" t="str">
        <f t="shared" si="107"/>
        <v/>
      </c>
      <c r="H4733" s="33">
        <f>IF(ISNUMBER(SEARCH("Group",D4733)),IF(G4733="",E4733,IFERROR(E4733/COUNTIF($G2:$G6000,G4733),E4733)),E4733)</f>
        <v>0</v>
      </c>
      <c r="I4733" s="1" t="str">
        <f>IFERROR(VLOOKUP(C4733,'Clients List'!A:F,6,FALSE),"")</f>
        <v/>
      </c>
    </row>
    <row r="4734" spans="4:9" x14ac:dyDescent="0.45">
      <c r="D4734" t="str">
        <f>IFERROR(VLOOKUP(C4734,'Clients List'!$A:$F,2,FALSE),"")</f>
        <v/>
      </c>
      <c r="F4734" s="1" t="str">
        <f>IF(OR(C4734="",NOT(ISNUMBER(SEARCH("Package",D4734)))),"",VLOOKUP(C4734,'Clients List'!$A:$F,4,FALSE)-SUMIFS($E$2:$E4734,$C$2:$C4734,C4734,$D$2:$D4734,"*Package*"))</f>
        <v/>
      </c>
      <c r="G4734" t="str">
        <f t="shared" si="107"/>
        <v/>
      </c>
      <c r="H4734" s="33">
        <f>IF(ISNUMBER(SEARCH("Group",D4734)),IF(G4734="",E4734,IFERROR(E4734/COUNTIF($G2:$G6000,G4734),E4734)),E4734)</f>
        <v>0</v>
      </c>
      <c r="I4734" s="1" t="str">
        <f>IFERROR(VLOOKUP(C4734,'Clients List'!A:F,6,FALSE),"")</f>
        <v/>
      </c>
    </row>
    <row r="4735" spans="4:9" x14ac:dyDescent="0.45">
      <c r="D4735" t="str">
        <f>IFERROR(VLOOKUP(C4735,'Clients List'!$A:$F,2,FALSE),"")</f>
        <v/>
      </c>
      <c r="F4735" s="1" t="str">
        <f>IF(OR(C4735="",NOT(ISNUMBER(SEARCH("Package",D4735)))),"",VLOOKUP(C4735,'Clients List'!$A:$F,4,FALSE)-SUMIFS($E$2:$E4735,$C$2:$C4735,C4735,$D$2:$D4735,"*Package*"))</f>
        <v/>
      </c>
      <c r="G4735" t="str">
        <f t="shared" si="107"/>
        <v/>
      </c>
      <c r="H4735" s="33">
        <f>IF(ISNUMBER(SEARCH("Group",D4735)),IF(G4735="",E4735,IFERROR(E4735/COUNTIF($G2:$G6000,G4735),E4735)),E4735)</f>
        <v>0</v>
      </c>
      <c r="I4735" s="1" t="str">
        <f>IFERROR(VLOOKUP(C4735,'Clients List'!A:F,6,FALSE),"")</f>
        <v/>
      </c>
    </row>
    <row r="4736" spans="4:9" x14ac:dyDescent="0.45">
      <c r="D4736" t="str">
        <f>IFERROR(VLOOKUP(C4736,'Clients List'!$A:$F,2,FALSE),"")</f>
        <v/>
      </c>
      <c r="F4736" s="1" t="str">
        <f>IF(OR(C4736="",NOT(ISNUMBER(SEARCH("Package",D4736)))),"",VLOOKUP(C4736,'Clients List'!$A:$F,4,FALSE)-SUMIFS($E$2:$E4736,$C$2:$C4736,C4736,$D$2:$D4736,"*Package*"))</f>
        <v/>
      </c>
      <c r="G4736" t="str">
        <f t="shared" si="107"/>
        <v/>
      </c>
      <c r="H4736" s="33">
        <f>IF(ISNUMBER(SEARCH("Group",D4736)),IF(G4736="",E4736,IFERROR(E4736/COUNTIF($G2:$G6000,G4736),E4736)),E4736)</f>
        <v>0</v>
      </c>
      <c r="I4736" s="1" t="str">
        <f>IFERROR(VLOOKUP(C4736,'Clients List'!A:F,6,FALSE),"")</f>
        <v/>
      </c>
    </row>
    <row r="4737" spans="4:9" x14ac:dyDescent="0.45">
      <c r="D4737" t="str">
        <f>IFERROR(VLOOKUP(C4737,'Clients List'!$A:$F,2,FALSE),"")</f>
        <v/>
      </c>
      <c r="F4737" s="1" t="str">
        <f>IF(OR(C4737="",NOT(ISNUMBER(SEARCH("Package",D4737)))),"",VLOOKUP(C4737,'Clients List'!$A:$F,4,FALSE)-SUMIFS($E$2:$E4737,$C$2:$C4737,C4737,$D$2:$D4737,"*Package*"))</f>
        <v/>
      </c>
      <c r="G4737" t="str">
        <f t="shared" si="107"/>
        <v/>
      </c>
      <c r="H4737" s="33">
        <f>IF(ISNUMBER(SEARCH("Group",D4737)),IF(G4737="",E4737,IFERROR(E4737/COUNTIF($G2:$G6000,G4737),E4737)),E4737)</f>
        <v>0</v>
      </c>
      <c r="I4737" s="1" t="str">
        <f>IFERROR(VLOOKUP(C4737,'Clients List'!A:F,6,FALSE),"")</f>
        <v/>
      </c>
    </row>
    <row r="4738" spans="4:9" x14ac:dyDescent="0.45">
      <c r="D4738" t="str">
        <f>IFERROR(VLOOKUP(C4738,'Clients List'!$A:$F,2,FALSE),"")</f>
        <v/>
      </c>
      <c r="F4738" s="1" t="str">
        <f>IF(OR(C4738="",NOT(ISNUMBER(SEARCH("Package",D4738)))),"",VLOOKUP(C4738,'Clients List'!$A:$F,4,FALSE)-SUMIFS($E$2:$E4738,$C$2:$C4738,C4738,$D$2:$D4738,"*Package*"))</f>
        <v/>
      </c>
      <c r="G4738" t="str">
        <f t="shared" si="107"/>
        <v/>
      </c>
      <c r="H4738" s="33">
        <f>IF(ISNUMBER(SEARCH("Group",D4738)),IF(G4738="",E4738,IFERROR(E4738/COUNTIF($G2:$G6000,G4738),E4738)),E4738)</f>
        <v>0</v>
      </c>
      <c r="I4738" s="1" t="str">
        <f>IFERROR(VLOOKUP(C4738,'Clients List'!A:F,6,FALSE),"")</f>
        <v/>
      </c>
    </row>
    <row r="4739" spans="4:9" x14ac:dyDescent="0.45">
      <c r="D4739" t="str">
        <f>IFERROR(VLOOKUP(C4739,'Clients List'!$A:$F,2,FALSE),"")</f>
        <v/>
      </c>
      <c r="F4739" s="1" t="str">
        <f>IF(OR(C4739="",NOT(ISNUMBER(SEARCH("Package",D4739)))),"",VLOOKUP(C4739,'Clients List'!$A:$F,4,FALSE)-SUMIFS($E$2:$E4739,$C$2:$C4739,C4739,$D$2:$D4739,"*Package*"))</f>
        <v/>
      </c>
      <c r="G4739" t="str">
        <f t="shared" si="107"/>
        <v/>
      </c>
      <c r="H4739" s="33">
        <f>IF(ISNUMBER(SEARCH("Group",D4739)),IF(G4739="",E4739,IFERROR(E4739/COUNTIF($G2:$G6000,G4739),E4739)),E4739)</f>
        <v>0</v>
      </c>
      <c r="I4739" s="1" t="str">
        <f>IFERROR(VLOOKUP(C4739,'Clients List'!A:F,6,FALSE),"")</f>
        <v/>
      </c>
    </row>
    <row r="4740" spans="4:9" x14ac:dyDescent="0.45">
      <c r="D4740" t="str">
        <f>IFERROR(VLOOKUP(C4740,'Clients List'!$A:$F,2,FALSE),"")</f>
        <v/>
      </c>
      <c r="F4740" s="1" t="str">
        <f>IF(OR(C4740="",NOT(ISNUMBER(SEARCH("Package",D4740)))),"",VLOOKUP(C4740,'Clients List'!$A:$F,4,FALSE)-SUMIFS($E$2:$E4740,$C$2:$C4740,C4740,$D$2:$D4740,"*Package*"))</f>
        <v/>
      </c>
      <c r="G4740" t="str">
        <f t="shared" si="107"/>
        <v/>
      </c>
      <c r="H4740" s="33">
        <f>IF(ISNUMBER(SEARCH("Group",D4740)),IF(G4740="",E4740,IFERROR(E4740/COUNTIF($G2:$G6000,G4740),E4740)),E4740)</f>
        <v>0</v>
      </c>
      <c r="I4740" s="1" t="str">
        <f>IFERROR(VLOOKUP(C4740,'Clients List'!A:F,6,FALSE),"")</f>
        <v/>
      </c>
    </row>
    <row r="4741" spans="4:9" x14ac:dyDescent="0.45">
      <c r="D4741" t="str">
        <f>IFERROR(VLOOKUP(C4741,'Clients List'!$A:$F,2,FALSE),"")</f>
        <v/>
      </c>
      <c r="F4741" s="1" t="str">
        <f>IF(OR(C4741="",NOT(ISNUMBER(SEARCH("Package",D4741)))),"",VLOOKUP(C4741,'Clients List'!$A:$F,4,FALSE)-SUMIFS($E$2:$E4741,$C$2:$C4741,C4741,$D$2:$D4741,"*Package*"))</f>
        <v/>
      </c>
      <c r="G4741" t="str">
        <f t="shared" si="107"/>
        <v/>
      </c>
      <c r="H4741" s="33">
        <f>IF(ISNUMBER(SEARCH("Group",D4741)),IF(G4741="",E4741,IFERROR(E4741/COUNTIF($G2:$G6000,G4741),E4741)),E4741)</f>
        <v>0</v>
      </c>
      <c r="I4741" s="1" t="str">
        <f>IFERROR(VLOOKUP(C4741,'Clients List'!A:F,6,FALSE),"")</f>
        <v/>
      </c>
    </row>
    <row r="4742" spans="4:9" x14ac:dyDescent="0.45">
      <c r="D4742" t="str">
        <f>IFERROR(VLOOKUP(C4742,'Clients List'!$A:$F,2,FALSE),"")</f>
        <v/>
      </c>
      <c r="F4742" s="1" t="str">
        <f>IF(OR(C4742="",NOT(ISNUMBER(SEARCH("Package",D4742)))),"",VLOOKUP(C4742,'Clients List'!$A:$F,4,FALSE)-SUMIFS($E$2:$E4742,$C$2:$C4742,C4742,$D$2:$D4742,"*Package*"))</f>
        <v/>
      </c>
      <c r="G4742" t="str">
        <f t="shared" si="107"/>
        <v/>
      </c>
      <c r="H4742" s="33">
        <f>IF(ISNUMBER(SEARCH("Group",D4742)),IF(G4742="",E4742,IFERROR(E4742/COUNTIF($G2:$G6000,G4742),E4742)),E4742)</f>
        <v>0</v>
      </c>
      <c r="I4742" s="1" t="str">
        <f>IFERROR(VLOOKUP(C4742,'Clients List'!A:F,6,FALSE),"")</f>
        <v/>
      </c>
    </row>
    <row r="4743" spans="4:9" x14ac:dyDescent="0.45">
      <c r="D4743" t="str">
        <f>IFERROR(VLOOKUP(C4743,'Clients List'!$A:$F,2,FALSE),"")</f>
        <v/>
      </c>
      <c r="F4743" s="1" t="str">
        <f>IF(OR(C4743="",NOT(ISNUMBER(SEARCH("Package",D4743)))),"",VLOOKUP(C4743,'Clients List'!$A:$F,4,FALSE)-SUMIFS($E$2:$E4743,$C$2:$C4743,C4743,$D$2:$D4743,"*Package*"))</f>
        <v/>
      </c>
      <c r="G4743" t="str">
        <f t="shared" si="107"/>
        <v/>
      </c>
      <c r="H4743" s="33">
        <f>IF(ISNUMBER(SEARCH("Group",D4743)),IF(G4743="",E4743,IFERROR(E4743/COUNTIF($G2:$G6000,G4743),E4743)),E4743)</f>
        <v>0</v>
      </c>
      <c r="I4743" s="1" t="str">
        <f>IFERROR(VLOOKUP(C4743,'Clients List'!A:F,6,FALSE),"")</f>
        <v/>
      </c>
    </row>
    <row r="4744" spans="4:9" x14ac:dyDescent="0.45">
      <c r="D4744" t="str">
        <f>IFERROR(VLOOKUP(C4744,'Clients List'!$A:$F,2,FALSE),"")</f>
        <v/>
      </c>
      <c r="F4744" s="1" t="str">
        <f>IF(OR(C4744="",NOT(ISNUMBER(SEARCH("Package",D4744)))),"",VLOOKUP(C4744,'Clients List'!$A:$F,4,FALSE)-SUMIFS($E$2:$E4744,$C$2:$C4744,C4744,$D$2:$D4744,"*Package*"))</f>
        <v/>
      </c>
      <c r="G4744" t="str">
        <f t="shared" si="107"/>
        <v/>
      </c>
      <c r="H4744" s="33">
        <f>IF(ISNUMBER(SEARCH("Group",D4744)),IF(G4744="",E4744,IFERROR(E4744/COUNTIF($G2:$G6000,G4744),E4744)),E4744)</f>
        <v>0</v>
      </c>
      <c r="I4744" s="1" t="str">
        <f>IFERROR(VLOOKUP(C4744,'Clients List'!A:F,6,FALSE),"")</f>
        <v/>
      </c>
    </row>
    <row r="4745" spans="4:9" x14ac:dyDescent="0.45">
      <c r="D4745" t="str">
        <f>IFERROR(VLOOKUP(C4745,'Clients List'!$A:$F,2,FALSE),"")</f>
        <v/>
      </c>
      <c r="F4745" s="1" t="str">
        <f>IF(OR(C4745="",NOT(ISNUMBER(SEARCH("Package",D4745)))),"",VLOOKUP(C4745,'Clients List'!$A:$F,4,FALSE)-SUMIFS($E$2:$E4745,$C$2:$C4745,C4745,$D$2:$D4745,"*Package*"))</f>
        <v/>
      </c>
      <c r="G4745" t="str">
        <f t="shared" si="107"/>
        <v/>
      </c>
      <c r="H4745" s="33">
        <f>IF(ISNUMBER(SEARCH("Group",D4745)),IF(G4745="",E4745,IFERROR(E4745/COUNTIF($G2:$G6000,G4745),E4745)),E4745)</f>
        <v>0</v>
      </c>
      <c r="I4745" s="1" t="str">
        <f>IFERROR(VLOOKUP(C4745,'Clients List'!A:F,6,FALSE),"")</f>
        <v/>
      </c>
    </row>
    <row r="4746" spans="4:9" x14ac:dyDescent="0.45">
      <c r="D4746" t="str">
        <f>IFERROR(VLOOKUP(C4746,'Clients List'!$A:$F,2,FALSE),"")</f>
        <v/>
      </c>
      <c r="F4746" s="1" t="str">
        <f>IF(OR(C4746="",NOT(ISNUMBER(SEARCH("Package",D4746)))),"",VLOOKUP(C4746,'Clients List'!$A:$F,4,FALSE)-SUMIFS($E$2:$E4746,$C$2:$C4746,C4746,$D$2:$D4746,"*Package*"))</f>
        <v/>
      </c>
      <c r="G4746" t="str">
        <f t="shared" si="107"/>
        <v/>
      </c>
      <c r="H4746" s="33">
        <f>IF(ISNUMBER(SEARCH("Group",D4746)),IF(G4746="",E4746,IFERROR(E4746/COUNTIF($G2:$G6000,G4746),E4746)),E4746)</f>
        <v>0</v>
      </c>
      <c r="I4746" s="1" t="str">
        <f>IFERROR(VLOOKUP(C4746,'Clients List'!A:F,6,FALSE),"")</f>
        <v/>
      </c>
    </row>
    <row r="4747" spans="4:9" x14ac:dyDescent="0.45">
      <c r="D4747" t="str">
        <f>IFERROR(VLOOKUP(C4747,'Clients List'!$A:$F,2,FALSE),"")</f>
        <v/>
      </c>
      <c r="F4747" s="1" t="str">
        <f>IF(OR(C4747="",NOT(ISNUMBER(SEARCH("Package",D4747)))),"",VLOOKUP(C4747,'Clients List'!$A:$F,4,FALSE)-SUMIFS($E$2:$E4747,$C$2:$C4747,C4747,$D$2:$D4747,"*Package*"))</f>
        <v/>
      </c>
      <c r="G4747" t="str">
        <f t="shared" si="107"/>
        <v/>
      </c>
      <c r="H4747" s="33">
        <f>IF(ISNUMBER(SEARCH("Group",D4747)),IF(G4747="",E4747,IFERROR(E4747/COUNTIF($G2:$G6000,G4747),E4747)),E4747)</f>
        <v>0</v>
      </c>
      <c r="I4747" s="1" t="str">
        <f>IFERROR(VLOOKUP(C4747,'Clients List'!A:F,6,FALSE),"")</f>
        <v/>
      </c>
    </row>
    <row r="4748" spans="4:9" x14ac:dyDescent="0.45">
      <c r="D4748" t="str">
        <f>IFERROR(VLOOKUP(C4748,'Clients List'!$A:$F,2,FALSE),"")</f>
        <v/>
      </c>
      <c r="F4748" s="1" t="str">
        <f>IF(OR(C4748="",NOT(ISNUMBER(SEARCH("Package",D4748)))),"",VLOOKUP(C4748,'Clients List'!$A:$F,4,FALSE)-SUMIFS($E$2:$E4748,$C$2:$C4748,C4748,$D$2:$D4748,"*Package*"))</f>
        <v/>
      </c>
      <c r="G4748" t="str">
        <f t="shared" si="107"/>
        <v/>
      </c>
      <c r="H4748" s="33">
        <f>IF(ISNUMBER(SEARCH("Group",D4748)),IF(G4748="",E4748,IFERROR(E4748/COUNTIF($G2:$G6000,G4748),E4748)),E4748)</f>
        <v>0</v>
      </c>
      <c r="I4748" s="1" t="str">
        <f>IFERROR(VLOOKUP(C4748,'Clients List'!A:F,6,FALSE),"")</f>
        <v/>
      </c>
    </row>
    <row r="4749" spans="4:9" x14ac:dyDescent="0.45">
      <c r="D4749" t="str">
        <f>IFERROR(VLOOKUP(C4749,'Clients List'!$A:$F,2,FALSE),"")</f>
        <v/>
      </c>
      <c r="F4749" s="1" t="str">
        <f>IF(OR(C4749="",NOT(ISNUMBER(SEARCH("Package",D4749)))),"",VLOOKUP(C4749,'Clients List'!$A:$F,4,FALSE)-SUMIFS($E$2:$E4749,$C$2:$C4749,C4749,$D$2:$D4749,"*Package*"))</f>
        <v/>
      </c>
      <c r="G4749" t="str">
        <f t="shared" si="107"/>
        <v/>
      </c>
      <c r="H4749" s="33">
        <f>IF(ISNUMBER(SEARCH("Group",D4749)),IF(G4749="",E4749,IFERROR(E4749/COUNTIF($G2:$G6000,G4749),E4749)),E4749)</f>
        <v>0</v>
      </c>
      <c r="I4749" s="1" t="str">
        <f>IFERROR(VLOOKUP(C4749,'Clients List'!A:F,6,FALSE),"")</f>
        <v/>
      </c>
    </row>
    <row r="4750" spans="4:9" x14ac:dyDescent="0.45">
      <c r="D4750" t="str">
        <f>IFERROR(VLOOKUP(C4750,'Clients List'!$A:$F,2,FALSE),"")</f>
        <v/>
      </c>
      <c r="F4750" s="1" t="str">
        <f>IF(OR(C4750="",NOT(ISNUMBER(SEARCH("Package",D4750)))),"",VLOOKUP(C4750,'Clients List'!$A:$F,4,FALSE)-SUMIFS($E$2:$E4750,$C$2:$C4750,C4750,$D$2:$D4750,"*Package*"))</f>
        <v/>
      </c>
      <c r="G4750" t="str">
        <f t="shared" si="107"/>
        <v/>
      </c>
      <c r="H4750" s="33">
        <f>IF(ISNUMBER(SEARCH("Group",D4750)),IF(G4750="",E4750,IFERROR(E4750/COUNTIF($G2:$G6000,G4750),E4750)),E4750)</f>
        <v>0</v>
      </c>
      <c r="I4750" s="1" t="str">
        <f>IFERROR(VLOOKUP(C4750,'Clients List'!A:F,6,FALSE),"")</f>
        <v/>
      </c>
    </row>
    <row r="4751" spans="4:9" x14ac:dyDescent="0.45">
      <c r="D4751" t="str">
        <f>IFERROR(VLOOKUP(C4751,'Clients List'!$A:$F,2,FALSE),"")</f>
        <v/>
      </c>
      <c r="F4751" s="1" t="str">
        <f>IF(OR(C4751="",NOT(ISNUMBER(SEARCH("Package",D4751)))),"",VLOOKUP(C4751,'Clients List'!$A:$F,4,FALSE)-SUMIFS($E$2:$E4751,$C$2:$C4751,C4751,$D$2:$D4751,"*Package*"))</f>
        <v/>
      </c>
      <c r="G4751" t="str">
        <f t="shared" si="107"/>
        <v/>
      </c>
      <c r="H4751" s="33">
        <f>IF(ISNUMBER(SEARCH("Group",D4751)),IF(G4751="",E4751,IFERROR(E4751/COUNTIF($G2:$G6000,G4751),E4751)),E4751)</f>
        <v>0</v>
      </c>
      <c r="I4751" s="1" t="str">
        <f>IFERROR(VLOOKUP(C4751,'Clients List'!A:F,6,FALSE),"")</f>
        <v/>
      </c>
    </row>
    <row r="4752" spans="4:9" x14ac:dyDescent="0.45">
      <c r="D4752" t="str">
        <f>IFERROR(VLOOKUP(C4752,'Clients List'!$A:$F,2,FALSE),"")</f>
        <v/>
      </c>
      <c r="F4752" s="1" t="str">
        <f>IF(OR(C4752="",NOT(ISNUMBER(SEARCH("Package",D4752)))),"",VLOOKUP(C4752,'Clients List'!$A:$F,4,FALSE)-SUMIFS($E$2:$E4752,$C$2:$C4752,C4752,$D$2:$D4752,"*Package*"))</f>
        <v/>
      </c>
      <c r="G4752" t="str">
        <f t="shared" si="107"/>
        <v/>
      </c>
      <c r="H4752" s="33">
        <f>IF(ISNUMBER(SEARCH("Group",D4752)),IF(G4752="",E4752,IFERROR(E4752/COUNTIF($G2:$G6000,G4752),E4752)),E4752)</f>
        <v>0</v>
      </c>
      <c r="I4752" s="1" t="str">
        <f>IFERROR(VLOOKUP(C4752,'Clients List'!A:F,6,FALSE),"")</f>
        <v/>
      </c>
    </row>
    <row r="4753" spans="4:9" x14ac:dyDescent="0.45">
      <c r="D4753" t="str">
        <f>IFERROR(VLOOKUP(C4753,'Clients List'!$A:$F,2,FALSE),"")</f>
        <v/>
      </c>
      <c r="F4753" s="1" t="str">
        <f>IF(OR(C4753="",NOT(ISNUMBER(SEARCH("Package",D4753)))),"",VLOOKUP(C4753,'Clients List'!$A:$F,4,FALSE)-SUMIFS($E$2:$E4753,$C$2:$C4753,C4753,$D$2:$D4753,"*Package*"))</f>
        <v/>
      </c>
      <c r="G4753" t="str">
        <f t="shared" si="107"/>
        <v/>
      </c>
      <c r="H4753" s="33">
        <f>IF(ISNUMBER(SEARCH("Group",D4753)),IF(G4753="",E4753,IFERROR(E4753/COUNTIF($G2:$G6000,G4753),E4753)),E4753)</f>
        <v>0</v>
      </c>
      <c r="I4753" s="1" t="str">
        <f>IFERROR(VLOOKUP(C4753,'Clients List'!A:F,6,FALSE),"")</f>
        <v/>
      </c>
    </row>
    <row r="4754" spans="4:9" x14ac:dyDescent="0.45">
      <c r="D4754" t="str">
        <f>IFERROR(VLOOKUP(C4754,'Clients List'!$A:$F,2,FALSE),"")</f>
        <v/>
      </c>
      <c r="F4754" s="1" t="str">
        <f>IF(OR(C4754="",NOT(ISNUMBER(SEARCH("Package",D4754)))),"",VLOOKUP(C4754,'Clients List'!$A:$F,4,FALSE)-SUMIFS($E$2:$E4754,$C$2:$C4754,C4754,$D$2:$D4754,"*Package*"))</f>
        <v/>
      </c>
      <c r="G4754" t="str">
        <f t="shared" si="107"/>
        <v/>
      </c>
      <c r="H4754" s="33">
        <f>IF(ISNUMBER(SEARCH("Group",D4754)),IF(G4754="",E4754,IFERROR(E4754/COUNTIF($G2:$G6000,G4754),E4754)),E4754)</f>
        <v>0</v>
      </c>
      <c r="I4754" s="1" t="str">
        <f>IFERROR(VLOOKUP(C4754,'Clients List'!A:F,6,FALSE),"")</f>
        <v/>
      </c>
    </row>
    <row r="4755" spans="4:9" x14ac:dyDescent="0.45">
      <c r="D4755" t="str">
        <f>IFERROR(VLOOKUP(C4755,'Clients List'!$A:$F,2,FALSE),"")</f>
        <v/>
      </c>
      <c r="F4755" s="1" t="str">
        <f>IF(OR(C4755="",NOT(ISNUMBER(SEARCH("Package",D4755)))),"",VLOOKUP(C4755,'Clients List'!$A:$F,4,FALSE)-SUMIFS($E$2:$E4755,$C$2:$C4755,C4755,$D$2:$D4755,"*Package*"))</f>
        <v/>
      </c>
      <c r="G4755" t="str">
        <f t="shared" si="107"/>
        <v/>
      </c>
      <c r="H4755" s="33">
        <f>IF(ISNUMBER(SEARCH("Group",D4755)),IF(G4755="",E4755,IFERROR(E4755/COUNTIF($G2:$G6000,G4755),E4755)),E4755)</f>
        <v>0</v>
      </c>
      <c r="I4755" s="1" t="str">
        <f>IFERROR(VLOOKUP(C4755,'Clients List'!A:F,6,FALSE),"")</f>
        <v/>
      </c>
    </row>
    <row r="4756" spans="4:9" x14ac:dyDescent="0.45">
      <c r="D4756" t="str">
        <f>IFERROR(VLOOKUP(C4756,'Clients List'!$A:$F,2,FALSE),"")</f>
        <v/>
      </c>
      <c r="F4756" s="1" t="str">
        <f>IF(OR(C4756="",NOT(ISNUMBER(SEARCH("Package",D4756)))),"",VLOOKUP(C4756,'Clients List'!$A:$F,4,FALSE)-SUMIFS($E$2:$E4756,$C$2:$C4756,C4756,$D$2:$D4756,"*Package*"))</f>
        <v/>
      </c>
      <c r="G4756" t="str">
        <f t="shared" si="107"/>
        <v/>
      </c>
      <c r="H4756" s="33">
        <f>IF(ISNUMBER(SEARCH("Group",D4756)),IF(G4756="",E4756,IFERROR(E4756/COUNTIF($G2:$G6000,G4756),E4756)),E4756)</f>
        <v>0</v>
      </c>
      <c r="I4756" s="1" t="str">
        <f>IFERROR(VLOOKUP(C4756,'Clients List'!A:F,6,FALSE),"")</f>
        <v/>
      </c>
    </row>
    <row r="4757" spans="4:9" x14ac:dyDescent="0.45">
      <c r="D4757" t="str">
        <f>IFERROR(VLOOKUP(C4757,'Clients List'!$A:$F,2,FALSE),"")</f>
        <v/>
      </c>
      <c r="F4757" s="1" t="str">
        <f>IF(OR(C4757="",NOT(ISNUMBER(SEARCH("Package",D4757)))),"",VLOOKUP(C4757,'Clients List'!$A:$F,4,FALSE)-SUMIFS($E$2:$E4757,$C$2:$C4757,C4757,$D$2:$D4757,"*Package*"))</f>
        <v/>
      </c>
      <c r="G4757" t="str">
        <f t="shared" si="107"/>
        <v/>
      </c>
      <c r="H4757" s="33">
        <f>IF(ISNUMBER(SEARCH("Group",D4757)),IF(G4757="",E4757,IFERROR(E4757/COUNTIF($G2:$G6000,G4757),E4757)),E4757)</f>
        <v>0</v>
      </c>
      <c r="I4757" s="1" t="str">
        <f>IFERROR(VLOOKUP(C4757,'Clients List'!A:F,6,FALSE),"")</f>
        <v/>
      </c>
    </row>
    <row r="4758" spans="4:9" x14ac:dyDescent="0.45">
      <c r="D4758" t="str">
        <f>IFERROR(VLOOKUP(C4758,'Clients List'!$A:$F,2,FALSE),"")</f>
        <v/>
      </c>
      <c r="F4758" s="1" t="str">
        <f>IF(OR(C4758="",NOT(ISNUMBER(SEARCH("Package",D4758)))),"",VLOOKUP(C4758,'Clients List'!$A:$F,4,FALSE)-SUMIFS($E$2:$E4758,$C$2:$C4758,C4758,$D$2:$D4758,"*Package*"))</f>
        <v/>
      </c>
      <c r="G4758" t="str">
        <f t="shared" si="107"/>
        <v/>
      </c>
      <c r="H4758" s="33">
        <f>IF(ISNUMBER(SEARCH("Group",D4758)),IF(G4758="",E4758,IFERROR(E4758/COUNTIF($G2:$G6000,G4758),E4758)),E4758)</f>
        <v>0</v>
      </c>
      <c r="I4758" s="1" t="str">
        <f>IFERROR(VLOOKUP(C4758,'Clients List'!A:F,6,FALSE),"")</f>
        <v/>
      </c>
    </row>
    <row r="4759" spans="4:9" x14ac:dyDescent="0.45">
      <c r="D4759" t="str">
        <f>IFERROR(VLOOKUP(C4759,'Clients List'!$A:$F,2,FALSE),"")</f>
        <v/>
      </c>
      <c r="F4759" s="1" t="str">
        <f>IF(OR(C4759="",NOT(ISNUMBER(SEARCH("Package",D4759)))),"",VLOOKUP(C4759,'Clients List'!$A:$F,4,FALSE)-SUMIFS($E$2:$E4759,$C$2:$C4759,C4759,$D$2:$D4759,"*Package*"))</f>
        <v/>
      </c>
      <c r="G4759" t="str">
        <f t="shared" si="107"/>
        <v/>
      </c>
      <c r="H4759" s="33">
        <f>IF(ISNUMBER(SEARCH("Group",D4759)),IF(G4759="",E4759,IFERROR(E4759/COUNTIF($G2:$G6000,G4759),E4759)),E4759)</f>
        <v>0</v>
      </c>
      <c r="I4759" s="1" t="str">
        <f>IFERROR(VLOOKUP(C4759,'Clients List'!A:F,6,FALSE),"")</f>
        <v/>
      </c>
    </row>
    <row r="4760" spans="4:9" x14ac:dyDescent="0.45">
      <c r="D4760" t="str">
        <f>IFERROR(VLOOKUP(C4760,'Clients List'!$A:$F,2,FALSE),"")</f>
        <v/>
      </c>
      <c r="F4760" s="1" t="str">
        <f>IF(OR(C4760="",NOT(ISNUMBER(SEARCH("Package",D4760)))),"",VLOOKUP(C4760,'Clients List'!$A:$F,4,FALSE)-SUMIFS($E$2:$E4760,$C$2:$C4760,C4760,$D$2:$D4760,"*Package*"))</f>
        <v/>
      </c>
      <c r="G4760" t="str">
        <f t="shared" si="107"/>
        <v/>
      </c>
      <c r="H4760" s="33">
        <f>IF(ISNUMBER(SEARCH("Group",D4760)),IF(G4760="",E4760,IFERROR(E4760/COUNTIF($G2:$G6000,G4760),E4760)),E4760)</f>
        <v>0</v>
      </c>
      <c r="I4760" s="1" t="str">
        <f>IFERROR(VLOOKUP(C4760,'Clients List'!A:F,6,FALSE),"")</f>
        <v/>
      </c>
    </row>
    <row r="4761" spans="4:9" x14ac:dyDescent="0.45">
      <c r="D4761" t="str">
        <f>IFERROR(VLOOKUP(C4761,'Clients List'!$A:$F,2,FALSE),"")</f>
        <v/>
      </c>
      <c r="F4761" s="1" t="str">
        <f>IF(OR(C4761="",NOT(ISNUMBER(SEARCH("Package",D4761)))),"",VLOOKUP(C4761,'Clients List'!$A:$F,4,FALSE)-SUMIFS($E$2:$E4761,$C$2:$C4761,C4761,$D$2:$D4761,"*Package*"))</f>
        <v/>
      </c>
      <c r="G4761" t="str">
        <f t="shared" si="107"/>
        <v/>
      </c>
      <c r="H4761" s="33">
        <f>IF(ISNUMBER(SEARCH("Group",D4761)),IF(G4761="",E4761,IFERROR(E4761/COUNTIF($G2:$G6000,G4761),E4761)),E4761)</f>
        <v>0</v>
      </c>
      <c r="I4761" s="1" t="str">
        <f>IFERROR(VLOOKUP(C4761,'Clients List'!A:F,6,FALSE),"")</f>
        <v/>
      </c>
    </row>
    <row r="4762" spans="4:9" x14ac:dyDescent="0.45">
      <c r="D4762" t="str">
        <f>IFERROR(VLOOKUP(C4762,'Clients List'!$A:$F,2,FALSE),"")</f>
        <v/>
      </c>
      <c r="F4762" s="1" t="str">
        <f>IF(OR(C4762="",NOT(ISNUMBER(SEARCH("Package",D4762)))),"",VLOOKUP(C4762,'Clients List'!$A:$F,4,FALSE)-SUMIFS($E$2:$E4762,$C$2:$C4762,C4762,$D$2:$D4762,"*Package*"))</f>
        <v/>
      </c>
      <c r="G4762" t="str">
        <f t="shared" si="107"/>
        <v/>
      </c>
      <c r="H4762" s="33">
        <f>IF(ISNUMBER(SEARCH("Group",D4762)),IF(G4762="",E4762,IFERROR(E4762/COUNTIF($G2:$G6000,G4762),E4762)),E4762)</f>
        <v>0</v>
      </c>
      <c r="I4762" s="1" t="str">
        <f>IFERROR(VLOOKUP(C4762,'Clients List'!A:F,6,FALSE),"")</f>
        <v/>
      </c>
    </row>
    <row r="4763" spans="4:9" x14ac:dyDescent="0.45">
      <c r="D4763" t="str">
        <f>IFERROR(VLOOKUP(C4763,'Clients List'!$A:$F,2,FALSE),"")</f>
        <v/>
      </c>
      <c r="F4763" s="1" t="str">
        <f>IF(OR(C4763="",NOT(ISNUMBER(SEARCH("Package",D4763)))),"",VLOOKUP(C4763,'Clients List'!$A:$F,4,FALSE)-SUMIFS($E$2:$E4763,$C$2:$C4763,C4763,$D$2:$D4763,"*Package*"))</f>
        <v/>
      </c>
      <c r="G4763" t="str">
        <f t="shared" si="107"/>
        <v/>
      </c>
      <c r="H4763" s="33">
        <f>IF(ISNUMBER(SEARCH("Group",D4763)),IF(G4763="",E4763,IFERROR(E4763/COUNTIF($G2:$G6000,G4763),E4763)),E4763)</f>
        <v>0</v>
      </c>
      <c r="I4763" s="1" t="str">
        <f>IFERROR(VLOOKUP(C4763,'Clients List'!A:F,6,FALSE),"")</f>
        <v/>
      </c>
    </row>
    <row r="4764" spans="4:9" x14ac:dyDescent="0.45">
      <c r="D4764" t="str">
        <f>IFERROR(VLOOKUP(C4764,'Clients List'!$A:$F,2,FALSE),"")</f>
        <v/>
      </c>
      <c r="F4764" s="1" t="str">
        <f>IF(OR(C4764="",NOT(ISNUMBER(SEARCH("Package",D4764)))),"",VLOOKUP(C4764,'Clients List'!$A:$F,4,FALSE)-SUMIFS($E$2:$E4764,$C$2:$C4764,C4764,$D$2:$D4764,"*Package*"))</f>
        <v/>
      </c>
      <c r="G4764" t="str">
        <f t="shared" si="107"/>
        <v/>
      </c>
      <c r="H4764" s="33">
        <f>IF(ISNUMBER(SEARCH("Group",D4764)),IF(G4764="",E4764,IFERROR(E4764/COUNTIF($G2:$G6000,G4764),E4764)),E4764)</f>
        <v>0</v>
      </c>
      <c r="I4764" s="1" t="str">
        <f>IFERROR(VLOOKUP(C4764,'Clients List'!A:F,6,FALSE),"")</f>
        <v/>
      </c>
    </row>
    <row r="4765" spans="4:9" x14ac:dyDescent="0.45">
      <c r="D4765" t="str">
        <f>IFERROR(VLOOKUP(C4765,'Clients List'!$A:$F,2,FALSE),"")</f>
        <v/>
      </c>
      <c r="F4765" s="1" t="str">
        <f>IF(OR(C4765="",NOT(ISNUMBER(SEARCH("Package",D4765)))),"",VLOOKUP(C4765,'Clients List'!$A:$F,4,FALSE)-SUMIFS($E$2:$E4765,$C$2:$C4765,C4765,$D$2:$D4765,"*Package*"))</f>
        <v/>
      </c>
      <c r="G4765" t="str">
        <f t="shared" si="107"/>
        <v/>
      </c>
      <c r="H4765" s="33">
        <f>IF(ISNUMBER(SEARCH("Group",D4765)),IF(G4765="",E4765,IFERROR(E4765/COUNTIF($G2:$G6000,G4765),E4765)),E4765)</f>
        <v>0</v>
      </c>
      <c r="I4765" s="1" t="str">
        <f>IFERROR(VLOOKUP(C4765,'Clients List'!A:F,6,FALSE),"")</f>
        <v/>
      </c>
    </row>
    <row r="4766" spans="4:9" x14ac:dyDescent="0.45">
      <c r="D4766" t="str">
        <f>IFERROR(VLOOKUP(C4766,'Clients List'!$A:$F,2,FALSE),"")</f>
        <v/>
      </c>
      <c r="F4766" s="1" t="str">
        <f>IF(OR(C4766="",NOT(ISNUMBER(SEARCH("Package",D4766)))),"",VLOOKUP(C4766,'Clients List'!$A:$F,4,FALSE)-SUMIFS($E$2:$E4766,$C$2:$C4766,C4766,$D$2:$D4766,"*Package*"))</f>
        <v/>
      </c>
      <c r="G4766" t="str">
        <f t="shared" si="107"/>
        <v/>
      </c>
      <c r="H4766" s="33">
        <f>IF(ISNUMBER(SEARCH("Group",D4766)),IF(G4766="",E4766,IFERROR(E4766/COUNTIF($G2:$G6000,G4766),E4766)),E4766)</f>
        <v>0</v>
      </c>
      <c r="I4766" s="1" t="str">
        <f>IFERROR(VLOOKUP(C4766,'Clients List'!A:F,6,FALSE),"")</f>
        <v/>
      </c>
    </row>
    <row r="4767" spans="4:9" x14ac:dyDescent="0.45">
      <c r="D4767" t="str">
        <f>IFERROR(VLOOKUP(C4767,'Clients List'!$A:$F,2,FALSE),"")</f>
        <v/>
      </c>
      <c r="F4767" s="1" t="str">
        <f>IF(OR(C4767="",NOT(ISNUMBER(SEARCH("Package",D4767)))),"",VLOOKUP(C4767,'Clients List'!$A:$F,4,FALSE)-SUMIFS($E$2:$E4767,$C$2:$C4767,C4767,$D$2:$D4767,"*Package*"))</f>
        <v/>
      </c>
      <c r="G4767" t="str">
        <f t="shared" si="107"/>
        <v/>
      </c>
      <c r="H4767" s="33">
        <f>IF(ISNUMBER(SEARCH("Group",D4767)),IF(G4767="",E4767,IFERROR(E4767/COUNTIF($G2:$G6000,G4767),E4767)),E4767)</f>
        <v>0</v>
      </c>
      <c r="I4767" s="1" t="str">
        <f>IFERROR(VLOOKUP(C4767,'Clients List'!A:F,6,FALSE),"")</f>
        <v/>
      </c>
    </row>
    <row r="4768" spans="4:9" x14ac:dyDescent="0.45">
      <c r="D4768" t="str">
        <f>IFERROR(VLOOKUP(C4768,'Clients List'!$A:$F,2,FALSE),"")</f>
        <v/>
      </c>
      <c r="F4768" s="1" t="str">
        <f>IF(OR(C4768="",NOT(ISNUMBER(SEARCH("Package",D4768)))),"",VLOOKUP(C4768,'Clients List'!$A:$F,4,FALSE)-SUMIFS($E$2:$E4768,$C$2:$C4768,C4768,$D$2:$D4768,"*Package*"))</f>
        <v/>
      </c>
      <c r="G4768" t="str">
        <f t="shared" si="107"/>
        <v/>
      </c>
      <c r="H4768" s="33">
        <f>IF(ISNUMBER(SEARCH("Group",D4768)),IF(G4768="",E4768,IFERROR(E4768/COUNTIF($G2:$G6000,G4768),E4768)),E4768)</f>
        <v>0</v>
      </c>
      <c r="I4768" s="1" t="str">
        <f>IFERROR(VLOOKUP(C4768,'Clients List'!A:F,6,FALSE),"")</f>
        <v/>
      </c>
    </row>
    <row r="4769" spans="4:9" x14ac:dyDescent="0.45">
      <c r="D4769" t="str">
        <f>IFERROR(VLOOKUP(C4769,'Clients List'!$A:$F,2,FALSE),"")</f>
        <v/>
      </c>
      <c r="F4769" s="1" t="str">
        <f>IF(OR(C4769="",NOT(ISNUMBER(SEARCH("Package",D4769)))),"",VLOOKUP(C4769,'Clients List'!$A:$F,4,FALSE)-SUMIFS($E$2:$E4769,$C$2:$C4769,C4769,$D$2:$D4769,"*Package*"))</f>
        <v/>
      </c>
      <c r="G4769" t="str">
        <f t="shared" si="107"/>
        <v/>
      </c>
      <c r="H4769" s="33">
        <f>IF(ISNUMBER(SEARCH("Group",D4769)),IF(G4769="",E4769,IFERROR(E4769/COUNTIF($G2:$G6000,G4769),E4769)),E4769)</f>
        <v>0</v>
      </c>
      <c r="I4769" s="1" t="str">
        <f>IFERROR(VLOOKUP(C4769,'Clients List'!A:F,6,FALSE),"")</f>
        <v/>
      </c>
    </row>
    <row r="4770" spans="4:9" x14ac:dyDescent="0.45">
      <c r="D4770" t="str">
        <f>IFERROR(VLOOKUP(C4770,'Clients List'!$A:$F,2,FALSE),"")</f>
        <v/>
      </c>
      <c r="F4770" s="1" t="str">
        <f>IF(OR(C4770="",NOT(ISNUMBER(SEARCH("Package",D4770)))),"",VLOOKUP(C4770,'Clients List'!$A:$F,4,FALSE)-SUMIFS($E$2:$E4770,$C$2:$C4770,C4770,$D$2:$D4770,"*Package*"))</f>
        <v/>
      </c>
      <c r="G4770" t="str">
        <f t="shared" si="107"/>
        <v/>
      </c>
      <c r="H4770" s="33">
        <f>IF(ISNUMBER(SEARCH("Group",D4770)),IF(G4770="",E4770,IFERROR(E4770/COUNTIF($G2:$G6000,G4770),E4770)),E4770)</f>
        <v>0</v>
      </c>
      <c r="I4770" s="1" t="str">
        <f>IFERROR(VLOOKUP(C4770,'Clients List'!A:F,6,FALSE),"")</f>
        <v/>
      </c>
    </row>
    <row r="4771" spans="4:9" x14ac:dyDescent="0.45">
      <c r="D4771" t="str">
        <f>IFERROR(VLOOKUP(C4771,'Clients List'!$A:$F,2,FALSE),"")</f>
        <v/>
      </c>
      <c r="F4771" s="1" t="str">
        <f>IF(OR(C4771="",NOT(ISNUMBER(SEARCH("Package",D4771)))),"",VLOOKUP(C4771,'Clients List'!$A:$F,4,FALSE)-SUMIFS($E$2:$E4771,$C$2:$C4771,C4771,$D$2:$D4771,"*Package*"))</f>
        <v/>
      </c>
      <c r="G4771" t="str">
        <f t="shared" si="107"/>
        <v/>
      </c>
      <c r="H4771" s="33">
        <f>IF(ISNUMBER(SEARCH("Group",D4771)),IF(G4771="",E4771,IFERROR(E4771/COUNTIF($G2:$G6000,G4771),E4771)),E4771)</f>
        <v>0</v>
      </c>
      <c r="I4771" s="1" t="str">
        <f>IFERROR(VLOOKUP(C4771,'Clients List'!A:F,6,FALSE),"")</f>
        <v/>
      </c>
    </row>
    <row r="4772" spans="4:9" x14ac:dyDescent="0.45">
      <c r="D4772" t="str">
        <f>IFERROR(VLOOKUP(C4772,'Clients List'!$A:$F,2,FALSE),"")</f>
        <v/>
      </c>
      <c r="F4772" s="1" t="str">
        <f>IF(OR(C4772="",NOT(ISNUMBER(SEARCH("Package",D4772)))),"",VLOOKUP(C4772,'Clients List'!$A:$F,4,FALSE)-SUMIFS($E$2:$E4772,$C$2:$C4772,C4772,$D$2:$D4772,"*Package*"))</f>
        <v/>
      </c>
      <c r="G4772" t="str">
        <f t="shared" si="107"/>
        <v/>
      </c>
      <c r="H4772" s="33">
        <f>IF(ISNUMBER(SEARCH("Group",D4772)),IF(G4772="",E4772,IFERROR(E4772/COUNTIF($G2:$G6000,G4772),E4772)),E4772)</f>
        <v>0</v>
      </c>
      <c r="I4772" s="1" t="str">
        <f>IFERROR(VLOOKUP(C4772,'Clients List'!A:F,6,FALSE),"")</f>
        <v/>
      </c>
    </row>
    <row r="4773" spans="4:9" x14ac:dyDescent="0.45">
      <c r="D4773" t="str">
        <f>IFERROR(VLOOKUP(C4773,'Clients List'!$A:$F,2,FALSE),"")</f>
        <v/>
      </c>
      <c r="F4773" s="1" t="str">
        <f>IF(OR(C4773="",NOT(ISNUMBER(SEARCH("Package",D4773)))),"",VLOOKUP(C4773,'Clients List'!$A:$F,4,FALSE)-SUMIFS($E$2:$E4773,$C$2:$C4773,C4773,$D$2:$D4773,"*Package*"))</f>
        <v/>
      </c>
      <c r="G4773" t="str">
        <f t="shared" si="107"/>
        <v/>
      </c>
      <c r="H4773" s="33">
        <f>IF(ISNUMBER(SEARCH("Group",D4773)),IF(G4773="",E4773,IFERROR(E4773/COUNTIF($G2:$G6000,G4773),E4773)),E4773)</f>
        <v>0</v>
      </c>
      <c r="I4773" s="1" t="str">
        <f>IFERROR(VLOOKUP(C4773,'Clients List'!A:F,6,FALSE),"")</f>
        <v/>
      </c>
    </row>
    <row r="4774" spans="4:9" x14ac:dyDescent="0.45">
      <c r="D4774" t="str">
        <f>IFERROR(VLOOKUP(C4774,'Clients List'!$A:$F,2,FALSE),"")</f>
        <v/>
      </c>
      <c r="F4774" s="1" t="str">
        <f>IF(OR(C4774="",NOT(ISNUMBER(SEARCH("Package",D4774)))),"",VLOOKUP(C4774,'Clients List'!$A:$F,4,FALSE)-SUMIFS($E$2:$E4774,$C$2:$C4774,C4774,$D$2:$D4774,"*Package*"))</f>
        <v/>
      </c>
      <c r="G4774" t="str">
        <f t="shared" si="107"/>
        <v/>
      </c>
      <c r="H4774" s="33">
        <f>IF(ISNUMBER(SEARCH("Group",D4774)),IF(G4774="",E4774,IFERROR(E4774/COUNTIF($G2:$G6000,G4774),E4774)),E4774)</f>
        <v>0</v>
      </c>
      <c r="I4774" s="1" t="str">
        <f>IFERROR(VLOOKUP(C4774,'Clients List'!A:F,6,FALSE),"")</f>
        <v/>
      </c>
    </row>
    <row r="4775" spans="4:9" x14ac:dyDescent="0.45">
      <c r="D4775" t="str">
        <f>IFERROR(VLOOKUP(C4775,'Clients List'!$A:$F,2,FALSE),"")</f>
        <v/>
      </c>
      <c r="F4775" s="1" t="str">
        <f>IF(OR(C4775="",NOT(ISNUMBER(SEARCH("Package",D4775)))),"",VLOOKUP(C4775,'Clients List'!$A:$F,4,FALSE)-SUMIFS($E$2:$E4775,$C$2:$C4775,C4775,$D$2:$D4775,"*Package*"))</f>
        <v/>
      </c>
      <c r="G4775" t="str">
        <f t="shared" si="107"/>
        <v/>
      </c>
      <c r="H4775" s="33">
        <f>IF(ISNUMBER(SEARCH("Group",D4775)),IF(G4775="",E4775,IFERROR(E4775/COUNTIF($G2:$G6000,G4775),E4775)),E4775)</f>
        <v>0</v>
      </c>
      <c r="I4775" s="1" t="str">
        <f>IFERROR(VLOOKUP(C4775,'Clients List'!A:F,6,FALSE),"")</f>
        <v/>
      </c>
    </row>
    <row r="4776" spans="4:9" x14ac:dyDescent="0.45">
      <c r="D4776" t="str">
        <f>IFERROR(VLOOKUP(C4776,'Clients List'!$A:$F,2,FALSE),"")</f>
        <v/>
      </c>
      <c r="F4776" s="1" t="str">
        <f>IF(OR(C4776="",NOT(ISNUMBER(SEARCH("Package",D4776)))),"",VLOOKUP(C4776,'Clients List'!$A:$F,4,FALSE)-SUMIFS($E$2:$E4776,$C$2:$C4776,C4776,$D$2:$D4776,"*Package*"))</f>
        <v/>
      </c>
      <c r="G4776" t="str">
        <f t="shared" si="107"/>
        <v/>
      </c>
      <c r="H4776" s="33">
        <f>IF(ISNUMBER(SEARCH("Group",D4776)),IF(G4776="",E4776,IFERROR(E4776/COUNTIF($G2:$G6000,G4776),E4776)),E4776)</f>
        <v>0</v>
      </c>
      <c r="I4776" s="1" t="str">
        <f>IFERROR(VLOOKUP(C4776,'Clients List'!A:F,6,FALSE),"")</f>
        <v/>
      </c>
    </row>
    <row r="4777" spans="4:9" x14ac:dyDescent="0.45">
      <c r="D4777" t="str">
        <f>IFERROR(VLOOKUP(C4777,'Clients List'!$A:$F,2,FALSE),"")</f>
        <v/>
      </c>
      <c r="F4777" s="1" t="str">
        <f>IF(OR(C4777="",NOT(ISNUMBER(SEARCH("Package",D4777)))),"",VLOOKUP(C4777,'Clients List'!$A:$F,4,FALSE)-SUMIFS($E$2:$E4777,$C$2:$C4777,C4777,$D$2:$D4777,"*Package*"))</f>
        <v/>
      </c>
      <c r="G4777" t="str">
        <f t="shared" si="107"/>
        <v/>
      </c>
      <c r="H4777" s="33">
        <f>IF(ISNUMBER(SEARCH("Group",D4777)),IF(G4777="",E4777,IFERROR(E4777/COUNTIF($G2:$G6000,G4777),E4777)),E4777)</f>
        <v>0</v>
      </c>
      <c r="I4777" s="1" t="str">
        <f>IFERROR(VLOOKUP(C4777,'Clients List'!A:F,6,FALSE),"")</f>
        <v/>
      </c>
    </row>
    <row r="4778" spans="4:9" x14ac:dyDescent="0.45">
      <c r="D4778" t="str">
        <f>IFERROR(VLOOKUP(C4778,'Clients List'!$A:$F,2,FALSE),"")</f>
        <v/>
      </c>
      <c r="F4778" s="1" t="str">
        <f>IF(OR(C4778="",NOT(ISNUMBER(SEARCH("Package",D4778)))),"",VLOOKUP(C4778,'Clients List'!$A:$F,4,FALSE)-SUMIFS($E$2:$E4778,$C$2:$C4778,C4778,$D$2:$D4778,"*Package*"))</f>
        <v/>
      </c>
      <c r="G4778" t="str">
        <f t="shared" si="107"/>
        <v/>
      </c>
      <c r="H4778" s="33">
        <f>IF(ISNUMBER(SEARCH("Group",D4778)),IF(G4778="",E4778,IFERROR(E4778/COUNTIF($G2:$G6000,G4778),E4778)),E4778)</f>
        <v>0</v>
      </c>
      <c r="I4778" s="1" t="str">
        <f>IFERROR(VLOOKUP(C4778,'Clients List'!A:F,6,FALSE),"")</f>
        <v/>
      </c>
    </row>
    <row r="4779" spans="4:9" x14ac:dyDescent="0.45">
      <c r="D4779" t="str">
        <f>IFERROR(VLOOKUP(C4779,'Clients List'!$A:$F,2,FALSE),"")</f>
        <v/>
      </c>
      <c r="F4779" s="1" t="str">
        <f>IF(OR(C4779="",NOT(ISNUMBER(SEARCH("Package",D4779)))),"",VLOOKUP(C4779,'Clients List'!$A:$F,4,FALSE)-SUMIFS($E$2:$E4779,$C$2:$C4779,C4779,$D$2:$D4779,"*Package*"))</f>
        <v/>
      </c>
      <c r="G4779" t="str">
        <f t="shared" si="107"/>
        <v/>
      </c>
      <c r="H4779" s="33">
        <f>IF(ISNUMBER(SEARCH("Group",D4779)),IF(G4779="",E4779,IFERROR(E4779/COUNTIF($G2:$G6000,G4779),E4779)),E4779)</f>
        <v>0</v>
      </c>
      <c r="I4779" s="1" t="str">
        <f>IFERROR(VLOOKUP(C4779,'Clients List'!A:F,6,FALSE),"")</f>
        <v/>
      </c>
    </row>
    <row r="4780" spans="4:9" x14ac:dyDescent="0.45">
      <c r="D4780" t="str">
        <f>IFERROR(VLOOKUP(C4780,'Clients List'!$A:$F,2,FALSE),"")</f>
        <v/>
      </c>
      <c r="F4780" s="1" t="str">
        <f>IF(OR(C4780="",NOT(ISNUMBER(SEARCH("Package",D4780)))),"",VLOOKUP(C4780,'Clients List'!$A:$F,4,FALSE)-SUMIFS($E$2:$E4780,$C$2:$C4780,C4780,$D$2:$D4780,"*Package*"))</f>
        <v/>
      </c>
      <c r="G4780" t="str">
        <f t="shared" si="107"/>
        <v/>
      </c>
      <c r="H4780" s="33">
        <f>IF(ISNUMBER(SEARCH("Group",D4780)),IF(G4780="",E4780,IFERROR(E4780/COUNTIF($G2:$G6000,G4780),E4780)),E4780)</f>
        <v>0</v>
      </c>
      <c r="I4780" s="1" t="str">
        <f>IFERROR(VLOOKUP(C4780,'Clients List'!A:F,6,FALSE),"")</f>
        <v/>
      </c>
    </row>
    <row r="4781" spans="4:9" x14ac:dyDescent="0.45">
      <c r="D4781" t="str">
        <f>IFERROR(VLOOKUP(C4781,'Clients List'!$A:$F,2,FALSE),"")</f>
        <v/>
      </c>
      <c r="F4781" s="1" t="str">
        <f>IF(OR(C4781="",NOT(ISNUMBER(SEARCH("Package",D4781)))),"",VLOOKUP(C4781,'Clients List'!$A:$F,4,FALSE)-SUMIFS($E$2:$E4781,$C$2:$C4781,C4781,$D$2:$D4781,"*Package*"))</f>
        <v/>
      </c>
      <c r="G4781" t="str">
        <f t="shared" si="107"/>
        <v/>
      </c>
      <c r="H4781" s="33">
        <f>IF(ISNUMBER(SEARCH("Group",D4781)),IF(G4781="",E4781,IFERROR(E4781/COUNTIF($G2:$G6000,G4781),E4781)),E4781)</f>
        <v>0</v>
      </c>
      <c r="I4781" s="1" t="str">
        <f>IFERROR(VLOOKUP(C4781,'Clients List'!A:F,6,FALSE),"")</f>
        <v/>
      </c>
    </row>
    <row r="4782" spans="4:9" x14ac:dyDescent="0.45">
      <c r="D4782" t="str">
        <f>IFERROR(VLOOKUP(C4782,'Clients List'!$A:$F,2,FALSE),"")</f>
        <v/>
      </c>
      <c r="F4782" s="1" t="str">
        <f>IF(OR(C4782="",NOT(ISNUMBER(SEARCH("Package",D4782)))),"",VLOOKUP(C4782,'Clients List'!$A:$F,4,FALSE)-SUMIFS($E$2:$E4782,$C$2:$C4782,C4782,$D$2:$D4782,"*Package*"))</f>
        <v/>
      </c>
      <c r="G4782" t="str">
        <f t="shared" si="107"/>
        <v/>
      </c>
      <c r="H4782" s="33">
        <f>IF(ISNUMBER(SEARCH("Group",D4782)),IF(G4782="",E4782,IFERROR(E4782/COUNTIF($G2:$G6000,G4782),E4782)),E4782)</f>
        <v>0</v>
      </c>
      <c r="I4782" s="1" t="str">
        <f>IFERROR(VLOOKUP(C4782,'Clients List'!A:F,6,FALSE),"")</f>
        <v/>
      </c>
    </row>
    <row r="4783" spans="4:9" x14ac:dyDescent="0.45">
      <c r="D4783" t="str">
        <f>IFERROR(VLOOKUP(C4783,'Clients List'!$A:$F,2,FALSE),"")</f>
        <v/>
      </c>
      <c r="F4783" s="1" t="str">
        <f>IF(OR(C4783="",NOT(ISNUMBER(SEARCH("Package",D4783)))),"",VLOOKUP(C4783,'Clients List'!$A:$F,4,FALSE)-SUMIFS($E$2:$E4783,$C$2:$C4783,C4783,$D$2:$D4783,"*Package*"))</f>
        <v/>
      </c>
      <c r="G4783" t="str">
        <f t="shared" si="107"/>
        <v/>
      </c>
      <c r="H4783" s="33">
        <f>IF(ISNUMBER(SEARCH("Group",D4783)),IF(G4783="",E4783,IFERROR(E4783/COUNTIF($G2:$G6000,G4783),E4783)),E4783)</f>
        <v>0</v>
      </c>
      <c r="I4783" s="1" t="str">
        <f>IFERROR(VLOOKUP(C4783,'Clients List'!A:F,6,FALSE),"")</f>
        <v/>
      </c>
    </row>
    <row r="4784" spans="4:9" x14ac:dyDescent="0.45">
      <c r="D4784" t="str">
        <f>IFERROR(VLOOKUP(C4784,'Clients List'!$A:$F,2,FALSE),"")</f>
        <v/>
      </c>
      <c r="F4784" s="1" t="str">
        <f>IF(OR(C4784="",NOT(ISNUMBER(SEARCH("Package",D4784)))),"",VLOOKUP(C4784,'Clients List'!$A:$F,4,FALSE)-SUMIFS($E$2:$E4784,$C$2:$C4784,C4784,$D$2:$D4784,"*Package*"))</f>
        <v/>
      </c>
      <c r="G4784" t="str">
        <f t="shared" si="107"/>
        <v/>
      </c>
      <c r="H4784" s="33">
        <f>IF(ISNUMBER(SEARCH("Group",D4784)),IF(G4784="",E4784,IFERROR(E4784/COUNTIF($G2:$G6000,G4784),E4784)),E4784)</f>
        <v>0</v>
      </c>
      <c r="I4784" s="1" t="str">
        <f>IFERROR(VLOOKUP(C4784,'Clients List'!A:F,6,FALSE),"")</f>
        <v/>
      </c>
    </row>
    <row r="4785" spans="4:9" x14ac:dyDescent="0.45">
      <c r="D4785" t="str">
        <f>IFERROR(VLOOKUP(C4785,'Clients List'!$A:$F,2,FALSE),"")</f>
        <v/>
      </c>
      <c r="F4785" s="1" t="str">
        <f>IF(OR(C4785="",NOT(ISNUMBER(SEARCH("Package",D4785)))),"",VLOOKUP(C4785,'Clients List'!$A:$F,4,FALSE)-SUMIFS($E$2:$E4785,$C$2:$C4785,C4785,$D$2:$D4785,"*Package*"))</f>
        <v/>
      </c>
      <c r="G4785" t="str">
        <f t="shared" si="107"/>
        <v/>
      </c>
      <c r="H4785" s="33">
        <f>IF(ISNUMBER(SEARCH("Group",D4785)),IF(G4785="",E4785,IFERROR(E4785/COUNTIF($G2:$G6000,G4785),E4785)),E4785)</f>
        <v>0</v>
      </c>
      <c r="I4785" s="1" t="str">
        <f>IFERROR(VLOOKUP(C4785,'Clients List'!A:F,6,FALSE),"")</f>
        <v/>
      </c>
    </row>
    <row r="4786" spans="4:9" x14ac:dyDescent="0.45">
      <c r="D4786" t="str">
        <f>IFERROR(VLOOKUP(C4786,'Clients List'!$A:$F,2,FALSE),"")</f>
        <v/>
      </c>
      <c r="F4786" s="1" t="str">
        <f>IF(OR(C4786="",NOT(ISNUMBER(SEARCH("Package",D4786)))),"",VLOOKUP(C4786,'Clients List'!$A:$F,4,FALSE)-SUMIFS($E$2:$E4786,$C$2:$C4786,C4786,$D$2:$D4786,"*Package*"))</f>
        <v/>
      </c>
      <c r="G4786" t="str">
        <f t="shared" si="107"/>
        <v/>
      </c>
      <c r="H4786" s="33">
        <f>IF(ISNUMBER(SEARCH("Group",D4786)),IF(G4786="",E4786,IFERROR(E4786/COUNTIF($G2:$G6000,G4786),E4786)),E4786)</f>
        <v>0</v>
      </c>
      <c r="I4786" s="1" t="str">
        <f>IFERROR(VLOOKUP(C4786,'Clients List'!A:F,6,FALSE),"")</f>
        <v/>
      </c>
    </row>
    <row r="4787" spans="4:9" x14ac:dyDescent="0.45">
      <c r="D4787" t="str">
        <f>IFERROR(VLOOKUP(C4787,'Clients List'!$A:$F,2,FALSE),"")</f>
        <v/>
      </c>
      <c r="F4787" s="1" t="str">
        <f>IF(OR(C4787="",NOT(ISNUMBER(SEARCH("Package",D4787)))),"",VLOOKUP(C4787,'Clients List'!$A:$F,4,FALSE)-SUMIFS($E$2:$E4787,$C$2:$C4787,C4787,$D$2:$D4787,"*Package*"))</f>
        <v/>
      </c>
      <c r="G4787" t="str">
        <f t="shared" si="107"/>
        <v/>
      </c>
      <c r="H4787" s="33">
        <f>IF(ISNUMBER(SEARCH("Group",D4787)),IF(G4787="",E4787,IFERROR(E4787/COUNTIF($G2:$G6000,G4787),E4787)),E4787)</f>
        <v>0</v>
      </c>
      <c r="I4787" s="1" t="str">
        <f>IFERROR(VLOOKUP(C4787,'Clients List'!A:F,6,FALSE),"")</f>
        <v/>
      </c>
    </row>
    <row r="4788" spans="4:9" x14ac:dyDescent="0.45">
      <c r="D4788" t="str">
        <f>IFERROR(VLOOKUP(C4788,'Clients List'!$A:$F,2,FALSE),"")</f>
        <v/>
      </c>
      <c r="F4788" s="1" t="str">
        <f>IF(OR(C4788="",NOT(ISNUMBER(SEARCH("Package",D4788)))),"",VLOOKUP(C4788,'Clients List'!$A:$F,4,FALSE)-SUMIFS($E$2:$E4788,$C$2:$C4788,C4788,$D$2:$D4788,"*Package*"))</f>
        <v/>
      </c>
      <c r="G4788" t="str">
        <f t="shared" si="107"/>
        <v/>
      </c>
      <c r="H4788" s="33">
        <f>IF(ISNUMBER(SEARCH("Group",D4788)),IF(G4788="",E4788,IFERROR(E4788/COUNTIF($G2:$G6000,G4788),E4788)),E4788)</f>
        <v>0</v>
      </c>
      <c r="I4788" s="1" t="str">
        <f>IFERROR(VLOOKUP(C4788,'Clients List'!A:F,6,FALSE),"")</f>
        <v/>
      </c>
    </row>
    <row r="4789" spans="4:9" x14ac:dyDescent="0.45">
      <c r="D4789" t="str">
        <f>IFERROR(VLOOKUP(C4789,'Clients List'!$A:$F,2,FALSE),"")</f>
        <v/>
      </c>
      <c r="F4789" s="1" t="str">
        <f>IF(OR(C4789="",NOT(ISNUMBER(SEARCH("Package",D4789)))),"",VLOOKUP(C4789,'Clients List'!$A:$F,4,FALSE)-SUMIFS($E$2:$E4789,$C$2:$C4789,C4789,$D$2:$D4789,"*Package*"))</f>
        <v/>
      </c>
      <c r="G4789" t="str">
        <f t="shared" ref="G4789:G4852" si="108">IF(ISNUMBER(SEARCH("Group",D4789)),IFERROR("GRP-"&amp;TEXT(IF(ISNUMBER(A4789),A4789,DATEVALUE(A4789)),"yyyymmdd"),""),"" )</f>
        <v/>
      </c>
      <c r="H4789" s="33">
        <f>IF(ISNUMBER(SEARCH("Group",D4789)),IF(G4789="",E4789,IFERROR(E4789/COUNTIF($G2:$G6000,G4789),E4789)),E4789)</f>
        <v>0</v>
      </c>
      <c r="I4789" s="1" t="str">
        <f>IFERROR(VLOOKUP(C4789,'Clients List'!A:F,6,FALSE),"")</f>
        <v/>
      </c>
    </row>
    <row r="4790" spans="4:9" x14ac:dyDescent="0.45">
      <c r="D4790" t="str">
        <f>IFERROR(VLOOKUP(C4790,'Clients List'!$A:$F,2,FALSE),"")</f>
        <v/>
      </c>
      <c r="F4790" s="1" t="str">
        <f>IF(OR(C4790="",NOT(ISNUMBER(SEARCH("Package",D4790)))),"",VLOOKUP(C4790,'Clients List'!$A:$F,4,FALSE)-SUMIFS($E$2:$E4790,$C$2:$C4790,C4790,$D$2:$D4790,"*Package*"))</f>
        <v/>
      </c>
      <c r="G4790" t="str">
        <f t="shared" si="108"/>
        <v/>
      </c>
      <c r="H4790" s="33">
        <f>IF(ISNUMBER(SEARCH("Group",D4790)),IF(G4790="",E4790,IFERROR(E4790/COUNTIF($G2:$G6000,G4790),E4790)),E4790)</f>
        <v>0</v>
      </c>
      <c r="I4790" s="1" t="str">
        <f>IFERROR(VLOOKUP(C4790,'Clients List'!A:F,6,FALSE),"")</f>
        <v/>
      </c>
    </row>
    <row r="4791" spans="4:9" x14ac:dyDescent="0.45">
      <c r="D4791" t="str">
        <f>IFERROR(VLOOKUP(C4791,'Clients List'!$A:$F,2,FALSE),"")</f>
        <v/>
      </c>
      <c r="F4791" s="1" t="str">
        <f>IF(OR(C4791="",NOT(ISNUMBER(SEARCH("Package",D4791)))),"",VLOOKUP(C4791,'Clients List'!$A:$F,4,FALSE)-SUMIFS($E$2:$E4791,$C$2:$C4791,C4791,$D$2:$D4791,"*Package*"))</f>
        <v/>
      </c>
      <c r="G4791" t="str">
        <f t="shared" si="108"/>
        <v/>
      </c>
      <c r="H4791" s="33">
        <f>IF(ISNUMBER(SEARCH("Group",D4791)),IF(G4791="",E4791,IFERROR(E4791/COUNTIF($G2:$G6000,G4791),E4791)),E4791)</f>
        <v>0</v>
      </c>
      <c r="I4791" s="1" t="str">
        <f>IFERROR(VLOOKUP(C4791,'Clients List'!A:F,6,FALSE),"")</f>
        <v/>
      </c>
    </row>
    <row r="4792" spans="4:9" x14ac:dyDescent="0.45">
      <c r="D4792" t="str">
        <f>IFERROR(VLOOKUP(C4792,'Clients List'!$A:$F,2,FALSE),"")</f>
        <v/>
      </c>
      <c r="F4792" s="1" t="str">
        <f>IF(OR(C4792="",NOT(ISNUMBER(SEARCH("Package",D4792)))),"",VLOOKUP(C4792,'Clients List'!$A:$F,4,FALSE)-SUMIFS($E$2:$E4792,$C$2:$C4792,C4792,$D$2:$D4792,"*Package*"))</f>
        <v/>
      </c>
      <c r="G4792" t="str">
        <f t="shared" si="108"/>
        <v/>
      </c>
      <c r="H4792" s="33">
        <f>IF(ISNUMBER(SEARCH("Group",D4792)),IF(G4792="",E4792,IFERROR(E4792/COUNTIF($G2:$G6000,G4792),E4792)),E4792)</f>
        <v>0</v>
      </c>
      <c r="I4792" s="1" t="str">
        <f>IFERROR(VLOOKUP(C4792,'Clients List'!A:F,6,FALSE),"")</f>
        <v/>
      </c>
    </row>
    <row r="4793" spans="4:9" x14ac:dyDescent="0.45">
      <c r="D4793" t="str">
        <f>IFERROR(VLOOKUP(C4793,'Clients List'!$A:$F,2,FALSE),"")</f>
        <v/>
      </c>
      <c r="F4793" s="1" t="str">
        <f>IF(OR(C4793="",NOT(ISNUMBER(SEARCH("Package",D4793)))),"",VLOOKUP(C4793,'Clients List'!$A:$F,4,FALSE)-SUMIFS($E$2:$E4793,$C$2:$C4793,C4793,$D$2:$D4793,"*Package*"))</f>
        <v/>
      </c>
      <c r="G4793" t="str">
        <f t="shared" si="108"/>
        <v/>
      </c>
      <c r="H4793" s="33">
        <f>IF(ISNUMBER(SEARCH("Group",D4793)),IF(G4793="",E4793,IFERROR(E4793/COUNTIF($G2:$G6000,G4793),E4793)),E4793)</f>
        <v>0</v>
      </c>
      <c r="I4793" s="1" t="str">
        <f>IFERROR(VLOOKUP(C4793,'Clients List'!A:F,6,FALSE),"")</f>
        <v/>
      </c>
    </row>
    <row r="4794" spans="4:9" x14ac:dyDescent="0.45">
      <c r="D4794" t="str">
        <f>IFERROR(VLOOKUP(C4794,'Clients List'!$A:$F,2,FALSE),"")</f>
        <v/>
      </c>
      <c r="F4794" s="1" t="str">
        <f>IF(OR(C4794="",NOT(ISNUMBER(SEARCH("Package",D4794)))),"",VLOOKUP(C4794,'Clients List'!$A:$F,4,FALSE)-SUMIFS($E$2:$E4794,$C$2:$C4794,C4794,$D$2:$D4794,"*Package*"))</f>
        <v/>
      </c>
      <c r="G4794" t="str">
        <f t="shared" si="108"/>
        <v/>
      </c>
      <c r="H4794" s="33">
        <f>IF(ISNUMBER(SEARCH("Group",D4794)),IF(G4794="",E4794,IFERROR(E4794/COUNTIF($G2:$G6000,G4794),E4794)),E4794)</f>
        <v>0</v>
      </c>
      <c r="I4794" s="1" t="str">
        <f>IFERROR(VLOOKUP(C4794,'Clients List'!A:F,6,FALSE),"")</f>
        <v/>
      </c>
    </row>
    <row r="4795" spans="4:9" x14ac:dyDescent="0.45">
      <c r="D4795" t="str">
        <f>IFERROR(VLOOKUP(C4795,'Clients List'!$A:$F,2,FALSE),"")</f>
        <v/>
      </c>
      <c r="F4795" s="1" t="str">
        <f>IF(OR(C4795="",NOT(ISNUMBER(SEARCH("Package",D4795)))),"",VLOOKUP(C4795,'Clients List'!$A:$F,4,FALSE)-SUMIFS($E$2:$E4795,$C$2:$C4795,C4795,$D$2:$D4795,"*Package*"))</f>
        <v/>
      </c>
      <c r="G4795" t="str">
        <f t="shared" si="108"/>
        <v/>
      </c>
      <c r="H4795" s="33">
        <f>IF(ISNUMBER(SEARCH("Group",D4795)),IF(G4795="",E4795,IFERROR(E4795/COUNTIF($G2:$G6000,G4795),E4795)),E4795)</f>
        <v>0</v>
      </c>
      <c r="I4795" s="1" t="str">
        <f>IFERROR(VLOOKUP(C4795,'Clients List'!A:F,6,FALSE),"")</f>
        <v/>
      </c>
    </row>
    <row r="4796" spans="4:9" x14ac:dyDescent="0.45">
      <c r="D4796" t="str">
        <f>IFERROR(VLOOKUP(C4796,'Clients List'!$A:$F,2,FALSE),"")</f>
        <v/>
      </c>
      <c r="F4796" s="1" t="str">
        <f>IF(OR(C4796="",NOT(ISNUMBER(SEARCH("Package",D4796)))),"",VLOOKUP(C4796,'Clients List'!$A:$F,4,FALSE)-SUMIFS($E$2:$E4796,$C$2:$C4796,C4796,$D$2:$D4796,"*Package*"))</f>
        <v/>
      </c>
      <c r="G4796" t="str">
        <f t="shared" si="108"/>
        <v/>
      </c>
      <c r="H4796" s="33">
        <f>IF(ISNUMBER(SEARCH("Group",D4796)),IF(G4796="",E4796,IFERROR(E4796/COUNTIF($G2:$G6000,G4796),E4796)),E4796)</f>
        <v>0</v>
      </c>
      <c r="I4796" s="1" t="str">
        <f>IFERROR(VLOOKUP(C4796,'Clients List'!A:F,6,FALSE),"")</f>
        <v/>
      </c>
    </row>
    <row r="4797" spans="4:9" x14ac:dyDescent="0.45">
      <c r="D4797" t="str">
        <f>IFERROR(VLOOKUP(C4797,'Clients List'!$A:$F,2,FALSE),"")</f>
        <v/>
      </c>
      <c r="F4797" s="1" t="str">
        <f>IF(OR(C4797="",NOT(ISNUMBER(SEARCH("Package",D4797)))),"",VLOOKUP(C4797,'Clients List'!$A:$F,4,FALSE)-SUMIFS($E$2:$E4797,$C$2:$C4797,C4797,$D$2:$D4797,"*Package*"))</f>
        <v/>
      </c>
      <c r="G4797" t="str">
        <f t="shared" si="108"/>
        <v/>
      </c>
      <c r="H4797" s="33">
        <f>IF(ISNUMBER(SEARCH("Group",D4797)),IF(G4797="",E4797,IFERROR(E4797/COUNTIF($G2:$G6000,G4797),E4797)),E4797)</f>
        <v>0</v>
      </c>
      <c r="I4797" s="1" t="str">
        <f>IFERROR(VLOOKUP(C4797,'Clients List'!A:F,6,FALSE),"")</f>
        <v/>
      </c>
    </row>
    <row r="4798" spans="4:9" x14ac:dyDescent="0.45">
      <c r="D4798" t="str">
        <f>IFERROR(VLOOKUP(C4798,'Clients List'!$A:$F,2,FALSE),"")</f>
        <v/>
      </c>
      <c r="F4798" s="1" t="str">
        <f>IF(OR(C4798="",NOT(ISNUMBER(SEARCH("Package",D4798)))),"",VLOOKUP(C4798,'Clients List'!$A:$F,4,FALSE)-SUMIFS($E$2:$E4798,$C$2:$C4798,C4798,$D$2:$D4798,"*Package*"))</f>
        <v/>
      </c>
      <c r="G4798" t="str">
        <f t="shared" si="108"/>
        <v/>
      </c>
      <c r="H4798" s="33">
        <f>IF(ISNUMBER(SEARCH("Group",D4798)),IF(G4798="",E4798,IFERROR(E4798/COUNTIF($G2:$G6000,G4798),E4798)),E4798)</f>
        <v>0</v>
      </c>
      <c r="I4798" s="1" t="str">
        <f>IFERROR(VLOOKUP(C4798,'Clients List'!A:F,6,FALSE),"")</f>
        <v/>
      </c>
    </row>
    <row r="4799" spans="4:9" x14ac:dyDescent="0.45">
      <c r="D4799" t="str">
        <f>IFERROR(VLOOKUP(C4799,'Clients List'!$A:$F,2,FALSE),"")</f>
        <v/>
      </c>
      <c r="F4799" s="1" t="str">
        <f>IF(OR(C4799="",NOT(ISNUMBER(SEARCH("Package",D4799)))),"",VLOOKUP(C4799,'Clients List'!$A:$F,4,FALSE)-SUMIFS($E$2:$E4799,$C$2:$C4799,C4799,$D$2:$D4799,"*Package*"))</f>
        <v/>
      </c>
      <c r="G4799" t="str">
        <f t="shared" si="108"/>
        <v/>
      </c>
      <c r="H4799" s="33">
        <f>IF(ISNUMBER(SEARCH("Group",D4799)),IF(G4799="",E4799,IFERROR(E4799/COUNTIF($G2:$G6000,G4799),E4799)),E4799)</f>
        <v>0</v>
      </c>
      <c r="I4799" s="1" t="str">
        <f>IFERROR(VLOOKUP(C4799,'Clients List'!A:F,6,FALSE),"")</f>
        <v/>
      </c>
    </row>
    <row r="4800" spans="4:9" x14ac:dyDescent="0.45">
      <c r="D4800" t="str">
        <f>IFERROR(VLOOKUP(C4800,'Clients List'!$A:$F,2,FALSE),"")</f>
        <v/>
      </c>
      <c r="F4800" s="1" t="str">
        <f>IF(OR(C4800="",NOT(ISNUMBER(SEARCH("Package",D4800)))),"",VLOOKUP(C4800,'Clients List'!$A:$F,4,FALSE)-SUMIFS($E$2:$E4800,$C$2:$C4800,C4800,$D$2:$D4800,"*Package*"))</f>
        <v/>
      </c>
      <c r="G4800" t="str">
        <f t="shared" si="108"/>
        <v/>
      </c>
      <c r="H4800" s="33">
        <f>IF(ISNUMBER(SEARCH("Group",D4800)),IF(G4800="",E4800,IFERROR(E4800/COUNTIF($G2:$G6000,G4800),E4800)),E4800)</f>
        <v>0</v>
      </c>
      <c r="I4800" s="1" t="str">
        <f>IFERROR(VLOOKUP(C4800,'Clients List'!A:F,6,FALSE),"")</f>
        <v/>
      </c>
    </row>
    <row r="4801" spans="4:9" x14ac:dyDescent="0.45">
      <c r="D4801" t="str">
        <f>IFERROR(VLOOKUP(C4801,'Clients List'!$A:$F,2,FALSE),"")</f>
        <v/>
      </c>
      <c r="F4801" s="1" t="str">
        <f>IF(OR(C4801="",NOT(ISNUMBER(SEARCH("Package",D4801)))),"",VLOOKUP(C4801,'Clients List'!$A:$F,4,FALSE)-SUMIFS($E$2:$E4801,$C$2:$C4801,C4801,$D$2:$D4801,"*Package*"))</f>
        <v/>
      </c>
      <c r="G4801" t="str">
        <f t="shared" si="108"/>
        <v/>
      </c>
      <c r="H4801" s="33">
        <f>IF(ISNUMBER(SEARCH("Group",D4801)),IF(G4801="",E4801,IFERROR(E4801/COUNTIF($G2:$G6000,G4801),E4801)),E4801)</f>
        <v>0</v>
      </c>
      <c r="I4801" s="1" t="str">
        <f>IFERROR(VLOOKUP(C4801,'Clients List'!A:F,6,FALSE),"")</f>
        <v/>
      </c>
    </row>
    <row r="4802" spans="4:9" x14ac:dyDescent="0.45">
      <c r="D4802" t="str">
        <f>IFERROR(VLOOKUP(C4802,'Clients List'!$A:$F,2,FALSE),"")</f>
        <v/>
      </c>
      <c r="F4802" s="1" t="str">
        <f>IF(OR(C4802="",NOT(ISNUMBER(SEARCH("Package",D4802)))),"",VLOOKUP(C4802,'Clients List'!$A:$F,4,FALSE)-SUMIFS($E$2:$E4802,$C$2:$C4802,C4802,$D$2:$D4802,"*Package*"))</f>
        <v/>
      </c>
      <c r="G4802" t="str">
        <f t="shared" si="108"/>
        <v/>
      </c>
      <c r="H4802" s="33">
        <f>IF(ISNUMBER(SEARCH("Group",D4802)),IF(G4802="",E4802,IFERROR(E4802/COUNTIF($G2:$G6000,G4802),E4802)),E4802)</f>
        <v>0</v>
      </c>
      <c r="I4802" s="1" t="str">
        <f>IFERROR(VLOOKUP(C4802,'Clients List'!A:F,6,FALSE),"")</f>
        <v/>
      </c>
    </row>
    <row r="4803" spans="4:9" x14ac:dyDescent="0.45">
      <c r="D4803" t="str">
        <f>IFERROR(VLOOKUP(C4803,'Clients List'!$A:$F,2,FALSE),"")</f>
        <v/>
      </c>
      <c r="F4803" s="1" t="str">
        <f>IF(OR(C4803="",NOT(ISNUMBER(SEARCH("Package",D4803)))),"",VLOOKUP(C4803,'Clients List'!$A:$F,4,FALSE)-SUMIFS($E$2:$E4803,$C$2:$C4803,C4803,$D$2:$D4803,"*Package*"))</f>
        <v/>
      </c>
      <c r="G4803" t="str">
        <f t="shared" si="108"/>
        <v/>
      </c>
      <c r="H4803" s="33">
        <f>IF(ISNUMBER(SEARCH("Group",D4803)),IF(G4803="",E4803,IFERROR(E4803/COUNTIF($G2:$G6000,G4803),E4803)),E4803)</f>
        <v>0</v>
      </c>
      <c r="I4803" s="1" t="str">
        <f>IFERROR(VLOOKUP(C4803,'Clients List'!A:F,6,FALSE),"")</f>
        <v/>
      </c>
    </row>
    <row r="4804" spans="4:9" x14ac:dyDescent="0.45">
      <c r="D4804" t="str">
        <f>IFERROR(VLOOKUP(C4804,'Clients List'!$A:$F,2,FALSE),"")</f>
        <v/>
      </c>
      <c r="F4804" s="1" t="str">
        <f>IF(OR(C4804="",NOT(ISNUMBER(SEARCH("Package",D4804)))),"",VLOOKUP(C4804,'Clients List'!$A:$F,4,FALSE)-SUMIFS($E$2:$E4804,$C$2:$C4804,C4804,$D$2:$D4804,"*Package*"))</f>
        <v/>
      </c>
      <c r="G4804" t="str">
        <f t="shared" si="108"/>
        <v/>
      </c>
      <c r="H4804" s="33">
        <f>IF(ISNUMBER(SEARCH("Group",D4804)),IF(G4804="",E4804,IFERROR(E4804/COUNTIF($G2:$G6000,G4804),E4804)),E4804)</f>
        <v>0</v>
      </c>
      <c r="I4804" s="1" t="str">
        <f>IFERROR(VLOOKUP(C4804,'Clients List'!A:F,6,FALSE),"")</f>
        <v/>
      </c>
    </row>
    <row r="4805" spans="4:9" x14ac:dyDescent="0.45">
      <c r="D4805" t="str">
        <f>IFERROR(VLOOKUP(C4805,'Clients List'!$A:$F,2,FALSE),"")</f>
        <v/>
      </c>
      <c r="F4805" s="1" t="str">
        <f>IF(OR(C4805="",NOT(ISNUMBER(SEARCH("Package",D4805)))),"",VLOOKUP(C4805,'Clients List'!$A:$F,4,FALSE)-SUMIFS($E$2:$E4805,$C$2:$C4805,C4805,$D$2:$D4805,"*Package*"))</f>
        <v/>
      </c>
      <c r="G4805" t="str">
        <f t="shared" si="108"/>
        <v/>
      </c>
      <c r="H4805" s="33">
        <f>IF(ISNUMBER(SEARCH("Group",D4805)),IF(G4805="",E4805,IFERROR(E4805/COUNTIF($G2:$G6000,G4805),E4805)),E4805)</f>
        <v>0</v>
      </c>
      <c r="I4805" s="1" t="str">
        <f>IFERROR(VLOOKUP(C4805,'Clients List'!A:F,6,FALSE),"")</f>
        <v/>
      </c>
    </row>
    <row r="4806" spans="4:9" x14ac:dyDescent="0.45">
      <c r="D4806" t="str">
        <f>IFERROR(VLOOKUP(C4806,'Clients List'!$A:$F,2,FALSE),"")</f>
        <v/>
      </c>
      <c r="F4806" s="1" t="str">
        <f>IF(OR(C4806="",NOT(ISNUMBER(SEARCH("Package",D4806)))),"",VLOOKUP(C4806,'Clients List'!$A:$F,4,FALSE)-SUMIFS($E$2:$E4806,$C$2:$C4806,C4806,$D$2:$D4806,"*Package*"))</f>
        <v/>
      </c>
      <c r="G4806" t="str">
        <f t="shared" si="108"/>
        <v/>
      </c>
      <c r="H4806" s="33">
        <f>IF(ISNUMBER(SEARCH("Group",D4806)),IF(G4806="",E4806,IFERROR(E4806/COUNTIF($G2:$G6000,G4806),E4806)),E4806)</f>
        <v>0</v>
      </c>
      <c r="I4806" s="1" t="str">
        <f>IFERROR(VLOOKUP(C4806,'Clients List'!A:F,6,FALSE),"")</f>
        <v/>
      </c>
    </row>
    <row r="4807" spans="4:9" x14ac:dyDescent="0.45">
      <c r="D4807" t="str">
        <f>IFERROR(VLOOKUP(C4807,'Clients List'!$A:$F,2,FALSE),"")</f>
        <v/>
      </c>
      <c r="F4807" s="1" t="str">
        <f>IF(OR(C4807="",NOT(ISNUMBER(SEARCH("Package",D4807)))),"",VLOOKUP(C4807,'Clients List'!$A:$F,4,FALSE)-SUMIFS($E$2:$E4807,$C$2:$C4807,C4807,$D$2:$D4807,"*Package*"))</f>
        <v/>
      </c>
      <c r="G4807" t="str">
        <f t="shared" si="108"/>
        <v/>
      </c>
      <c r="H4807" s="33">
        <f>IF(ISNUMBER(SEARCH("Group",D4807)),IF(G4807="",E4807,IFERROR(E4807/COUNTIF($G2:$G6000,G4807),E4807)),E4807)</f>
        <v>0</v>
      </c>
      <c r="I4807" s="1" t="str">
        <f>IFERROR(VLOOKUP(C4807,'Clients List'!A:F,6,FALSE),"")</f>
        <v/>
      </c>
    </row>
    <row r="4808" spans="4:9" x14ac:dyDescent="0.45">
      <c r="D4808" t="str">
        <f>IFERROR(VLOOKUP(C4808,'Clients List'!$A:$F,2,FALSE),"")</f>
        <v/>
      </c>
      <c r="F4808" s="1" t="str">
        <f>IF(OR(C4808="",NOT(ISNUMBER(SEARCH("Package",D4808)))),"",VLOOKUP(C4808,'Clients List'!$A:$F,4,FALSE)-SUMIFS($E$2:$E4808,$C$2:$C4808,C4808,$D$2:$D4808,"*Package*"))</f>
        <v/>
      </c>
      <c r="G4808" t="str">
        <f t="shared" si="108"/>
        <v/>
      </c>
      <c r="H4808" s="33">
        <f>IF(ISNUMBER(SEARCH("Group",D4808)),IF(G4808="",E4808,IFERROR(E4808/COUNTIF($G2:$G6000,G4808),E4808)),E4808)</f>
        <v>0</v>
      </c>
      <c r="I4808" s="1" t="str">
        <f>IFERROR(VLOOKUP(C4808,'Clients List'!A:F,6,FALSE),"")</f>
        <v/>
      </c>
    </row>
    <row r="4809" spans="4:9" x14ac:dyDescent="0.45">
      <c r="D4809" t="str">
        <f>IFERROR(VLOOKUP(C4809,'Clients List'!$A:$F,2,FALSE),"")</f>
        <v/>
      </c>
      <c r="F4809" s="1" t="str">
        <f>IF(OR(C4809="",NOT(ISNUMBER(SEARCH("Package",D4809)))),"",VLOOKUP(C4809,'Clients List'!$A:$F,4,FALSE)-SUMIFS($E$2:$E4809,$C$2:$C4809,C4809,$D$2:$D4809,"*Package*"))</f>
        <v/>
      </c>
      <c r="G4809" t="str">
        <f t="shared" si="108"/>
        <v/>
      </c>
      <c r="H4809" s="33">
        <f>IF(ISNUMBER(SEARCH("Group",D4809)),IF(G4809="",E4809,IFERROR(E4809/COUNTIF($G2:$G6000,G4809),E4809)),E4809)</f>
        <v>0</v>
      </c>
      <c r="I4809" s="1" t="str">
        <f>IFERROR(VLOOKUP(C4809,'Clients List'!A:F,6,FALSE),"")</f>
        <v/>
      </c>
    </row>
    <row r="4810" spans="4:9" x14ac:dyDescent="0.45">
      <c r="D4810" t="str">
        <f>IFERROR(VLOOKUP(C4810,'Clients List'!$A:$F,2,FALSE),"")</f>
        <v/>
      </c>
      <c r="F4810" s="1" t="str">
        <f>IF(OR(C4810="",NOT(ISNUMBER(SEARCH("Package",D4810)))),"",VLOOKUP(C4810,'Clients List'!$A:$F,4,FALSE)-SUMIFS($E$2:$E4810,$C$2:$C4810,C4810,$D$2:$D4810,"*Package*"))</f>
        <v/>
      </c>
      <c r="G4810" t="str">
        <f t="shared" si="108"/>
        <v/>
      </c>
      <c r="H4810" s="33">
        <f>IF(ISNUMBER(SEARCH("Group",D4810)),IF(G4810="",E4810,IFERROR(E4810/COUNTIF($G2:$G6000,G4810),E4810)),E4810)</f>
        <v>0</v>
      </c>
      <c r="I4810" s="1" t="str">
        <f>IFERROR(VLOOKUP(C4810,'Clients List'!A:F,6,FALSE),"")</f>
        <v/>
      </c>
    </row>
    <row r="4811" spans="4:9" x14ac:dyDescent="0.45">
      <c r="D4811" t="str">
        <f>IFERROR(VLOOKUP(C4811,'Clients List'!$A:$F,2,FALSE),"")</f>
        <v/>
      </c>
      <c r="F4811" s="1" t="str">
        <f>IF(OR(C4811="",NOT(ISNUMBER(SEARCH("Package",D4811)))),"",VLOOKUP(C4811,'Clients List'!$A:$F,4,FALSE)-SUMIFS($E$2:$E4811,$C$2:$C4811,C4811,$D$2:$D4811,"*Package*"))</f>
        <v/>
      </c>
      <c r="G4811" t="str">
        <f t="shared" si="108"/>
        <v/>
      </c>
      <c r="H4811" s="33">
        <f>IF(ISNUMBER(SEARCH("Group",D4811)),IF(G4811="",E4811,IFERROR(E4811/COUNTIF($G2:$G6000,G4811),E4811)),E4811)</f>
        <v>0</v>
      </c>
      <c r="I4811" s="1" t="str">
        <f>IFERROR(VLOOKUP(C4811,'Clients List'!A:F,6,FALSE),"")</f>
        <v/>
      </c>
    </row>
    <row r="4812" spans="4:9" x14ac:dyDescent="0.45">
      <c r="D4812" t="str">
        <f>IFERROR(VLOOKUP(C4812,'Clients List'!$A:$F,2,FALSE),"")</f>
        <v/>
      </c>
      <c r="F4812" s="1" t="str">
        <f>IF(OR(C4812="",NOT(ISNUMBER(SEARCH("Package",D4812)))),"",VLOOKUP(C4812,'Clients List'!$A:$F,4,FALSE)-SUMIFS($E$2:$E4812,$C$2:$C4812,C4812,$D$2:$D4812,"*Package*"))</f>
        <v/>
      </c>
      <c r="G4812" t="str">
        <f t="shared" si="108"/>
        <v/>
      </c>
      <c r="H4812" s="33">
        <f>IF(ISNUMBER(SEARCH("Group",D4812)),IF(G4812="",E4812,IFERROR(E4812/COUNTIF($G2:$G6000,G4812),E4812)),E4812)</f>
        <v>0</v>
      </c>
      <c r="I4812" s="1" t="str">
        <f>IFERROR(VLOOKUP(C4812,'Clients List'!A:F,6,FALSE),"")</f>
        <v/>
      </c>
    </row>
    <row r="4813" spans="4:9" x14ac:dyDescent="0.45">
      <c r="D4813" t="str">
        <f>IFERROR(VLOOKUP(C4813,'Clients List'!$A:$F,2,FALSE),"")</f>
        <v/>
      </c>
      <c r="F4813" s="1" t="str">
        <f>IF(OR(C4813="",NOT(ISNUMBER(SEARCH("Package",D4813)))),"",VLOOKUP(C4813,'Clients List'!$A:$F,4,FALSE)-SUMIFS($E$2:$E4813,$C$2:$C4813,C4813,$D$2:$D4813,"*Package*"))</f>
        <v/>
      </c>
      <c r="G4813" t="str">
        <f t="shared" si="108"/>
        <v/>
      </c>
      <c r="H4813" s="33">
        <f>IF(ISNUMBER(SEARCH("Group",D4813)),IF(G4813="",E4813,IFERROR(E4813/COUNTIF($G2:$G6000,G4813),E4813)),E4813)</f>
        <v>0</v>
      </c>
      <c r="I4813" s="1" t="str">
        <f>IFERROR(VLOOKUP(C4813,'Clients List'!A:F,6,FALSE),"")</f>
        <v/>
      </c>
    </row>
    <row r="4814" spans="4:9" x14ac:dyDescent="0.45">
      <c r="D4814" t="str">
        <f>IFERROR(VLOOKUP(C4814,'Clients List'!$A:$F,2,FALSE),"")</f>
        <v/>
      </c>
      <c r="F4814" s="1" t="str">
        <f>IF(OR(C4814="",NOT(ISNUMBER(SEARCH("Package",D4814)))),"",VLOOKUP(C4814,'Clients List'!$A:$F,4,FALSE)-SUMIFS($E$2:$E4814,$C$2:$C4814,C4814,$D$2:$D4814,"*Package*"))</f>
        <v/>
      </c>
      <c r="G4814" t="str">
        <f t="shared" si="108"/>
        <v/>
      </c>
      <c r="H4814" s="33">
        <f>IF(ISNUMBER(SEARCH("Group",D4814)),IF(G4814="",E4814,IFERROR(E4814/COUNTIF($G2:$G6000,G4814),E4814)),E4814)</f>
        <v>0</v>
      </c>
      <c r="I4814" s="1" t="str">
        <f>IFERROR(VLOOKUP(C4814,'Clients List'!A:F,6,FALSE),"")</f>
        <v/>
      </c>
    </row>
    <row r="4815" spans="4:9" x14ac:dyDescent="0.45">
      <c r="D4815" t="str">
        <f>IFERROR(VLOOKUP(C4815,'Clients List'!$A:$F,2,FALSE),"")</f>
        <v/>
      </c>
      <c r="F4815" s="1" t="str">
        <f>IF(OR(C4815="",NOT(ISNUMBER(SEARCH("Package",D4815)))),"",VLOOKUP(C4815,'Clients List'!$A:$F,4,FALSE)-SUMIFS($E$2:$E4815,$C$2:$C4815,C4815,$D$2:$D4815,"*Package*"))</f>
        <v/>
      </c>
      <c r="G4815" t="str">
        <f t="shared" si="108"/>
        <v/>
      </c>
      <c r="H4815" s="33">
        <f>IF(ISNUMBER(SEARCH("Group",D4815)),IF(G4815="",E4815,IFERROR(E4815/COUNTIF($G2:$G6000,G4815),E4815)),E4815)</f>
        <v>0</v>
      </c>
      <c r="I4815" s="1" t="str">
        <f>IFERROR(VLOOKUP(C4815,'Clients List'!A:F,6,FALSE),"")</f>
        <v/>
      </c>
    </row>
    <row r="4816" spans="4:9" x14ac:dyDescent="0.45">
      <c r="D4816" t="str">
        <f>IFERROR(VLOOKUP(C4816,'Clients List'!$A:$F,2,FALSE),"")</f>
        <v/>
      </c>
      <c r="F4816" s="1" t="str">
        <f>IF(OR(C4816="",NOT(ISNUMBER(SEARCH("Package",D4816)))),"",VLOOKUP(C4816,'Clients List'!$A:$F,4,FALSE)-SUMIFS($E$2:$E4816,$C$2:$C4816,C4816,$D$2:$D4816,"*Package*"))</f>
        <v/>
      </c>
      <c r="G4816" t="str">
        <f t="shared" si="108"/>
        <v/>
      </c>
      <c r="H4816" s="33">
        <f>IF(ISNUMBER(SEARCH("Group",D4816)),IF(G4816="",E4816,IFERROR(E4816/COUNTIF($G2:$G6000,G4816),E4816)),E4816)</f>
        <v>0</v>
      </c>
      <c r="I4816" s="1" t="str">
        <f>IFERROR(VLOOKUP(C4816,'Clients List'!A:F,6,FALSE),"")</f>
        <v/>
      </c>
    </row>
    <row r="4817" spans="4:9" x14ac:dyDescent="0.45">
      <c r="D4817" t="str">
        <f>IFERROR(VLOOKUP(C4817,'Clients List'!$A:$F,2,FALSE),"")</f>
        <v/>
      </c>
      <c r="F4817" s="1" t="str">
        <f>IF(OR(C4817="",NOT(ISNUMBER(SEARCH("Package",D4817)))),"",VLOOKUP(C4817,'Clients List'!$A:$F,4,FALSE)-SUMIFS($E$2:$E4817,$C$2:$C4817,C4817,$D$2:$D4817,"*Package*"))</f>
        <v/>
      </c>
      <c r="G4817" t="str">
        <f t="shared" si="108"/>
        <v/>
      </c>
      <c r="H4817" s="33">
        <f>IF(ISNUMBER(SEARCH("Group",D4817)),IF(G4817="",E4817,IFERROR(E4817/COUNTIF($G2:$G6000,G4817),E4817)),E4817)</f>
        <v>0</v>
      </c>
      <c r="I4817" s="1" t="str">
        <f>IFERROR(VLOOKUP(C4817,'Clients List'!A:F,6,FALSE),"")</f>
        <v/>
      </c>
    </row>
    <row r="4818" spans="4:9" x14ac:dyDescent="0.45">
      <c r="D4818" t="str">
        <f>IFERROR(VLOOKUP(C4818,'Clients List'!$A:$F,2,FALSE),"")</f>
        <v/>
      </c>
      <c r="F4818" s="1" t="str">
        <f>IF(OR(C4818="",NOT(ISNUMBER(SEARCH("Package",D4818)))),"",VLOOKUP(C4818,'Clients List'!$A:$F,4,FALSE)-SUMIFS($E$2:$E4818,$C$2:$C4818,C4818,$D$2:$D4818,"*Package*"))</f>
        <v/>
      </c>
      <c r="G4818" t="str">
        <f t="shared" si="108"/>
        <v/>
      </c>
      <c r="H4818" s="33">
        <f>IF(ISNUMBER(SEARCH("Group",D4818)),IF(G4818="",E4818,IFERROR(E4818/COUNTIF($G2:$G6000,G4818),E4818)),E4818)</f>
        <v>0</v>
      </c>
      <c r="I4818" s="1" t="str">
        <f>IFERROR(VLOOKUP(C4818,'Clients List'!A:F,6,FALSE),"")</f>
        <v/>
      </c>
    </row>
    <row r="4819" spans="4:9" x14ac:dyDescent="0.45">
      <c r="D4819" t="str">
        <f>IFERROR(VLOOKUP(C4819,'Clients List'!$A:$F,2,FALSE),"")</f>
        <v/>
      </c>
      <c r="F4819" s="1" t="str">
        <f>IF(OR(C4819="",NOT(ISNUMBER(SEARCH("Package",D4819)))),"",VLOOKUP(C4819,'Clients List'!$A:$F,4,FALSE)-SUMIFS($E$2:$E4819,$C$2:$C4819,C4819,$D$2:$D4819,"*Package*"))</f>
        <v/>
      </c>
      <c r="G4819" t="str">
        <f t="shared" si="108"/>
        <v/>
      </c>
      <c r="H4819" s="33">
        <f>IF(ISNUMBER(SEARCH("Group",D4819)),IF(G4819="",E4819,IFERROR(E4819/COUNTIF($G2:$G6000,G4819),E4819)),E4819)</f>
        <v>0</v>
      </c>
      <c r="I4819" s="1" t="str">
        <f>IFERROR(VLOOKUP(C4819,'Clients List'!A:F,6,FALSE),"")</f>
        <v/>
      </c>
    </row>
    <row r="4820" spans="4:9" x14ac:dyDescent="0.45">
      <c r="D4820" t="str">
        <f>IFERROR(VLOOKUP(C4820,'Clients List'!$A:$F,2,FALSE),"")</f>
        <v/>
      </c>
      <c r="F4820" s="1" t="str">
        <f>IF(OR(C4820="",NOT(ISNUMBER(SEARCH("Package",D4820)))),"",VLOOKUP(C4820,'Clients List'!$A:$F,4,FALSE)-SUMIFS($E$2:$E4820,$C$2:$C4820,C4820,$D$2:$D4820,"*Package*"))</f>
        <v/>
      </c>
      <c r="G4820" t="str">
        <f t="shared" si="108"/>
        <v/>
      </c>
      <c r="H4820" s="33">
        <f>IF(ISNUMBER(SEARCH("Group",D4820)),IF(G4820="",E4820,IFERROR(E4820/COUNTIF($G2:$G6000,G4820),E4820)),E4820)</f>
        <v>0</v>
      </c>
      <c r="I4820" s="1" t="str">
        <f>IFERROR(VLOOKUP(C4820,'Clients List'!A:F,6,FALSE),"")</f>
        <v/>
      </c>
    </row>
    <row r="4821" spans="4:9" x14ac:dyDescent="0.45">
      <c r="D4821" t="str">
        <f>IFERROR(VLOOKUP(C4821,'Clients List'!$A:$F,2,FALSE),"")</f>
        <v/>
      </c>
      <c r="F4821" s="1" t="str">
        <f>IF(OR(C4821="",NOT(ISNUMBER(SEARCH("Package",D4821)))),"",VLOOKUP(C4821,'Clients List'!$A:$F,4,FALSE)-SUMIFS($E$2:$E4821,$C$2:$C4821,C4821,$D$2:$D4821,"*Package*"))</f>
        <v/>
      </c>
      <c r="G4821" t="str">
        <f t="shared" si="108"/>
        <v/>
      </c>
      <c r="H4821" s="33">
        <f>IF(ISNUMBER(SEARCH("Group",D4821)),IF(G4821="",E4821,IFERROR(E4821/COUNTIF($G2:$G6000,G4821),E4821)),E4821)</f>
        <v>0</v>
      </c>
      <c r="I4821" s="1" t="str">
        <f>IFERROR(VLOOKUP(C4821,'Clients List'!A:F,6,FALSE),"")</f>
        <v/>
      </c>
    </row>
    <row r="4822" spans="4:9" x14ac:dyDescent="0.45">
      <c r="D4822" t="str">
        <f>IFERROR(VLOOKUP(C4822,'Clients List'!$A:$F,2,FALSE),"")</f>
        <v/>
      </c>
      <c r="F4822" s="1" t="str">
        <f>IF(OR(C4822="",NOT(ISNUMBER(SEARCH("Package",D4822)))),"",VLOOKUP(C4822,'Clients List'!$A:$F,4,FALSE)-SUMIFS($E$2:$E4822,$C$2:$C4822,C4822,$D$2:$D4822,"*Package*"))</f>
        <v/>
      </c>
      <c r="G4822" t="str">
        <f t="shared" si="108"/>
        <v/>
      </c>
      <c r="H4822" s="33">
        <f>IF(ISNUMBER(SEARCH("Group",D4822)),IF(G4822="",E4822,IFERROR(E4822/COUNTIF($G2:$G6000,G4822),E4822)),E4822)</f>
        <v>0</v>
      </c>
      <c r="I4822" s="1" t="str">
        <f>IFERROR(VLOOKUP(C4822,'Clients List'!A:F,6,FALSE),"")</f>
        <v/>
      </c>
    </row>
    <row r="4823" spans="4:9" x14ac:dyDescent="0.45">
      <c r="D4823" t="str">
        <f>IFERROR(VLOOKUP(C4823,'Clients List'!$A:$F,2,FALSE),"")</f>
        <v/>
      </c>
      <c r="F4823" s="1" t="str">
        <f>IF(OR(C4823="",NOT(ISNUMBER(SEARCH("Package",D4823)))),"",VLOOKUP(C4823,'Clients List'!$A:$F,4,FALSE)-SUMIFS($E$2:$E4823,$C$2:$C4823,C4823,$D$2:$D4823,"*Package*"))</f>
        <v/>
      </c>
      <c r="G4823" t="str">
        <f t="shared" si="108"/>
        <v/>
      </c>
      <c r="H4823" s="33">
        <f>IF(ISNUMBER(SEARCH("Group",D4823)),IF(G4823="",E4823,IFERROR(E4823/COUNTIF($G2:$G6000,G4823),E4823)),E4823)</f>
        <v>0</v>
      </c>
      <c r="I4823" s="1" t="str">
        <f>IFERROR(VLOOKUP(C4823,'Clients List'!A:F,6,FALSE),"")</f>
        <v/>
      </c>
    </row>
    <row r="4824" spans="4:9" x14ac:dyDescent="0.45">
      <c r="D4824" t="str">
        <f>IFERROR(VLOOKUP(C4824,'Clients List'!$A:$F,2,FALSE),"")</f>
        <v/>
      </c>
      <c r="F4824" s="1" t="str">
        <f>IF(OR(C4824="",NOT(ISNUMBER(SEARCH("Package",D4824)))),"",VLOOKUP(C4824,'Clients List'!$A:$F,4,FALSE)-SUMIFS($E$2:$E4824,$C$2:$C4824,C4824,$D$2:$D4824,"*Package*"))</f>
        <v/>
      </c>
      <c r="G4824" t="str">
        <f t="shared" si="108"/>
        <v/>
      </c>
      <c r="H4824" s="33">
        <f>IF(ISNUMBER(SEARCH("Group",D4824)),IF(G4824="",E4824,IFERROR(E4824/COUNTIF($G2:$G6000,G4824),E4824)),E4824)</f>
        <v>0</v>
      </c>
      <c r="I4824" s="1" t="str">
        <f>IFERROR(VLOOKUP(C4824,'Clients List'!A:F,6,FALSE),"")</f>
        <v/>
      </c>
    </row>
    <row r="4825" spans="4:9" x14ac:dyDescent="0.45">
      <c r="D4825" t="str">
        <f>IFERROR(VLOOKUP(C4825,'Clients List'!$A:$F,2,FALSE),"")</f>
        <v/>
      </c>
      <c r="F4825" s="1" t="str">
        <f>IF(OR(C4825="",NOT(ISNUMBER(SEARCH("Package",D4825)))),"",VLOOKUP(C4825,'Clients List'!$A:$F,4,FALSE)-SUMIFS($E$2:$E4825,$C$2:$C4825,C4825,$D$2:$D4825,"*Package*"))</f>
        <v/>
      </c>
      <c r="G4825" t="str">
        <f t="shared" si="108"/>
        <v/>
      </c>
      <c r="H4825" s="33">
        <f>IF(ISNUMBER(SEARCH("Group",D4825)),IF(G4825="",E4825,IFERROR(E4825/COUNTIF($G2:$G6000,G4825),E4825)),E4825)</f>
        <v>0</v>
      </c>
      <c r="I4825" s="1" t="str">
        <f>IFERROR(VLOOKUP(C4825,'Clients List'!A:F,6,FALSE),"")</f>
        <v/>
      </c>
    </row>
    <row r="4826" spans="4:9" x14ac:dyDescent="0.45">
      <c r="D4826" t="str">
        <f>IFERROR(VLOOKUP(C4826,'Clients List'!$A:$F,2,FALSE),"")</f>
        <v/>
      </c>
      <c r="F4826" s="1" t="str">
        <f>IF(OR(C4826="",NOT(ISNUMBER(SEARCH("Package",D4826)))),"",VLOOKUP(C4826,'Clients List'!$A:$F,4,FALSE)-SUMIFS($E$2:$E4826,$C$2:$C4826,C4826,$D$2:$D4826,"*Package*"))</f>
        <v/>
      </c>
      <c r="G4826" t="str">
        <f t="shared" si="108"/>
        <v/>
      </c>
      <c r="H4826" s="33">
        <f>IF(ISNUMBER(SEARCH("Group",D4826)),IF(G4826="",E4826,IFERROR(E4826/COUNTIF($G2:$G6000,G4826),E4826)),E4826)</f>
        <v>0</v>
      </c>
      <c r="I4826" s="1" t="str">
        <f>IFERROR(VLOOKUP(C4826,'Clients List'!A:F,6,FALSE),"")</f>
        <v/>
      </c>
    </row>
    <row r="4827" spans="4:9" x14ac:dyDescent="0.45">
      <c r="D4827" t="str">
        <f>IFERROR(VLOOKUP(C4827,'Clients List'!$A:$F,2,FALSE),"")</f>
        <v/>
      </c>
      <c r="F4827" s="1" t="str">
        <f>IF(OR(C4827="",NOT(ISNUMBER(SEARCH("Package",D4827)))),"",VLOOKUP(C4827,'Clients List'!$A:$F,4,FALSE)-SUMIFS($E$2:$E4827,$C$2:$C4827,C4827,$D$2:$D4827,"*Package*"))</f>
        <v/>
      </c>
      <c r="G4827" t="str">
        <f t="shared" si="108"/>
        <v/>
      </c>
      <c r="H4827" s="33">
        <f>IF(ISNUMBER(SEARCH("Group",D4827)),IF(G4827="",E4827,IFERROR(E4827/COUNTIF($G2:$G6000,G4827),E4827)),E4827)</f>
        <v>0</v>
      </c>
      <c r="I4827" s="1" t="str">
        <f>IFERROR(VLOOKUP(C4827,'Clients List'!A:F,6,FALSE),"")</f>
        <v/>
      </c>
    </row>
    <row r="4828" spans="4:9" x14ac:dyDescent="0.45">
      <c r="D4828" t="str">
        <f>IFERROR(VLOOKUP(C4828,'Clients List'!$A:$F,2,FALSE),"")</f>
        <v/>
      </c>
      <c r="F4828" s="1" t="str">
        <f>IF(OR(C4828="",NOT(ISNUMBER(SEARCH("Package",D4828)))),"",VLOOKUP(C4828,'Clients List'!$A:$F,4,FALSE)-SUMIFS($E$2:$E4828,$C$2:$C4828,C4828,$D$2:$D4828,"*Package*"))</f>
        <v/>
      </c>
      <c r="G4828" t="str">
        <f t="shared" si="108"/>
        <v/>
      </c>
      <c r="H4828" s="33">
        <f>IF(ISNUMBER(SEARCH("Group",D4828)),IF(G4828="",E4828,IFERROR(E4828/COUNTIF($G2:$G6000,G4828),E4828)),E4828)</f>
        <v>0</v>
      </c>
      <c r="I4828" s="1" t="str">
        <f>IFERROR(VLOOKUP(C4828,'Clients List'!A:F,6,FALSE),"")</f>
        <v/>
      </c>
    </row>
    <row r="4829" spans="4:9" x14ac:dyDescent="0.45">
      <c r="D4829" t="str">
        <f>IFERROR(VLOOKUP(C4829,'Clients List'!$A:$F,2,FALSE),"")</f>
        <v/>
      </c>
      <c r="F4829" s="1" t="str">
        <f>IF(OR(C4829="",NOT(ISNUMBER(SEARCH("Package",D4829)))),"",VLOOKUP(C4829,'Clients List'!$A:$F,4,FALSE)-SUMIFS($E$2:$E4829,$C$2:$C4829,C4829,$D$2:$D4829,"*Package*"))</f>
        <v/>
      </c>
      <c r="G4829" t="str">
        <f t="shared" si="108"/>
        <v/>
      </c>
      <c r="H4829" s="33">
        <f>IF(ISNUMBER(SEARCH("Group",D4829)),IF(G4829="",E4829,IFERROR(E4829/COUNTIF($G2:$G6000,G4829),E4829)),E4829)</f>
        <v>0</v>
      </c>
      <c r="I4829" s="1" t="str">
        <f>IFERROR(VLOOKUP(C4829,'Clients List'!A:F,6,FALSE),"")</f>
        <v/>
      </c>
    </row>
    <row r="4830" spans="4:9" x14ac:dyDescent="0.45">
      <c r="D4830" t="str">
        <f>IFERROR(VLOOKUP(C4830,'Clients List'!$A:$F,2,FALSE),"")</f>
        <v/>
      </c>
      <c r="F4830" s="1" t="str">
        <f>IF(OR(C4830="",NOT(ISNUMBER(SEARCH("Package",D4830)))),"",VLOOKUP(C4830,'Clients List'!$A:$F,4,FALSE)-SUMIFS($E$2:$E4830,$C$2:$C4830,C4830,$D$2:$D4830,"*Package*"))</f>
        <v/>
      </c>
      <c r="G4830" t="str">
        <f t="shared" si="108"/>
        <v/>
      </c>
      <c r="H4830" s="33">
        <f>IF(ISNUMBER(SEARCH("Group",D4830)),IF(G4830="",E4830,IFERROR(E4830/COUNTIF($G2:$G6000,G4830),E4830)),E4830)</f>
        <v>0</v>
      </c>
      <c r="I4830" s="1" t="str">
        <f>IFERROR(VLOOKUP(C4830,'Clients List'!A:F,6,FALSE),"")</f>
        <v/>
      </c>
    </row>
    <row r="4831" spans="4:9" x14ac:dyDescent="0.45">
      <c r="D4831" t="str">
        <f>IFERROR(VLOOKUP(C4831,'Clients List'!$A:$F,2,FALSE),"")</f>
        <v/>
      </c>
      <c r="F4831" s="1" t="str">
        <f>IF(OR(C4831="",NOT(ISNUMBER(SEARCH("Package",D4831)))),"",VLOOKUP(C4831,'Clients List'!$A:$F,4,FALSE)-SUMIFS($E$2:$E4831,$C$2:$C4831,C4831,$D$2:$D4831,"*Package*"))</f>
        <v/>
      </c>
      <c r="G4831" t="str">
        <f t="shared" si="108"/>
        <v/>
      </c>
      <c r="H4831" s="33">
        <f>IF(ISNUMBER(SEARCH("Group",D4831)),IF(G4831="",E4831,IFERROR(E4831/COUNTIF($G2:$G6000,G4831),E4831)),E4831)</f>
        <v>0</v>
      </c>
      <c r="I4831" s="1" t="str">
        <f>IFERROR(VLOOKUP(C4831,'Clients List'!A:F,6,FALSE),"")</f>
        <v/>
      </c>
    </row>
    <row r="4832" spans="4:9" x14ac:dyDescent="0.45">
      <c r="D4832" t="str">
        <f>IFERROR(VLOOKUP(C4832,'Clients List'!$A:$F,2,FALSE),"")</f>
        <v/>
      </c>
      <c r="F4832" s="1" t="str">
        <f>IF(OR(C4832="",NOT(ISNUMBER(SEARCH("Package",D4832)))),"",VLOOKUP(C4832,'Clients List'!$A:$F,4,FALSE)-SUMIFS($E$2:$E4832,$C$2:$C4832,C4832,$D$2:$D4832,"*Package*"))</f>
        <v/>
      </c>
      <c r="G4832" t="str">
        <f t="shared" si="108"/>
        <v/>
      </c>
      <c r="H4832" s="33">
        <f>IF(ISNUMBER(SEARCH("Group",D4832)),IF(G4832="",E4832,IFERROR(E4832/COUNTIF($G2:$G6000,G4832),E4832)),E4832)</f>
        <v>0</v>
      </c>
      <c r="I4832" s="1" t="str">
        <f>IFERROR(VLOOKUP(C4832,'Clients List'!A:F,6,FALSE),"")</f>
        <v/>
      </c>
    </row>
    <row r="4833" spans="4:9" x14ac:dyDescent="0.45">
      <c r="D4833" t="str">
        <f>IFERROR(VLOOKUP(C4833,'Clients List'!$A:$F,2,FALSE),"")</f>
        <v/>
      </c>
      <c r="F4833" s="1" t="str">
        <f>IF(OR(C4833="",NOT(ISNUMBER(SEARCH("Package",D4833)))),"",VLOOKUP(C4833,'Clients List'!$A:$F,4,FALSE)-SUMIFS($E$2:$E4833,$C$2:$C4833,C4833,$D$2:$D4833,"*Package*"))</f>
        <v/>
      </c>
      <c r="G4833" t="str">
        <f t="shared" si="108"/>
        <v/>
      </c>
      <c r="H4833" s="33">
        <f>IF(ISNUMBER(SEARCH("Group",D4833)),IF(G4833="",E4833,IFERROR(E4833/COUNTIF($G2:$G6000,G4833),E4833)),E4833)</f>
        <v>0</v>
      </c>
      <c r="I4833" s="1" t="str">
        <f>IFERROR(VLOOKUP(C4833,'Clients List'!A:F,6,FALSE),"")</f>
        <v/>
      </c>
    </row>
    <row r="4834" spans="4:9" x14ac:dyDescent="0.45">
      <c r="D4834" t="str">
        <f>IFERROR(VLOOKUP(C4834,'Clients List'!$A:$F,2,FALSE),"")</f>
        <v/>
      </c>
      <c r="F4834" s="1" t="str">
        <f>IF(OR(C4834="",NOT(ISNUMBER(SEARCH("Package",D4834)))),"",VLOOKUP(C4834,'Clients List'!$A:$F,4,FALSE)-SUMIFS($E$2:$E4834,$C$2:$C4834,C4834,$D$2:$D4834,"*Package*"))</f>
        <v/>
      </c>
      <c r="G4834" t="str">
        <f t="shared" si="108"/>
        <v/>
      </c>
      <c r="H4834" s="33">
        <f>IF(ISNUMBER(SEARCH("Group",D4834)),IF(G4834="",E4834,IFERROR(E4834/COUNTIF($G2:$G6000,G4834),E4834)),E4834)</f>
        <v>0</v>
      </c>
      <c r="I4834" s="1" t="str">
        <f>IFERROR(VLOOKUP(C4834,'Clients List'!A:F,6,FALSE),"")</f>
        <v/>
      </c>
    </row>
    <row r="4835" spans="4:9" x14ac:dyDescent="0.45">
      <c r="D4835" t="str">
        <f>IFERROR(VLOOKUP(C4835,'Clients List'!$A:$F,2,FALSE),"")</f>
        <v/>
      </c>
      <c r="F4835" s="1" t="str">
        <f>IF(OR(C4835="",NOT(ISNUMBER(SEARCH("Package",D4835)))),"",VLOOKUP(C4835,'Clients List'!$A:$F,4,FALSE)-SUMIFS($E$2:$E4835,$C$2:$C4835,C4835,$D$2:$D4835,"*Package*"))</f>
        <v/>
      </c>
      <c r="G4835" t="str">
        <f t="shared" si="108"/>
        <v/>
      </c>
      <c r="H4835" s="33">
        <f>IF(ISNUMBER(SEARCH("Group",D4835)),IF(G4835="",E4835,IFERROR(E4835/COUNTIF($G2:$G6000,G4835),E4835)),E4835)</f>
        <v>0</v>
      </c>
      <c r="I4835" s="1" t="str">
        <f>IFERROR(VLOOKUP(C4835,'Clients List'!A:F,6,FALSE),"")</f>
        <v/>
      </c>
    </row>
    <row r="4836" spans="4:9" x14ac:dyDescent="0.45">
      <c r="D4836" t="str">
        <f>IFERROR(VLOOKUP(C4836,'Clients List'!$A:$F,2,FALSE),"")</f>
        <v/>
      </c>
      <c r="F4836" s="1" t="str">
        <f>IF(OR(C4836="",NOT(ISNUMBER(SEARCH("Package",D4836)))),"",VLOOKUP(C4836,'Clients List'!$A:$F,4,FALSE)-SUMIFS($E$2:$E4836,$C$2:$C4836,C4836,$D$2:$D4836,"*Package*"))</f>
        <v/>
      </c>
      <c r="G4836" t="str">
        <f t="shared" si="108"/>
        <v/>
      </c>
      <c r="H4836" s="33">
        <f>IF(ISNUMBER(SEARCH("Group",D4836)),IF(G4836="",E4836,IFERROR(E4836/COUNTIF($G2:$G6000,G4836),E4836)),E4836)</f>
        <v>0</v>
      </c>
      <c r="I4836" s="1" t="str">
        <f>IFERROR(VLOOKUP(C4836,'Clients List'!A:F,6,FALSE),"")</f>
        <v/>
      </c>
    </row>
    <row r="4837" spans="4:9" x14ac:dyDescent="0.45">
      <c r="D4837" t="str">
        <f>IFERROR(VLOOKUP(C4837,'Clients List'!$A:$F,2,FALSE),"")</f>
        <v/>
      </c>
      <c r="F4837" s="1" t="str">
        <f>IF(OR(C4837="",NOT(ISNUMBER(SEARCH("Package",D4837)))),"",VLOOKUP(C4837,'Clients List'!$A:$F,4,FALSE)-SUMIFS($E$2:$E4837,$C$2:$C4837,C4837,$D$2:$D4837,"*Package*"))</f>
        <v/>
      </c>
      <c r="G4837" t="str">
        <f t="shared" si="108"/>
        <v/>
      </c>
      <c r="H4837" s="33">
        <f>IF(ISNUMBER(SEARCH("Group",D4837)),IF(G4837="",E4837,IFERROR(E4837/COUNTIF($G2:$G6000,G4837),E4837)),E4837)</f>
        <v>0</v>
      </c>
      <c r="I4837" s="1" t="str">
        <f>IFERROR(VLOOKUP(C4837,'Clients List'!A:F,6,FALSE),"")</f>
        <v/>
      </c>
    </row>
    <row r="4838" spans="4:9" x14ac:dyDescent="0.45">
      <c r="D4838" t="str">
        <f>IFERROR(VLOOKUP(C4838,'Clients List'!$A:$F,2,FALSE),"")</f>
        <v/>
      </c>
      <c r="F4838" s="1" t="str">
        <f>IF(OR(C4838="",NOT(ISNUMBER(SEARCH("Package",D4838)))),"",VLOOKUP(C4838,'Clients List'!$A:$F,4,FALSE)-SUMIFS($E$2:$E4838,$C$2:$C4838,C4838,$D$2:$D4838,"*Package*"))</f>
        <v/>
      </c>
      <c r="G4838" t="str">
        <f t="shared" si="108"/>
        <v/>
      </c>
      <c r="H4838" s="33">
        <f>IF(ISNUMBER(SEARCH("Group",D4838)),IF(G4838="",E4838,IFERROR(E4838/COUNTIF($G2:$G6000,G4838),E4838)),E4838)</f>
        <v>0</v>
      </c>
      <c r="I4838" s="1" t="str">
        <f>IFERROR(VLOOKUP(C4838,'Clients List'!A:F,6,FALSE),"")</f>
        <v/>
      </c>
    </row>
    <row r="4839" spans="4:9" x14ac:dyDescent="0.45">
      <c r="D4839" t="str">
        <f>IFERROR(VLOOKUP(C4839,'Clients List'!$A:$F,2,FALSE),"")</f>
        <v/>
      </c>
      <c r="F4839" s="1" t="str">
        <f>IF(OR(C4839="",NOT(ISNUMBER(SEARCH("Package",D4839)))),"",VLOOKUP(C4839,'Clients List'!$A:$F,4,FALSE)-SUMIFS($E$2:$E4839,$C$2:$C4839,C4839,$D$2:$D4839,"*Package*"))</f>
        <v/>
      </c>
      <c r="G4839" t="str">
        <f t="shared" si="108"/>
        <v/>
      </c>
      <c r="H4839" s="33">
        <f>IF(ISNUMBER(SEARCH("Group",D4839)),IF(G4839="",E4839,IFERROR(E4839/COUNTIF($G2:$G6000,G4839),E4839)),E4839)</f>
        <v>0</v>
      </c>
      <c r="I4839" s="1" t="str">
        <f>IFERROR(VLOOKUP(C4839,'Clients List'!A:F,6,FALSE),"")</f>
        <v/>
      </c>
    </row>
    <row r="4840" spans="4:9" x14ac:dyDescent="0.45">
      <c r="D4840" t="str">
        <f>IFERROR(VLOOKUP(C4840,'Clients List'!$A:$F,2,FALSE),"")</f>
        <v/>
      </c>
      <c r="F4840" s="1" t="str">
        <f>IF(OR(C4840="",NOT(ISNUMBER(SEARCH("Package",D4840)))),"",VLOOKUP(C4840,'Clients List'!$A:$F,4,FALSE)-SUMIFS($E$2:$E4840,$C$2:$C4840,C4840,$D$2:$D4840,"*Package*"))</f>
        <v/>
      </c>
      <c r="G4840" t="str">
        <f t="shared" si="108"/>
        <v/>
      </c>
      <c r="H4840" s="33">
        <f>IF(ISNUMBER(SEARCH("Group",D4840)),IF(G4840="",E4840,IFERROR(E4840/COUNTIF($G2:$G6000,G4840),E4840)),E4840)</f>
        <v>0</v>
      </c>
      <c r="I4840" s="1" t="str">
        <f>IFERROR(VLOOKUP(C4840,'Clients List'!A:F,6,FALSE),"")</f>
        <v/>
      </c>
    </row>
    <row r="4841" spans="4:9" x14ac:dyDescent="0.45">
      <c r="D4841" t="str">
        <f>IFERROR(VLOOKUP(C4841,'Clients List'!$A:$F,2,FALSE),"")</f>
        <v/>
      </c>
      <c r="F4841" s="1" t="str">
        <f>IF(OR(C4841="",NOT(ISNUMBER(SEARCH("Package",D4841)))),"",VLOOKUP(C4841,'Clients List'!$A:$F,4,FALSE)-SUMIFS($E$2:$E4841,$C$2:$C4841,C4841,$D$2:$D4841,"*Package*"))</f>
        <v/>
      </c>
      <c r="G4841" t="str">
        <f t="shared" si="108"/>
        <v/>
      </c>
      <c r="H4841" s="33">
        <f>IF(ISNUMBER(SEARCH("Group",D4841)),IF(G4841="",E4841,IFERROR(E4841/COUNTIF($G2:$G6000,G4841),E4841)),E4841)</f>
        <v>0</v>
      </c>
      <c r="I4841" s="1" t="str">
        <f>IFERROR(VLOOKUP(C4841,'Clients List'!A:F,6,FALSE),"")</f>
        <v/>
      </c>
    </row>
    <row r="4842" spans="4:9" x14ac:dyDescent="0.45">
      <c r="D4842" t="str">
        <f>IFERROR(VLOOKUP(C4842,'Clients List'!$A:$F,2,FALSE),"")</f>
        <v/>
      </c>
      <c r="F4842" s="1" t="str">
        <f>IF(OR(C4842="",NOT(ISNUMBER(SEARCH("Package",D4842)))),"",VLOOKUP(C4842,'Clients List'!$A:$F,4,FALSE)-SUMIFS($E$2:$E4842,$C$2:$C4842,C4842,$D$2:$D4842,"*Package*"))</f>
        <v/>
      </c>
      <c r="G4842" t="str">
        <f t="shared" si="108"/>
        <v/>
      </c>
      <c r="H4842" s="33">
        <f>IF(ISNUMBER(SEARCH("Group",D4842)),IF(G4842="",E4842,IFERROR(E4842/COUNTIF($G2:$G6000,G4842),E4842)),E4842)</f>
        <v>0</v>
      </c>
      <c r="I4842" s="1" t="str">
        <f>IFERROR(VLOOKUP(C4842,'Clients List'!A:F,6,FALSE),"")</f>
        <v/>
      </c>
    </row>
    <row r="4843" spans="4:9" x14ac:dyDescent="0.45">
      <c r="D4843" t="str">
        <f>IFERROR(VLOOKUP(C4843,'Clients List'!$A:$F,2,FALSE),"")</f>
        <v/>
      </c>
      <c r="F4843" s="1" t="str">
        <f>IF(OR(C4843="",NOT(ISNUMBER(SEARCH("Package",D4843)))),"",VLOOKUP(C4843,'Clients List'!$A:$F,4,FALSE)-SUMIFS($E$2:$E4843,$C$2:$C4843,C4843,$D$2:$D4843,"*Package*"))</f>
        <v/>
      </c>
      <c r="G4843" t="str">
        <f t="shared" si="108"/>
        <v/>
      </c>
      <c r="H4843" s="33">
        <f>IF(ISNUMBER(SEARCH("Group",D4843)),IF(G4843="",E4843,IFERROR(E4843/COUNTIF($G2:$G6000,G4843),E4843)),E4843)</f>
        <v>0</v>
      </c>
      <c r="I4843" s="1" t="str">
        <f>IFERROR(VLOOKUP(C4843,'Clients List'!A:F,6,FALSE),"")</f>
        <v/>
      </c>
    </row>
    <row r="4844" spans="4:9" x14ac:dyDescent="0.45">
      <c r="D4844" t="str">
        <f>IFERROR(VLOOKUP(C4844,'Clients List'!$A:$F,2,FALSE),"")</f>
        <v/>
      </c>
      <c r="F4844" s="1" t="str">
        <f>IF(OR(C4844="",NOT(ISNUMBER(SEARCH("Package",D4844)))),"",VLOOKUP(C4844,'Clients List'!$A:$F,4,FALSE)-SUMIFS($E$2:$E4844,$C$2:$C4844,C4844,$D$2:$D4844,"*Package*"))</f>
        <v/>
      </c>
      <c r="G4844" t="str">
        <f t="shared" si="108"/>
        <v/>
      </c>
      <c r="H4844" s="33">
        <f>IF(ISNUMBER(SEARCH("Group",D4844)),IF(G4844="",E4844,IFERROR(E4844/COUNTIF($G2:$G6000,G4844),E4844)),E4844)</f>
        <v>0</v>
      </c>
      <c r="I4844" s="1" t="str">
        <f>IFERROR(VLOOKUP(C4844,'Clients List'!A:F,6,FALSE),"")</f>
        <v/>
      </c>
    </row>
    <row r="4845" spans="4:9" x14ac:dyDescent="0.45">
      <c r="D4845" t="str">
        <f>IFERROR(VLOOKUP(C4845,'Clients List'!$A:$F,2,FALSE),"")</f>
        <v/>
      </c>
      <c r="F4845" s="1" t="str">
        <f>IF(OR(C4845="",NOT(ISNUMBER(SEARCH("Package",D4845)))),"",VLOOKUP(C4845,'Clients List'!$A:$F,4,FALSE)-SUMIFS($E$2:$E4845,$C$2:$C4845,C4845,$D$2:$D4845,"*Package*"))</f>
        <v/>
      </c>
      <c r="G4845" t="str">
        <f t="shared" si="108"/>
        <v/>
      </c>
      <c r="H4845" s="33">
        <f>IF(ISNUMBER(SEARCH("Group",D4845)),IF(G4845="",E4845,IFERROR(E4845/COUNTIF($G2:$G6000,G4845),E4845)),E4845)</f>
        <v>0</v>
      </c>
      <c r="I4845" s="1" t="str">
        <f>IFERROR(VLOOKUP(C4845,'Clients List'!A:F,6,FALSE),"")</f>
        <v/>
      </c>
    </row>
    <row r="4846" spans="4:9" x14ac:dyDescent="0.45">
      <c r="D4846" t="str">
        <f>IFERROR(VLOOKUP(C4846,'Clients List'!$A:$F,2,FALSE),"")</f>
        <v/>
      </c>
      <c r="F4846" s="1" t="str">
        <f>IF(OR(C4846="",NOT(ISNUMBER(SEARCH("Package",D4846)))),"",VLOOKUP(C4846,'Clients List'!$A:$F,4,FALSE)-SUMIFS($E$2:$E4846,$C$2:$C4846,C4846,$D$2:$D4846,"*Package*"))</f>
        <v/>
      </c>
      <c r="G4846" t="str">
        <f t="shared" si="108"/>
        <v/>
      </c>
      <c r="H4846" s="33">
        <f>IF(ISNUMBER(SEARCH("Group",D4846)),IF(G4846="",E4846,IFERROR(E4846/COUNTIF($G2:$G6000,G4846),E4846)),E4846)</f>
        <v>0</v>
      </c>
      <c r="I4846" s="1" t="str">
        <f>IFERROR(VLOOKUP(C4846,'Clients List'!A:F,6,FALSE),"")</f>
        <v/>
      </c>
    </row>
    <row r="4847" spans="4:9" x14ac:dyDescent="0.45">
      <c r="D4847" t="str">
        <f>IFERROR(VLOOKUP(C4847,'Clients List'!$A:$F,2,FALSE),"")</f>
        <v/>
      </c>
      <c r="F4847" s="1" t="str">
        <f>IF(OR(C4847="",NOT(ISNUMBER(SEARCH("Package",D4847)))),"",VLOOKUP(C4847,'Clients List'!$A:$F,4,FALSE)-SUMIFS($E$2:$E4847,$C$2:$C4847,C4847,$D$2:$D4847,"*Package*"))</f>
        <v/>
      </c>
      <c r="G4847" t="str">
        <f t="shared" si="108"/>
        <v/>
      </c>
      <c r="H4847" s="33">
        <f>IF(ISNUMBER(SEARCH("Group",D4847)),IF(G4847="",E4847,IFERROR(E4847/COUNTIF($G2:$G6000,G4847),E4847)),E4847)</f>
        <v>0</v>
      </c>
      <c r="I4847" s="1" t="str">
        <f>IFERROR(VLOOKUP(C4847,'Clients List'!A:F,6,FALSE),"")</f>
        <v/>
      </c>
    </row>
    <row r="4848" spans="4:9" x14ac:dyDescent="0.45">
      <c r="D4848" t="str">
        <f>IFERROR(VLOOKUP(C4848,'Clients List'!$A:$F,2,FALSE),"")</f>
        <v/>
      </c>
      <c r="F4848" s="1" t="str">
        <f>IF(OR(C4848="",NOT(ISNUMBER(SEARCH("Package",D4848)))),"",VLOOKUP(C4848,'Clients List'!$A:$F,4,FALSE)-SUMIFS($E$2:$E4848,$C$2:$C4848,C4848,$D$2:$D4848,"*Package*"))</f>
        <v/>
      </c>
      <c r="G4848" t="str">
        <f t="shared" si="108"/>
        <v/>
      </c>
      <c r="H4848" s="33">
        <f>IF(ISNUMBER(SEARCH("Group",D4848)),IF(G4848="",E4848,IFERROR(E4848/COUNTIF($G2:$G6000,G4848),E4848)),E4848)</f>
        <v>0</v>
      </c>
      <c r="I4848" s="1" t="str">
        <f>IFERROR(VLOOKUP(C4848,'Clients List'!A:F,6,FALSE),"")</f>
        <v/>
      </c>
    </row>
    <row r="4849" spans="4:9" x14ac:dyDescent="0.45">
      <c r="D4849" t="str">
        <f>IFERROR(VLOOKUP(C4849,'Clients List'!$A:$F,2,FALSE),"")</f>
        <v/>
      </c>
      <c r="F4849" s="1" t="str">
        <f>IF(OR(C4849="",NOT(ISNUMBER(SEARCH("Package",D4849)))),"",VLOOKUP(C4849,'Clients List'!$A:$F,4,FALSE)-SUMIFS($E$2:$E4849,$C$2:$C4849,C4849,$D$2:$D4849,"*Package*"))</f>
        <v/>
      </c>
      <c r="G4849" t="str">
        <f t="shared" si="108"/>
        <v/>
      </c>
      <c r="H4849" s="33">
        <f>IF(ISNUMBER(SEARCH("Group",D4849)),IF(G4849="",E4849,IFERROR(E4849/COUNTIF($G2:$G6000,G4849),E4849)),E4849)</f>
        <v>0</v>
      </c>
      <c r="I4849" s="1" t="str">
        <f>IFERROR(VLOOKUP(C4849,'Clients List'!A:F,6,FALSE),"")</f>
        <v/>
      </c>
    </row>
    <row r="4850" spans="4:9" x14ac:dyDescent="0.45">
      <c r="D4850" t="str">
        <f>IFERROR(VLOOKUP(C4850,'Clients List'!$A:$F,2,FALSE),"")</f>
        <v/>
      </c>
      <c r="F4850" s="1" t="str">
        <f>IF(OR(C4850="",NOT(ISNUMBER(SEARCH("Package",D4850)))),"",VLOOKUP(C4850,'Clients List'!$A:$F,4,FALSE)-SUMIFS($E$2:$E4850,$C$2:$C4850,C4850,$D$2:$D4850,"*Package*"))</f>
        <v/>
      </c>
      <c r="G4850" t="str">
        <f t="shared" si="108"/>
        <v/>
      </c>
      <c r="H4850" s="33">
        <f>IF(ISNUMBER(SEARCH("Group",D4850)),IF(G4850="",E4850,IFERROR(E4850/COUNTIF($G2:$G6000,G4850),E4850)),E4850)</f>
        <v>0</v>
      </c>
      <c r="I4850" s="1" t="str">
        <f>IFERROR(VLOOKUP(C4850,'Clients List'!A:F,6,FALSE),"")</f>
        <v/>
      </c>
    </row>
    <row r="4851" spans="4:9" x14ac:dyDescent="0.45">
      <c r="D4851" t="str">
        <f>IFERROR(VLOOKUP(C4851,'Clients List'!$A:$F,2,FALSE),"")</f>
        <v/>
      </c>
      <c r="F4851" s="1" t="str">
        <f>IF(OR(C4851="",NOT(ISNUMBER(SEARCH("Package",D4851)))),"",VLOOKUP(C4851,'Clients List'!$A:$F,4,FALSE)-SUMIFS($E$2:$E4851,$C$2:$C4851,C4851,$D$2:$D4851,"*Package*"))</f>
        <v/>
      </c>
      <c r="G4851" t="str">
        <f t="shared" si="108"/>
        <v/>
      </c>
      <c r="H4851" s="33">
        <f>IF(ISNUMBER(SEARCH("Group",D4851)),IF(G4851="",E4851,IFERROR(E4851/COUNTIF($G2:$G6000,G4851),E4851)),E4851)</f>
        <v>0</v>
      </c>
      <c r="I4851" s="1" t="str">
        <f>IFERROR(VLOOKUP(C4851,'Clients List'!A:F,6,FALSE),"")</f>
        <v/>
      </c>
    </row>
    <row r="4852" spans="4:9" x14ac:dyDescent="0.45">
      <c r="D4852" t="str">
        <f>IFERROR(VLOOKUP(C4852,'Clients List'!$A:$F,2,FALSE),"")</f>
        <v/>
      </c>
      <c r="F4852" s="1" t="str">
        <f>IF(OR(C4852="",NOT(ISNUMBER(SEARCH("Package",D4852)))),"",VLOOKUP(C4852,'Clients List'!$A:$F,4,FALSE)-SUMIFS($E$2:$E4852,$C$2:$C4852,C4852,$D$2:$D4852,"*Package*"))</f>
        <v/>
      </c>
      <c r="G4852" t="str">
        <f t="shared" si="108"/>
        <v/>
      </c>
      <c r="H4852" s="33">
        <f>IF(ISNUMBER(SEARCH("Group",D4852)),IF(G4852="",E4852,IFERROR(E4852/COUNTIF($G2:$G6000,G4852),E4852)),E4852)</f>
        <v>0</v>
      </c>
      <c r="I4852" s="1" t="str">
        <f>IFERROR(VLOOKUP(C4852,'Clients List'!A:F,6,FALSE),"")</f>
        <v/>
      </c>
    </row>
    <row r="4853" spans="4:9" x14ac:dyDescent="0.45">
      <c r="D4853" t="str">
        <f>IFERROR(VLOOKUP(C4853,'Clients List'!$A:$F,2,FALSE),"")</f>
        <v/>
      </c>
      <c r="F4853" s="1" t="str">
        <f>IF(OR(C4853="",NOT(ISNUMBER(SEARCH("Package",D4853)))),"",VLOOKUP(C4853,'Clients List'!$A:$F,4,FALSE)-SUMIFS($E$2:$E4853,$C$2:$C4853,C4853,$D$2:$D4853,"*Package*"))</f>
        <v/>
      </c>
      <c r="G4853" t="str">
        <f t="shared" ref="G4853:G4916" si="109">IF(ISNUMBER(SEARCH("Group",D4853)),IFERROR("GRP-"&amp;TEXT(IF(ISNUMBER(A4853),A4853,DATEVALUE(A4853)),"yyyymmdd"),""),"" )</f>
        <v/>
      </c>
      <c r="H4853" s="33">
        <f>IF(ISNUMBER(SEARCH("Group",D4853)),IF(G4853="",E4853,IFERROR(E4853/COUNTIF($G2:$G6000,G4853),E4853)),E4853)</f>
        <v>0</v>
      </c>
      <c r="I4853" s="1" t="str">
        <f>IFERROR(VLOOKUP(C4853,'Clients List'!A:F,6,FALSE),"")</f>
        <v/>
      </c>
    </row>
    <row r="4854" spans="4:9" x14ac:dyDescent="0.45">
      <c r="D4854" t="str">
        <f>IFERROR(VLOOKUP(C4854,'Clients List'!$A:$F,2,FALSE),"")</f>
        <v/>
      </c>
      <c r="F4854" s="1" t="str">
        <f>IF(OR(C4854="",NOT(ISNUMBER(SEARCH("Package",D4854)))),"",VLOOKUP(C4854,'Clients List'!$A:$F,4,FALSE)-SUMIFS($E$2:$E4854,$C$2:$C4854,C4854,$D$2:$D4854,"*Package*"))</f>
        <v/>
      </c>
      <c r="G4854" t="str">
        <f t="shared" si="109"/>
        <v/>
      </c>
      <c r="H4854" s="33">
        <f>IF(ISNUMBER(SEARCH("Group",D4854)),IF(G4854="",E4854,IFERROR(E4854/COUNTIF($G2:$G6000,G4854),E4854)),E4854)</f>
        <v>0</v>
      </c>
      <c r="I4854" s="1" t="str">
        <f>IFERROR(VLOOKUP(C4854,'Clients List'!A:F,6,FALSE),"")</f>
        <v/>
      </c>
    </row>
    <row r="4855" spans="4:9" x14ac:dyDescent="0.45">
      <c r="D4855" t="str">
        <f>IFERROR(VLOOKUP(C4855,'Clients List'!$A:$F,2,FALSE),"")</f>
        <v/>
      </c>
      <c r="F4855" s="1" t="str">
        <f>IF(OR(C4855="",NOT(ISNUMBER(SEARCH("Package",D4855)))),"",VLOOKUP(C4855,'Clients List'!$A:$F,4,FALSE)-SUMIFS($E$2:$E4855,$C$2:$C4855,C4855,$D$2:$D4855,"*Package*"))</f>
        <v/>
      </c>
      <c r="G4855" t="str">
        <f t="shared" si="109"/>
        <v/>
      </c>
      <c r="H4855" s="33">
        <f>IF(ISNUMBER(SEARCH("Group",D4855)),IF(G4855="",E4855,IFERROR(E4855/COUNTIF($G2:$G6000,G4855),E4855)),E4855)</f>
        <v>0</v>
      </c>
      <c r="I4855" s="1" t="str">
        <f>IFERROR(VLOOKUP(C4855,'Clients List'!A:F,6,FALSE),"")</f>
        <v/>
      </c>
    </row>
    <row r="4856" spans="4:9" x14ac:dyDescent="0.45">
      <c r="D4856" t="str">
        <f>IFERROR(VLOOKUP(C4856,'Clients List'!$A:$F,2,FALSE),"")</f>
        <v/>
      </c>
      <c r="F4856" s="1" t="str">
        <f>IF(OR(C4856="",NOT(ISNUMBER(SEARCH("Package",D4856)))),"",VLOOKUP(C4856,'Clients List'!$A:$F,4,FALSE)-SUMIFS($E$2:$E4856,$C$2:$C4856,C4856,$D$2:$D4856,"*Package*"))</f>
        <v/>
      </c>
      <c r="G4856" t="str">
        <f t="shared" si="109"/>
        <v/>
      </c>
      <c r="H4856" s="33">
        <f>IF(ISNUMBER(SEARCH("Group",D4856)),IF(G4856="",E4856,IFERROR(E4856/COUNTIF($G2:$G6000,G4856),E4856)),E4856)</f>
        <v>0</v>
      </c>
      <c r="I4856" s="1" t="str">
        <f>IFERROR(VLOOKUP(C4856,'Clients List'!A:F,6,FALSE),"")</f>
        <v/>
      </c>
    </row>
    <row r="4857" spans="4:9" x14ac:dyDescent="0.45">
      <c r="D4857" t="str">
        <f>IFERROR(VLOOKUP(C4857,'Clients List'!$A:$F,2,FALSE),"")</f>
        <v/>
      </c>
      <c r="F4857" s="1" t="str">
        <f>IF(OR(C4857="",NOT(ISNUMBER(SEARCH("Package",D4857)))),"",VLOOKUP(C4857,'Clients List'!$A:$F,4,FALSE)-SUMIFS($E$2:$E4857,$C$2:$C4857,C4857,$D$2:$D4857,"*Package*"))</f>
        <v/>
      </c>
      <c r="G4857" t="str">
        <f t="shared" si="109"/>
        <v/>
      </c>
      <c r="H4857" s="33">
        <f>IF(ISNUMBER(SEARCH("Group",D4857)),IF(G4857="",E4857,IFERROR(E4857/COUNTIF($G2:$G6000,G4857),E4857)),E4857)</f>
        <v>0</v>
      </c>
      <c r="I4857" s="1" t="str">
        <f>IFERROR(VLOOKUP(C4857,'Clients List'!A:F,6,FALSE),"")</f>
        <v/>
      </c>
    </row>
    <row r="4858" spans="4:9" x14ac:dyDescent="0.45">
      <c r="D4858" t="str">
        <f>IFERROR(VLOOKUP(C4858,'Clients List'!$A:$F,2,FALSE),"")</f>
        <v/>
      </c>
      <c r="F4858" s="1" t="str">
        <f>IF(OR(C4858="",NOT(ISNUMBER(SEARCH("Package",D4858)))),"",VLOOKUP(C4858,'Clients List'!$A:$F,4,FALSE)-SUMIFS($E$2:$E4858,$C$2:$C4858,C4858,$D$2:$D4858,"*Package*"))</f>
        <v/>
      </c>
      <c r="G4858" t="str">
        <f t="shared" si="109"/>
        <v/>
      </c>
      <c r="H4858" s="33">
        <f>IF(ISNUMBER(SEARCH("Group",D4858)),IF(G4858="",E4858,IFERROR(E4858/COUNTIF($G2:$G6000,G4858),E4858)),E4858)</f>
        <v>0</v>
      </c>
      <c r="I4858" s="1" t="str">
        <f>IFERROR(VLOOKUP(C4858,'Clients List'!A:F,6,FALSE),"")</f>
        <v/>
      </c>
    </row>
    <row r="4859" spans="4:9" x14ac:dyDescent="0.45">
      <c r="D4859" t="str">
        <f>IFERROR(VLOOKUP(C4859,'Clients List'!$A:$F,2,FALSE),"")</f>
        <v/>
      </c>
      <c r="F4859" s="1" t="str">
        <f>IF(OR(C4859="",NOT(ISNUMBER(SEARCH("Package",D4859)))),"",VLOOKUP(C4859,'Clients List'!$A:$F,4,FALSE)-SUMIFS($E$2:$E4859,$C$2:$C4859,C4859,$D$2:$D4859,"*Package*"))</f>
        <v/>
      </c>
      <c r="G4859" t="str">
        <f t="shared" si="109"/>
        <v/>
      </c>
      <c r="H4859" s="33">
        <f>IF(ISNUMBER(SEARCH("Group",D4859)),IF(G4859="",E4859,IFERROR(E4859/COUNTIF($G2:$G6000,G4859),E4859)),E4859)</f>
        <v>0</v>
      </c>
      <c r="I4859" s="1" t="str">
        <f>IFERROR(VLOOKUP(C4859,'Clients List'!A:F,6,FALSE),"")</f>
        <v/>
      </c>
    </row>
    <row r="4860" spans="4:9" x14ac:dyDescent="0.45">
      <c r="D4860" t="str">
        <f>IFERROR(VLOOKUP(C4860,'Clients List'!$A:$F,2,FALSE),"")</f>
        <v/>
      </c>
      <c r="F4860" s="1" t="str">
        <f>IF(OR(C4860="",NOT(ISNUMBER(SEARCH("Package",D4860)))),"",VLOOKUP(C4860,'Clients List'!$A:$F,4,FALSE)-SUMIFS($E$2:$E4860,$C$2:$C4860,C4860,$D$2:$D4860,"*Package*"))</f>
        <v/>
      </c>
      <c r="G4860" t="str">
        <f t="shared" si="109"/>
        <v/>
      </c>
      <c r="H4860" s="33">
        <f>IF(ISNUMBER(SEARCH("Group",D4860)),IF(G4860="",E4860,IFERROR(E4860/COUNTIF($G2:$G6000,G4860),E4860)),E4860)</f>
        <v>0</v>
      </c>
      <c r="I4860" s="1" t="str">
        <f>IFERROR(VLOOKUP(C4860,'Clients List'!A:F,6,FALSE),"")</f>
        <v/>
      </c>
    </row>
    <row r="4861" spans="4:9" x14ac:dyDescent="0.45">
      <c r="D4861" t="str">
        <f>IFERROR(VLOOKUP(C4861,'Clients List'!$A:$F,2,FALSE),"")</f>
        <v/>
      </c>
      <c r="F4861" s="1" t="str">
        <f>IF(OR(C4861="",NOT(ISNUMBER(SEARCH("Package",D4861)))),"",VLOOKUP(C4861,'Clients List'!$A:$F,4,FALSE)-SUMIFS($E$2:$E4861,$C$2:$C4861,C4861,$D$2:$D4861,"*Package*"))</f>
        <v/>
      </c>
      <c r="G4861" t="str">
        <f t="shared" si="109"/>
        <v/>
      </c>
      <c r="H4861" s="33">
        <f>IF(ISNUMBER(SEARCH("Group",D4861)),IF(G4861="",E4861,IFERROR(E4861/COUNTIF($G2:$G6000,G4861),E4861)),E4861)</f>
        <v>0</v>
      </c>
      <c r="I4861" s="1" t="str">
        <f>IFERROR(VLOOKUP(C4861,'Clients List'!A:F,6,FALSE),"")</f>
        <v/>
      </c>
    </row>
    <row r="4862" spans="4:9" x14ac:dyDescent="0.45">
      <c r="D4862" t="str">
        <f>IFERROR(VLOOKUP(C4862,'Clients List'!$A:$F,2,FALSE),"")</f>
        <v/>
      </c>
      <c r="F4862" s="1" t="str">
        <f>IF(OR(C4862="",NOT(ISNUMBER(SEARCH("Package",D4862)))),"",VLOOKUP(C4862,'Clients List'!$A:$F,4,FALSE)-SUMIFS($E$2:$E4862,$C$2:$C4862,C4862,$D$2:$D4862,"*Package*"))</f>
        <v/>
      </c>
      <c r="G4862" t="str">
        <f t="shared" si="109"/>
        <v/>
      </c>
      <c r="H4862" s="33">
        <f>IF(ISNUMBER(SEARCH("Group",D4862)),IF(G4862="",E4862,IFERROR(E4862/COUNTIF($G2:$G6000,G4862),E4862)),E4862)</f>
        <v>0</v>
      </c>
      <c r="I4862" s="1" t="str">
        <f>IFERROR(VLOOKUP(C4862,'Clients List'!A:F,6,FALSE),"")</f>
        <v/>
      </c>
    </row>
    <row r="4863" spans="4:9" x14ac:dyDescent="0.45">
      <c r="D4863" t="str">
        <f>IFERROR(VLOOKUP(C4863,'Clients List'!$A:$F,2,FALSE),"")</f>
        <v/>
      </c>
      <c r="F4863" s="1" t="str">
        <f>IF(OR(C4863="",NOT(ISNUMBER(SEARCH("Package",D4863)))),"",VLOOKUP(C4863,'Clients List'!$A:$F,4,FALSE)-SUMIFS($E$2:$E4863,$C$2:$C4863,C4863,$D$2:$D4863,"*Package*"))</f>
        <v/>
      </c>
      <c r="G4863" t="str">
        <f t="shared" si="109"/>
        <v/>
      </c>
      <c r="H4863" s="33">
        <f>IF(ISNUMBER(SEARCH("Group",D4863)),IF(G4863="",E4863,IFERROR(E4863/COUNTIF($G2:$G6000,G4863),E4863)),E4863)</f>
        <v>0</v>
      </c>
      <c r="I4863" s="1" t="str">
        <f>IFERROR(VLOOKUP(C4863,'Clients List'!A:F,6,FALSE),"")</f>
        <v/>
      </c>
    </row>
    <row r="4864" spans="4:9" x14ac:dyDescent="0.45">
      <c r="D4864" t="str">
        <f>IFERROR(VLOOKUP(C4864,'Clients List'!$A:$F,2,FALSE),"")</f>
        <v/>
      </c>
      <c r="F4864" s="1" t="str">
        <f>IF(OR(C4864="",NOT(ISNUMBER(SEARCH("Package",D4864)))),"",VLOOKUP(C4864,'Clients List'!$A:$F,4,FALSE)-SUMIFS($E$2:$E4864,$C$2:$C4864,C4864,$D$2:$D4864,"*Package*"))</f>
        <v/>
      </c>
      <c r="G4864" t="str">
        <f t="shared" si="109"/>
        <v/>
      </c>
      <c r="H4864" s="33">
        <f>IF(ISNUMBER(SEARCH("Group",D4864)),IF(G4864="",E4864,IFERROR(E4864/COUNTIF($G2:$G6000,G4864),E4864)),E4864)</f>
        <v>0</v>
      </c>
      <c r="I4864" s="1" t="str">
        <f>IFERROR(VLOOKUP(C4864,'Clients List'!A:F,6,FALSE),"")</f>
        <v/>
      </c>
    </row>
    <row r="4865" spans="4:9" x14ac:dyDescent="0.45">
      <c r="D4865" t="str">
        <f>IFERROR(VLOOKUP(C4865,'Clients List'!$A:$F,2,FALSE),"")</f>
        <v/>
      </c>
      <c r="F4865" s="1" t="str">
        <f>IF(OR(C4865="",NOT(ISNUMBER(SEARCH("Package",D4865)))),"",VLOOKUP(C4865,'Clients List'!$A:$F,4,FALSE)-SUMIFS($E$2:$E4865,$C$2:$C4865,C4865,$D$2:$D4865,"*Package*"))</f>
        <v/>
      </c>
      <c r="G4865" t="str">
        <f t="shared" si="109"/>
        <v/>
      </c>
      <c r="H4865" s="33">
        <f>IF(ISNUMBER(SEARCH("Group",D4865)),IF(G4865="",E4865,IFERROR(E4865/COUNTIF($G2:$G6000,G4865),E4865)),E4865)</f>
        <v>0</v>
      </c>
      <c r="I4865" s="1" t="str">
        <f>IFERROR(VLOOKUP(C4865,'Clients List'!A:F,6,FALSE),"")</f>
        <v/>
      </c>
    </row>
    <row r="4866" spans="4:9" x14ac:dyDescent="0.45">
      <c r="D4866" t="str">
        <f>IFERROR(VLOOKUP(C4866,'Clients List'!$A:$F,2,FALSE),"")</f>
        <v/>
      </c>
      <c r="F4866" s="1" t="str">
        <f>IF(OR(C4866="",NOT(ISNUMBER(SEARCH("Package",D4866)))),"",VLOOKUP(C4866,'Clients List'!$A:$F,4,FALSE)-SUMIFS($E$2:$E4866,$C$2:$C4866,C4866,$D$2:$D4866,"*Package*"))</f>
        <v/>
      </c>
      <c r="G4866" t="str">
        <f t="shared" si="109"/>
        <v/>
      </c>
      <c r="H4866" s="33">
        <f>IF(ISNUMBER(SEARCH("Group",D4866)),IF(G4866="",E4866,IFERROR(E4866/COUNTIF($G2:$G6000,G4866),E4866)),E4866)</f>
        <v>0</v>
      </c>
      <c r="I4866" s="1" t="str">
        <f>IFERROR(VLOOKUP(C4866,'Clients List'!A:F,6,FALSE),"")</f>
        <v/>
      </c>
    </row>
    <row r="4867" spans="4:9" x14ac:dyDescent="0.45">
      <c r="D4867" t="str">
        <f>IFERROR(VLOOKUP(C4867,'Clients List'!$A:$F,2,FALSE),"")</f>
        <v/>
      </c>
      <c r="F4867" s="1" t="str">
        <f>IF(OR(C4867="",NOT(ISNUMBER(SEARCH("Package",D4867)))),"",VLOOKUP(C4867,'Clients List'!$A:$F,4,FALSE)-SUMIFS($E$2:$E4867,$C$2:$C4867,C4867,$D$2:$D4867,"*Package*"))</f>
        <v/>
      </c>
      <c r="G4867" t="str">
        <f t="shared" si="109"/>
        <v/>
      </c>
      <c r="H4867" s="33">
        <f>IF(ISNUMBER(SEARCH("Group",D4867)),IF(G4867="",E4867,IFERROR(E4867/COUNTIF($G2:$G6000,G4867),E4867)),E4867)</f>
        <v>0</v>
      </c>
      <c r="I4867" s="1" t="str">
        <f>IFERROR(VLOOKUP(C4867,'Clients List'!A:F,6,FALSE),"")</f>
        <v/>
      </c>
    </row>
    <row r="4868" spans="4:9" x14ac:dyDescent="0.45">
      <c r="D4868" t="str">
        <f>IFERROR(VLOOKUP(C4868,'Clients List'!$A:$F,2,FALSE),"")</f>
        <v/>
      </c>
      <c r="F4868" s="1" t="str">
        <f>IF(OR(C4868="",NOT(ISNUMBER(SEARCH("Package",D4868)))),"",VLOOKUP(C4868,'Clients List'!$A:$F,4,FALSE)-SUMIFS($E$2:$E4868,$C$2:$C4868,C4868,$D$2:$D4868,"*Package*"))</f>
        <v/>
      </c>
      <c r="G4868" t="str">
        <f t="shared" si="109"/>
        <v/>
      </c>
      <c r="H4868" s="33">
        <f>IF(ISNUMBER(SEARCH("Group",D4868)),IF(G4868="",E4868,IFERROR(E4868/COUNTIF($G2:$G6000,G4868),E4868)),E4868)</f>
        <v>0</v>
      </c>
      <c r="I4868" s="1" t="str">
        <f>IFERROR(VLOOKUP(C4868,'Clients List'!A:F,6,FALSE),"")</f>
        <v/>
      </c>
    </row>
    <row r="4869" spans="4:9" x14ac:dyDescent="0.45">
      <c r="D4869" t="str">
        <f>IFERROR(VLOOKUP(C4869,'Clients List'!$A:$F,2,FALSE),"")</f>
        <v/>
      </c>
      <c r="F4869" s="1" t="str">
        <f>IF(OR(C4869="",NOT(ISNUMBER(SEARCH("Package",D4869)))),"",VLOOKUP(C4869,'Clients List'!$A:$F,4,FALSE)-SUMIFS($E$2:$E4869,$C$2:$C4869,C4869,$D$2:$D4869,"*Package*"))</f>
        <v/>
      </c>
      <c r="G4869" t="str">
        <f t="shared" si="109"/>
        <v/>
      </c>
      <c r="H4869" s="33">
        <f>IF(ISNUMBER(SEARCH("Group",D4869)),IF(G4869="",E4869,IFERROR(E4869/COUNTIF($G2:$G6000,G4869),E4869)),E4869)</f>
        <v>0</v>
      </c>
      <c r="I4869" s="1" t="str">
        <f>IFERROR(VLOOKUP(C4869,'Clients List'!A:F,6,FALSE),"")</f>
        <v/>
      </c>
    </row>
    <row r="4870" spans="4:9" x14ac:dyDescent="0.45">
      <c r="D4870" t="str">
        <f>IFERROR(VLOOKUP(C4870,'Clients List'!$A:$F,2,FALSE),"")</f>
        <v/>
      </c>
      <c r="F4870" s="1" t="str">
        <f>IF(OR(C4870="",NOT(ISNUMBER(SEARCH("Package",D4870)))),"",VLOOKUP(C4870,'Clients List'!$A:$F,4,FALSE)-SUMIFS($E$2:$E4870,$C$2:$C4870,C4870,$D$2:$D4870,"*Package*"))</f>
        <v/>
      </c>
      <c r="G4870" t="str">
        <f t="shared" si="109"/>
        <v/>
      </c>
      <c r="H4870" s="33">
        <f>IF(ISNUMBER(SEARCH("Group",D4870)),IF(G4870="",E4870,IFERROR(E4870/COUNTIF($G2:$G6000,G4870),E4870)),E4870)</f>
        <v>0</v>
      </c>
      <c r="I4870" s="1" t="str">
        <f>IFERROR(VLOOKUP(C4870,'Clients List'!A:F,6,FALSE),"")</f>
        <v/>
      </c>
    </row>
    <row r="4871" spans="4:9" x14ac:dyDescent="0.45">
      <c r="D4871" t="str">
        <f>IFERROR(VLOOKUP(C4871,'Clients List'!$A:$F,2,FALSE),"")</f>
        <v/>
      </c>
      <c r="F4871" s="1" t="str">
        <f>IF(OR(C4871="",NOT(ISNUMBER(SEARCH("Package",D4871)))),"",VLOOKUP(C4871,'Clients List'!$A:$F,4,FALSE)-SUMIFS($E$2:$E4871,$C$2:$C4871,C4871,$D$2:$D4871,"*Package*"))</f>
        <v/>
      </c>
      <c r="G4871" t="str">
        <f t="shared" si="109"/>
        <v/>
      </c>
      <c r="H4871" s="33">
        <f>IF(ISNUMBER(SEARCH("Group",D4871)),IF(G4871="",E4871,IFERROR(E4871/COUNTIF($G2:$G6000,G4871),E4871)),E4871)</f>
        <v>0</v>
      </c>
      <c r="I4871" s="1" t="str">
        <f>IFERROR(VLOOKUP(C4871,'Clients List'!A:F,6,FALSE),"")</f>
        <v/>
      </c>
    </row>
    <row r="4872" spans="4:9" x14ac:dyDescent="0.45">
      <c r="D4872" t="str">
        <f>IFERROR(VLOOKUP(C4872,'Clients List'!$A:$F,2,FALSE),"")</f>
        <v/>
      </c>
      <c r="F4872" s="1" t="str">
        <f>IF(OR(C4872="",NOT(ISNUMBER(SEARCH("Package",D4872)))),"",VLOOKUP(C4872,'Clients List'!$A:$F,4,FALSE)-SUMIFS($E$2:$E4872,$C$2:$C4872,C4872,$D$2:$D4872,"*Package*"))</f>
        <v/>
      </c>
      <c r="G4872" t="str">
        <f t="shared" si="109"/>
        <v/>
      </c>
      <c r="H4872" s="33">
        <f>IF(ISNUMBER(SEARCH("Group",D4872)),IF(G4872="",E4872,IFERROR(E4872/COUNTIF($G2:$G6000,G4872),E4872)),E4872)</f>
        <v>0</v>
      </c>
      <c r="I4872" s="1" t="str">
        <f>IFERROR(VLOOKUP(C4872,'Clients List'!A:F,6,FALSE),"")</f>
        <v/>
      </c>
    </row>
    <row r="4873" spans="4:9" x14ac:dyDescent="0.45">
      <c r="D4873" t="str">
        <f>IFERROR(VLOOKUP(C4873,'Clients List'!$A:$F,2,FALSE),"")</f>
        <v/>
      </c>
      <c r="F4873" s="1" t="str">
        <f>IF(OR(C4873="",NOT(ISNUMBER(SEARCH("Package",D4873)))),"",VLOOKUP(C4873,'Clients List'!$A:$F,4,FALSE)-SUMIFS($E$2:$E4873,$C$2:$C4873,C4873,$D$2:$D4873,"*Package*"))</f>
        <v/>
      </c>
      <c r="G4873" t="str">
        <f t="shared" si="109"/>
        <v/>
      </c>
      <c r="H4873" s="33">
        <f>IF(ISNUMBER(SEARCH("Group",D4873)),IF(G4873="",E4873,IFERROR(E4873/COUNTIF($G2:$G6000,G4873),E4873)),E4873)</f>
        <v>0</v>
      </c>
      <c r="I4873" s="1" t="str">
        <f>IFERROR(VLOOKUP(C4873,'Clients List'!A:F,6,FALSE),"")</f>
        <v/>
      </c>
    </row>
    <row r="4874" spans="4:9" x14ac:dyDescent="0.45">
      <c r="D4874" t="str">
        <f>IFERROR(VLOOKUP(C4874,'Clients List'!$A:$F,2,FALSE),"")</f>
        <v/>
      </c>
      <c r="F4874" s="1" t="str">
        <f>IF(OR(C4874="",NOT(ISNUMBER(SEARCH("Package",D4874)))),"",VLOOKUP(C4874,'Clients List'!$A:$F,4,FALSE)-SUMIFS($E$2:$E4874,$C$2:$C4874,C4874,$D$2:$D4874,"*Package*"))</f>
        <v/>
      </c>
      <c r="G4874" t="str">
        <f t="shared" si="109"/>
        <v/>
      </c>
      <c r="H4874" s="33">
        <f>IF(ISNUMBER(SEARCH("Group",D4874)),IF(G4874="",E4874,IFERROR(E4874/COUNTIF($G2:$G6000,G4874),E4874)),E4874)</f>
        <v>0</v>
      </c>
      <c r="I4874" s="1" t="str">
        <f>IFERROR(VLOOKUP(C4874,'Clients List'!A:F,6,FALSE),"")</f>
        <v/>
      </c>
    </row>
    <row r="4875" spans="4:9" x14ac:dyDescent="0.45">
      <c r="D4875" t="str">
        <f>IFERROR(VLOOKUP(C4875,'Clients List'!$A:$F,2,FALSE),"")</f>
        <v/>
      </c>
      <c r="F4875" s="1" t="str">
        <f>IF(OR(C4875="",NOT(ISNUMBER(SEARCH("Package",D4875)))),"",VLOOKUP(C4875,'Clients List'!$A:$F,4,FALSE)-SUMIFS($E$2:$E4875,$C$2:$C4875,C4875,$D$2:$D4875,"*Package*"))</f>
        <v/>
      </c>
      <c r="G4875" t="str">
        <f t="shared" si="109"/>
        <v/>
      </c>
      <c r="H4875" s="33">
        <f>IF(ISNUMBER(SEARCH("Group",D4875)),IF(G4875="",E4875,IFERROR(E4875/COUNTIF($G2:$G6000,G4875),E4875)),E4875)</f>
        <v>0</v>
      </c>
      <c r="I4875" s="1" t="str">
        <f>IFERROR(VLOOKUP(C4875,'Clients List'!A:F,6,FALSE),"")</f>
        <v/>
      </c>
    </row>
    <row r="4876" spans="4:9" x14ac:dyDescent="0.45">
      <c r="D4876" t="str">
        <f>IFERROR(VLOOKUP(C4876,'Clients List'!$A:$F,2,FALSE),"")</f>
        <v/>
      </c>
      <c r="F4876" s="1" t="str">
        <f>IF(OR(C4876="",NOT(ISNUMBER(SEARCH("Package",D4876)))),"",VLOOKUP(C4876,'Clients List'!$A:$F,4,FALSE)-SUMIFS($E$2:$E4876,$C$2:$C4876,C4876,$D$2:$D4876,"*Package*"))</f>
        <v/>
      </c>
      <c r="G4876" t="str">
        <f t="shared" si="109"/>
        <v/>
      </c>
      <c r="H4876" s="33">
        <f>IF(ISNUMBER(SEARCH("Group",D4876)),IF(G4876="",E4876,IFERROR(E4876/COUNTIF($G2:$G6000,G4876),E4876)),E4876)</f>
        <v>0</v>
      </c>
      <c r="I4876" s="1" t="str">
        <f>IFERROR(VLOOKUP(C4876,'Clients List'!A:F,6,FALSE),"")</f>
        <v/>
      </c>
    </row>
    <row r="4877" spans="4:9" x14ac:dyDescent="0.45">
      <c r="D4877" t="str">
        <f>IFERROR(VLOOKUP(C4877,'Clients List'!$A:$F,2,FALSE),"")</f>
        <v/>
      </c>
      <c r="F4877" s="1" t="str">
        <f>IF(OR(C4877="",NOT(ISNUMBER(SEARCH("Package",D4877)))),"",VLOOKUP(C4877,'Clients List'!$A:$F,4,FALSE)-SUMIFS($E$2:$E4877,$C$2:$C4877,C4877,$D$2:$D4877,"*Package*"))</f>
        <v/>
      </c>
      <c r="G4877" t="str">
        <f t="shared" si="109"/>
        <v/>
      </c>
      <c r="H4877" s="33">
        <f>IF(ISNUMBER(SEARCH("Group",D4877)),IF(G4877="",E4877,IFERROR(E4877/COUNTIF($G2:$G6000,G4877),E4877)),E4877)</f>
        <v>0</v>
      </c>
      <c r="I4877" s="1" t="str">
        <f>IFERROR(VLOOKUP(C4877,'Clients List'!A:F,6,FALSE),"")</f>
        <v/>
      </c>
    </row>
    <row r="4878" spans="4:9" x14ac:dyDescent="0.45">
      <c r="D4878" t="str">
        <f>IFERROR(VLOOKUP(C4878,'Clients List'!$A:$F,2,FALSE),"")</f>
        <v/>
      </c>
      <c r="F4878" s="1" t="str">
        <f>IF(OR(C4878="",NOT(ISNUMBER(SEARCH("Package",D4878)))),"",VLOOKUP(C4878,'Clients List'!$A:$F,4,FALSE)-SUMIFS($E$2:$E4878,$C$2:$C4878,C4878,$D$2:$D4878,"*Package*"))</f>
        <v/>
      </c>
      <c r="G4878" t="str">
        <f t="shared" si="109"/>
        <v/>
      </c>
      <c r="H4878" s="33">
        <f>IF(ISNUMBER(SEARCH("Group",D4878)),IF(G4878="",E4878,IFERROR(E4878/COUNTIF($G2:$G6000,G4878),E4878)),E4878)</f>
        <v>0</v>
      </c>
      <c r="I4878" s="1" t="str">
        <f>IFERROR(VLOOKUP(C4878,'Clients List'!A:F,6,FALSE),"")</f>
        <v/>
      </c>
    </row>
    <row r="4879" spans="4:9" x14ac:dyDescent="0.45">
      <c r="D4879" t="str">
        <f>IFERROR(VLOOKUP(C4879,'Clients List'!$A:$F,2,FALSE),"")</f>
        <v/>
      </c>
      <c r="F4879" s="1" t="str">
        <f>IF(OR(C4879="",NOT(ISNUMBER(SEARCH("Package",D4879)))),"",VLOOKUP(C4879,'Clients List'!$A:$F,4,FALSE)-SUMIFS($E$2:$E4879,$C$2:$C4879,C4879,$D$2:$D4879,"*Package*"))</f>
        <v/>
      </c>
      <c r="G4879" t="str">
        <f t="shared" si="109"/>
        <v/>
      </c>
      <c r="H4879" s="33">
        <f>IF(ISNUMBER(SEARCH("Group",D4879)),IF(G4879="",E4879,IFERROR(E4879/COUNTIF($G2:$G6000,G4879),E4879)),E4879)</f>
        <v>0</v>
      </c>
      <c r="I4879" s="1" t="str">
        <f>IFERROR(VLOOKUP(C4879,'Clients List'!A:F,6,FALSE),"")</f>
        <v/>
      </c>
    </row>
    <row r="4880" spans="4:9" x14ac:dyDescent="0.45">
      <c r="D4880" t="str">
        <f>IFERROR(VLOOKUP(C4880,'Clients List'!$A:$F,2,FALSE),"")</f>
        <v/>
      </c>
      <c r="F4880" s="1" t="str">
        <f>IF(OR(C4880="",NOT(ISNUMBER(SEARCH("Package",D4880)))),"",VLOOKUP(C4880,'Clients List'!$A:$F,4,FALSE)-SUMIFS($E$2:$E4880,$C$2:$C4880,C4880,$D$2:$D4880,"*Package*"))</f>
        <v/>
      </c>
      <c r="G4880" t="str">
        <f t="shared" si="109"/>
        <v/>
      </c>
      <c r="H4880" s="33">
        <f>IF(ISNUMBER(SEARCH("Group",D4880)),IF(G4880="",E4880,IFERROR(E4880/COUNTIF($G2:$G6000,G4880),E4880)),E4880)</f>
        <v>0</v>
      </c>
      <c r="I4880" s="1" t="str">
        <f>IFERROR(VLOOKUP(C4880,'Clients List'!A:F,6,FALSE),"")</f>
        <v/>
      </c>
    </row>
    <row r="4881" spans="4:9" x14ac:dyDescent="0.45">
      <c r="D4881" t="str">
        <f>IFERROR(VLOOKUP(C4881,'Clients List'!$A:$F,2,FALSE),"")</f>
        <v/>
      </c>
      <c r="F4881" s="1" t="str">
        <f>IF(OR(C4881="",NOT(ISNUMBER(SEARCH("Package",D4881)))),"",VLOOKUP(C4881,'Clients List'!$A:$F,4,FALSE)-SUMIFS($E$2:$E4881,$C$2:$C4881,C4881,$D$2:$D4881,"*Package*"))</f>
        <v/>
      </c>
      <c r="G4881" t="str">
        <f t="shared" si="109"/>
        <v/>
      </c>
      <c r="H4881" s="33">
        <f>IF(ISNUMBER(SEARCH("Group",D4881)),IF(G4881="",E4881,IFERROR(E4881/COUNTIF($G2:$G6000,G4881),E4881)),E4881)</f>
        <v>0</v>
      </c>
      <c r="I4881" s="1" t="str">
        <f>IFERROR(VLOOKUP(C4881,'Clients List'!A:F,6,FALSE),"")</f>
        <v/>
      </c>
    </row>
    <row r="4882" spans="4:9" x14ac:dyDescent="0.45">
      <c r="D4882" t="str">
        <f>IFERROR(VLOOKUP(C4882,'Clients List'!$A:$F,2,FALSE),"")</f>
        <v/>
      </c>
      <c r="F4882" s="1" t="str">
        <f>IF(OR(C4882="",NOT(ISNUMBER(SEARCH("Package",D4882)))),"",VLOOKUP(C4882,'Clients List'!$A:$F,4,FALSE)-SUMIFS($E$2:$E4882,$C$2:$C4882,C4882,$D$2:$D4882,"*Package*"))</f>
        <v/>
      </c>
      <c r="G4882" t="str">
        <f t="shared" si="109"/>
        <v/>
      </c>
      <c r="H4882" s="33">
        <f>IF(ISNUMBER(SEARCH("Group",D4882)),IF(G4882="",E4882,IFERROR(E4882/COUNTIF($G2:$G6000,G4882),E4882)),E4882)</f>
        <v>0</v>
      </c>
      <c r="I4882" s="1" t="str">
        <f>IFERROR(VLOOKUP(C4882,'Clients List'!A:F,6,FALSE),"")</f>
        <v/>
      </c>
    </row>
    <row r="4883" spans="4:9" x14ac:dyDescent="0.45">
      <c r="D4883" t="str">
        <f>IFERROR(VLOOKUP(C4883,'Clients List'!$A:$F,2,FALSE),"")</f>
        <v/>
      </c>
      <c r="F4883" s="1" t="str">
        <f>IF(OR(C4883="",NOT(ISNUMBER(SEARCH("Package",D4883)))),"",VLOOKUP(C4883,'Clients List'!$A:$F,4,FALSE)-SUMIFS($E$2:$E4883,$C$2:$C4883,C4883,$D$2:$D4883,"*Package*"))</f>
        <v/>
      </c>
      <c r="G4883" t="str">
        <f t="shared" si="109"/>
        <v/>
      </c>
      <c r="H4883" s="33">
        <f>IF(ISNUMBER(SEARCH("Group",D4883)),IF(G4883="",E4883,IFERROR(E4883/COUNTIF($G2:$G6000,G4883),E4883)),E4883)</f>
        <v>0</v>
      </c>
      <c r="I4883" s="1" t="str">
        <f>IFERROR(VLOOKUP(C4883,'Clients List'!A:F,6,FALSE),"")</f>
        <v/>
      </c>
    </row>
    <row r="4884" spans="4:9" x14ac:dyDescent="0.45">
      <c r="D4884" t="str">
        <f>IFERROR(VLOOKUP(C4884,'Clients List'!$A:$F,2,FALSE),"")</f>
        <v/>
      </c>
      <c r="F4884" s="1" t="str">
        <f>IF(OR(C4884="",NOT(ISNUMBER(SEARCH("Package",D4884)))),"",VLOOKUP(C4884,'Clients List'!$A:$F,4,FALSE)-SUMIFS($E$2:$E4884,$C$2:$C4884,C4884,$D$2:$D4884,"*Package*"))</f>
        <v/>
      </c>
      <c r="G4884" t="str">
        <f t="shared" si="109"/>
        <v/>
      </c>
      <c r="H4884" s="33">
        <f>IF(ISNUMBER(SEARCH("Group",D4884)),IF(G4884="",E4884,IFERROR(E4884/COUNTIF($G2:$G6000,G4884),E4884)),E4884)</f>
        <v>0</v>
      </c>
      <c r="I4884" s="1" t="str">
        <f>IFERROR(VLOOKUP(C4884,'Clients List'!A:F,6,FALSE),"")</f>
        <v/>
      </c>
    </row>
    <row r="4885" spans="4:9" x14ac:dyDescent="0.45">
      <c r="D4885" t="str">
        <f>IFERROR(VLOOKUP(C4885,'Clients List'!$A:$F,2,FALSE),"")</f>
        <v/>
      </c>
      <c r="F4885" s="1" t="str">
        <f>IF(OR(C4885="",NOT(ISNUMBER(SEARCH("Package",D4885)))),"",VLOOKUP(C4885,'Clients List'!$A:$F,4,FALSE)-SUMIFS($E$2:$E4885,$C$2:$C4885,C4885,$D$2:$D4885,"*Package*"))</f>
        <v/>
      </c>
      <c r="G4885" t="str">
        <f t="shared" si="109"/>
        <v/>
      </c>
      <c r="H4885" s="33">
        <f>IF(ISNUMBER(SEARCH("Group",D4885)),IF(G4885="",E4885,IFERROR(E4885/COUNTIF($G2:$G6000,G4885),E4885)),E4885)</f>
        <v>0</v>
      </c>
      <c r="I4885" s="1" t="str">
        <f>IFERROR(VLOOKUP(C4885,'Clients List'!A:F,6,FALSE),"")</f>
        <v/>
      </c>
    </row>
    <row r="4886" spans="4:9" x14ac:dyDescent="0.45">
      <c r="D4886" t="str">
        <f>IFERROR(VLOOKUP(C4886,'Clients List'!$A:$F,2,FALSE),"")</f>
        <v/>
      </c>
      <c r="F4886" s="1" t="str">
        <f>IF(OR(C4886="",NOT(ISNUMBER(SEARCH("Package",D4886)))),"",VLOOKUP(C4886,'Clients List'!$A:$F,4,FALSE)-SUMIFS($E$2:$E4886,$C$2:$C4886,C4886,$D$2:$D4886,"*Package*"))</f>
        <v/>
      </c>
      <c r="G4886" t="str">
        <f t="shared" si="109"/>
        <v/>
      </c>
      <c r="H4886" s="33">
        <f>IF(ISNUMBER(SEARCH("Group",D4886)),IF(G4886="",E4886,IFERROR(E4886/COUNTIF($G2:$G6000,G4886),E4886)),E4886)</f>
        <v>0</v>
      </c>
      <c r="I4886" s="1" t="str">
        <f>IFERROR(VLOOKUP(C4886,'Clients List'!A:F,6,FALSE),"")</f>
        <v/>
      </c>
    </row>
    <row r="4887" spans="4:9" x14ac:dyDescent="0.45">
      <c r="D4887" t="str">
        <f>IFERROR(VLOOKUP(C4887,'Clients List'!$A:$F,2,FALSE),"")</f>
        <v/>
      </c>
      <c r="F4887" s="1" t="str">
        <f>IF(OR(C4887="",NOT(ISNUMBER(SEARCH("Package",D4887)))),"",VLOOKUP(C4887,'Clients List'!$A:$F,4,FALSE)-SUMIFS($E$2:$E4887,$C$2:$C4887,C4887,$D$2:$D4887,"*Package*"))</f>
        <v/>
      </c>
      <c r="G4887" t="str">
        <f t="shared" si="109"/>
        <v/>
      </c>
      <c r="H4887" s="33">
        <f>IF(ISNUMBER(SEARCH("Group",D4887)),IF(G4887="",E4887,IFERROR(E4887/COUNTIF($G2:$G6000,G4887),E4887)),E4887)</f>
        <v>0</v>
      </c>
      <c r="I4887" s="1" t="str">
        <f>IFERROR(VLOOKUP(C4887,'Clients List'!A:F,6,FALSE),"")</f>
        <v/>
      </c>
    </row>
    <row r="4888" spans="4:9" x14ac:dyDescent="0.45">
      <c r="D4888" t="str">
        <f>IFERROR(VLOOKUP(C4888,'Clients List'!$A:$F,2,FALSE),"")</f>
        <v/>
      </c>
      <c r="F4888" s="1" t="str">
        <f>IF(OR(C4888="",NOT(ISNUMBER(SEARCH("Package",D4888)))),"",VLOOKUP(C4888,'Clients List'!$A:$F,4,FALSE)-SUMIFS($E$2:$E4888,$C$2:$C4888,C4888,$D$2:$D4888,"*Package*"))</f>
        <v/>
      </c>
      <c r="G4888" t="str">
        <f t="shared" si="109"/>
        <v/>
      </c>
      <c r="H4888" s="33">
        <f>IF(ISNUMBER(SEARCH("Group",D4888)),IF(G4888="",E4888,IFERROR(E4888/COUNTIF($G2:$G6000,G4888),E4888)),E4888)</f>
        <v>0</v>
      </c>
      <c r="I4888" s="1" t="str">
        <f>IFERROR(VLOOKUP(C4888,'Clients List'!A:F,6,FALSE),"")</f>
        <v/>
      </c>
    </row>
    <row r="4889" spans="4:9" x14ac:dyDescent="0.45">
      <c r="D4889" t="str">
        <f>IFERROR(VLOOKUP(C4889,'Clients List'!$A:$F,2,FALSE),"")</f>
        <v/>
      </c>
      <c r="F4889" s="1" t="str">
        <f>IF(OR(C4889="",NOT(ISNUMBER(SEARCH("Package",D4889)))),"",VLOOKUP(C4889,'Clients List'!$A:$F,4,FALSE)-SUMIFS($E$2:$E4889,$C$2:$C4889,C4889,$D$2:$D4889,"*Package*"))</f>
        <v/>
      </c>
      <c r="G4889" t="str">
        <f t="shared" si="109"/>
        <v/>
      </c>
      <c r="H4889" s="33">
        <f>IF(ISNUMBER(SEARCH("Group",D4889)),IF(G4889="",E4889,IFERROR(E4889/COUNTIF($G2:$G6000,G4889),E4889)),E4889)</f>
        <v>0</v>
      </c>
      <c r="I4889" s="1" t="str">
        <f>IFERROR(VLOOKUP(C4889,'Clients List'!A:F,6,FALSE),"")</f>
        <v/>
      </c>
    </row>
    <row r="4890" spans="4:9" x14ac:dyDescent="0.45">
      <c r="D4890" t="str">
        <f>IFERROR(VLOOKUP(C4890,'Clients List'!$A:$F,2,FALSE),"")</f>
        <v/>
      </c>
      <c r="F4890" s="1" t="str">
        <f>IF(OR(C4890="",NOT(ISNUMBER(SEARCH("Package",D4890)))),"",VLOOKUP(C4890,'Clients List'!$A:$F,4,FALSE)-SUMIFS($E$2:$E4890,$C$2:$C4890,C4890,$D$2:$D4890,"*Package*"))</f>
        <v/>
      </c>
      <c r="G4890" t="str">
        <f t="shared" si="109"/>
        <v/>
      </c>
      <c r="H4890" s="33">
        <f>IF(ISNUMBER(SEARCH("Group",D4890)),IF(G4890="",E4890,IFERROR(E4890/COUNTIF($G2:$G6000,G4890),E4890)),E4890)</f>
        <v>0</v>
      </c>
      <c r="I4890" s="1" t="str">
        <f>IFERROR(VLOOKUP(C4890,'Clients List'!A:F,6,FALSE),"")</f>
        <v/>
      </c>
    </row>
    <row r="4891" spans="4:9" x14ac:dyDescent="0.45">
      <c r="D4891" t="str">
        <f>IFERROR(VLOOKUP(C4891,'Clients List'!$A:$F,2,FALSE),"")</f>
        <v/>
      </c>
      <c r="F4891" s="1" t="str">
        <f>IF(OR(C4891="",NOT(ISNUMBER(SEARCH("Package",D4891)))),"",VLOOKUP(C4891,'Clients List'!$A:$F,4,FALSE)-SUMIFS($E$2:$E4891,$C$2:$C4891,C4891,$D$2:$D4891,"*Package*"))</f>
        <v/>
      </c>
      <c r="G4891" t="str">
        <f t="shared" si="109"/>
        <v/>
      </c>
      <c r="H4891" s="33">
        <f>IF(ISNUMBER(SEARCH("Group",D4891)),IF(G4891="",E4891,IFERROR(E4891/COUNTIF($G2:$G6000,G4891),E4891)),E4891)</f>
        <v>0</v>
      </c>
      <c r="I4891" s="1" t="str">
        <f>IFERROR(VLOOKUP(C4891,'Clients List'!A:F,6,FALSE),"")</f>
        <v/>
      </c>
    </row>
    <row r="4892" spans="4:9" x14ac:dyDescent="0.45">
      <c r="D4892" t="str">
        <f>IFERROR(VLOOKUP(C4892,'Clients List'!$A:$F,2,FALSE),"")</f>
        <v/>
      </c>
      <c r="F4892" s="1" t="str">
        <f>IF(OR(C4892="",NOT(ISNUMBER(SEARCH("Package",D4892)))),"",VLOOKUP(C4892,'Clients List'!$A:$F,4,FALSE)-SUMIFS($E$2:$E4892,$C$2:$C4892,C4892,$D$2:$D4892,"*Package*"))</f>
        <v/>
      </c>
      <c r="G4892" t="str">
        <f t="shared" si="109"/>
        <v/>
      </c>
      <c r="H4892" s="33">
        <f>IF(ISNUMBER(SEARCH("Group",D4892)),IF(G4892="",E4892,IFERROR(E4892/COUNTIF($G2:$G6000,G4892),E4892)),E4892)</f>
        <v>0</v>
      </c>
      <c r="I4892" s="1" t="str">
        <f>IFERROR(VLOOKUP(C4892,'Clients List'!A:F,6,FALSE),"")</f>
        <v/>
      </c>
    </row>
    <row r="4893" spans="4:9" x14ac:dyDescent="0.45">
      <c r="D4893" t="str">
        <f>IFERROR(VLOOKUP(C4893,'Clients List'!$A:$F,2,FALSE),"")</f>
        <v/>
      </c>
      <c r="F4893" s="1" t="str">
        <f>IF(OR(C4893="",NOT(ISNUMBER(SEARCH("Package",D4893)))),"",VLOOKUP(C4893,'Clients List'!$A:$F,4,FALSE)-SUMIFS($E$2:$E4893,$C$2:$C4893,C4893,$D$2:$D4893,"*Package*"))</f>
        <v/>
      </c>
      <c r="G4893" t="str">
        <f t="shared" si="109"/>
        <v/>
      </c>
      <c r="H4893" s="33">
        <f>IF(ISNUMBER(SEARCH("Group",D4893)),IF(G4893="",E4893,IFERROR(E4893/COUNTIF($G2:$G6000,G4893),E4893)),E4893)</f>
        <v>0</v>
      </c>
      <c r="I4893" s="1" t="str">
        <f>IFERROR(VLOOKUP(C4893,'Clients List'!A:F,6,FALSE),"")</f>
        <v/>
      </c>
    </row>
    <row r="4894" spans="4:9" x14ac:dyDescent="0.45">
      <c r="D4894" t="str">
        <f>IFERROR(VLOOKUP(C4894,'Clients List'!$A:$F,2,FALSE),"")</f>
        <v/>
      </c>
      <c r="F4894" s="1" t="str">
        <f>IF(OR(C4894="",NOT(ISNUMBER(SEARCH("Package",D4894)))),"",VLOOKUP(C4894,'Clients List'!$A:$F,4,FALSE)-SUMIFS($E$2:$E4894,$C$2:$C4894,C4894,$D$2:$D4894,"*Package*"))</f>
        <v/>
      </c>
      <c r="G4894" t="str">
        <f t="shared" si="109"/>
        <v/>
      </c>
      <c r="H4894" s="33">
        <f>IF(ISNUMBER(SEARCH("Group",D4894)),IF(G4894="",E4894,IFERROR(E4894/COUNTIF($G2:$G6000,G4894),E4894)),E4894)</f>
        <v>0</v>
      </c>
      <c r="I4894" s="1" t="str">
        <f>IFERROR(VLOOKUP(C4894,'Clients List'!A:F,6,FALSE),"")</f>
        <v/>
      </c>
    </row>
    <row r="4895" spans="4:9" x14ac:dyDescent="0.45">
      <c r="D4895" t="str">
        <f>IFERROR(VLOOKUP(C4895,'Clients List'!$A:$F,2,FALSE),"")</f>
        <v/>
      </c>
      <c r="F4895" s="1" t="str">
        <f>IF(OR(C4895="",NOT(ISNUMBER(SEARCH("Package",D4895)))),"",VLOOKUP(C4895,'Clients List'!$A:$F,4,FALSE)-SUMIFS($E$2:$E4895,$C$2:$C4895,C4895,$D$2:$D4895,"*Package*"))</f>
        <v/>
      </c>
      <c r="G4895" t="str">
        <f t="shared" si="109"/>
        <v/>
      </c>
      <c r="H4895" s="33">
        <f>IF(ISNUMBER(SEARCH("Group",D4895)),IF(G4895="",E4895,IFERROR(E4895/COUNTIF($G2:$G6000,G4895),E4895)),E4895)</f>
        <v>0</v>
      </c>
      <c r="I4895" s="1" t="str">
        <f>IFERROR(VLOOKUP(C4895,'Clients List'!A:F,6,FALSE),"")</f>
        <v/>
      </c>
    </row>
    <row r="4896" spans="4:9" x14ac:dyDescent="0.45">
      <c r="D4896" t="str">
        <f>IFERROR(VLOOKUP(C4896,'Clients List'!$A:$F,2,FALSE),"")</f>
        <v/>
      </c>
      <c r="F4896" s="1" t="str">
        <f>IF(OR(C4896="",NOT(ISNUMBER(SEARCH("Package",D4896)))),"",VLOOKUP(C4896,'Clients List'!$A:$F,4,FALSE)-SUMIFS($E$2:$E4896,$C$2:$C4896,C4896,$D$2:$D4896,"*Package*"))</f>
        <v/>
      </c>
      <c r="G4896" t="str">
        <f t="shared" si="109"/>
        <v/>
      </c>
      <c r="H4896" s="33">
        <f>IF(ISNUMBER(SEARCH("Group",D4896)),IF(G4896="",E4896,IFERROR(E4896/COUNTIF($G2:$G6000,G4896),E4896)),E4896)</f>
        <v>0</v>
      </c>
      <c r="I4896" s="1" t="str">
        <f>IFERROR(VLOOKUP(C4896,'Clients List'!A:F,6,FALSE),"")</f>
        <v/>
      </c>
    </row>
    <row r="4897" spans="4:9" x14ac:dyDescent="0.45">
      <c r="D4897" t="str">
        <f>IFERROR(VLOOKUP(C4897,'Clients List'!$A:$F,2,FALSE),"")</f>
        <v/>
      </c>
      <c r="F4897" s="1" t="str">
        <f>IF(OR(C4897="",NOT(ISNUMBER(SEARCH("Package",D4897)))),"",VLOOKUP(C4897,'Clients List'!$A:$F,4,FALSE)-SUMIFS($E$2:$E4897,$C$2:$C4897,C4897,$D$2:$D4897,"*Package*"))</f>
        <v/>
      </c>
      <c r="G4897" t="str">
        <f t="shared" si="109"/>
        <v/>
      </c>
      <c r="H4897" s="33">
        <f>IF(ISNUMBER(SEARCH("Group",D4897)),IF(G4897="",E4897,IFERROR(E4897/COUNTIF($G2:$G6000,G4897),E4897)),E4897)</f>
        <v>0</v>
      </c>
      <c r="I4897" s="1" t="str">
        <f>IFERROR(VLOOKUP(C4897,'Clients List'!A:F,6,FALSE),"")</f>
        <v/>
      </c>
    </row>
    <row r="4898" spans="4:9" x14ac:dyDescent="0.45">
      <c r="D4898" t="str">
        <f>IFERROR(VLOOKUP(C4898,'Clients List'!$A:$F,2,FALSE),"")</f>
        <v/>
      </c>
      <c r="F4898" s="1" t="str">
        <f>IF(OR(C4898="",NOT(ISNUMBER(SEARCH("Package",D4898)))),"",VLOOKUP(C4898,'Clients List'!$A:$F,4,FALSE)-SUMIFS($E$2:$E4898,$C$2:$C4898,C4898,$D$2:$D4898,"*Package*"))</f>
        <v/>
      </c>
      <c r="G4898" t="str">
        <f t="shared" si="109"/>
        <v/>
      </c>
      <c r="H4898" s="33">
        <f>IF(ISNUMBER(SEARCH("Group",D4898)),IF(G4898="",E4898,IFERROR(E4898/COUNTIF($G2:$G6000,G4898),E4898)),E4898)</f>
        <v>0</v>
      </c>
      <c r="I4898" s="1" t="str">
        <f>IFERROR(VLOOKUP(C4898,'Clients List'!A:F,6,FALSE),"")</f>
        <v/>
      </c>
    </row>
    <row r="4899" spans="4:9" x14ac:dyDescent="0.45">
      <c r="D4899" t="str">
        <f>IFERROR(VLOOKUP(C4899,'Clients List'!$A:$F,2,FALSE),"")</f>
        <v/>
      </c>
      <c r="F4899" s="1" t="str">
        <f>IF(OR(C4899="",NOT(ISNUMBER(SEARCH("Package",D4899)))),"",VLOOKUP(C4899,'Clients List'!$A:$F,4,FALSE)-SUMIFS($E$2:$E4899,$C$2:$C4899,C4899,$D$2:$D4899,"*Package*"))</f>
        <v/>
      </c>
      <c r="G4899" t="str">
        <f t="shared" si="109"/>
        <v/>
      </c>
      <c r="H4899" s="33">
        <f>IF(ISNUMBER(SEARCH("Group",D4899)),IF(G4899="",E4899,IFERROR(E4899/COUNTIF($G2:$G6000,G4899),E4899)),E4899)</f>
        <v>0</v>
      </c>
      <c r="I4899" s="1" t="str">
        <f>IFERROR(VLOOKUP(C4899,'Clients List'!A:F,6,FALSE),"")</f>
        <v/>
      </c>
    </row>
    <row r="4900" spans="4:9" x14ac:dyDescent="0.45">
      <c r="D4900" t="str">
        <f>IFERROR(VLOOKUP(C4900,'Clients List'!$A:$F,2,FALSE),"")</f>
        <v/>
      </c>
      <c r="F4900" s="1" t="str">
        <f>IF(OR(C4900="",NOT(ISNUMBER(SEARCH("Package",D4900)))),"",VLOOKUP(C4900,'Clients List'!$A:$F,4,FALSE)-SUMIFS($E$2:$E4900,$C$2:$C4900,C4900,$D$2:$D4900,"*Package*"))</f>
        <v/>
      </c>
      <c r="G4900" t="str">
        <f t="shared" si="109"/>
        <v/>
      </c>
      <c r="H4900" s="33">
        <f>IF(ISNUMBER(SEARCH("Group",D4900)),IF(G4900="",E4900,IFERROR(E4900/COUNTIF($G2:$G6000,G4900),E4900)),E4900)</f>
        <v>0</v>
      </c>
      <c r="I4900" s="1" t="str">
        <f>IFERROR(VLOOKUP(C4900,'Clients List'!A:F,6,FALSE),"")</f>
        <v/>
      </c>
    </row>
    <row r="4901" spans="4:9" x14ac:dyDescent="0.45">
      <c r="D4901" t="str">
        <f>IFERROR(VLOOKUP(C4901,'Clients List'!$A:$F,2,FALSE),"")</f>
        <v/>
      </c>
      <c r="F4901" s="1" t="str">
        <f>IF(OR(C4901="",NOT(ISNUMBER(SEARCH("Package",D4901)))),"",VLOOKUP(C4901,'Clients List'!$A:$F,4,FALSE)-SUMIFS($E$2:$E4901,$C$2:$C4901,C4901,$D$2:$D4901,"*Package*"))</f>
        <v/>
      </c>
      <c r="G4901" t="str">
        <f t="shared" si="109"/>
        <v/>
      </c>
      <c r="H4901" s="33">
        <f>IF(ISNUMBER(SEARCH("Group",D4901)),IF(G4901="",E4901,IFERROR(E4901/COUNTIF($G2:$G6000,G4901),E4901)),E4901)</f>
        <v>0</v>
      </c>
      <c r="I4901" s="1" t="str">
        <f>IFERROR(VLOOKUP(C4901,'Clients List'!A:F,6,FALSE),"")</f>
        <v/>
      </c>
    </row>
    <row r="4902" spans="4:9" x14ac:dyDescent="0.45">
      <c r="D4902" t="str">
        <f>IFERROR(VLOOKUP(C4902,'Clients List'!$A:$F,2,FALSE),"")</f>
        <v/>
      </c>
      <c r="F4902" s="1" t="str">
        <f>IF(OR(C4902="",NOT(ISNUMBER(SEARCH("Package",D4902)))),"",VLOOKUP(C4902,'Clients List'!$A:$F,4,FALSE)-SUMIFS($E$2:$E4902,$C$2:$C4902,C4902,$D$2:$D4902,"*Package*"))</f>
        <v/>
      </c>
      <c r="G4902" t="str">
        <f t="shared" si="109"/>
        <v/>
      </c>
      <c r="H4902" s="33">
        <f>IF(ISNUMBER(SEARCH("Group",D4902)),IF(G4902="",E4902,IFERROR(E4902/COUNTIF($G2:$G6000,G4902),E4902)),E4902)</f>
        <v>0</v>
      </c>
      <c r="I4902" s="1" t="str">
        <f>IFERROR(VLOOKUP(C4902,'Clients List'!A:F,6,FALSE),"")</f>
        <v/>
      </c>
    </row>
    <row r="4903" spans="4:9" x14ac:dyDescent="0.45">
      <c r="D4903" t="str">
        <f>IFERROR(VLOOKUP(C4903,'Clients List'!$A:$F,2,FALSE),"")</f>
        <v/>
      </c>
      <c r="F4903" s="1" t="str">
        <f>IF(OR(C4903="",NOT(ISNUMBER(SEARCH("Package",D4903)))),"",VLOOKUP(C4903,'Clients List'!$A:$F,4,FALSE)-SUMIFS($E$2:$E4903,$C$2:$C4903,C4903,$D$2:$D4903,"*Package*"))</f>
        <v/>
      </c>
      <c r="G4903" t="str">
        <f t="shared" si="109"/>
        <v/>
      </c>
      <c r="H4903" s="33">
        <f>IF(ISNUMBER(SEARCH("Group",D4903)),IF(G4903="",E4903,IFERROR(E4903/COUNTIF($G2:$G6000,G4903),E4903)),E4903)</f>
        <v>0</v>
      </c>
      <c r="I4903" s="1" t="str">
        <f>IFERROR(VLOOKUP(C4903,'Clients List'!A:F,6,FALSE),"")</f>
        <v/>
      </c>
    </row>
    <row r="4904" spans="4:9" x14ac:dyDescent="0.45">
      <c r="D4904" t="str">
        <f>IFERROR(VLOOKUP(C4904,'Clients List'!$A:$F,2,FALSE),"")</f>
        <v/>
      </c>
      <c r="F4904" s="1" t="str">
        <f>IF(OR(C4904="",NOT(ISNUMBER(SEARCH("Package",D4904)))),"",VLOOKUP(C4904,'Clients List'!$A:$F,4,FALSE)-SUMIFS($E$2:$E4904,$C$2:$C4904,C4904,$D$2:$D4904,"*Package*"))</f>
        <v/>
      </c>
      <c r="G4904" t="str">
        <f t="shared" si="109"/>
        <v/>
      </c>
      <c r="H4904" s="33">
        <f>IF(ISNUMBER(SEARCH("Group",D4904)),IF(G4904="",E4904,IFERROR(E4904/COUNTIF($G2:$G6000,G4904),E4904)),E4904)</f>
        <v>0</v>
      </c>
      <c r="I4904" s="1" t="str">
        <f>IFERROR(VLOOKUP(C4904,'Clients List'!A:F,6,FALSE),"")</f>
        <v/>
      </c>
    </row>
    <row r="4905" spans="4:9" x14ac:dyDescent="0.45">
      <c r="D4905" t="str">
        <f>IFERROR(VLOOKUP(C4905,'Clients List'!$A:$F,2,FALSE),"")</f>
        <v/>
      </c>
      <c r="F4905" s="1" t="str">
        <f>IF(OR(C4905="",NOT(ISNUMBER(SEARCH("Package",D4905)))),"",VLOOKUP(C4905,'Clients List'!$A:$F,4,FALSE)-SUMIFS($E$2:$E4905,$C$2:$C4905,C4905,$D$2:$D4905,"*Package*"))</f>
        <v/>
      </c>
      <c r="G4905" t="str">
        <f t="shared" si="109"/>
        <v/>
      </c>
      <c r="H4905" s="33">
        <f>IF(ISNUMBER(SEARCH("Group",D4905)),IF(G4905="",E4905,IFERROR(E4905/COUNTIF($G2:$G6000,G4905),E4905)),E4905)</f>
        <v>0</v>
      </c>
      <c r="I4905" s="1" t="str">
        <f>IFERROR(VLOOKUP(C4905,'Clients List'!A:F,6,FALSE),"")</f>
        <v/>
      </c>
    </row>
    <row r="4906" spans="4:9" x14ac:dyDescent="0.45">
      <c r="D4906" t="str">
        <f>IFERROR(VLOOKUP(C4906,'Clients List'!$A:$F,2,FALSE),"")</f>
        <v/>
      </c>
      <c r="F4906" s="1" t="str">
        <f>IF(OR(C4906="",NOT(ISNUMBER(SEARCH("Package",D4906)))),"",VLOOKUP(C4906,'Clients List'!$A:$F,4,FALSE)-SUMIFS($E$2:$E4906,$C$2:$C4906,C4906,$D$2:$D4906,"*Package*"))</f>
        <v/>
      </c>
      <c r="G4906" t="str">
        <f t="shared" si="109"/>
        <v/>
      </c>
      <c r="H4906" s="33">
        <f>IF(ISNUMBER(SEARCH("Group",D4906)),IF(G4906="",E4906,IFERROR(E4906/COUNTIF($G2:$G6000,G4906),E4906)),E4906)</f>
        <v>0</v>
      </c>
      <c r="I4906" s="1" t="str">
        <f>IFERROR(VLOOKUP(C4906,'Clients List'!A:F,6,FALSE),"")</f>
        <v/>
      </c>
    </row>
    <row r="4907" spans="4:9" x14ac:dyDescent="0.45">
      <c r="D4907" t="str">
        <f>IFERROR(VLOOKUP(C4907,'Clients List'!$A:$F,2,FALSE),"")</f>
        <v/>
      </c>
      <c r="F4907" s="1" t="str">
        <f>IF(OR(C4907="",NOT(ISNUMBER(SEARCH("Package",D4907)))),"",VLOOKUP(C4907,'Clients List'!$A:$F,4,FALSE)-SUMIFS($E$2:$E4907,$C$2:$C4907,C4907,$D$2:$D4907,"*Package*"))</f>
        <v/>
      </c>
      <c r="G4907" t="str">
        <f t="shared" si="109"/>
        <v/>
      </c>
      <c r="H4907" s="33">
        <f>IF(ISNUMBER(SEARCH("Group",D4907)),IF(G4907="",E4907,IFERROR(E4907/COUNTIF($G2:$G6000,G4907),E4907)),E4907)</f>
        <v>0</v>
      </c>
      <c r="I4907" s="1" t="str">
        <f>IFERROR(VLOOKUP(C4907,'Clients List'!A:F,6,FALSE),"")</f>
        <v/>
      </c>
    </row>
    <row r="4908" spans="4:9" x14ac:dyDescent="0.45">
      <c r="D4908" t="str">
        <f>IFERROR(VLOOKUP(C4908,'Clients List'!$A:$F,2,FALSE),"")</f>
        <v/>
      </c>
      <c r="F4908" s="1" t="str">
        <f>IF(OR(C4908="",NOT(ISNUMBER(SEARCH("Package",D4908)))),"",VLOOKUP(C4908,'Clients List'!$A:$F,4,FALSE)-SUMIFS($E$2:$E4908,$C$2:$C4908,C4908,$D$2:$D4908,"*Package*"))</f>
        <v/>
      </c>
      <c r="G4908" t="str">
        <f t="shared" si="109"/>
        <v/>
      </c>
      <c r="H4908" s="33">
        <f>IF(ISNUMBER(SEARCH("Group",D4908)),IF(G4908="",E4908,IFERROR(E4908/COUNTIF($G2:$G6000,G4908),E4908)),E4908)</f>
        <v>0</v>
      </c>
      <c r="I4908" s="1" t="str">
        <f>IFERROR(VLOOKUP(C4908,'Clients List'!A:F,6,FALSE),"")</f>
        <v/>
      </c>
    </row>
    <row r="4909" spans="4:9" x14ac:dyDescent="0.45">
      <c r="D4909" t="str">
        <f>IFERROR(VLOOKUP(C4909,'Clients List'!$A:$F,2,FALSE),"")</f>
        <v/>
      </c>
      <c r="F4909" s="1" t="str">
        <f>IF(OR(C4909="",NOT(ISNUMBER(SEARCH("Package",D4909)))),"",VLOOKUP(C4909,'Clients List'!$A:$F,4,FALSE)-SUMIFS($E$2:$E4909,$C$2:$C4909,C4909,$D$2:$D4909,"*Package*"))</f>
        <v/>
      </c>
      <c r="G4909" t="str">
        <f t="shared" si="109"/>
        <v/>
      </c>
      <c r="H4909" s="33">
        <f>IF(ISNUMBER(SEARCH("Group",D4909)),IF(G4909="",E4909,IFERROR(E4909/COUNTIF($G2:$G6000,G4909),E4909)),E4909)</f>
        <v>0</v>
      </c>
      <c r="I4909" s="1" t="str">
        <f>IFERROR(VLOOKUP(C4909,'Clients List'!A:F,6,FALSE),"")</f>
        <v/>
      </c>
    </row>
    <row r="4910" spans="4:9" x14ac:dyDescent="0.45">
      <c r="D4910" t="str">
        <f>IFERROR(VLOOKUP(C4910,'Clients List'!$A:$F,2,FALSE),"")</f>
        <v/>
      </c>
      <c r="F4910" s="1" t="str">
        <f>IF(OR(C4910="",NOT(ISNUMBER(SEARCH("Package",D4910)))),"",VLOOKUP(C4910,'Clients List'!$A:$F,4,FALSE)-SUMIFS($E$2:$E4910,$C$2:$C4910,C4910,$D$2:$D4910,"*Package*"))</f>
        <v/>
      </c>
      <c r="G4910" t="str">
        <f t="shared" si="109"/>
        <v/>
      </c>
      <c r="H4910" s="33">
        <f>IF(ISNUMBER(SEARCH("Group",D4910)),IF(G4910="",E4910,IFERROR(E4910/COUNTIF($G2:$G6000,G4910),E4910)),E4910)</f>
        <v>0</v>
      </c>
      <c r="I4910" s="1" t="str">
        <f>IFERROR(VLOOKUP(C4910,'Clients List'!A:F,6,FALSE),"")</f>
        <v/>
      </c>
    </row>
    <row r="4911" spans="4:9" x14ac:dyDescent="0.45">
      <c r="D4911" t="str">
        <f>IFERROR(VLOOKUP(C4911,'Clients List'!$A:$F,2,FALSE),"")</f>
        <v/>
      </c>
      <c r="F4911" s="1" t="str">
        <f>IF(OR(C4911="",NOT(ISNUMBER(SEARCH("Package",D4911)))),"",VLOOKUP(C4911,'Clients List'!$A:$F,4,FALSE)-SUMIFS($E$2:$E4911,$C$2:$C4911,C4911,$D$2:$D4911,"*Package*"))</f>
        <v/>
      </c>
      <c r="G4911" t="str">
        <f t="shared" si="109"/>
        <v/>
      </c>
      <c r="H4911" s="33">
        <f>IF(ISNUMBER(SEARCH("Group",D4911)),IF(G4911="",E4911,IFERROR(E4911/COUNTIF($G2:$G6000,G4911),E4911)),E4911)</f>
        <v>0</v>
      </c>
      <c r="I4911" s="1" t="str">
        <f>IFERROR(VLOOKUP(C4911,'Clients List'!A:F,6,FALSE),"")</f>
        <v/>
      </c>
    </row>
    <row r="4912" spans="4:9" x14ac:dyDescent="0.45">
      <c r="D4912" t="str">
        <f>IFERROR(VLOOKUP(C4912,'Clients List'!$A:$F,2,FALSE),"")</f>
        <v/>
      </c>
      <c r="F4912" s="1" t="str">
        <f>IF(OR(C4912="",NOT(ISNUMBER(SEARCH("Package",D4912)))),"",VLOOKUP(C4912,'Clients List'!$A:$F,4,FALSE)-SUMIFS($E$2:$E4912,$C$2:$C4912,C4912,$D$2:$D4912,"*Package*"))</f>
        <v/>
      </c>
      <c r="G4912" t="str">
        <f t="shared" si="109"/>
        <v/>
      </c>
      <c r="H4912" s="33">
        <f>IF(ISNUMBER(SEARCH("Group",D4912)),IF(G4912="",E4912,IFERROR(E4912/COUNTIF($G2:$G6000,G4912),E4912)),E4912)</f>
        <v>0</v>
      </c>
      <c r="I4912" s="1" t="str">
        <f>IFERROR(VLOOKUP(C4912,'Clients List'!A:F,6,FALSE),"")</f>
        <v/>
      </c>
    </row>
    <row r="4913" spans="4:9" x14ac:dyDescent="0.45">
      <c r="D4913" t="str">
        <f>IFERROR(VLOOKUP(C4913,'Clients List'!$A:$F,2,FALSE),"")</f>
        <v/>
      </c>
      <c r="F4913" s="1" t="str">
        <f>IF(OR(C4913="",NOT(ISNUMBER(SEARCH("Package",D4913)))),"",VLOOKUP(C4913,'Clients List'!$A:$F,4,FALSE)-SUMIFS($E$2:$E4913,$C$2:$C4913,C4913,$D$2:$D4913,"*Package*"))</f>
        <v/>
      </c>
      <c r="G4913" t="str">
        <f t="shared" si="109"/>
        <v/>
      </c>
      <c r="H4913" s="33">
        <f>IF(ISNUMBER(SEARCH("Group",D4913)),IF(G4913="",E4913,IFERROR(E4913/COUNTIF($G2:$G6000,G4913),E4913)),E4913)</f>
        <v>0</v>
      </c>
      <c r="I4913" s="1" t="str">
        <f>IFERROR(VLOOKUP(C4913,'Clients List'!A:F,6,FALSE),"")</f>
        <v/>
      </c>
    </row>
    <row r="4914" spans="4:9" x14ac:dyDescent="0.45">
      <c r="D4914" t="str">
        <f>IFERROR(VLOOKUP(C4914,'Clients List'!$A:$F,2,FALSE),"")</f>
        <v/>
      </c>
      <c r="F4914" s="1" t="str">
        <f>IF(OR(C4914="",NOT(ISNUMBER(SEARCH("Package",D4914)))),"",VLOOKUP(C4914,'Clients List'!$A:$F,4,FALSE)-SUMIFS($E$2:$E4914,$C$2:$C4914,C4914,$D$2:$D4914,"*Package*"))</f>
        <v/>
      </c>
      <c r="G4914" t="str">
        <f t="shared" si="109"/>
        <v/>
      </c>
      <c r="H4914" s="33">
        <f>IF(ISNUMBER(SEARCH("Group",D4914)),IF(G4914="",E4914,IFERROR(E4914/COUNTIF($G2:$G6000,G4914),E4914)),E4914)</f>
        <v>0</v>
      </c>
      <c r="I4914" s="1" t="str">
        <f>IFERROR(VLOOKUP(C4914,'Clients List'!A:F,6,FALSE),"")</f>
        <v/>
      </c>
    </row>
    <row r="4915" spans="4:9" x14ac:dyDescent="0.45">
      <c r="D4915" t="str">
        <f>IFERROR(VLOOKUP(C4915,'Clients List'!$A:$F,2,FALSE),"")</f>
        <v/>
      </c>
      <c r="F4915" s="1" t="str">
        <f>IF(OR(C4915="",NOT(ISNUMBER(SEARCH("Package",D4915)))),"",VLOOKUP(C4915,'Clients List'!$A:$F,4,FALSE)-SUMIFS($E$2:$E4915,$C$2:$C4915,C4915,$D$2:$D4915,"*Package*"))</f>
        <v/>
      </c>
      <c r="G4915" t="str">
        <f t="shared" si="109"/>
        <v/>
      </c>
      <c r="H4915" s="33">
        <f>IF(ISNUMBER(SEARCH("Group",D4915)),IF(G4915="",E4915,IFERROR(E4915/COUNTIF($G2:$G6000,G4915),E4915)),E4915)</f>
        <v>0</v>
      </c>
      <c r="I4915" s="1" t="str">
        <f>IFERROR(VLOOKUP(C4915,'Clients List'!A:F,6,FALSE),"")</f>
        <v/>
      </c>
    </row>
    <row r="4916" spans="4:9" x14ac:dyDescent="0.45">
      <c r="D4916" t="str">
        <f>IFERROR(VLOOKUP(C4916,'Clients List'!$A:$F,2,FALSE),"")</f>
        <v/>
      </c>
      <c r="F4916" s="1" t="str">
        <f>IF(OR(C4916="",NOT(ISNUMBER(SEARCH("Package",D4916)))),"",VLOOKUP(C4916,'Clients List'!$A:$F,4,FALSE)-SUMIFS($E$2:$E4916,$C$2:$C4916,C4916,$D$2:$D4916,"*Package*"))</f>
        <v/>
      </c>
      <c r="G4916" t="str">
        <f t="shared" si="109"/>
        <v/>
      </c>
      <c r="H4916" s="33">
        <f>IF(ISNUMBER(SEARCH("Group",D4916)),IF(G4916="",E4916,IFERROR(E4916/COUNTIF($G2:$G6000,G4916),E4916)),E4916)</f>
        <v>0</v>
      </c>
      <c r="I4916" s="1" t="str">
        <f>IFERROR(VLOOKUP(C4916,'Clients List'!A:F,6,FALSE),"")</f>
        <v/>
      </c>
    </row>
    <row r="4917" spans="4:9" x14ac:dyDescent="0.45">
      <c r="D4917" t="str">
        <f>IFERROR(VLOOKUP(C4917,'Clients List'!$A:$F,2,FALSE),"")</f>
        <v/>
      </c>
      <c r="F4917" s="1" t="str">
        <f>IF(OR(C4917="",NOT(ISNUMBER(SEARCH("Package",D4917)))),"",VLOOKUP(C4917,'Clients List'!$A:$F,4,FALSE)-SUMIFS($E$2:$E4917,$C$2:$C4917,C4917,$D$2:$D4917,"*Package*"))</f>
        <v/>
      </c>
      <c r="G4917" t="str">
        <f t="shared" ref="G4917:G4980" si="110">IF(ISNUMBER(SEARCH("Group",D4917)),IFERROR("GRP-"&amp;TEXT(IF(ISNUMBER(A4917),A4917,DATEVALUE(A4917)),"yyyymmdd"),""),"" )</f>
        <v/>
      </c>
      <c r="H4917" s="33">
        <f>IF(ISNUMBER(SEARCH("Group",D4917)),IF(G4917="",E4917,IFERROR(E4917/COUNTIF($G2:$G6000,G4917),E4917)),E4917)</f>
        <v>0</v>
      </c>
      <c r="I4917" s="1" t="str">
        <f>IFERROR(VLOOKUP(C4917,'Clients List'!A:F,6,FALSE),"")</f>
        <v/>
      </c>
    </row>
    <row r="4918" spans="4:9" x14ac:dyDescent="0.45">
      <c r="D4918" t="str">
        <f>IFERROR(VLOOKUP(C4918,'Clients List'!$A:$F,2,FALSE),"")</f>
        <v/>
      </c>
      <c r="F4918" s="1" t="str">
        <f>IF(OR(C4918="",NOT(ISNUMBER(SEARCH("Package",D4918)))),"",VLOOKUP(C4918,'Clients List'!$A:$F,4,FALSE)-SUMIFS($E$2:$E4918,$C$2:$C4918,C4918,$D$2:$D4918,"*Package*"))</f>
        <v/>
      </c>
      <c r="G4918" t="str">
        <f t="shared" si="110"/>
        <v/>
      </c>
      <c r="H4918" s="33">
        <f>IF(ISNUMBER(SEARCH("Group",D4918)),IF(G4918="",E4918,IFERROR(E4918/COUNTIF($G2:$G6000,G4918),E4918)),E4918)</f>
        <v>0</v>
      </c>
      <c r="I4918" s="1" t="str">
        <f>IFERROR(VLOOKUP(C4918,'Clients List'!A:F,6,FALSE),"")</f>
        <v/>
      </c>
    </row>
    <row r="4919" spans="4:9" x14ac:dyDescent="0.45">
      <c r="D4919" t="str">
        <f>IFERROR(VLOOKUP(C4919,'Clients List'!$A:$F,2,FALSE),"")</f>
        <v/>
      </c>
      <c r="F4919" s="1" t="str">
        <f>IF(OR(C4919="",NOT(ISNUMBER(SEARCH("Package",D4919)))),"",VLOOKUP(C4919,'Clients List'!$A:$F,4,FALSE)-SUMIFS($E$2:$E4919,$C$2:$C4919,C4919,$D$2:$D4919,"*Package*"))</f>
        <v/>
      </c>
      <c r="G4919" t="str">
        <f t="shared" si="110"/>
        <v/>
      </c>
      <c r="H4919" s="33">
        <f>IF(ISNUMBER(SEARCH("Group",D4919)),IF(G4919="",E4919,IFERROR(E4919/COUNTIF($G2:$G6000,G4919),E4919)),E4919)</f>
        <v>0</v>
      </c>
      <c r="I4919" s="1" t="str">
        <f>IFERROR(VLOOKUP(C4919,'Clients List'!A:F,6,FALSE),"")</f>
        <v/>
      </c>
    </row>
    <row r="4920" spans="4:9" x14ac:dyDescent="0.45">
      <c r="D4920" t="str">
        <f>IFERROR(VLOOKUP(C4920,'Clients List'!$A:$F,2,FALSE),"")</f>
        <v/>
      </c>
      <c r="F4920" s="1" t="str">
        <f>IF(OR(C4920="",NOT(ISNUMBER(SEARCH("Package",D4920)))),"",VLOOKUP(C4920,'Clients List'!$A:$F,4,FALSE)-SUMIFS($E$2:$E4920,$C$2:$C4920,C4920,$D$2:$D4920,"*Package*"))</f>
        <v/>
      </c>
      <c r="G4920" t="str">
        <f t="shared" si="110"/>
        <v/>
      </c>
      <c r="H4920" s="33">
        <f>IF(ISNUMBER(SEARCH("Group",D4920)),IF(G4920="",E4920,IFERROR(E4920/COUNTIF($G2:$G6000,G4920),E4920)),E4920)</f>
        <v>0</v>
      </c>
      <c r="I4920" s="1" t="str">
        <f>IFERROR(VLOOKUP(C4920,'Clients List'!A:F,6,FALSE),"")</f>
        <v/>
      </c>
    </row>
    <row r="4921" spans="4:9" x14ac:dyDescent="0.45">
      <c r="D4921" t="str">
        <f>IFERROR(VLOOKUP(C4921,'Clients List'!$A:$F,2,FALSE),"")</f>
        <v/>
      </c>
      <c r="F4921" s="1" t="str">
        <f>IF(OR(C4921="",NOT(ISNUMBER(SEARCH("Package",D4921)))),"",VLOOKUP(C4921,'Clients List'!$A:$F,4,FALSE)-SUMIFS($E$2:$E4921,$C$2:$C4921,C4921,$D$2:$D4921,"*Package*"))</f>
        <v/>
      </c>
      <c r="G4921" t="str">
        <f t="shared" si="110"/>
        <v/>
      </c>
      <c r="H4921" s="33">
        <f>IF(ISNUMBER(SEARCH("Group",D4921)),IF(G4921="",E4921,IFERROR(E4921/COUNTIF($G2:$G6000,G4921),E4921)),E4921)</f>
        <v>0</v>
      </c>
      <c r="I4921" s="1" t="str">
        <f>IFERROR(VLOOKUP(C4921,'Clients List'!A:F,6,FALSE),"")</f>
        <v/>
      </c>
    </row>
    <row r="4922" spans="4:9" x14ac:dyDescent="0.45">
      <c r="D4922" t="str">
        <f>IFERROR(VLOOKUP(C4922,'Clients List'!$A:$F,2,FALSE),"")</f>
        <v/>
      </c>
      <c r="F4922" s="1" t="str">
        <f>IF(OR(C4922="",NOT(ISNUMBER(SEARCH("Package",D4922)))),"",VLOOKUP(C4922,'Clients List'!$A:$F,4,FALSE)-SUMIFS($E$2:$E4922,$C$2:$C4922,C4922,$D$2:$D4922,"*Package*"))</f>
        <v/>
      </c>
      <c r="G4922" t="str">
        <f t="shared" si="110"/>
        <v/>
      </c>
      <c r="H4922" s="33">
        <f>IF(ISNUMBER(SEARCH("Group",D4922)),IF(G4922="",E4922,IFERROR(E4922/COUNTIF($G2:$G6000,G4922),E4922)),E4922)</f>
        <v>0</v>
      </c>
      <c r="I4922" s="1" t="str">
        <f>IFERROR(VLOOKUP(C4922,'Clients List'!A:F,6,FALSE),"")</f>
        <v/>
      </c>
    </row>
    <row r="4923" spans="4:9" x14ac:dyDescent="0.45">
      <c r="D4923" t="str">
        <f>IFERROR(VLOOKUP(C4923,'Clients List'!$A:$F,2,FALSE),"")</f>
        <v/>
      </c>
      <c r="F4923" s="1" t="str">
        <f>IF(OR(C4923="",NOT(ISNUMBER(SEARCH("Package",D4923)))),"",VLOOKUP(C4923,'Clients List'!$A:$F,4,FALSE)-SUMIFS($E$2:$E4923,$C$2:$C4923,C4923,$D$2:$D4923,"*Package*"))</f>
        <v/>
      </c>
      <c r="G4923" t="str">
        <f t="shared" si="110"/>
        <v/>
      </c>
      <c r="H4923" s="33">
        <f>IF(ISNUMBER(SEARCH("Group",D4923)),IF(G4923="",E4923,IFERROR(E4923/COUNTIF($G2:$G6000,G4923),E4923)),E4923)</f>
        <v>0</v>
      </c>
      <c r="I4923" s="1" t="str">
        <f>IFERROR(VLOOKUP(C4923,'Clients List'!A:F,6,FALSE),"")</f>
        <v/>
      </c>
    </row>
    <row r="4924" spans="4:9" x14ac:dyDescent="0.45">
      <c r="D4924" t="str">
        <f>IFERROR(VLOOKUP(C4924,'Clients List'!$A:$F,2,FALSE),"")</f>
        <v/>
      </c>
      <c r="F4924" s="1" t="str">
        <f>IF(OR(C4924="",NOT(ISNUMBER(SEARCH("Package",D4924)))),"",VLOOKUP(C4924,'Clients List'!$A:$F,4,FALSE)-SUMIFS($E$2:$E4924,$C$2:$C4924,C4924,$D$2:$D4924,"*Package*"))</f>
        <v/>
      </c>
      <c r="G4924" t="str">
        <f t="shared" si="110"/>
        <v/>
      </c>
      <c r="H4924" s="33">
        <f>IF(ISNUMBER(SEARCH("Group",D4924)),IF(G4924="",E4924,IFERROR(E4924/COUNTIF($G2:$G6000,G4924),E4924)),E4924)</f>
        <v>0</v>
      </c>
      <c r="I4924" s="1" t="str">
        <f>IFERROR(VLOOKUP(C4924,'Clients List'!A:F,6,FALSE),"")</f>
        <v/>
      </c>
    </row>
    <row r="4925" spans="4:9" x14ac:dyDescent="0.45">
      <c r="D4925" t="str">
        <f>IFERROR(VLOOKUP(C4925,'Clients List'!$A:$F,2,FALSE),"")</f>
        <v/>
      </c>
      <c r="F4925" s="1" t="str">
        <f>IF(OR(C4925="",NOT(ISNUMBER(SEARCH("Package",D4925)))),"",VLOOKUP(C4925,'Clients List'!$A:$F,4,FALSE)-SUMIFS($E$2:$E4925,$C$2:$C4925,C4925,$D$2:$D4925,"*Package*"))</f>
        <v/>
      </c>
      <c r="G4925" t="str">
        <f t="shared" si="110"/>
        <v/>
      </c>
      <c r="H4925" s="33">
        <f>IF(ISNUMBER(SEARCH("Group",D4925)),IF(G4925="",E4925,IFERROR(E4925/COUNTIF($G2:$G6000,G4925),E4925)),E4925)</f>
        <v>0</v>
      </c>
      <c r="I4925" s="1" t="str">
        <f>IFERROR(VLOOKUP(C4925,'Clients List'!A:F,6,FALSE),"")</f>
        <v/>
      </c>
    </row>
    <row r="4926" spans="4:9" x14ac:dyDescent="0.45">
      <c r="D4926" t="str">
        <f>IFERROR(VLOOKUP(C4926,'Clients List'!$A:$F,2,FALSE),"")</f>
        <v/>
      </c>
      <c r="F4926" s="1" t="str">
        <f>IF(OR(C4926="",NOT(ISNUMBER(SEARCH("Package",D4926)))),"",VLOOKUP(C4926,'Clients List'!$A:$F,4,FALSE)-SUMIFS($E$2:$E4926,$C$2:$C4926,C4926,$D$2:$D4926,"*Package*"))</f>
        <v/>
      </c>
      <c r="G4926" t="str">
        <f t="shared" si="110"/>
        <v/>
      </c>
      <c r="H4926" s="33">
        <f>IF(ISNUMBER(SEARCH("Group",D4926)),IF(G4926="",E4926,IFERROR(E4926/COUNTIF($G2:$G6000,G4926),E4926)),E4926)</f>
        <v>0</v>
      </c>
      <c r="I4926" s="1" t="str">
        <f>IFERROR(VLOOKUP(C4926,'Clients List'!A:F,6,FALSE),"")</f>
        <v/>
      </c>
    </row>
    <row r="4927" spans="4:9" x14ac:dyDescent="0.45">
      <c r="D4927" t="str">
        <f>IFERROR(VLOOKUP(C4927,'Clients List'!$A:$F,2,FALSE),"")</f>
        <v/>
      </c>
      <c r="F4927" s="1" t="str">
        <f>IF(OR(C4927="",NOT(ISNUMBER(SEARCH("Package",D4927)))),"",VLOOKUP(C4927,'Clients List'!$A:$F,4,FALSE)-SUMIFS($E$2:$E4927,$C$2:$C4927,C4927,$D$2:$D4927,"*Package*"))</f>
        <v/>
      </c>
      <c r="G4927" t="str">
        <f t="shared" si="110"/>
        <v/>
      </c>
      <c r="H4927" s="33">
        <f>IF(ISNUMBER(SEARCH("Group",D4927)),IF(G4927="",E4927,IFERROR(E4927/COUNTIF($G2:$G6000,G4927),E4927)),E4927)</f>
        <v>0</v>
      </c>
      <c r="I4927" s="1" t="str">
        <f>IFERROR(VLOOKUP(C4927,'Clients List'!A:F,6,FALSE),"")</f>
        <v/>
      </c>
    </row>
    <row r="4928" spans="4:9" x14ac:dyDescent="0.45">
      <c r="D4928" t="str">
        <f>IFERROR(VLOOKUP(C4928,'Clients List'!$A:$F,2,FALSE),"")</f>
        <v/>
      </c>
      <c r="F4928" s="1" t="str">
        <f>IF(OR(C4928="",NOT(ISNUMBER(SEARCH("Package",D4928)))),"",VLOOKUP(C4928,'Clients List'!$A:$F,4,FALSE)-SUMIFS($E$2:$E4928,$C$2:$C4928,C4928,$D$2:$D4928,"*Package*"))</f>
        <v/>
      </c>
      <c r="G4928" t="str">
        <f t="shared" si="110"/>
        <v/>
      </c>
      <c r="H4928" s="33">
        <f>IF(ISNUMBER(SEARCH("Group",D4928)),IF(G4928="",E4928,IFERROR(E4928/COUNTIF($G2:$G6000,G4928),E4928)),E4928)</f>
        <v>0</v>
      </c>
      <c r="I4928" s="1" t="str">
        <f>IFERROR(VLOOKUP(C4928,'Clients List'!A:F,6,FALSE),"")</f>
        <v/>
      </c>
    </row>
    <row r="4929" spans="4:9" x14ac:dyDescent="0.45">
      <c r="D4929" t="str">
        <f>IFERROR(VLOOKUP(C4929,'Clients List'!$A:$F,2,FALSE),"")</f>
        <v/>
      </c>
      <c r="F4929" s="1" t="str">
        <f>IF(OR(C4929="",NOT(ISNUMBER(SEARCH("Package",D4929)))),"",VLOOKUP(C4929,'Clients List'!$A:$F,4,FALSE)-SUMIFS($E$2:$E4929,$C$2:$C4929,C4929,$D$2:$D4929,"*Package*"))</f>
        <v/>
      </c>
      <c r="G4929" t="str">
        <f t="shared" si="110"/>
        <v/>
      </c>
      <c r="H4929" s="33">
        <f>IF(ISNUMBER(SEARCH("Group",D4929)),IF(G4929="",E4929,IFERROR(E4929/COUNTIF($G2:$G6000,G4929),E4929)),E4929)</f>
        <v>0</v>
      </c>
      <c r="I4929" s="1" t="str">
        <f>IFERROR(VLOOKUP(C4929,'Clients List'!A:F,6,FALSE),"")</f>
        <v/>
      </c>
    </row>
    <row r="4930" spans="4:9" x14ac:dyDescent="0.45">
      <c r="D4930" t="str">
        <f>IFERROR(VLOOKUP(C4930,'Clients List'!$A:$F,2,FALSE),"")</f>
        <v/>
      </c>
      <c r="F4930" s="1" t="str">
        <f>IF(OR(C4930="",NOT(ISNUMBER(SEARCH("Package",D4930)))),"",VLOOKUP(C4930,'Clients List'!$A:$F,4,FALSE)-SUMIFS($E$2:$E4930,$C$2:$C4930,C4930,$D$2:$D4930,"*Package*"))</f>
        <v/>
      </c>
      <c r="G4930" t="str">
        <f t="shared" si="110"/>
        <v/>
      </c>
      <c r="H4930" s="33">
        <f>IF(ISNUMBER(SEARCH("Group",D4930)),IF(G4930="",E4930,IFERROR(E4930/COUNTIF($G2:$G6000,G4930),E4930)),E4930)</f>
        <v>0</v>
      </c>
      <c r="I4930" s="1" t="str">
        <f>IFERROR(VLOOKUP(C4930,'Clients List'!A:F,6,FALSE),"")</f>
        <v/>
      </c>
    </row>
    <row r="4931" spans="4:9" x14ac:dyDescent="0.45">
      <c r="D4931" t="str">
        <f>IFERROR(VLOOKUP(C4931,'Clients List'!$A:$F,2,FALSE),"")</f>
        <v/>
      </c>
      <c r="F4931" s="1" t="str">
        <f>IF(OR(C4931="",NOT(ISNUMBER(SEARCH("Package",D4931)))),"",VLOOKUP(C4931,'Clients List'!$A:$F,4,FALSE)-SUMIFS($E$2:$E4931,$C$2:$C4931,C4931,$D$2:$D4931,"*Package*"))</f>
        <v/>
      </c>
      <c r="G4931" t="str">
        <f t="shared" si="110"/>
        <v/>
      </c>
      <c r="H4931" s="33">
        <f>IF(ISNUMBER(SEARCH("Group",D4931)),IF(G4931="",E4931,IFERROR(E4931/COUNTIF($G2:$G6000,G4931),E4931)),E4931)</f>
        <v>0</v>
      </c>
      <c r="I4931" s="1" t="str">
        <f>IFERROR(VLOOKUP(C4931,'Clients List'!A:F,6,FALSE),"")</f>
        <v/>
      </c>
    </row>
    <row r="4932" spans="4:9" x14ac:dyDescent="0.45">
      <c r="D4932" t="str">
        <f>IFERROR(VLOOKUP(C4932,'Clients List'!$A:$F,2,FALSE),"")</f>
        <v/>
      </c>
      <c r="F4932" s="1" t="str">
        <f>IF(OR(C4932="",NOT(ISNUMBER(SEARCH("Package",D4932)))),"",VLOOKUP(C4932,'Clients List'!$A:$F,4,FALSE)-SUMIFS($E$2:$E4932,$C$2:$C4932,C4932,$D$2:$D4932,"*Package*"))</f>
        <v/>
      </c>
      <c r="G4932" t="str">
        <f t="shared" si="110"/>
        <v/>
      </c>
      <c r="H4932" s="33">
        <f>IF(ISNUMBER(SEARCH("Group",D4932)),IF(G4932="",E4932,IFERROR(E4932/COUNTIF($G2:$G6000,G4932),E4932)),E4932)</f>
        <v>0</v>
      </c>
      <c r="I4932" s="1" t="str">
        <f>IFERROR(VLOOKUP(C4932,'Clients List'!A:F,6,FALSE),"")</f>
        <v/>
      </c>
    </row>
    <row r="4933" spans="4:9" x14ac:dyDescent="0.45">
      <c r="D4933" t="str">
        <f>IFERROR(VLOOKUP(C4933,'Clients List'!$A:$F,2,FALSE),"")</f>
        <v/>
      </c>
      <c r="F4933" s="1" t="str">
        <f>IF(OR(C4933="",NOT(ISNUMBER(SEARCH("Package",D4933)))),"",VLOOKUP(C4933,'Clients List'!$A:$F,4,FALSE)-SUMIFS($E$2:$E4933,$C$2:$C4933,C4933,$D$2:$D4933,"*Package*"))</f>
        <v/>
      </c>
      <c r="G4933" t="str">
        <f t="shared" si="110"/>
        <v/>
      </c>
      <c r="H4933" s="33">
        <f>IF(ISNUMBER(SEARCH("Group",D4933)),IF(G4933="",E4933,IFERROR(E4933/COUNTIF($G2:$G6000,G4933),E4933)),E4933)</f>
        <v>0</v>
      </c>
      <c r="I4933" s="1" t="str">
        <f>IFERROR(VLOOKUP(C4933,'Clients List'!A:F,6,FALSE),"")</f>
        <v/>
      </c>
    </row>
    <row r="4934" spans="4:9" x14ac:dyDescent="0.45">
      <c r="D4934" t="str">
        <f>IFERROR(VLOOKUP(C4934,'Clients List'!$A:$F,2,FALSE),"")</f>
        <v/>
      </c>
      <c r="F4934" s="1" t="str">
        <f>IF(OR(C4934="",NOT(ISNUMBER(SEARCH("Package",D4934)))),"",VLOOKUP(C4934,'Clients List'!$A:$F,4,FALSE)-SUMIFS($E$2:$E4934,$C$2:$C4934,C4934,$D$2:$D4934,"*Package*"))</f>
        <v/>
      </c>
      <c r="G4934" t="str">
        <f t="shared" si="110"/>
        <v/>
      </c>
      <c r="H4934" s="33">
        <f>IF(ISNUMBER(SEARCH("Group",D4934)),IF(G4934="",E4934,IFERROR(E4934/COUNTIF($G2:$G6000,G4934),E4934)),E4934)</f>
        <v>0</v>
      </c>
      <c r="I4934" s="1" t="str">
        <f>IFERROR(VLOOKUP(C4934,'Clients List'!A:F,6,FALSE),"")</f>
        <v/>
      </c>
    </row>
    <row r="4935" spans="4:9" x14ac:dyDescent="0.45">
      <c r="D4935" t="str">
        <f>IFERROR(VLOOKUP(C4935,'Clients List'!$A:$F,2,FALSE),"")</f>
        <v/>
      </c>
      <c r="F4935" s="1" t="str">
        <f>IF(OR(C4935="",NOT(ISNUMBER(SEARCH("Package",D4935)))),"",VLOOKUP(C4935,'Clients List'!$A:$F,4,FALSE)-SUMIFS($E$2:$E4935,$C$2:$C4935,C4935,$D$2:$D4935,"*Package*"))</f>
        <v/>
      </c>
      <c r="G4935" t="str">
        <f t="shared" si="110"/>
        <v/>
      </c>
      <c r="H4935" s="33">
        <f>IF(ISNUMBER(SEARCH("Group",D4935)),IF(G4935="",E4935,IFERROR(E4935/COUNTIF($G2:$G6000,G4935),E4935)),E4935)</f>
        <v>0</v>
      </c>
      <c r="I4935" s="1" t="str">
        <f>IFERROR(VLOOKUP(C4935,'Clients List'!A:F,6,FALSE),"")</f>
        <v/>
      </c>
    </row>
    <row r="4936" spans="4:9" x14ac:dyDescent="0.45">
      <c r="D4936" t="str">
        <f>IFERROR(VLOOKUP(C4936,'Clients List'!$A:$F,2,FALSE),"")</f>
        <v/>
      </c>
      <c r="F4936" s="1" t="str">
        <f>IF(OR(C4936="",NOT(ISNUMBER(SEARCH("Package",D4936)))),"",VLOOKUP(C4936,'Clients List'!$A:$F,4,FALSE)-SUMIFS($E$2:$E4936,$C$2:$C4936,C4936,$D$2:$D4936,"*Package*"))</f>
        <v/>
      </c>
      <c r="G4936" t="str">
        <f t="shared" si="110"/>
        <v/>
      </c>
      <c r="H4936" s="33">
        <f>IF(ISNUMBER(SEARCH("Group",D4936)),IF(G4936="",E4936,IFERROR(E4936/COUNTIF($G2:$G6000,G4936),E4936)),E4936)</f>
        <v>0</v>
      </c>
      <c r="I4936" s="1" t="str">
        <f>IFERROR(VLOOKUP(C4936,'Clients List'!A:F,6,FALSE),"")</f>
        <v/>
      </c>
    </row>
    <row r="4937" spans="4:9" x14ac:dyDescent="0.45">
      <c r="D4937" t="str">
        <f>IFERROR(VLOOKUP(C4937,'Clients List'!$A:$F,2,FALSE),"")</f>
        <v/>
      </c>
      <c r="F4937" s="1" t="str">
        <f>IF(OR(C4937="",NOT(ISNUMBER(SEARCH("Package",D4937)))),"",VLOOKUP(C4937,'Clients List'!$A:$F,4,FALSE)-SUMIFS($E$2:$E4937,$C$2:$C4937,C4937,$D$2:$D4937,"*Package*"))</f>
        <v/>
      </c>
      <c r="G4937" t="str">
        <f t="shared" si="110"/>
        <v/>
      </c>
      <c r="H4937" s="33">
        <f>IF(ISNUMBER(SEARCH("Group",D4937)),IF(G4937="",E4937,IFERROR(E4937/COUNTIF($G2:$G6000,G4937),E4937)),E4937)</f>
        <v>0</v>
      </c>
      <c r="I4937" s="1" t="str">
        <f>IFERROR(VLOOKUP(C4937,'Clients List'!A:F,6,FALSE),"")</f>
        <v/>
      </c>
    </row>
    <row r="4938" spans="4:9" x14ac:dyDescent="0.45">
      <c r="D4938" t="str">
        <f>IFERROR(VLOOKUP(C4938,'Clients List'!$A:$F,2,FALSE),"")</f>
        <v/>
      </c>
      <c r="F4938" s="1" t="str">
        <f>IF(OR(C4938="",NOT(ISNUMBER(SEARCH("Package",D4938)))),"",VLOOKUP(C4938,'Clients List'!$A:$F,4,FALSE)-SUMIFS($E$2:$E4938,$C$2:$C4938,C4938,$D$2:$D4938,"*Package*"))</f>
        <v/>
      </c>
      <c r="G4938" t="str">
        <f t="shared" si="110"/>
        <v/>
      </c>
      <c r="H4938" s="33">
        <f>IF(ISNUMBER(SEARCH("Group",D4938)),IF(G4938="",E4938,IFERROR(E4938/COUNTIF($G2:$G6000,G4938),E4938)),E4938)</f>
        <v>0</v>
      </c>
      <c r="I4938" s="1" t="str">
        <f>IFERROR(VLOOKUP(C4938,'Clients List'!A:F,6,FALSE),"")</f>
        <v/>
      </c>
    </row>
    <row r="4939" spans="4:9" x14ac:dyDescent="0.45">
      <c r="D4939" t="str">
        <f>IFERROR(VLOOKUP(C4939,'Clients List'!$A:$F,2,FALSE),"")</f>
        <v/>
      </c>
      <c r="F4939" s="1" t="str">
        <f>IF(OR(C4939="",NOT(ISNUMBER(SEARCH("Package",D4939)))),"",VLOOKUP(C4939,'Clients List'!$A:$F,4,FALSE)-SUMIFS($E$2:$E4939,$C$2:$C4939,C4939,$D$2:$D4939,"*Package*"))</f>
        <v/>
      </c>
      <c r="G4939" t="str">
        <f t="shared" si="110"/>
        <v/>
      </c>
      <c r="H4939" s="33">
        <f>IF(ISNUMBER(SEARCH("Group",D4939)),IF(G4939="",E4939,IFERROR(E4939/COUNTIF($G2:$G6000,G4939),E4939)),E4939)</f>
        <v>0</v>
      </c>
      <c r="I4939" s="1" t="str">
        <f>IFERROR(VLOOKUP(C4939,'Clients List'!A:F,6,FALSE),"")</f>
        <v/>
      </c>
    </row>
    <row r="4940" spans="4:9" x14ac:dyDescent="0.45">
      <c r="D4940" t="str">
        <f>IFERROR(VLOOKUP(C4940,'Clients List'!$A:$F,2,FALSE),"")</f>
        <v/>
      </c>
      <c r="F4940" s="1" t="str">
        <f>IF(OR(C4940="",NOT(ISNUMBER(SEARCH("Package",D4940)))),"",VLOOKUP(C4940,'Clients List'!$A:$F,4,FALSE)-SUMIFS($E$2:$E4940,$C$2:$C4940,C4940,$D$2:$D4940,"*Package*"))</f>
        <v/>
      </c>
      <c r="G4940" t="str">
        <f t="shared" si="110"/>
        <v/>
      </c>
      <c r="H4940" s="33">
        <f>IF(ISNUMBER(SEARCH("Group",D4940)),IF(G4940="",E4940,IFERROR(E4940/COUNTIF($G2:$G6000,G4940),E4940)),E4940)</f>
        <v>0</v>
      </c>
      <c r="I4940" s="1" t="str">
        <f>IFERROR(VLOOKUP(C4940,'Clients List'!A:F,6,FALSE),"")</f>
        <v/>
      </c>
    </row>
    <row r="4941" spans="4:9" x14ac:dyDescent="0.45">
      <c r="D4941" t="str">
        <f>IFERROR(VLOOKUP(C4941,'Clients List'!$A:$F,2,FALSE),"")</f>
        <v/>
      </c>
      <c r="F4941" s="1" t="str">
        <f>IF(OR(C4941="",NOT(ISNUMBER(SEARCH("Package",D4941)))),"",VLOOKUP(C4941,'Clients List'!$A:$F,4,FALSE)-SUMIFS($E$2:$E4941,$C$2:$C4941,C4941,$D$2:$D4941,"*Package*"))</f>
        <v/>
      </c>
      <c r="G4941" t="str">
        <f t="shared" si="110"/>
        <v/>
      </c>
      <c r="H4941" s="33">
        <f>IF(ISNUMBER(SEARCH("Group",D4941)),IF(G4941="",E4941,IFERROR(E4941/COUNTIF($G2:$G6000,G4941),E4941)),E4941)</f>
        <v>0</v>
      </c>
      <c r="I4941" s="1" t="str">
        <f>IFERROR(VLOOKUP(C4941,'Clients List'!A:F,6,FALSE),"")</f>
        <v/>
      </c>
    </row>
    <row r="4942" spans="4:9" x14ac:dyDescent="0.45">
      <c r="D4942" t="str">
        <f>IFERROR(VLOOKUP(C4942,'Clients List'!$A:$F,2,FALSE),"")</f>
        <v/>
      </c>
      <c r="F4942" s="1" t="str">
        <f>IF(OR(C4942="",NOT(ISNUMBER(SEARCH("Package",D4942)))),"",VLOOKUP(C4942,'Clients List'!$A:$F,4,FALSE)-SUMIFS($E$2:$E4942,$C$2:$C4942,C4942,$D$2:$D4942,"*Package*"))</f>
        <v/>
      </c>
      <c r="G4942" t="str">
        <f t="shared" si="110"/>
        <v/>
      </c>
      <c r="H4942" s="33">
        <f>IF(ISNUMBER(SEARCH("Group",D4942)),IF(G4942="",E4942,IFERROR(E4942/COUNTIF($G2:$G6000,G4942),E4942)),E4942)</f>
        <v>0</v>
      </c>
      <c r="I4942" s="1" t="str">
        <f>IFERROR(VLOOKUP(C4942,'Clients List'!A:F,6,FALSE),"")</f>
        <v/>
      </c>
    </row>
    <row r="4943" spans="4:9" x14ac:dyDescent="0.45">
      <c r="D4943" t="str">
        <f>IFERROR(VLOOKUP(C4943,'Clients List'!$A:$F,2,FALSE),"")</f>
        <v/>
      </c>
      <c r="F4943" s="1" t="str">
        <f>IF(OR(C4943="",NOT(ISNUMBER(SEARCH("Package",D4943)))),"",VLOOKUP(C4943,'Clients List'!$A:$F,4,FALSE)-SUMIFS($E$2:$E4943,$C$2:$C4943,C4943,$D$2:$D4943,"*Package*"))</f>
        <v/>
      </c>
      <c r="G4943" t="str">
        <f t="shared" si="110"/>
        <v/>
      </c>
      <c r="H4943" s="33">
        <f>IF(ISNUMBER(SEARCH("Group",D4943)),IF(G4943="",E4943,IFERROR(E4943/COUNTIF($G2:$G6000,G4943),E4943)),E4943)</f>
        <v>0</v>
      </c>
      <c r="I4943" s="1" t="str">
        <f>IFERROR(VLOOKUP(C4943,'Clients List'!A:F,6,FALSE),"")</f>
        <v/>
      </c>
    </row>
    <row r="4944" spans="4:9" x14ac:dyDescent="0.45">
      <c r="D4944" t="str">
        <f>IFERROR(VLOOKUP(C4944,'Clients List'!$A:$F,2,FALSE),"")</f>
        <v/>
      </c>
      <c r="F4944" s="1" t="str">
        <f>IF(OR(C4944="",NOT(ISNUMBER(SEARCH("Package",D4944)))),"",VLOOKUP(C4944,'Clients List'!$A:$F,4,FALSE)-SUMIFS($E$2:$E4944,$C$2:$C4944,C4944,$D$2:$D4944,"*Package*"))</f>
        <v/>
      </c>
      <c r="G4944" t="str">
        <f t="shared" si="110"/>
        <v/>
      </c>
      <c r="H4944" s="33">
        <f>IF(ISNUMBER(SEARCH("Group",D4944)),IF(G4944="",E4944,IFERROR(E4944/COUNTIF($G2:$G6000,G4944),E4944)),E4944)</f>
        <v>0</v>
      </c>
      <c r="I4944" s="1" t="str">
        <f>IFERROR(VLOOKUP(C4944,'Clients List'!A:F,6,FALSE),"")</f>
        <v/>
      </c>
    </row>
    <row r="4945" spans="4:9" x14ac:dyDescent="0.45">
      <c r="D4945" t="str">
        <f>IFERROR(VLOOKUP(C4945,'Clients List'!$A:$F,2,FALSE),"")</f>
        <v/>
      </c>
      <c r="F4945" s="1" t="str">
        <f>IF(OR(C4945="",NOT(ISNUMBER(SEARCH("Package",D4945)))),"",VLOOKUP(C4945,'Clients List'!$A:$F,4,FALSE)-SUMIFS($E$2:$E4945,$C$2:$C4945,C4945,$D$2:$D4945,"*Package*"))</f>
        <v/>
      </c>
      <c r="G4945" t="str">
        <f t="shared" si="110"/>
        <v/>
      </c>
      <c r="H4945" s="33">
        <f>IF(ISNUMBER(SEARCH("Group",D4945)),IF(G4945="",E4945,IFERROR(E4945/COUNTIF($G2:$G6000,G4945),E4945)),E4945)</f>
        <v>0</v>
      </c>
      <c r="I4945" s="1" t="str">
        <f>IFERROR(VLOOKUP(C4945,'Clients List'!A:F,6,FALSE),"")</f>
        <v/>
      </c>
    </row>
    <row r="4946" spans="4:9" x14ac:dyDescent="0.45">
      <c r="D4946" t="str">
        <f>IFERROR(VLOOKUP(C4946,'Clients List'!$A:$F,2,FALSE),"")</f>
        <v/>
      </c>
      <c r="F4946" s="1" t="str">
        <f>IF(OR(C4946="",NOT(ISNUMBER(SEARCH("Package",D4946)))),"",VLOOKUP(C4946,'Clients List'!$A:$F,4,FALSE)-SUMIFS($E$2:$E4946,$C$2:$C4946,C4946,$D$2:$D4946,"*Package*"))</f>
        <v/>
      </c>
      <c r="G4946" t="str">
        <f t="shared" si="110"/>
        <v/>
      </c>
      <c r="H4946" s="33">
        <f>IF(ISNUMBER(SEARCH("Group",D4946)),IF(G4946="",E4946,IFERROR(E4946/COUNTIF($G2:$G6000,G4946),E4946)),E4946)</f>
        <v>0</v>
      </c>
      <c r="I4946" s="1" t="str">
        <f>IFERROR(VLOOKUP(C4946,'Clients List'!A:F,6,FALSE),"")</f>
        <v/>
      </c>
    </row>
    <row r="4947" spans="4:9" x14ac:dyDescent="0.45">
      <c r="D4947" t="str">
        <f>IFERROR(VLOOKUP(C4947,'Clients List'!$A:$F,2,FALSE),"")</f>
        <v/>
      </c>
      <c r="F4947" s="1" t="str">
        <f>IF(OR(C4947="",NOT(ISNUMBER(SEARCH("Package",D4947)))),"",VLOOKUP(C4947,'Clients List'!$A:$F,4,FALSE)-SUMIFS($E$2:$E4947,$C$2:$C4947,C4947,$D$2:$D4947,"*Package*"))</f>
        <v/>
      </c>
      <c r="G4947" t="str">
        <f t="shared" si="110"/>
        <v/>
      </c>
      <c r="H4947" s="33">
        <f>IF(ISNUMBER(SEARCH("Group",D4947)),IF(G4947="",E4947,IFERROR(E4947/COUNTIF($G2:$G6000,G4947),E4947)),E4947)</f>
        <v>0</v>
      </c>
      <c r="I4947" s="1" t="str">
        <f>IFERROR(VLOOKUP(C4947,'Clients List'!A:F,6,FALSE),"")</f>
        <v/>
      </c>
    </row>
    <row r="4948" spans="4:9" x14ac:dyDescent="0.45">
      <c r="D4948" t="str">
        <f>IFERROR(VLOOKUP(C4948,'Clients List'!$A:$F,2,FALSE),"")</f>
        <v/>
      </c>
      <c r="F4948" s="1" t="str">
        <f>IF(OR(C4948="",NOT(ISNUMBER(SEARCH("Package",D4948)))),"",VLOOKUP(C4948,'Clients List'!$A:$F,4,FALSE)-SUMIFS($E$2:$E4948,$C$2:$C4948,C4948,$D$2:$D4948,"*Package*"))</f>
        <v/>
      </c>
      <c r="G4948" t="str">
        <f t="shared" si="110"/>
        <v/>
      </c>
      <c r="H4948" s="33">
        <f>IF(ISNUMBER(SEARCH("Group",D4948)),IF(G4948="",E4948,IFERROR(E4948/COUNTIF($G2:$G6000,G4948),E4948)),E4948)</f>
        <v>0</v>
      </c>
      <c r="I4948" s="1" t="str">
        <f>IFERROR(VLOOKUP(C4948,'Clients List'!A:F,6,FALSE),"")</f>
        <v/>
      </c>
    </row>
    <row r="4949" spans="4:9" x14ac:dyDescent="0.45">
      <c r="D4949" t="str">
        <f>IFERROR(VLOOKUP(C4949,'Clients List'!$A:$F,2,FALSE),"")</f>
        <v/>
      </c>
      <c r="F4949" s="1" t="str">
        <f>IF(OR(C4949="",NOT(ISNUMBER(SEARCH("Package",D4949)))),"",VLOOKUP(C4949,'Clients List'!$A:$F,4,FALSE)-SUMIFS($E$2:$E4949,$C$2:$C4949,C4949,$D$2:$D4949,"*Package*"))</f>
        <v/>
      </c>
      <c r="G4949" t="str">
        <f t="shared" si="110"/>
        <v/>
      </c>
      <c r="H4949" s="33">
        <f>IF(ISNUMBER(SEARCH("Group",D4949)),IF(G4949="",E4949,IFERROR(E4949/COUNTIF($G2:$G6000,G4949),E4949)),E4949)</f>
        <v>0</v>
      </c>
      <c r="I4949" s="1" t="str">
        <f>IFERROR(VLOOKUP(C4949,'Clients List'!A:F,6,FALSE),"")</f>
        <v/>
      </c>
    </row>
    <row r="4950" spans="4:9" x14ac:dyDescent="0.45">
      <c r="D4950" t="str">
        <f>IFERROR(VLOOKUP(C4950,'Clients List'!$A:$F,2,FALSE),"")</f>
        <v/>
      </c>
      <c r="F4950" s="1" t="str">
        <f>IF(OR(C4950="",NOT(ISNUMBER(SEARCH("Package",D4950)))),"",VLOOKUP(C4950,'Clients List'!$A:$F,4,FALSE)-SUMIFS($E$2:$E4950,$C$2:$C4950,C4950,$D$2:$D4950,"*Package*"))</f>
        <v/>
      </c>
      <c r="G4950" t="str">
        <f t="shared" si="110"/>
        <v/>
      </c>
      <c r="H4950" s="33">
        <f>IF(ISNUMBER(SEARCH("Group",D4950)),IF(G4950="",E4950,IFERROR(E4950/COUNTIF($G2:$G6000,G4950),E4950)),E4950)</f>
        <v>0</v>
      </c>
      <c r="I4950" s="1" t="str">
        <f>IFERROR(VLOOKUP(C4950,'Clients List'!A:F,6,FALSE),"")</f>
        <v/>
      </c>
    </row>
    <row r="4951" spans="4:9" x14ac:dyDescent="0.45">
      <c r="D4951" t="str">
        <f>IFERROR(VLOOKUP(C4951,'Clients List'!$A:$F,2,FALSE),"")</f>
        <v/>
      </c>
      <c r="F4951" s="1" t="str">
        <f>IF(OR(C4951="",NOT(ISNUMBER(SEARCH("Package",D4951)))),"",VLOOKUP(C4951,'Clients List'!$A:$F,4,FALSE)-SUMIFS($E$2:$E4951,$C$2:$C4951,C4951,$D$2:$D4951,"*Package*"))</f>
        <v/>
      </c>
      <c r="G4951" t="str">
        <f t="shared" si="110"/>
        <v/>
      </c>
      <c r="H4951" s="33">
        <f>IF(ISNUMBER(SEARCH("Group",D4951)),IF(G4951="",E4951,IFERROR(E4951/COUNTIF($G2:$G6000,G4951),E4951)),E4951)</f>
        <v>0</v>
      </c>
      <c r="I4951" s="1" t="str">
        <f>IFERROR(VLOOKUP(C4951,'Clients List'!A:F,6,FALSE),"")</f>
        <v/>
      </c>
    </row>
    <row r="4952" spans="4:9" x14ac:dyDescent="0.45">
      <c r="D4952" t="str">
        <f>IFERROR(VLOOKUP(C4952,'Clients List'!$A:$F,2,FALSE),"")</f>
        <v/>
      </c>
      <c r="F4952" s="1" t="str">
        <f>IF(OR(C4952="",NOT(ISNUMBER(SEARCH("Package",D4952)))),"",VLOOKUP(C4952,'Clients List'!$A:$F,4,FALSE)-SUMIFS($E$2:$E4952,$C$2:$C4952,C4952,$D$2:$D4952,"*Package*"))</f>
        <v/>
      </c>
      <c r="G4952" t="str">
        <f t="shared" si="110"/>
        <v/>
      </c>
      <c r="H4952" s="33">
        <f>IF(ISNUMBER(SEARCH("Group",D4952)),IF(G4952="",E4952,IFERROR(E4952/COUNTIF($G2:$G6000,G4952),E4952)),E4952)</f>
        <v>0</v>
      </c>
      <c r="I4952" s="1" t="str">
        <f>IFERROR(VLOOKUP(C4952,'Clients List'!A:F,6,FALSE),"")</f>
        <v/>
      </c>
    </row>
    <row r="4953" spans="4:9" x14ac:dyDescent="0.45">
      <c r="D4953" t="str">
        <f>IFERROR(VLOOKUP(C4953,'Clients List'!$A:$F,2,FALSE),"")</f>
        <v/>
      </c>
      <c r="F4953" s="1" t="str">
        <f>IF(OR(C4953="",NOT(ISNUMBER(SEARCH("Package",D4953)))),"",VLOOKUP(C4953,'Clients List'!$A:$F,4,FALSE)-SUMIFS($E$2:$E4953,$C$2:$C4953,C4953,$D$2:$D4953,"*Package*"))</f>
        <v/>
      </c>
      <c r="G4953" t="str">
        <f t="shared" si="110"/>
        <v/>
      </c>
      <c r="H4953" s="33">
        <f>IF(ISNUMBER(SEARCH("Group",D4953)),IF(G4953="",E4953,IFERROR(E4953/COUNTIF($G2:$G6000,G4953),E4953)),E4953)</f>
        <v>0</v>
      </c>
      <c r="I4953" s="1" t="str">
        <f>IFERROR(VLOOKUP(C4953,'Clients List'!A:F,6,FALSE),"")</f>
        <v/>
      </c>
    </row>
    <row r="4954" spans="4:9" x14ac:dyDescent="0.45">
      <c r="D4954" t="str">
        <f>IFERROR(VLOOKUP(C4954,'Clients List'!$A:$F,2,FALSE),"")</f>
        <v/>
      </c>
      <c r="F4954" s="1" t="str">
        <f>IF(OR(C4954="",NOT(ISNUMBER(SEARCH("Package",D4954)))),"",VLOOKUP(C4954,'Clients List'!$A:$F,4,FALSE)-SUMIFS($E$2:$E4954,$C$2:$C4954,C4954,$D$2:$D4954,"*Package*"))</f>
        <v/>
      </c>
      <c r="G4954" t="str">
        <f t="shared" si="110"/>
        <v/>
      </c>
      <c r="H4954" s="33">
        <f>IF(ISNUMBER(SEARCH("Group",D4954)),IF(G4954="",E4954,IFERROR(E4954/COUNTIF($G2:$G6000,G4954),E4954)),E4954)</f>
        <v>0</v>
      </c>
      <c r="I4954" s="1" t="str">
        <f>IFERROR(VLOOKUP(C4954,'Clients List'!A:F,6,FALSE),"")</f>
        <v/>
      </c>
    </row>
    <row r="4955" spans="4:9" x14ac:dyDescent="0.45">
      <c r="D4955" t="str">
        <f>IFERROR(VLOOKUP(C4955,'Clients List'!$A:$F,2,FALSE),"")</f>
        <v/>
      </c>
      <c r="F4955" s="1" t="str">
        <f>IF(OR(C4955="",NOT(ISNUMBER(SEARCH("Package",D4955)))),"",VLOOKUP(C4955,'Clients List'!$A:$F,4,FALSE)-SUMIFS($E$2:$E4955,$C$2:$C4955,C4955,$D$2:$D4955,"*Package*"))</f>
        <v/>
      </c>
      <c r="G4955" t="str">
        <f t="shared" si="110"/>
        <v/>
      </c>
      <c r="H4955" s="33">
        <f>IF(ISNUMBER(SEARCH("Group",D4955)),IF(G4955="",E4955,IFERROR(E4955/COUNTIF($G2:$G6000,G4955),E4955)),E4955)</f>
        <v>0</v>
      </c>
      <c r="I4955" s="1" t="str">
        <f>IFERROR(VLOOKUP(C4955,'Clients List'!A:F,6,FALSE),"")</f>
        <v/>
      </c>
    </row>
    <row r="4956" spans="4:9" x14ac:dyDescent="0.45">
      <c r="D4956" t="str">
        <f>IFERROR(VLOOKUP(C4956,'Clients List'!$A:$F,2,FALSE),"")</f>
        <v/>
      </c>
      <c r="F4956" s="1" t="str">
        <f>IF(OR(C4956="",NOT(ISNUMBER(SEARCH("Package",D4956)))),"",VLOOKUP(C4956,'Clients List'!$A:$F,4,FALSE)-SUMIFS($E$2:$E4956,$C$2:$C4956,C4956,$D$2:$D4956,"*Package*"))</f>
        <v/>
      </c>
      <c r="G4956" t="str">
        <f t="shared" si="110"/>
        <v/>
      </c>
      <c r="H4956" s="33">
        <f>IF(ISNUMBER(SEARCH("Group",D4956)),IF(G4956="",E4956,IFERROR(E4956/COUNTIF($G2:$G6000,G4956),E4956)),E4956)</f>
        <v>0</v>
      </c>
      <c r="I4956" s="1" t="str">
        <f>IFERROR(VLOOKUP(C4956,'Clients List'!A:F,6,FALSE),"")</f>
        <v/>
      </c>
    </row>
    <row r="4957" spans="4:9" x14ac:dyDescent="0.45">
      <c r="D4957" t="str">
        <f>IFERROR(VLOOKUP(C4957,'Clients List'!$A:$F,2,FALSE),"")</f>
        <v/>
      </c>
      <c r="F4957" s="1" t="str">
        <f>IF(OR(C4957="",NOT(ISNUMBER(SEARCH("Package",D4957)))),"",VLOOKUP(C4957,'Clients List'!$A:$F,4,FALSE)-SUMIFS($E$2:$E4957,$C$2:$C4957,C4957,$D$2:$D4957,"*Package*"))</f>
        <v/>
      </c>
      <c r="G4957" t="str">
        <f t="shared" si="110"/>
        <v/>
      </c>
      <c r="H4957" s="33">
        <f>IF(ISNUMBER(SEARCH("Group",D4957)),IF(G4957="",E4957,IFERROR(E4957/COUNTIF($G2:$G6000,G4957),E4957)),E4957)</f>
        <v>0</v>
      </c>
      <c r="I4957" s="1" t="str">
        <f>IFERROR(VLOOKUP(C4957,'Clients List'!A:F,6,FALSE),"")</f>
        <v/>
      </c>
    </row>
    <row r="4958" spans="4:9" x14ac:dyDescent="0.45">
      <c r="D4958" t="str">
        <f>IFERROR(VLOOKUP(C4958,'Clients List'!$A:$F,2,FALSE),"")</f>
        <v/>
      </c>
      <c r="F4958" s="1" t="str">
        <f>IF(OR(C4958="",NOT(ISNUMBER(SEARCH("Package",D4958)))),"",VLOOKUP(C4958,'Clients List'!$A:$F,4,FALSE)-SUMIFS($E$2:$E4958,$C$2:$C4958,C4958,$D$2:$D4958,"*Package*"))</f>
        <v/>
      </c>
      <c r="G4958" t="str">
        <f t="shared" si="110"/>
        <v/>
      </c>
      <c r="H4958" s="33">
        <f>IF(ISNUMBER(SEARCH("Group",D4958)),IF(G4958="",E4958,IFERROR(E4958/COUNTIF($G2:$G6000,G4958),E4958)),E4958)</f>
        <v>0</v>
      </c>
      <c r="I4958" s="1" t="str">
        <f>IFERROR(VLOOKUP(C4958,'Clients List'!A:F,6,FALSE),"")</f>
        <v/>
      </c>
    </row>
    <row r="4959" spans="4:9" x14ac:dyDescent="0.45">
      <c r="D4959" t="str">
        <f>IFERROR(VLOOKUP(C4959,'Clients List'!$A:$F,2,FALSE),"")</f>
        <v/>
      </c>
      <c r="F4959" s="1" t="str">
        <f>IF(OR(C4959="",NOT(ISNUMBER(SEARCH("Package",D4959)))),"",VLOOKUP(C4959,'Clients List'!$A:$F,4,FALSE)-SUMIFS($E$2:$E4959,$C$2:$C4959,C4959,$D$2:$D4959,"*Package*"))</f>
        <v/>
      </c>
      <c r="G4959" t="str">
        <f t="shared" si="110"/>
        <v/>
      </c>
      <c r="H4959" s="33">
        <f>IF(ISNUMBER(SEARCH("Group",D4959)),IF(G4959="",E4959,IFERROR(E4959/COUNTIF($G2:$G6000,G4959),E4959)),E4959)</f>
        <v>0</v>
      </c>
      <c r="I4959" s="1" t="str">
        <f>IFERROR(VLOOKUP(C4959,'Clients List'!A:F,6,FALSE),"")</f>
        <v/>
      </c>
    </row>
    <row r="4960" spans="4:9" x14ac:dyDescent="0.45">
      <c r="D4960" t="str">
        <f>IFERROR(VLOOKUP(C4960,'Clients List'!$A:$F,2,FALSE),"")</f>
        <v/>
      </c>
      <c r="F4960" s="1" t="str">
        <f>IF(OR(C4960="",NOT(ISNUMBER(SEARCH("Package",D4960)))),"",VLOOKUP(C4960,'Clients List'!$A:$F,4,FALSE)-SUMIFS($E$2:$E4960,$C$2:$C4960,C4960,$D$2:$D4960,"*Package*"))</f>
        <v/>
      </c>
      <c r="G4960" t="str">
        <f t="shared" si="110"/>
        <v/>
      </c>
      <c r="H4960" s="33">
        <f>IF(ISNUMBER(SEARCH("Group",D4960)),IF(G4960="",E4960,IFERROR(E4960/COUNTIF($G2:$G6000,G4960),E4960)),E4960)</f>
        <v>0</v>
      </c>
      <c r="I4960" s="1" t="str">
        <f>IFERROR(VLOOKUP(C4960,'Clients List'!A:F,6,FALSE),"")</f>
        <v/>
      </c>
    </row>
    <row r="4961" spans="4:9" x14ac:dyDescent="0.45">
      <c r="D4961" t="str">
        <f>IFERROR(VLOOKUP(C4961,'Clients List'!$A:$F,2,FALSE),"")</f>
        <v/>
      </c>
      <c r="F4961" s="1" t="str">
        <f>IF(OR(C4961="",NOT(ISNUMBER(SEARCH("Package",D4961)))),"",VLOOKUP(C4961,'Clients List'!$A:$F,4,FALSE)-SUMIFS($E$2:$E4961,$C$2:$C4961,C4961,$D$2:$D4961,"*Package*"))</f>
        <v/>
      </c>
      <c r="G4961" t="str">
        <f t="shared" si="110"/>
        <v/>
      </c>
      <c r="H4961" s="33">
        <f>IF(ISNUMBER(SEARCH("Group",D4961)),IF(G4961="",E4961,IFERROR(E4961/COUNTIF($G2:$G6000,G4961),E4961)),E4961)</f>
        <v>0</v>
      </c>
      <c r="I4961" s="1" t="str">
        <f>IFERROR(VLOOKUP(C4961,'Clients List'!A:F,6,FALSE),"")</f>
        <v/>
      </c>
    </row>
    <row r="4962" spans="4:9" x14ac:dyDescent="0.45">
      <c r="D4962" t="str">
        <f>IFERROR(VLOOKUP(C4962,'Clients List'!$A:$F,2,FALSE),"")</f>
        <v/>
      </c>
      <c r="F4962" s="1" t="str">
        <f>IF(OR(C4962="",NOT(ISNUMBER(SEARCH("Package",D4962)))),"",VLOOKUP(C4962,'Clients List'!$A:$F,4,FALSE)-SUMIFS($E$2:$E4962,$C$2:$C4962,C4962,$D$2:$D4962,"*Package*"))</f>
        <v/>
      </c>
      <c r="G4962" t="str">
        <f t="shared" si="110"/>
        <v/>
      </c>
      <c r="H4962" s="33">
        <f>IF(ISNUMBER(SEARCH("Group",D4962)),IF(G4962="",E4962,IFERROR(E4962/COUNTIF($G2:$G6000,G4962),E4962)),E4962)</f>
        <v>0</v>
      </c>
      <c r="I4962" s="1" t="str">
        <f>IFERROR(VLOOKUP(C4962,'Clients List'!A:F,6,FALSE),"")</f>
        <v/>
      </c>
    </row>
    <row r="4963" spans="4:9" x14ac:dyDescent="0.45">
      <c r="D4963" t="str">
        <f>IFERROR(VLOOKUP(C4963,'Clients List'!$A:$F,2,FALSE),"")</f>
        <v/>
      </c>
      <c r="F4963" s="1" t="str">
        <f>IF(OR(C4963="",NOT(ISNUMBER(SEARCH("Package",D4963)))),"",VLOOKUP(C4963,'Clients List'!$A:$F,4,FALSE)-SUMIFS($E$2:$E4963,$C$2:$C4963,C4963,$D$2:$D4963,"*Package*"))</f>
        <v/>
      </c>
      <c r="G4963" t="str">
        <f t="shared" si="110"/>
        <v/>
      </c>
      <c r="H4963" s="33">
        <f>IF(ISNUMBER(SEARCH("Group",D4963)),IF(G4963="",E4963,IFERROR(E4963/COUNTIF($G2:$G6000,G4963),E4963)),E4963)</f>
        <v>0</v>
      </c>
      <c r="I4963" s="1" t="str">
        <f>IFERROR(VLOOKUP(C4963,'Clients List'!A:F,6,FALSE),"")</f>
        <v/>
      </c>
    </row>
    <row r="4964" spans="4:9" x14ac:dyDescent="0.45">
      <c r="D4964" t="str">
        <f>IFERROR(VLOOKUP(C4964,'Clients List'!$A:$F,2,FALSE),"")</f>
        <v/>
      </c>
      <c r="F4964" s="1" t="str">
        <f>IF(OR(C4964="",NOT(ISNUMBER(SEARCH("Package",D4964)))),"",VLOOKUP(C4964,'Clients List'!$A:$F,4,FALSE)-SUMIFS($E$2:$E4964,$C$2:$C4964,C4964,$D$2:$D4964,"*Package*"))</f>
        <v/>
      </c>
      <c r="G4964" t="str">
        <f t="shared" si="110"/>
        <v/>
      </c>
      <c r="H4964" s="33">
        <f>IF(ISNUMBER(SEARCH("Group",D4964)),IF(G4964="",E4964,IFERROR(E4964/COUNTIF($G2:$G6000,G4964),E4964)),E4964)</f>
        <v>0</v>
      </c>
      <c r="I4964" s="1" t="str">
        <f>IFERROR(VLOOKUP(C4964,'Clients List'!A:F,6,FALSE),"")</f>
        <v/>
      </c>
    </row>
    <row r="4965" spans="4:9" x14ac:dyDescent="0.45">
      <c r="D4965" t="str">
        <f>IFERROR(VLOOKUP(C4965,'Clients List'!$A:$F,2,FALSE),"")</f>
        <v/>
      </c>
      <c r="F4965" s="1" t="str">
        <f>IF(OR(C4965="",NOT(ISNUMBER(SEARCH("Package",D4965)))),"",VLOOKUP(C4965,'Clients List'!$A:$F,4,FALSE)-SUMIFS($E$2:$E4965,$C$2:$C4965,C4965,$D$2:$D4965,"*Package*"))</f>
        <v/>
      </c>
      <c r="G4965" t="str">
        <f t="shared" si="110"/>
        <v/>
      </c>
      <c r="H4965" s="33">
        <f>IF(ISNUMBER(SEARCH("Group",D4965)),IF(G4965="",E4965,IFERROR(E4965/COUNTIF($G2:$G6000,G4965),E4965)),E4965)</f>
        <v>0</v>
      </c>
      <c r="I4965" s="1" t="str">
        <f>IFERROR(VLOOKUP(C4965,'Clients List'!A:F,6,FALSE),"")</f>
        <v/>
      </c>
    </row>
    <row r="4966" spans="4:9" x14ac:dyDescent="0.45">
      <c r="D4966" t="str">
        <f>IFERROR(VLOOKUP(C4966,'Clients List'!$A:$F,2,FALSE),"")</f>
        <v/>
      </c>
      <c r="F4966" s="1" t="str">
        <f>IF(OR(C4966="",NOT(ISNUMBER(SEARCH("Package",D4966)))),"",VLOOKUP(C4966,'Clients List'!$A:$F,4,FALSE)-SUMIFS($E$2:$E4966,$C$2:$C4966,C4966,$D$2:$D4966,"*Package*"))</f>
        <v/>
      </c>
      <c r="G4966" t="str">
        <f t="shared" si="110"/>
        <v/>
      </c>
      <c r="H4966" s="33">
        <f>IF(ISNUMBER(SEARCH("Group",D4966)),IF(G4966="",E4966,IFERROR(E4966/COUNTIF($G2:$G6000,G4966),E4966)),E4966)</f>
        <v>0</v>
      </c>
      <c r="I4966" s="1" t="str">
        <f>IFERROR(VLOOKUP(C4966,'Clients List'!A:F,6,FALSE),"")</f>
        <v/>
      </c>
    </row>
    <row r="4967" spans="4:9" x14ac:dyDescent="0.45">
      <c r="D4967" t="str">
        <f>IFERROR(VLOOKUP(C4967,'Clients List'!$A:$F,2,FALSE),"")</f>
        <v/>
      </c>
      <c r="F4967" s="1" t="str">
        <f>IF(OR(C4967="",NOT(ISNUMBER(SEARCH("Package",D4967)))),"",VLOOKUP(C4967,'Clients List'!$A:$F,4,FALSE)-SUMIFS($E$2:$E4967,$C$2:$C4967,C4967,$D$2:$D4967,"*Package*"))</f>
        <v/>
      </c>
      <c r="G4967" t="str">
        <f t="shared" si="110"/>
        <v/>
      </c>
      <c r="H4967" s="33">
        <f>IF(ISNUMBER(SEARCH("Group",D4967)),IF(G4967="",E4967,IFERROR(E4967/COUNTIF($G2:$G6000,G4967),E4967)),E4967)</f>
        <v>0</v>
      </c>
      <c r="I4967" s="1" t="str">
        <f>IFERROR(VLOOKUP(C4967,'Clients List'!A:F,6,FALSE),"")</f>
        <v/>
      </c>
    </row>
    <row r="4968" spans="4:9" x14ac:dyDescent="0.45">
      <c r="D4968" t="str">
        <f>IFERROR(VLOOKUP(C4968,'Clients List'!$A:$F,2,FALSE),"")</f>
        <v/>
      </c>
      <c r="F4968" s="1" t="str">
        <f>IF(OR(C4968="",NOT(ISNUMBER(SEARCH("Package",D4968)))),"",VLOOKUP(C4968,'Clients List'!$A:$F,4,FALSE)-SUMIFS($E$2:$E4968,$C$2:$C4968,C4968,$D$2:$D4968,"*Package*"))</f>
        <v/>
      </c>
      <c r="G4968" t="str">
        <f t="shared" si="110"/>
        <v/>
      </c>
      <c r="H4968" s="33">
        <f>IF(ISNUMBER(SEARCH("Group",D4968)),IF(G4968="",E4968,IFERROR(E4968/COUNTIF($G2:$G6000,G4968),E4968)),E4968)</f>
        <v>0</v>
      </c>
      <c r="I4968" s="1" t="str">
        <f>IFERROR(VLOOKUP(C4968,'Clients List'!A:F,6,FALSE),"")</f>
        <v/>
      </c>
    </row>
    <row r="4969" spans="4:9" x14ac:dyDescent="0.45">
      <c r="D4969" t="str">
        <f>IFERROR(VLOOKUP(C4969,'Clients List'!$A:$F,2,FALSE),"")</f>
        <v/>
      </c>
      <c r="F4969" s="1" t="str">
        <f>IF(OR(C4969="",NOT(ISNUMBER(SEARCH("Package",D4969)))),"",VLOOKUP(C4969,'Clients List'!$A:$F,4,FALSE)-SUMIFS($E$2:$E4969,$C$2:$C4969,C4969,$D$2:$D4969,"*Package*"))</f>
        <v/>
      </c>
      <c r="G4969" t="str">
        <f t="shared" si="110"/>
        <v/>
      </c>
      <c r="H4969" s="33">
        <f>IF(ISNUMBER(SEARCH("Group",D4969)),IF(G4969="",E4969,IFERROR(E4969/COUNTIF($G2:$G6000,G4969),E4969)),E4969)</f>
        <v>0</v>
      </c>
      <c r="I4969" s="1" t="str">
        <f>IFERROR(VLOOKUP(C4969,'Clients List'!A:F,6,FALSE),"")</f>
        <v/>
      </c>
    </row>
    <row r="4970" spans="4:9" x14ac:dyDescent="0.45">
      <c r="D4970" t="str">
        <f>IFERROR(VLOOKUP(C4970,'Clients List'!$A:$F,2,FALSE),"")</f>
        <v/>
      </c>
      <c r="F4970" s="1" t="str">
        <f>IF(OR(C4970="",NOT(ISNUMBER(SEARCH("Package",D4970)))),"",VLOOKUP(C4970,'Clients List'!$A:$F,4,FALSE)-SUMIFS($E$2:$E4970,$C$2:$C4970,C4970,$D$2:$D4970,"*Package*"))</f>
        <v/>
      </c>
      <c r="G4970" t="str">
        <f t="shared" si="110"/>
        <v/>
      </c>
      <c r="H4970" s="33">
        <f>IF(ISNUMBER(SEARCH("Group",D4970)),IF(G4970="",E4970,IFERROR(E4970/COUNTIF($G2:$G6000,G4970),E4970)),E4970)</f>
        <v>0</v>
      </c>
      <c r="I4970" s="1" t="str">
        <f>IFERROR(VLOOKUP(C4970,'Clients List'!A:F,6,FALSE),"")</f>
        <v/>
      </c>
    </row>
    <row r="4971" spans="4:9" x14ac:dyDescent="0.45">
      <c r="D4971" t="str">
        <f>IFERROR(VLOOKUP(C4971,'Clients List'!$A:$F,2,FALSE),"")</f>
        <v/>
      </c>
      <c r="F4971" s="1" t="str">
        <f>IF(OR(C4971="",NOT(ISNUMBER(SEARCH("Package",D4971)))),"",VLOOKUP(C4971,'Clients List'!$A:$F,4,FALSE)-SUMIFS($E$2:$E4971,$C$2:$C4971,C4971,$D$2:$D4971,"*Package*"))</f>
        <v/>
      </c>
      <c r="G4971" t="str">
        <f t="shared" si="110"/>
        <v/>
      </c>
      <c r="H4971" s="33">
        <f>IF(ISNUMBER(SEARCH("Group",D4971)),IF(G4971="",E4971,IFERROR(E4971/COUNTIF($G2:$G6000,G4971),E4971)),E4971)</f>
        <v>0</v>
      </c>
      <c r="I4971" s="1" t="str">
        <f>IFERROR(VLOOKUP(C4971,'Clients List'!A:F,6,FALSE),"")</f>
        <v/>
      </c>
    </row>
    <row r="4972" spans="4:9" x14ac:dyDescent="0.45">
      <c r="D4972" t="str">
        <f>IFERROR(VLOOKUP(C4972,'Clients List'!$A:$F,2,FALSE),"")</f>
        <v/>
      </c>
      <c r="F4972" s="1" t="str">
        <f>IF(OR(C4972="",NOT(ISNUMBER(SEARCH("Package",D4972)))),"",VLOOKUP(C4972,'Clients List'!$A:$F,4,FALSE)-SUMIFS($E$2:$E4972,$C$2:$C4972,C4972,$D$2:$D4972,"*Package*"))</f>
        <v/>
      </c>
      <c r="G4972" t="str">
        <f t="shared" si="110"/>
        <v/>
      </c>
      <c r="H4972" s="33">
        <f>IF(ISNUMBER(SEARCH("Group",D4972)),IF(G4972="",E4972,IFERROR(E4972/COUNTIF($G2:$G6000,G4972),E4972)),E4972)</f>
        <v>0</v>
      </c>
      <c r="I4972" s="1" t="str">
        <f>IFERROR(VLOOKUP(C4972,'Clients List'!A:F,6,FALSE),"")</f>
        <v/>
      </c>
    </row>
    <row r="4973" spans="4:9" x14ac:dyDescent="0.45">
      <c r="D4973" t="str">
        <f>IFERROR(VLOOKUP(C4973,'Clients List'!$A:$F,2,FALSE),"")</f>
        <v/>
      </c>
      <c r="F4973" s="1" t="str">
        <f>IF(OR(C4973="",NOT(ISNUMBER(SEARCH("Package",D4973)))),"",VLOOKUP(C4973,'Clients List'!$A:$F,4,FALSE)-SUMIFS($E$2:$E4973,$C$2:$C4973,C4973,$D$2:$D4973,"*Package*"))</f>
        <v/>
      </c>
      <c r="G4973" t="str">
        <f t="shared" si="110"/>
        <v/>
      </c>
      <c r="H4973" s="33">
        <f>IF(ISNUMBER(SEARCH("Group",D4973)),IF(G4973="",E4973,IFERROR(E4973/COUNTIF($G2:$G6000,G4973),E4973)),E4973)</f>
        <v>0</v>
      </c>
      <c r="I4973" s="1" t="str">
        <f>IFERROR(VLOOKUP(C4973,'Clients List'!A:F,6,FALSE),"")</f>
        <v/>
      </c>
    </row>
    <row r="4974" spans="4:9" x14ac:dyDescent="0.45">
      <c r="D4974" t="str">
        <f>IFERROR(VLOOKUP(C4974,'Clients List'!$A:$F,2,FALSE),"")</f>
        <v/>
      </c>
      <c r="F4974" s="1" t="str">
        <f>IF(OR(C4974="",NOT(ISNUMBER(SEARCH("Package",D4974)))),"",VLOOKUP(C4974,'Clients List'!$A:$F,4,FALSE)-SUMIFS($E$2:$E4974,$C$2:$C4974,C4974,$D$2:$D4974,"*Package*"))</f>
        <v/>
      </c>
      <c r="G4974" t="str">
        <f t="shared" si="110"/>
        <v/>
      </c>
      <c r="H4974" s="33">
        <f>IF(ISNUMBER(SEARCH("Group",D4974)),IF(G4974="",E4974,IFERROR(E4974/COUNTIF($G2:$G6000,G4974),E4974)),E4974)</f>
        <v>0</v>
      </c>
      <c r="I4974" s="1" t="str">
        <f>IFERROR(VLOOKUP(C4974,'Clients List'!A:F,6,FALSE),"")</f>
        <v/>
      </c>
    </row>
    <row r="4975" spans="4:9" x14ac:dyDescent="0.45">
      <c r="D4975" t="str">
        <f>IFERROR(VLOOKUP(C4975,'Clients List'!$A:$F,2,FALSE),"")</f>
        <v/>
      </c>
      <c r="F4975" s="1" t="str">
        <f>IF(OR(C4975="",NOT(ISNUMBER(SEARCH("Package",D4975)))),"",VLOOKUP(C4975,'Clients List'!$A:$F,4,FALSE)-SUMIFS($E$2:$E4975,$C$2:$C4975,C4975,$D$2:$D4975,"*Package*"))</f>
        <v/>
      </c>
      <c r="G4975" t="str">
        <f t="shared" si="110"/>
        <v/>
      </c>
      <c r="H4975" s="33">
        <f>IF(ISNUMBER(SEARCH("Group",D4975)),IF(G4975="",E4975,IFERROR(E4975/COUNTIF($G2:$G6000,G4975),E4975)),E4975)</f>
        <v>0</v>
      </c>
      <c r="I4975" s="1" t="str">
        <f>IFERROR(VLOOKUP(C4975,'Clients List'!A:F,6,FALSE),"")</f>
        <v/>
      </c>
    </row>
    <row r="4976" spans="4:9" x14ac:dyDescent="0.45">
      <c r="D4976" t="str">
        <f>IFERROR(VLOOKUP(C4976,'Clients List'!$A:$F,2,FALSE),"")</f>
        <v/>
      </c>
      <c r="F4976" s="1" t="str">
        <f>IF(OR(C4976="",NOT(ISNUMBER(SEARCH("Package",D4976)))),"",VLOOKUP(C4976,'Clients List'!$A:$F,4,FALSE)-SUMIFS($E$2:$E4976,$C$2:$C4976,C4976,$D$2:$D4976,"*Package*"))</f>
        <v/>
      </c>
      <c r="G4976" t="str">
        <f t="shared" si="110"/>
        <v/>
      </c>
      <c r="H4976" s="33">
        <f>IF(ISNUMBER(SEARCH("Group",D4976)),IF(G4976="",E4976,IFERROR(E4976/COUNTIF($G2:$G6000,G4976),E4976)),E4976)</f>
        <v>0</v>
      </c>
      <c r="I4976" s="1" t="str">
        <f>IFERROR(VLOOKUP(C4976,'Clients List'!A:F,6,FALSE),"")</f>
        <v/>
      </c>
    </row>
    <row r="4977" spans="4:9" x14ac:dyDescent="0.45">
      <c r="D4977" t="str">
        <f>IFERROR(VLOOKUP(C4977,'Clients List'!$A:$F,2,FALSE),"")</f>
        <v/>
      </c>
      <c r="F4977" s="1" t="str">
        <f>IF(OR(C4977="",NOT(ISNUMBER(SEARCH("Package",D4977)))),"",VLOOKUP(C4977,'Clients List'!$A:$F,4,FALSE)-SUMIFS($E$2:$E4977,$C$2:$C4977,C4977,$D$2:$D4977,"*Package*"))</f>
        <v/>
      </c>
      <c r="G4977" t="str">
        <f t="shared" si="110"/>
        <v/>
      </c>
      <c r="H4977" s="33">
        <f>IF(ISNUMBER(SEARCH("Group",D4977)),IF(G4977="",E4977,IFERROR(E4977/COUNTIF($G2:$G6000,G4977),E4977)),E4977)</f>
        <v>0</v>
      </c>
      <c r="I4977" s="1" t="str">
        <f>IFERROR(VLOOKUP(C4977,'Clients List'!A:F,6,FALSE),"")</f>
        <v/>
      </c>
    </row>
    <row r="4978" spans="4:9" x14ac:dyDescent="0.45">
      <c r="D4978" t="str">
        <f>IFERROR(VLOOKUP(C4978,'Clients List'!$A:$F,2,FALSE),"")</f>
        <v/>
      </c>
      <c r="F4978" s="1" t="str">
        <f>IF(OR(C4978="",NOT(ISNUMBER(SEARCH("Package",D4978)))),"",VLOOKUP(C4978,'Clients List'!$A:$F,4,FALSE)-SUMIFS($E$2:$E4978,$C$2:$C4978,C4978,$D$2:$D4978,"*Package*"))</f>
        <v/>
      </c>
      <c r="G4978" t="str">
        <f t="shared" si="110"/>
        <v/>
      </c>
      <c r="H4978" s="33">
        <f>IF(ISNUMBER(SEARCH("Group",D4978)),IF(G4978="",E4978,IFERROR(E4978/COUNTIF($G2:$G6000,G4978),E4978)),E4978)</f>
        <v>0</v>
      </c>
      <c r="I4978" s="1" t="str">
        <f>IFERROR(VLOOKUP(C4978,'Clients List'!A:F,6,FALSE),"")</f>
        <v/>
      </c>
    </row>
    <row r="4979" spans="4:9" x14ac:dyDescent="0.45">
      <c r="D4979" t="str">
        <f>IFERROR(VLOOKUP(C4979,'Clients List'!$A:$F,2,FALSE),"")</f>
        <v/>
      </c>
      <c r="F4979" s="1" t="str">
        <f>IF(OR(C4979="",NOT(ISNUMBER(SEARCH("Package",D4979)))),"",VLOOKUP(C4979,'Clients List'!$A:$F,4,FALSE)-SUMIFS($E$2:$E4979,$C$2:$C4979,C4979,$D$2:$D4979,"*Package*"))</f>
        <v/>
      </c>
      <c r="G4979" t="str">
        <f t="shared" si="110"/>
        <v/>
      </c>
      <c r="H4979" s="33">
        <f>IF(ISNUMBER(SEARCH("Group",D4979)),IF(G4979="",E4979,IFERROR(E4979/COUNTIF($G2:$G6000,G4979),E4979)),E4979)</f>
        <v>0</v>
      </c>
      <c r="I4979" s="1" t="str">
        <f>IFERROR(VLOOKUP(C4979,'Clients List'!A:F,6,FALSE),"")</f>
        <v/>
      </c>
    </row>
    <row r="4980" spans="4:9" x14ac:dyDescent="0.45">
      <c r="D4980" t="str">
        <f>IFERROR(VLOOKUP(C4980,'Clients List'!$A:$F,2,FALSE),"")</f>
        <v/>
      </c>
      <c r="F4980" s="1" t="str">
        <f>IF(OR(C4980="",NOT(ISNUMBER(SEARCH("Package",D4980)))),"",VLOOKUP(C4980,'Clients List'!$A:$F,4,FALSE)-SUMIFS($E$2:$E4980,$C$2:$C4980,C4980,$D$2:$D4980,"*Package*"))</f>
        <v/>
      </c>
      <c r="G4980" t="str">
        <f t="shared" si="110"/>
        <v/>
      </c>
      <c r="H4980" s="33">
        <f>IF(ISNUMBER(SEARCH("Group",D4980)),IF(G4980="",E4980,IFERROR(E4980/COUNTIF($G2:$G6000,G4980),E4980)),E4980)</f>
        <v>0</v>
      </c>
      <c r="I4980" s="1" t="str">
        <f>IFERROR(VLOOKUP(C4980,'Clients List'!A:F,6,FALSE),"")</f>
        <v/>
      </c>
    </row>
    <row r="4981" spans="4:9" x14ac:dyDescent="0.45">
      <c r="D4981" t="str">
        <f>IFERROR(VLOOKUP(C4981,'Clients List'!$A:$F,2,FALSE),"")</f>
        <v/>
      </c>
      <c r="F4981" s="1" t="str">
        <f>IF(OR(C4981="",NOT(ISNUMBER(SEARCH("Package",D4981)))),"",VLOOKUP(C4981,'Clients List'!$A:$F,4,FALSE)-SUMIFS($E$2:$E4981,$C$2:$C4981,C4981,$D$2:$D4981,"*Package*"))</f>
        <v/>
      </c>
      <c r="G4981" t="str">
        <f t="shared" ref="G4981:G5044" si="111">IF(ISNUMBER(SEARCH("Group",D4981)),IFERROR("GRP-"&amp;TEXT(IF(ISNUMBER(A4981),A4981,DATEVALUE(A4981)),"yyyymmdd"),""),"" )</f>
        <v/>
      </c>
      <c r="H4981" s="33">
        <f>IF(ISNUMBER(SEARCH("Group",D4981)),IF(G4981="",E4981,IFERROR(E4981/COUNTIF($G2:$G6000,G4981),E4981)),E4981)</f>
        <v>0</v>
      </c>
      <c r="I4981" s="1" t="str">
        <f>IFERROR(VLOOKUP(C4981,'Clients List'!A:F,6,FALSE),"")</f>
        <v/>
      </c>
    </row>
    <row r="4982" spans="4:9" x14ac:dyDescent="0.45">
      <c r="D4982" t="str">
        <f>IFERROR(VLOOKUP(C4982,'Clients List'!$A:$F,2,FALSE),"")</f>
        <v/>
      </c>
      <c r="F4982" s="1" t="str">
        <f>IF(OR(C4982="",NOT(ISNUMBER(SEARCH("Package",D4982)))),"",VLOOKUP(C4982,'Clients List'!$A:$F,4,FALSE)-SUMIFS($E$2:$E4982,$C$2:$C4982,C4982,$D$2:$D4982,"*Package*"))</f>
        <v/>
      </c>
      <c r="G4982" t="str">
        <f t="shared" si="111"/>
        <v/>
      </c>
      <c r="H4982" s="33">
        <f>IF(ISNUMBER(SEARCH("Group",D4982)),IF(G4982="",E4982,IFERROR(E4982/COUNTIF($G2:$G6000,G4982),E4982)),E4982)</f>
        <v>0</v>
      </c>
      <c r="I4982" s="1" t="str">
        <f>IFERROR(VLOOKUP(C4982,'Clients List'!A:F,6,FALSE),"")</f>
        <v/>
      </c>
    </row>
    <row r="4983" spans="4:9" x14ac:dyDescent="0.45">
      <c r="D4983" t="str">
        <f>IFERROR(VLOOKUP(C4983,'Clients List'!$A:$F,2,FALSE),"")</f>
        <v/>
      </c>
      <c r="F4983" s="1" t="str">
        <f>IF(OR(C4983="",NOT(ISNUMBER(SEARCH("Package",D4983)))),"",VLOOKUP(C4983,'Clients List'!$A:$F,4,FALSE)-SUMIFS($E$2:$E4983,$C$2:$C4983,C4983,$D$2:$D4983,"*Package*"))</f>
        <v/>
      </c>
      <c r="G4983" t="str">
        <f t="shared" si="111"/>
        <v/>
      </c>
      <c r="H4983" s="33">
        <f>IF(ISNUMBER(SEARCH("Group",D4983)),IF(G4983="",E4983,IFERROR(E4983/COUNTIF($G2:$G6000,G4983),E4983)),E4983)</f>
        <v>0</v>
      </c>
      <c r="I4983" s="1" t="str">
        <f>IFERROR(VLOOKUP(C4983,'Clients List'!A:F,6,FALSE),"")</f>
        <v/>
      </c>
    </row>
    <row r="4984" spans="4:9" x14ac:dyDescent="0.45">
      <c r="D4984" t="str">
        <f>IFERROR(VLOOKUP(C4984,'Clients List'!$A:$F,2,FALSE),"")</f>
        <v/>
      </c>
      <c r="F4984" s="1" t="str">
        <f>IF(OR(C4984="",NOT(ISNUMBER(SEARCH("Package",D4984)))),"",VLOOKUP(C4984,'Clients List'!$A:$F,4,FALSE)-SUMIFS($E$2:$E4984,$C$2:$C4984,C4984,$D$2:$D4984,"*Package*"))</f>
        <v/>
      </c>
      <c r="G4984" t="str">
        <f t="shared" si="111"/>
        <v/>
      </c>
      <c r="H4984" s="33">
        <f>IF(ISNUMBER(SEARCH("Group",D4984)),IF(G4984="",E4984,IFERROR(E4984/COUNTIF($G2:$G6000,G4984),E4984)),E4984)</f>
        <v>0</v>
      </c>
      <c r="I4984" s="1" t="str">
        <f>IFERROR(VLOOKUP(C4984,'Clients List'!A:F,6,FALSE),"")</f>
        <v/>
      </c>
    </row>
    <row r="4985" spans="4:9" x14ac:dyDescent="0.45">
      <c r="D4985" t="str">
        <f>IFERROR(VLOOKUP(C4985,'Clients List'!$A:$F,2,FALSE),"")</f>
        <v/>
      </c>
      <c r="F4985" s="1" t="str">
        <f>IF(OR(C4985="",NOT(ISNUMBER(SEARCH("Package",D4985)))),"",VLOOKUP(C4985,'Clients List'!$A:$F,4,FALSE)-SUMIFS($E$2:$E4985,$C$2:$C4985,C4985,$D$2:$D4985,"*Package*"))</f>
        <v/>
      </c>
      <c r="G4985" t="str">
        <f t="shared" si="111"/>
        <v/>
      </c>
      <c r="H4985" s="33">
        <f>IF(ISNUMBER(SEARCH("Group",D4985)),IF(G4985="",E4985,IFERROR(E4985/COUNTIF($G2:$G6000,G4985),E4985)),E4985)</f>
        <v>0</v>
      </c>
      <c r="I4985" s="1" t="str">
        <f>IFERROR(VLOOKUP(C4985,'Clients List'!A:F,6,FALSE),"")</f>
        <v/>
      </c>
    </row>
    <row r="4986" spans="4:9" x14ac:dyDescent="0.45">
      <c r="D4986" t="str">
        <f>IFERROR(VLOOKUP(C4986,'Clients List'!$A:$F,2,FALSE),"")</f>
        <v/>
      </c>
      <c r="F4986" s="1" t="str">
        <f>IF(OR(C4986="",NOT(ISNUMBER(SEARCH("Package",D4986)))),"",VLOOKUP(C4986,'Clients List'!$A:$F,4,FALSE)-SUMIFS($E$2:$E4986,$C$2:$C4986,C4986,$D$2:$D4986,"*Package*"))</f>
        <v/>
      </c>
      <c r="G4986" t="str">
        <f t="shared" si="111"/>
        <v/>
      </c>
      <c r="H4986" s="33">
        <f>IF(ISNUMBER(SEARCH("Group",D4986)),IF(G4986="",E4986,IFERROR(E4986/COUNTIF($G2:$G6000,G4986),E4986)),E4986)</f>
        <v>0</v>
      </c>
      <c r="I4986" s="1" t="str">
        <f>IFERROR(VLOOKUP(C4986,'Clients List'!A:F,6,FALSE),"")</f>
        <v/>
      </c>
    </row>
    <row r="4987" spans="4:9" x14ac:dyDescent="0.45">
      <c r="D4987" t="str">
        <f>IFERROR(VLOOKUP(C4987,'Clients List'!$A:$F,2,FALSE),"")</f>
        <v/>
      </c>
      <c r="F4987" s="1" t="str">
        <f>IF(OR(C4987="",NOT(ISNUMBER(SEARCH("Package",D4987)))),"",VLOOKUP(C4987,'Clients List'!$A:$F,4,FALSE)-SUMIFS($E$2:$E4987,$C$2:$C4987,C4987,$D$2:$D4987,"*Package*"))</f>
        <v/>
      </c>
      <c r="G4987" t="str">
        <f t="shared" si="111"/>
        <v/>
      </c>
      <c r="H4987" s="33">
        <f>IF(ISNUMBER(SEARCH("Group",D4987)),IF(G4987="",E4987,IFERROR(E4987/COUNTIF($G2:$G6000,G4987),E4987)),E4987)</f>
        <v>0</v>
      </c>
      <c r="I4987" s="1" t="str">
        <f>IFERROR(VLOOKUP(C4987,'Clients List'!A:F,6,FALSE),"")</f>
        <v/>
      </c>
    </row>
    <row r="4988" spans="4:9" x14ac:dyDescent="0.45">
      <c r="D4988" t="str">
        <f>IFERROR(VLOOKUP(C4988,'Clients List'!$A:$F,2,FALSE),"")</f>
        <v/>
      </c>
      <c r="F4988" s="1" t="str">
        <f>IF(OR(C4988="",NOT(ISNUMBER(SEARCH("Package",D4988)))),"",VLOOKUP(C4988,'Clients List'!$A:$F,4,FALSE)-SUMIFS($E$2:$E4988,$C$2:$C4988,C4988,$D$2:$D4988,"*Package*"))</f>
        <v/>
      </c>
      <c r="G4988" t="str">
        <f t="shared" si="111"/>
        <v/>
      </c>
      <c r="H4988" s="33">
        <f>IF(ISNUMBER(SEARCH("Group",D4988)),IF(G4988="",E4988,IFERROR(E4988/COUNTIF($G2:$G6000,G4988),E4988)),E4988)</f>
        <v>0</v>
      </c>
      <c r="I4988" s="1" t="str">
        <f>IFERROR(VLOOKUP(C4988,'Clients List'!A:F,6,FALSE),"")</f>
        <v/>
      </c>
    </row>
    <row r="4989" spans="4:9" x14ac:dyDescent="0.45">
      <c r="D4989" t="str">
        <f>IFERROR(VLOOKUP(C4989,'Clients List'!$A:$F,2,FALSE),"")</f>
        <v/>
      </c>
      <c r="F4989" s="1" t="str">
        <f>IF(OR(C4989="",NOT(ISNUMBER(SEARCH("Package",D4989)))),"",VLOOKUP(C4989,'Clients List'!$A:$F,4,FALSE)-SUMIFS($E$2:$E4989,$C$2:$C4989,C4989,$D$2:$D4989,"*Package*"))</f>
        <v/>
      </c>
      <c r="G4989" t="str">
        <f t="shared" si="111"/>
        <v/>
      </c>
      <c r="H4989" s="33">
        <f>IF(ISNUMBER(SEARCH("Group",D4989)),IF(G4989="",E4989,IFERROR(E4989/COUNTIF($G2:$G6000,G4989),E4989)),E4989)</f>
        <v>0</v>
      </c>
      <c r="I4989" s="1" t="str">
        <f>IFERROR(VLOOKUP(C4989,'Clients List'!A:F,6,FALSE),"")</f>
        <v/>
      </c>
    </row>
    <row r="4990" spans="4:9" x14ac:dyDescent="0.45">
      <c r="D4990" t="str">
        <f>IFERROR(VLOOKUP(C4990,'Clients List'!$A:$F,2,FALSE),"")</f>
        <v/>
      </c>
      <c r="F4990" s="1" t="str">
        <f>IF(OR(C4990="",NOT(ISNUMBER(SEARCH("Package",D4990)))),"",VLOOKUP(C4990,'Clients List'!$A:$F,4,FALSE)-SUMIFS($E$2:$E4990,$C$2:$C4990,C4990,$D$2:$D4990,"*Package*"))</f>
        <v/>
      </c>
      <c r="G4990" t="str">
        <f t="shared" si="111"/>
        <v/>
      </c>
      <c r="H4990" s="33">
        <f>IF(ISNUMBER(SEARCH("Group",D4990)),IF(G4990="",E4990,IFERROR(E4990/COUNTIF($G2:$G6000,G4990),E4990)),E4990)</f>
        <v>0</v>
      </c>
      <c r="I4990" s="1" t="str">
        <f>IFERROR(VLOOKUP(C4990,'Clients List'!A:F,6,FALSE),"")</f>
        <v/>
      </c>
    </row>
    <row r="4991" spans="4:9" x14ac:dyDescent="0.45">
      <c r="D4991" t="str">
        <f>IFERROR(VLOOKUP(C4991,'Clients List'!$A:$F,2,FALSE),"")</f>
        <v/>
      </c>
      <c r="F4991" s="1" t="str">
        <f>IF(OR(C4991="",NOT(ISNUMBER(SEARCH("Package",D4991)))),"",VLOOKUP(C4991,'Clients List'!$A:$F,4,FALSE)-SUMIFS($E$2:$E4991,$C$2:$C4991,C4991,$D$2:$D4991,"*Package*"))</f>
        <v/>
      </c>
      <c r="G4991" t="str">
        <f t="shared" si="111"/>
        <v/>
      </c>
      <c r="H4991" s="33">
        <f>IF(ISNUMBER(SEARCH("Group",D4991)),IF(G4991="",E4991,IFERROR(E4991/COUNTIF($G2:$G6000,G4991),E4991)),E4991)</f>
        <v>0</v>
      </c>
      <c r="I4991" s="1" t="str">
        <f>IFERROR(VLOOKUP(C4991,'Clients List'!A:F,6,FALSE),"")</f>
        <v/>
      </c>
    </row>
    <row r="4992" spans="4:9" x14ac:dyDescent="0.45">
      <c r="D4992" t="str">
        <f>IFERROR(VLOOKUP(C4992,'Clients List'!$A:$F,2,FALSE),"")</f>
        <v/>
      </c>
      <c r="F4992" s="1" t="str">
        <f>IF(OR(C4992="",NOT(ISNUMBER(SEARCH("Package",D4992)))),"",VLOOKUP(C4992,'Clients List'!$A:$F,4,FALSE)-SUMIFS($E$2:$E4992,$C$2:$C4992,C4992,$D$2:$D4992,"*Package*"))</f>
        <v/>
      </c>
      <c r="G4992" t="str">
        <f t="shared" si="111"/>
        <v/>
      </c>
      <c r="H4992" s="33">
        <f>IF(ISNUMBER(SEARCH("Group",D4992)),IF(G4992="",E4992,IFERROR(E4992/COUNTIF($G2:$G6000,G4992),E4992)),E4992)</f>
        <v>0</v>
      </c>
      <c r="I4992" s="1" t="str">
        <f>IFERROR(VLOOKUP(C4992,'Clients List'!A:F,6,FALSE),"")</f>
        <v/>
      </c>
    </row>
    <row r="4993" spans="4:9" x14ac:dyDescent="0.45">
      <c r="D4993" t="str">
        <f>IFERROR(VLOOKUP(C4993,'Clients List'!$A:$F,2,FALSE),"")</f>
        <v/>
      </c>
      <c r="F4993" s="1" t="str">
        <f>IF(OR(C4993="",NOT(ISNUMBER(SEARCH("Package",D4993)))),"",VLOOKUP(C4993,'Clients List'!$A:$F,4,FALSE)-SUMIFS($E$2:$E4993,$C$2:$C4993,C4993,$D$2:$D4993,"*Package*"))</f>
        <v/>
      </c>
      <c r="G4993" t="str">
        <f t="shared" si="111"/>
        <v/>
      </c>
      <c r="H4993" s="33">
        <f>IF(ISNUMBER(SEARCH("Group",D4993)),IF(G4993="",E4993,IFERROR(E4993/COUNTIF($G2:$G6000,G4993),E4993)),E4993)</f>
        <v>0</v>
      </c>
      <c r="I4993" s="1" t="str">
        <f>IFERROR(VLOOKUP(C4993,'Clients List'!A:F,6,FALSE),"")</f>
        <v/>
      </c>
    </row>
    <row r="4994" spans="4:9" x14ac:dyDescent="0.45">
      <c r="D4994" t="str">
        <f>IFERROR(VLOOKUP(C4994,'Clients List'!$A:$F,2,FALSE),"")</f>
        <v/>
      </c>
      <c r="F4994" s="1" t="str">
        <f>IF(OR(C4994="",NOT(ISNUMBER(SEARCH("Package",D4994)))),"",VLOOKUP(C4994,'Clients List'!$A:$F,4,FALSE)-SUMIFS($E$2:$E4994,$C$2:$C4994,C4994,$D$2:$D4994,"*Package*"))</f>
        <v/>
      </c>
      <c r="G4994" t="str">
        <f t="shared" si="111"/>
        <v/>
      </c>
      <c r="H4994" s="33">
        <f>IF(ISNUMBER(SEARCH("Group",D4994)),IF(G4994="",E4994,IFERROR(E4994/COUNTIF($G2:$G6000,G4994),E4994)),E4994)</f>
        <v>0</v>
      </c>
      <c r="I4994" s="1" t="str">
        <f>IFERROR(VLOOKUP(C4994,'Clients List'!A:F,6,FALSE),"")</f>
        <v/>
      </c>
    </row>
    <row r="4995" spans="4:9" x14ac:dyDescent="0.45">
      <c r="D4995" t="str">
        <f>IFERROR(VLOOKUP(C4995,'Clients List'!$A:$F,2,FALSE),"")</f>
        <v/>
      </c>
      <c r="F4995" s="1" t="str">
        <f>IF(OR(C4995="",NOT(ISNUMBER(SEARCH("Package",D4995)))),"",VLOOKUP(C4995,'Clients List'!$A:$F,4,FALSE)-SUMIFS($E$2:$E4995,$C$2:$C4995,C4995,$D$2:$D4995,"*Package*"))</f>
        <v/>
      </c>
      <c r="G4995" t="str">
        <f t="shared" si="111"/>
        <v/>
      </c>
      <c r="H4995" s="33">
        <f>IF(ISNUMBER(SEARCH("Group",D4995)),IF(G4995="",E4995,IFERROR(E4995/COUNTIF($G2:$G6000,G4995),E4995)),E4995)</f>
        <v>0</v>
      </c>
      <c r="I4995" s="1" t="str">
        <f>IFERROR(VLOOKUP(C4995,'Clients List'!A:F,6,FALSE),"")</f>
        <v/>
      </c>
    </row>
    <row r="4996" spans="4:9" x14ac:dyDescent="0.45">
      <c r="D4996" t="str">
        <f>IFERROR(VLOOKUP(C4996,'Clients List'!$A:$F,2,FALSE),"")</f>
        <v/>
      </c>
      <c r="F4996" s="1" t="str">
        <f>IF(OR(C4996="",NOT(ISNUMBER(SEARCH("Package",D4996)))),"",VLOOKUP(C4996,'Clients List'!$A:$F,4,FALSE)-SUMIFS($E$2:$E4996,$C$2:$C4996,C4996,$D$2:$D4996,"*Package*"))</f>
        <v/>
      </c>
      <c r="G4996" t="str">
        <f t="shared" si="111"/>
        <v/>
      </c>
      <c r="H4996" s="33">
        <f>IF(ISNUMBER(SEARCH("Group",D4996)),IF(G4996="",E4996,IFERROR(E4996/COUNTIF($G2:$G6000,G4996),E4996)),E4996)</f>
        <v>0</v>
      </c>
      <c r="I4996" s="1" t="str">
        <f>IFERROR(VLOOKUP(C4996,'Clients List'!A:F,6,FALSE),"")</f>
        <v/>
      </c>
    </row>
    <row r="4997" spans="4:9" x14ac:dyDescent="0.45">
      <c r="D4997" t="str">
        <f>IFERROR(VLOOKUP(C4997,'Clients List'!$A:$F,2,FALSE),"")</f>
        <v/>
      </c>
      <c r="F4997" s="1" t="str">
        <f>IF(OR(C4997="",NOT(ISNUMBER(SEARCH("Package",D4997)))),"",VLOOKUP(C4997,'Clients List'!$A:$F,4,FALSE)-SUMIFS($E$2:$E4997,$C$2:$C4997,C4997,$D$2:$D4997,"*Package*"))</f>
        <v/>
      </c>
      <c r="G4997" t="str">
        <f t="shared" si="111"/>
        <v/>
      </c>
      <c r="H4997" s="33">
        <f>IF(ISNUMBER(SEARCH("Group",D4997)),IF(G4997="",E4997,IFERROR(E4997/COUNTIF($G2:$G6000,G4997),E4997)),E4997)</f>
        <v>0</v>
      </c>
      <c r="I4997" s="1" t="str">
        <f>IFERROR(VLOOKUP(C4997,'Clients List'!A:F,6,FALSE),"")</f>
        <v/>
      </c>
    </row>
    <row r="4998" spans="4:9" x14ac:dyDescent="0.45">
      <c r="D4998" t="str">
        <f>IFERROR(VLOOKUP(C4998,'Clients List'!$A:$F,2,FALSE),"")</f>
        <v/>
      </c>
      <c r="F4998" s="1" t="str">
        <f>IF(OR(C4998="",NOT(ISNUMBER(SEARCH("Package",D4998)))),"",VLOOKUP(C4998,'Clients List'!$A:$F,4,FALSE)-SUMIFS($E$2:$E4998,$C$2:$C4998,C4998,$D$2:$D4998,"*Package*"))</f>
        <v/>
      </c>
      <c r="G4998" t="str">
        <f t="shared" si="111"/>
        <v/>
      </c>
      <c r="H4998" s="33">
        <f>IF(ISNUMBER(SEARCH("Group",D4998)),IF(G4998="",E4998,IFERROR(E4998/COUNTIF($G2:$G6000,G4998),E4998)),E4998)</f>
        <v>0</v>
      </c>
      <c r="I4998" s="1" t="str">
        <f>IFERROR(VLOOKUP(C4998,'Clients List'!A:F,6,FALSE),"")</f>
        <v/>
      </c>
    </row>
    <row r="4999" spans="4:9" x14ac:dyDescent="0.45">
      <c r="D4999" t="str">
        <f>IFERROR(VLOOKUP(C4999,'Clients List'!$A:$F,2,FALSE),"")</f>
        <v/>
      </c>
      <c r="F4999" s="1" t="str">
        <f>IF(OR(C4999="",NOT(ISNUMBER(SEARCH("Package",D4999)))),"",VLOOKUP(C4999,'Clients List'!$A:$F,4,FALSE)-SUMIFS($E$2:$E4999,$C$2:$C4999,C4999,$D$2:$D4999,"*Package*"))</f>
        <v/>
      </c>
      <c r="G4999" t="str">
        <f t="shared" si="111"/>
        <v/>
      </c>
      <c r="H4999" s="33">
        <f>IF(ISNUMBER(SEARCH("Group",D4999)),IF(G4999="",E4999,IFERROR(E4999/COUNTIF($G2:$G6000,G4999),E4999)),E4999)</f>
        <v>0</v>
      </c>
      <c r="I4999" s="1" t="str">
        <f>IFERROR(VLOOKUP(C4999,'Clients List'!A:F,6,FALSE),"")</f>
        <v/>
      </c>
    </row>
    <row r="5000" spans="4:9" x14ac:dyDescent="0.45">
      <c r="D5000" t="str">
        <f>IFERROR(VLOOKUP(C5000,'Clients List'!$A:$F,2,FALSE),"")</f>
        <v/>
      </c>
      <c r="F5000" s="1" t="str">
        <f>IF(OR(C5000="",NOT(ISNUMBER(SEARCH("Package",D5000)))),"",VLOOKUP(C5000,'Clients List'!$A:$F,4,FALSE)-SUMIFS($E$2:$E5000,$C$2:$C5000,C5000,$D$2:$D5000,"*Package*"))</f>
        <v/>
      </c>
      <c r="G5000" t="str">
        <f t="shared" si="111"/>
        <v/>
      </c>
      <c r="H5000" s="33">
        <f>IF(ISNUMBER(SEARCH("Group",D5000)),IF(G5000="",E5000,IFERROR(E5000/COUNTIF($G2:$G6000,G5000),E5000)),E5000)</f>
        <v>0</v>
      </c>
      <c r="I5000" s="1" t="str">
        <f>IFERROR(VLOOKUP(C5000,'Clients List'!A:F,6,FALSE),"")</f>
        <v/>
      </c>
    </row>
    <row r="5001" spans="4:9" x14ac:dyDescent="0.45">
      <c r="D5001" t="str">
        <f>IFERROR(VLOOKUP(C5001,'Clients List'!$A:$F,2,FALSE),"")</f>
        <v/>
      </c>
      <c r="F5001" s="1" t="str">
        <f>IF(OR(C5001="",NOT(ISNUMBER(SEARCH("Package",D5001)))),"",VLOOKUP(C5001,'Clients List'!$A:$F,4,FALSE)-SUMIFS($E$2:$E5001,$C$2:$C5001,C5001,$D$2:$D5001,"*Package*"))</f>
        <v/>
      </c>
      <c r="G5001" t="str">
        <f t="shared" si="111"/>
        <v/>
      </c>
      <c r="H5001" s="33">
        <f>IF(ISNUMBER(SEARCH("Group",D5001)),IF(G5001="",E5001,IFERROR(E5001/COUNTIF($G2:$G6000,G5001),E5001)),E5001)</f>
        <v>0</v>
      </c>
      <c r="I5001" s="1" t="str">
        <f>IFERROR(VLOOKUP(C5001,'Clients List'!A:F,6,FALSE),"")</f>
        <v/>
      </c>
    </row>
    <row r="5002" spans="4:9" x14ac:dyDescent="0.45">
      <c r="D5002" t="str">
        <f>IFERROR(VLOOKUP(C5002,'Clients List'!$A:$F,2,FALSE),"")</f>
        <v/>
      </c>
      <c r="F5002" s="1" t="str">
        <f>IF(OR(C5002="",NOT(ISNUMBER(SEARCH("Package",D5002)))),"",VLOOKUP(C5002,'Clients List'!$A:$F,4,FALSE)-SUMIFS($E$2:$E5002,$C$2:$C5002,C5002,$D$2:$D5002,"*Package*"))</f>
        <v/>
      </c>
      <c r="G5002" t="str">
        <f t="shared" si="111"/>
        <v/>
      </c>
      <c r="H5002" s="33">
        <f>IF(ISNUMBER(SEARCH("Group",D5002)),IF(G5002="",E5002,IFERROR(E5002/COUNTIF($G2:$G6000,G5002),E5002)),E5002)</f>
        <v>0</v>
      </c>
      <c r="I5002" s="1" t="str">
        <f>IFERROR(VLOOKUP(C5002,'Clients List'!A:F,6,FALSE),"")</f>
        <v/>
      </c>
    </row>
    <row r="5003" spans="4:9" x14ac:dyDescent="0.45">
      <c r="D5003" t="str">
        <f>IFERROR(VLOOKUP(C5003,'Clients List'!$A:$F,2,FALSE),"")</f>
        <v/>
      </c>
      <c r="F5003" s="1" t="str">
        <f>IF(OR(C5003="",NOT(ISNUMBER(SEARCH("Package",D5003)))),"",VLOOKUP(C5003,'Clients List'!$A:$F,4,FALSE)-SUMIFS($E$2:$E5003,$C$2:$C5003,C5003,$D$2:$D5003,"*Package*"))</f>
        <v/>
      </c>
      <c r="G5003" t="str">
        <f t="shared" si="111"/>
        <v/>
      </c>
      <c r="H5003" s="33">
        <f>IF(ISNUMBER(SEARCH("Group",D5003)),IF(G5003="",E5003,IFERROR(E5003/COUNTIF($G2:$G6000,G5003),E5003)),E5003)</f>
        <v>0</v>
      </c>
      <c r="I5003" s="1" t="str">
        <f>IFERROR(VLOOKUP(C5003,'Clients List'!A:F,6,FALSE),"")</f>
        <v/>
      </c>
    </row>
    <row r="5004" spans="4:9" x14ac:dyDescent="0.45">
      <c r="D5004" t="str">
        <f>IFERROR(VLOOKUP(C5004,'Clients List'!$A:$F,2,FALSE),"")</f>
        <v/>
      </c>
      <c r="F5004" s="1" t="str">
        <f>IF(OR(C5004="",NOT(ISNUMBER(SEARCH("Package",D5004)))),"",VLOOKUP(C5004,'Clients List'!$A:$F,4,FALSE)-SUMIFS($E$2:$E5004,$C$2:$C5004,C5004,$D$2:$D5004,"*Package*"))</f>
        <v/>
      </c>
      <c r="G5004" t="str">
        <f t="shared" si="111"/>
        <v/>
      </c>
      <c r="H5004" s="33">
        <f>IF(ISNUMBER(SEARCH("Group",D5004)),IF(G5004="",E5004,IFERROR(E5004/COUNTIF($G2:$G6000,G5004),E5004)),E5004)</f>
        <v>0</v>
      </c>
      <c r="I5004" s="1" t="str">
        <f>IFERROR(VLOOKUP(C5004,'Clients List'!A:F,6,FALSE),"")</f>
        <v/>
      </c>
    </row>
    <row r="5005" spans="4:9" x14ac:dyDescent="0.45">
      <c r="D5005" t="str">
        <f>IFERROR(VLOOKUP(C5005,'Clients List'!$A:$F,2,FALSE),"")</f>
        <v/>
      </c>
      <c r="F5005" s="1" t="str">
        <f>IF(OR(C5005="",NOT(ISNUMBER(SEARCH("Package",D5005)))),"",VLOOKUP(C5005,'Clients List'!$A:$F,4,FALSE)-SUMIFS($E$2:$E5005,$C$2:$C5005,C5005,$D$2:$D5005,"*Package*"))</f>
        <v/>
      </c>
      <c r="G5005" t="str">
        <f t="shared" si="111"/>
        <v/>
      </c>
      <c r="H5005" s="33">
        <f>IF(ISNUMBER(SEARCH("Group",D5005)),IF(G5005="",E5005,IFERROR(E5005/COUNTIF($G2:$G6000,G5005),E5005)),E5005)</f>
        <v>0</v>
      </c>
      <c r="I5005" s="1" t="str">
        <f>IFERROR(VLOOKUP(C5005,'Clients List'!A:F,6,FALSE),"")</f>
        <v/>
      </c>
    </row>
    <row r="5006" spans="4:9" x14ac:dyDescent="0.45">
      <c r="D5006" t="str">
        <f>IFERROR(VLOOKUP(C5006,'Clients List'!$A:$F,2,FALSE),"")</f>
        <v/>
      </c>
      <c r="F5006" s="1" t="str">
        <f>IF(OR(C5006="",NOT(ISNUMBER(SEARCH("Package",D5006)))),"",VLOOKUP(C5006,'Clients List'!$A:$F,4,FALSE)-SUMIFS($E$2:$E5006,$C$2:$C5006,C5006,$D$2:$D5006,"*Package*"))</f>
        <v/>
      </c>
      <c r="G5006" t="str">
        <f t="shared" si="111"/>
        <v/>
      </c>
      <c r="H5006" s="33">
        <f>IF(ISNUMBER(SEARCH("Group",D5006)),IF(G5006="",E5006,IFERROR(E5006/COUNTIF($G2:$G6000,G5006),E5006)),E5006)</f>
        <v>0</v>
      </c>
      <c r="I5006" s="1" t="str">
        <f>IFERROR(VLOOKUP(C5006,'Clients List'!A:F,6,FALSE),"")</f>
        <v/>
      </c>
    </row>
    <row r="5007" spans="4:9" x14ac:dyDescent="0.45">
      <c r="D5007" t="str">
        <f>IFERROR(VLOOKUP(C5007,'Clients List'!$A:$F,2,FALSE),"")</f>
        <v/>
      </c>
      <c r="F5007" s="1" t="str">
        <f>IF(OR(C5007="",NOT(ISNUMBER(SEARCH("Package",D5007)))),"",VLOOKUP(C5007,'Clients List'!$A:$F,4,FALSE)-SUMIFS($E$2:$E5007,$C$2:$C5007,C5007,$D$2:$D5007,"*Package*"))</f>
        <v/>
      </c>
      <c r="G5007" t="str">
        <f t="shared" si="111"/>
        <v/>
      </c>
      <c r="H5007" s="33">
        <f>IF(ISNUMBER(SEARCH("Group",D5007)),IF(G5007="",E5007,IFERROR(E5007/COUNTIF($G2:$G6000,G5007),E5007)),E5007)</f>
        <v>0</v>
      </c>
      <c r="I5007" s="1" t="str">
        <f>IFERROR(VLOOKUP(C5007,'Clients List'!A:F,6,FALSE),"")</f>
        <v/>
      </c>
    </row>
    <row r="5008" spans="4:9" x14ac:dyDescent="0.45">
      <c r="D5008" t="str">
        <f>IFERROR(VLOOKUP(C5008,'Clients List'!$A:$F,2,FALSE),"")</f>
        <v/>
      </c>
      <c r="F5008" s="1" t="str">
        <f>IF(OR(C5008="",NOT(ISNUMBER(SEARCH("Package",D5008)))),"",VLOOKUP(C5008,'Clients List'!$A:$F,4,FALSE)-SUMIFS($E$2:$E5008,$C$2:$C5008,C5008,$D$2:$D5008,"*Package*"))</f>
        <v/>
      </c>
      <c r="G5008" t="str">
        <f t="shared" si="111"/>
        <v/>
      </c>
      <c r="H5008" s="33">
        <f>IF(ISNUMBER(SEARCH("Group",D5008)),IF(G5008="",E5008,IFERROR(E5008/COUNTIF($G2:$G6000,G5008),E5008)),E5008)</f>
        <v>0</v>
      </c>
      <c r="I5008" s="1" t="str">
        <f>IFERROR(VLOOKUP(C5008,'Clients List'!A:F,6,FALSE),"")</f>
        <v/>
      </c>
    </row>
    <row r="5009" spans="4:9" x14ac:dyDescent="0.45">
      <c r="D5009" t="str">
        <f>IFERROR(VLOOKUP(C5009,'Clients List'!$A:$F,2,FALSE),"")</f>
        <v/>
      </c>
      <c r="F5009" s="1" t="str">
        <f>IF(OR(C5009="",NOT(ISNUMBER(SEARCH("Package",D5009)))),"",VLOOKUP(C5009,'Clients List'!$A:$F,4,FALSE)-SUMIFS($E$2:$E5009,$C$2:$C5009,C5009,$D$2:$D5009,"*Package*"))</f>
        <v/>
      </c>
      <c r="G5009" t="str">
        <f t="shared" si="111"/>
        <v/>
      </c>
      <c r="H5009" s="33">
        <f>IF(ISNUMBER(SEARCH("Group",D5009)),IF(G5009="",E5009,IFERROR(E5009/COUNTIF($G2:$G6000,G5009),E5009)),E5009)</f>
        <v>0</v>
      </c>
      <c r="I5009" s="1" t="str">
        <f>IFERROR(VLOOKUP(C5009,'Clients List'!A:F,6,FALSE),"")</f>
        <v/>
      </c>
    </row>
    <row r="5010" spans="4:9" x14ac:dyDescent="0.45">
      <c r="D5010" t="str">
        <f>IFERROR(VLOOKUP(C5010,'Clients List'!$A:$F,2,FALSE),"")</f>
        <v/>
      </c>
      <c r="F5010" s="1" t="str">
        <f>IF(OR(C5010="",NOT(ISNUMBER(SEARCH("Package",D5010)))),"",VLOOKUP(C5010,'Clients List'!$A:$F,4,FALSE)-SUMIFS($E$2:$E5010,$C$2:$C5010,C5010,$D$2:$D5010,"*Package*"))</f>
        <v/>
      </c>
      <c r="G5010" t="str">
        <f t="shared" si="111"/>
        <v/>
      </c>
      <c r="H5010" s="33">
        <f>IF(ISNUMBER(SEARCH("Group",D5010)),IF(G5010="",E5010,IFERROR(E5010/COUNTIF($G2:$G6000,G5010),E5010)),E5010)</f>
        <v>0</v>
      </c>
      <c r="I5010" s="1" t="str">
        <f>IFERROR(VLOOKUP(C5010,'Clients List'!A:F,6,FALSE),"")</f>
        <v/>
      </c>
    </row>
    <row r="5011" spans="4:9" x14ac:dyDescent="0.45">
      <c r="D5011" t="str">
        <f>IFERROR(VLOOKUP(C5011,'Clients List'!$A:$F,2,FALSE),"")</f>
        <v/>
      </c>
      <c r="F5011" s="1" t="str">
        <f>IF(OR(C5011="",NOT(ISNUMBER(SEARCH("Package",D5011)))),"",VLOOKUP(C5011,'Clients List'!$A:$F,4,FALSE)-SUMIFS($E$2:$E5011,$C$2:$C5011,C5011,$D$2:$D5011,"*Package*"))</f>
        <v/>
      </c>
      <c r="G5011" t="str">
        <f t="shared" si="111"/>
        <v/>
      </c>
      <c r="H5011" s="33">
        <f>IF(ISNUMBER(SEARCH("Group",D5011)),IF(G5011="",E5011,IFERROR(E5011/COUNTIF($G2:$G6000,G5011),E5011)),E5011)</f>
        <v>0</v>
      </c>
      <c r="I5011" s="1" t="str">
        <f>IFERROR(VLOOKUP(C5011,'Clients List'!A:F,6,FALSE),"")</f>
        <v/>
      </c>
    </row>
    <row r="5012" spans="4:9" x14ac:dyDescent="0.45">
      <c r="D5012" t="str">
        <f>IFERROR(VLOOKUP(C5012,'Clients List'!$A:$F,2,FALSE),"")</f>
        <v/>
      </c>
      <c r="F5012" s="1" t="str">
        <f>IF(OR(C5012="",NOT(ISNUMBER(SEARCH("Package",D5012)))),"",VLOOKUP(C5012,'Clients List'!$A:$F,4,FALSE)-SUMIFS($E$2:$E5012,$C$2:$C5012,C5012,$D$2:$D5012,"*Package*"))</f>
        <v/>
      </c>
      <c r="G5012" t="str">
        <f t="shared" si="111"/>
        <v/>
      </c>
      <c r="H5012" s="33">
        <f>IF(ISNUMBER(SEARCH("Group",D5012)),IF(G5012="",E5012,IFERROR(E5012/COUNTIF($G2:$G6000,G5012),E5012)),E5012)</f>
        <v>0</v>
      </c>
      <c r="I5012" s="1" t="str">
        <f>IFERROR(VLOOKUP(C5012,'Clients List'!A:F,6,FALSE),"")</f>
        <v/>
      </c>
    </row>
    <row r="5013" spans="4:9" x14ac:dyDescent="0.45">
      <c r="D5013" t="str">
        <f>IFERROR(VLOOKUP(C5013,'Clients List'!$A:$F,2,FALSE),"")</f>
        <v/>
      </c>
      <c r="F5013" s="1" t="str">
        <f>IF(OR(C5013="",NOT(ISNUMBER(SEARCH("Package",D5013)))),"",VLOOKUP(C5013,'Clients List'!$A:$F,4,FALSE)-SUMIFS($E$2:$E5013,$C$2:$C5013,C5013,$D$2:$D5013,"*Package*"))</f>
        <v/>
      </c>
      <c r="G5013" t="str">
        <f t="shared" si="111"/>
        <v/>
      </c>
      <c r="H5013" s="33">
        <f>IF(ISNUMBER(SEARCH("Group",D5013)),IF(G5013="",E5013,IFERROR(E5013/COUNTIF($G2:$G6000,G5013),E5013)),E5013)</f>
        <v>0</v>
      </c>
      <c r="I5013" s="1" t="str">
        <f>IFERROR(VLOOKUP(C5013,'Clients List'!A:F,6,FALSE),"")</f>
        <v/>
      </c>
    </row>
    <row r="5014" spans="4:9" x14ac:dyDescent="0.45">
      <c r="D5014" t="str">
        <f>IFERROR(VLOOKUP(C5014,'Clients List'!$A:$F,2,FALSE),"")</f>
        <v/>
      </c>
      <c r="F5014" s="1" t="str">
        <f>IF(OR(C5014="",NOT(ISNUMBER(SEARCH("Package",D5014)))),"",VLOOKUP(C5014,'Clients List'!$A:$F,4,FALSE)-SUMIFS($E$2:$E5014,$C$2:$C5014,C5014,$D$2:$D5014,"*Package*"))</f>
        <v/>
      </c>
      <c r="G5014" t="str">
        <f t="shared" si="111"/>
        <v/>
      </c>
      <c r="H5014" s="33">
        <f>IF(ISNUMBER(SEARCH("Group",D5014)),IF(G5014="",E5014,IFERROR(E5014/COUNTIF($G2:$G6000,G5014),E5014)),E5014)</f>
        <v>0</v>
      </c>
      <c r="I5014" s="1" t="str">
        <f>IFERROR(VLOOKUP(C5014,'Clients List'!A:F,6,FALSE),"")</f>
        <v/>
      </c>
    </row>
    <row r="5015" spans="4:9" x14ac:dyDescent="0.45">
      <c r="D5015" t="str">
        <f>IFERROR(VLOOKUP(C5015,'Clients List'!$A:$F,2,FALSE),"")</f>
        <v/>
      </c>
      <c r="F5015" s="1" t="str">
        <f>IF(OR(C5015="",NOT(ISNUMBER(SEARCH("Package",D5015)))),"",VLOOKUP(C5015,'Clients List'!$A:$F,4,FALSE)-SUMIFS($E$2:$E5015,$C$2:$C5015,C5015,$D$2:$D5015,"*Package*"))</f>
        <v/>
      </c>
      <c r="G5015" t="str">
        <f t="shared" si="111"/>
        <v/>
      </c>
      <c r="H5015" s="33">
        <f>IF(ISNUMBER(SEARCH("Group",D5015)),IF(G5015="",E5015,IFERROR(E5015/COUNTIF($G2:$G6000,G5015),E5015)),E5015)</f>
        <v>0</v>
      </c>
      <c r="I5015" s="1" t="str">
        <f>IFERROR(VLOOKUP(C5015,'Clients List'!A:F,6,FALSE),"")</f>
        <v/>
      </c>
    </row>
    <row r="5016" spans="4:9" x14ac:dyDescent="0.45">
      <c r="D5016" t="str">
        <f>IFERROR(VLOOKUP(C5016,'Clients List'!$A:$F,2,FALSE),"")</f>
        <v/>
      </c>
      <c r="F5016" s="1" t="str">
        <f>IF(OR(C5016="",NOT(ISNUMBER(SEARCH("Package",D5016)))),"",VLOOKUP(C5016,'Clients List'!$A:$F,4,FALSE)-SUMIFS($E$2:$E5016,$C$2:$C5016,C5016,$D$2:$D5016,"*Package*"))</f>
        <v/>
      </c>
      <c r="G5016" t="str">
        <f t="shared" si="111"/>
        <v/>
      </c>
      <c r="H5016" s="33">
        <f>IF(ISNUMBER(SEARCH("Group",D5016)),IF(G5016="",E5016,IFERROR(E5016/COUNTIF($G2:$G6000,G5016),E5016)),E5016)</f>
        <v>0</v>
      </c>
      <c r="I5016" s="1" t="str">
        <f>IFERROR(VLOOKUP(C5016,'Clients List'!A:F,6,FALSE),"")</f>
        <v/>
      </c>
    </row>
    <row r="5017" spans="4:9" x14ac:dyDescent="0.45">
      <c r="D5017" t="str">
        <f>IFERROR(VLOOKUP(C5017,'Clients List'!$A:$F,2,FALSE),"")</f>
        <v/>
      </c>
      <c r="F5017" s="1" t="str">
        <f>IF(OR(C5017="",NOT(ISNUMBER(SEARCH("Package",D5017)))),"",VLOOKUP(C5017,'Clients List'!$A:$F,4,FALSE)-SUMIFS($E$2:$E5017,$C$2:$C5017,C5017,$D$2:$D5017,"*Package*"))</f>
        <v/>
      </c>
      <c r="G5017" t="str">
        <f t="shared" si="111"/>
        <v/>
      </c>
      <c r="H5017" s="33">
        <f>IF(ISNUMBER(SEARCH("Group",D5017)),IF(G5017="",E5017,IFERROR(E5017/COUNTIF($G2:$G6000,G5017),E5017)),E5017)</f>
        <v>0</v>
      </c>
      <c r="I5017" s="1" t="str">
        <f>IFERROR(VLOOKUP(C5017,'Clients List'!A:F,6,FALSE),"")</f>
        <v/>
      </c>
    </row>
    <row r="5018" spans="4:9" x14ac:dyDescent="0.45">
      <c r="D5018" t="str">
        <f>IFERROR(VLOOKUP(C5018,'Clients List'!$A:$F,2,FALSE),"")</f>
        <v/>
      </c>
      <c r="F5018" s="1" t="str">
        <f>IF(OR(C5018="",NOT(ISNUMBER(SEARCH("Package",D5018)))),"",VLOOKUP(C5018,'Clients List'!$A:$F,4,FALSE)-SUMIFS($E$2:$E5018,$C$2:$C5018,C5018,$D$2:$D5018,"*Package*"))</f>
        <v/>
      </c>
      <c r="G5018" t="str">
        <f t="shared" si="111"/>
        <v/>
      </c>
      <c r="H5018" s="33">
        <f>IF(ISNUMBER(SEARCH("Group",D5018)),IF(G5018="",E5018,IFERROR(E5018/COUNTIF($G2:$G6000,G5018),E5018)),E5018)</f>
        <v>0</v>
      </c>
      <c r="I5018" s="1" t="str">
        <f>IFERROR(VLOOKUP(C5018,'Clients List'!A:F,6,FALSE),"")</f>
        <v/>
      </c>
    </row>
    <row r="5019" spans="4:9" x14ac:dyDescent="0.45">
      <c r="D5019" t="str">
        <f>IFERROR(VLOOKUP(C5019,'Clients List'!$A:$F,2,FALSE),"")</f>
        <v/>
      </c>
      <c r="F5019" s="1" t="str">
        <f>IF(OR(C5019="",NOT(ISNUMBER(SEARCH("Package",D5019)))),"",VLOOKUP(C5019,'Clients List'!$A:$F,4,FALSE)-SUMIFS($E$2:$E5019,$C$2:$C5019,C5019,$D$2:$D5019,"*Package*"))</f>
        <v/>
      </c>
      <c r="G5019" t="str">
        <f t="shared" si="111"/>
        <v/>
      </c>
      <c r="H5019" s="33">
        <f>IF(ISNUMBER(SEARCH("Group",D5019)),IF(G5019="",E5019,IFERROR(E5019/COUNTIF($G2:$G6000,G5019),E5019)),E5019)</f>
        <v>0</v>
      </c>
      <c r="I5019" s="1" t="str">
        <f>IFERROR(VLOOKUP(C5019,'Clients List'!A:F,6,FALSE),"")</f>
        <v/>
      </c>
    </row>
    <row r="5020" spans="4:9" x14ac:dyDescent="0.45">
      <c r="D5020" t="str">
        <f>IFERROR(VLOOKUP(C5020,'Clients List'!$A:$F,2,FALSE),"")</f>
        <v/>
      </c>
      <c r="F5020" s="1" t="str">
        <f>IF(OR(C5020="",NOT(ISNUMBER(SEARCH("Package",D5020)))),"",VLOOKUP(C5020,'Clients List'!$A:$F,4,FALSE)-SUMIFS($E$2:$E5020,$C$2:$C5020,C5020,$D$2:$D5020,"*Package*"))</f>
        <v/>
      </c>
      <c r="G5020" t="str">
        <f t="shared" si="111"/>
        <v/>
      </c>
      <c r="H5020" s="33">
        <f>IF(ISNUMBER(SEARCH("Group",D5020)),IF(G5020="",E5020,IFERROR(E5020/COUNTIF($G2:$G6000,G5020),E5020)),E5020)</f>
        <v>0</v>
      </c>
      <c r="I5020" s="1" t="str">
        <f>IFERROR(VLOOKUP(C5020,'Clients List'!A:F,6,FALSE),"")</f>
        <v/>
      </c>
    </row>
    <row r="5021" spans="4:9" x14ac:dyDescent="0.45">
      <c r="D5021" t="str">
        <f>IFERROR(VLOOKUP(C5021,'Clients List'!$A:$F,2,FALSE),"")</f>
        <v/>
      </c>
      <c r="F5021" s="1" t="str">
        <f>IF(OR(C5021="",NOT(ISNUMBER(SEARCH("Package",D5021)))),"",VLOOKUP(C5021,'Clients List'!$A:$F,4,FALSE)-SUMIFS($E$2:$E5021,$C$2:$C5021,C5021,$D$2:$D5021,"*Package*"))</f>
        <v/>
      </c>
      <c r="G5021" t="str">
        <f t="shared" si="111"/>
        <v/>
      </c>
      <c r="H5021" s="33">
        <f>IF(ISNUMBER(SEARCH("Group",D5021)),IF(G5021="",E5021,IFERROR(E5021/COUNTIF($G2:$G6000,G5021),E5021)),E5021)</f>
        <v>0</v>
      </c>
      <c r="I5021" s="1" t="str">
        <f>IFERROR(VLOOKUP(C5021,'Clients List'!A:F,6,FALSE),"")</f>
        <v/>
      </c>
    </row>
    <row r="5022" spans="4:9" x14ac:dyDescent="0.45">
      <c r="D5022" t="str">
        <f>IFERROR(VLOOKUP(C5022,'Clients List'!$A:$F,2,FALSE),"")</f>
        <v/>
      </c>
      <c r="F5022" s="1" t="str">
        <f>IF(OR(C5022="",NOT(ISNUMBER(SEARCH("Package",D5022)))),"",VLOOKUP(C5022,'Clients List'!$A:$F,4,FALSE)-SUMIFS($E$2:$E5022,$C$2:$C5022,C5022,$D$2:$D5022,"*Package*"))</f>
        <v/>
      </c>
      <c r="G5022" t="str">
        <f t="shared" si="111"/>
        <v/>
      </c>
      <c r="H5022" s="33">
        <f>IF(ISNUMBER(SEARCH("Group",D5022)),IF(G5022="",E5022,IFERROR(E5022/COUNTIF($G2:$G6000,G5022),E5022)),E5022)</f>
        <v>0</v>
      </c>
      <c r="I5022" s="1" t="str">
        <f>IFERROR(VLOOKUP(C5022,'Clients List'!A:F,6,FALSE),"")</f>
        <v/>
      </c>
    </row>
    <row r="5023" spans="4:9" x14ac:dyDescent="0.45">
      <c r="D5023" t="str">
        <f>IFERROR(VLOOKUP(C5023,'Clients List'!$A:$F,2,FALSE),"")</f>
        <v/>
      </c>
      <c r="F5023" s="1" t="str">
        <f>IF(OR(C5023="",NOT(ISNUMBER(SEARCH("Package",D5023)))),"",VLOOKUP(C5023,'Clients List'!$A:$F,4,FALSE)-SUMIFS($E$2:$E5023,$C$2:$C5023,C5023,$D$2:$D5023,"*Package*"))</f>
        <v/>
      </c>
      <c r="G5023" t="str">
        <f t="shared" si="111"/>
        <v/>
      </c>
      <c r="H5023" s="33">
        <f>IF(ISNUMBER(SEARCH("Group",D5023)),IF(G5023="",E5023,IFERROR(E5023/COUNTIF($G2:$G6000,G5023),E5023)),E5023)</f>
        <v>0</v>
      </c>
      <c r="I5023" s="1" t="str">
        <f>IFERROR(VLOOKUP(C5023,'Clients List'!A:F,6,FALSE),"")</f>
        <v/>
      </c>
    </row>
    <row r="5024" spans="4:9" x14ac:dyDescent="0.45">
      <c r="D5024" t="str">
        <f>IFERROR(VLOOKUP(C5024,'Clients List'!$A:$F,2,FALSE),"")</f>
        <v/>
      </c>
      <c r="F5024" s="1" t="str">
        <f>IF(OR(C5024="",NOT(ISNUMBER(SEARCH("Package",D5024)))),"",VLOOKUP(C5024,'Clients List'!$A:$F,4,FALSE)-SUMIFS($E$2:$E5024,$C$2:$C5024,C5024,$D$2:$D5024,"*Package*"))</f>
        <v/>
      </c>
      <c r="G5024" t="str">
        <f t="shared" si="111"/>
        <v/>
      </c>
      <c r="H5024" s="33">
        <f>IF(ISNUMBER(SEARCH("Group",D5024)),IF(G5024="",E5024,IFERROR(E5024/COUNTIF($G2:$G6000,G5024),E5024)),E5024)</f>
        <v>0</v>
      </c>
      <c r="I5024" s="1" t="str">
        <f>IFERROR(VLOOKUP(C5024,'Clients List'!A:F,6,FALSE),"")</f>
        <v/>
      </c>
    </row>
    <row r="5025" spans="4:9" x14ac:dyDescent="0.45">
      <c r="D5025" t="str">
        <f>IFERROR(VLOOKUP(C5025,'Clients List'!$A:$F,2,FALSE),"")</f>
        <v/>
      </c>
      <c r="F5025" s="1" t="str">
        <f>IF(OR(C5025="",NOT(ISNUMBER(SEARCH("Package",D5025)))),"",VLOOKUP(C5025,'Clients List'!$A:$F,4,FALSE)-SUMIFS($E$2:$E5025,$C$2:$C5025,C5025,$D$2:$D5025,"*Package*"))</f>
        <v/>
      </c>
      <c r="G5025" t="str">
        <f t="shared" si="111"/>
        <v/>
      </c>
      <c r="H5025" s="33">
        <f>IF(ISNUMBER(SEARCH("Group",D5025)),IF(G5025="",E5025,IFERROR(E5025/COUNTIF($G2:$G6000,G5025),E5025)),E5025)</f>
        <v>0</v>
      </c>
      <c r="I5025" s="1" t="str">
        <f>IFERROR(VLOOKUP(C5025,'Clients List'!A:F,6,FALSE),"")</f>
        <v/>
      </c>
    </row>
    <row r="5026" spans="4:9" x14ac:dyDescent="0.45">
      <c r="D5026" t="str">
        <f>IFERROR(VLOOKUP(C5026,'Clients List'!$A:$F,2,FALSE),"")</f>
        <v/>
      </c>
      <c r="F5026" s="1" t="str">
        <f>IF(OR(C5026="",NOT(ISNUMBER(SEARCH("Package",D5026)))),"",VLOOKUP(C5026,'Clients List'!$A:$F,4,FALSE)-SUMIFS($E$2:$E5026,$C$2:$C5026,C5026,$D$2:$D5026,"*Package*"))</f>
        <v/>
      </c>
      <c r="G5026" t="str">
        <f t="shared" si="111"/>
        <v/>
      </c>
      <c r="H5026" s="33">
        <f>IF(ISNUMBER(SEARCH("Group",D5026)),IF(G5026="",E5026,IFERROR(E5026/COUNTIF($G2:$G6000,G5026),E5026)),E5026)</f>
        <v>0</v>
      </c>
      <c r="I5026" s="1" t="str">
        <f>IFERROR(VLOOKUP(C5026,'Clients List'!A:F,6,FALSE),"")</f>
        <v/>
      </c>
    </row>
    <row r="5027" spans="4:9" x14ac:dyDescent="0.45">
      <c r="D5027" t="str">
        <f>IFERROR(VLOOKUP(C5027,'Clients List'!$A:$F,2,FALSE),"")</f>
        <v/>
      </c>
      <c r="F5027" s="1" t="str">
        <f>IF(OR(C5027="",NOT(ISNUMBER(SEARCH("Package",D5027)))),"",VLOOKUP(C5027,'Clients List'!$A:$F,4,FALSE)-SUMIFS($E$2:$E5027,$C$2:$C5027,C5027,$D$2:$D5027,"*Package*"))</f>
        <v/>
      </c>
      <c r="G5027" t="str">
        <f t="shared" si="111"/>
        <v/>
      </c>
      <c r="H5027" s="33">
        <f>IF(ISNUMBER(SEARCH("Group",D5027)),IF(G5027="",E5027,IFERROR(E5027/COUNTIF($G2:$G6000,G5027),E5027)),E5027)</f>
        <v>0</v>
      </c>
      <c r="I5027" s="1" t="str">
        <f>IFERROR(VLOOKUP(C5027,'Clients List'!A:F,6,FALSE),"")</f>
        <v/>
      </c>
    </row>
    <row r="5028" spans="4:9" x14ac:dyDescent="0.45">
      <c r="D5028" t="str">
        <f>IFERROR(VLOOKUP(C5028,'Clients List'!$A:$F,2,FALSE),"")</f>
        <v/>
      </c>
      <c r="F5028" s="1" t="str">
        <f>IF(OR(C5028="",NOT(ISNUMBER(SEARCH("Package",D5028)))),"",VLOOKUP(C5028,'Clients List'!$A:$F,4,FALSE)-SUMIFS($E$2:$E5028,$C$2:$C5028,C5028,$D$2:$D5028,"*Package*"))</f>
        <v/>
      </c>
      <c r="G5028" t="str">
        <f t="shared" si="111"/>
        <v/>
      </c>
      <c r="H5028" s="33">
        <f>IF(ISNUMBER(SEARCH("Group",D5028)),IF(G5028="",E5028,IFERROR(E5028/COUNTIF($G2:$G6000,G5028),E5028)),E5028)</f>
        <v>0</v>
      </c>
      <c r="I5028" s="1" t="str">
        <f>IFERROR(VLOOKUP(C5028,'Clients List'!A:F,6,FALSE),"")</f>
        <v/>
      </c>
    </row>
    <row r="5029" spans="4:9" x14ac:dyDescent="0.45">
      <c r="D5029" t="str">
        <f>IFERROR(VLOOKUP(C5029,'Clients List'!$A:$F,2,FALSE),"")</f>
        <v/>
      </c>
      <c r="F5029" s="1" t="str">
        <f>IF(OR(C5029="",NOT(ISNUMBER(SEARCH("Package",D5029)))),"",VLOOKUP(C5029,'Clients List'!$A:$F,4,FALSE)-SUMIFS($E$2:$E5029,$C$2:$C5029,C5029,$D$2:$D5029,"*Package*"))</f>
        <v/>
      </c>
      <c r="G5029" t="str">
        <f t="shared" si="111"/>
        <v/>
      </c>
      <c r="H5029" s="33">
        <f>IF(ISNUMBER(SEARCH("Group",D5029)),IF(G5029="",E5029,IFERROR(E5029/COUNTIF($G2:$G6000,G5029),E5029)),E5029)</f>
        <v>0</v>
      </c>
      <c r="I5029" s="1" t="str">
        <f>IFERROR(VLOOKUP(C5029,'Clients List'!A:F,6,FALSE),"")</f>
        <v/>
      </c>
    </row>
    <row r="5030" spans="4:9" x14ac:dyDescent="0.45">
      <c r="D5030" t="str">
        <f>IFERROR(VLOOKUP(C5030,'Clients List'!$A:$F,2,FALSE),"")</f>
        <v/>
      </c>
      <c r="F5030" s="1" t="str">
        <f>IF(OR(C5030="",NOT(ISNUMBER(SEARCH("Package",D5030)))),"",VLOOKUP(C5030,'Clients List'!$A:$F,4,FALSE)-SUMIFS($E$2:$E5030,$C$2:$C5030,C5030,$D$2:$D5030,"*Package*"))</f>
        <v/>
      </c>
      <c r="G5030" t="str">
        <f t="shared" si="111"/>
        <v/>
      </c>
      <c r="H5030" s="33">
        <f>IF(ISNUMBER(SEARCH("Group",D5030)),IF(G5030="",E5030,IFERROR(E5030/COUNTIF($G2:$G6000,G5030),E5030)),E5030)</f>
        <v>0</v>
      </c>
      <c r="I5030" s="1" t="str">
        <f>IFERROR(VLOOKUP(C5030,'Clients List'!A:F,6,FALSE),"")</f>
        <v/>
      </c>
    </row>
    <row r="5031" spans="4:9" x14ac:dyDescent="0.45">
      <c r="D5031" t="str">
        <f>IFERROR(VLOOKUP(C5031,'Clients List'!$A:$F,2,FALSE),"")</f>
        <v/>
      </c>
      <c r="F5031" s="1" t="str">
        <f>IF(OR(C5031="",NOT(ISNUMBER(SEARCH("Package",D5031)))),"",VLOOKUP(C5031,'Clients List'!$A:$F,4,FALSE)-SUMIFS($E$2:$E5031,$C$2:$C5031,C5031,$D$2:$D5031,"*Package*"))</f>
        <v/>
      </c>
      <c r="G5031" t="str">
        <f t="shared" si="111"/>
        <v/>
      </c>
      <c r="H5031" s="33">
        <f>IF(ISNUMBER(SEARCH("Group",D5031)),IF(G5031="",E5031,IFERROR(E5031/COUNTIF($G2:$G6000,G5031),E5031)),E5031)</f>
        <v>0</v>
      </c>
      <c r="I5031" s="1" t="str">
        <f>IFERROR(VLOOKUP(C5031,'Clients List'!A:F,6,FALSE),"")</f>
        <v/>
      </c>
    </row>
    <row r="5032" spans="4:9" x14ac:dyDescent="0.45">
      <c r="D5032" t="str">
        <f>IFERROR(VLOOKUP(C5032,'Clients List'!$A:$F,2,FALSE),"")</f>
        <v/>
      </c>
      <c r="F5032" s="1" t="str">
        <f>IF(OR(C5032="",NOT(ISNUMBER(SEARCH("Package",D5032)))),"",VLOOKUP(C5032,'Clients List'!$A:$F,4,FALSE)-SUMIFS($E$2:$E5032,$C$2:$C5032,C5032,$D$2:$D5032,"*Package*"))</f>
        <v/>
      </c>
      <c r="G5032" t="str">
        <f t="shared" si="111"/>
        <v/>
      </c>
      <c r="H5032" s="33">
        <f>IF(ISNUMBER(SEARCH("Group",D5032)),IF(G5032="",E5032,IFERROR(E5032/COUNTIF($G2:$G6000,G5032),E5032)),E5032)</f>
        <v>0</v>
      </c>
      <c r="I5032" s="1" t="str">
        <f>IFERROR(VLOOKUP(C5032,'Clients List'!A:F,6,FALSE),"")</f>
        <v/>
      </c>
    </row>
    <row r="5033" spans="4:9" x14ac:dyDescent="0.45">
      <c r="D5033" t="str">
        <f>IFERROR(VLOOKUP(C5033,'Clients List'!$A:$F,2,FALSE),"")</f>
        <v/>
      </c>
      <c r="F5033" s="1" t="str">
        <f>IF(OR(C5033="",NOT(ISNUMBER(SEARCH("Package",D5033)))),"",VLOOKUP(C5033,'Clients List'!$A:$F,4,FALSE)-SUMIFS($E$2:$E5033,$C$2:$C5033,C5033,$D$2:$D5033,"*Package*"))</f>
        <v/>
      </c>
      <c r="G5033" t="str">
        <f t="shared" si="111"/>
        <v/>
      </c>
      <c r="H5033" s="33">
        <f>IF(ISNUMBER(SEARCH("Group",D5033)),IF(G5033="",E5033,IFERROR(E5033/COUNTIF($G2:$G6000,G5033),E5033)),E5033)</f>
        <v>0</v>
      </c>
      <c r="I5033" s="1" t="str">
        <f>IFERROR(VLOOKUP(C5033,'Clients List'!A:F,6,FALSE),"")</f>
        <v/>
      </c>
    </row>
    <row r="5034" spans="4:9" x14ac:dyDescent="0.45">
      <c r="D5034" t="str">
        <f>IFERROR(VLOOKUP(C5034,'Clients List'!$A:$F,2,FALSE),"")</f>
        <v/>
      </c>
      <c r="F5034" s="1" t="str">
        <f>IF(OR(C5034="",NOT(ISNUMBER(SEARCH("Package",D5034)))),"",VLOOKUP(C5034,'Clients List'!$A:$F,4,FALSE)-SUMIFS($E$2:$E5034,$C$2:$C5034,C5034,$D$2:$D5034,"*Package*"))</f>
        <v/>
      </c>
      <c r="G5034" t="str">
        <f t="shared" si="111"/>
        <v/>
      </c>
      <c r="H5034" s="33">
        <f>IF(ISNUMBER(SEARCH("Group",D5034)),IF(G5034="",E5034,IFERROR(E5034/COUNTIF($G2:$G6000,G5034),E5034)),E5034)</f>
        <v>0</v>
      </c>
      <c r="I5034" s="1" t="str">
        <f>IFERROR(VLOOKUP(C5034,'Clients List'!A:F,6,FALSE),"")</f>
        <v/>
      </c>
    </row>
    <row r="5035" spans="4:9" x14ac:dyDescent="0.45">
      <c r="D5035" t="str">
        <f>IFERROR(VLOOKUP(C5035,'Clients List'!$A:$F,2,FALSE),"")</f>
        <v/>
      </c>
      <c r="F5035" s="1" t="str">
        <f>IF(OR(C5035="",NOT(ISNUMBER(SEARCH("Package",D5035)))),"",VLOOKUP(C5035,'Clients List'!$A:$F,4,FALSE)-SUMIFS($E$2:$E5035,$C$2:$C5035,C5035,$D$2:$D5035,"*Package*"))</f>
        <v/>
      </c>
      <c r="G5035" t="str">
        <f t="shared" si="111"/>
        <v/>
      </c>
      <c r="H5035" s="33">
        <f>IF(ISNUMBER(SEARCH("Group",D5035)),IF(G5035="",E5035,IFERROR(E5035/COUNTIF($G2:$G6000,G5035),E5035)),E5035)</f>
        <v>0</v>
      </c>
      <c r="I5035" s="1" t="str">
        <f>IFERROR(VLOOKUP(C5035,'Clients List'!A:F,6,FALSE),"")</f>
        <v/>
      </c>
    </row>
    <row r="5036" spans="4:9" x14ac:dyDescent="0.45">
      <c r="D5036" t="str">
        <f>IFERROR(VLOOKUP(C5036,'Clients List'!$A:$F,2,FALSE),"")</f>
        <v/>
      </c>
      <c r="F5036" s="1" t="str">
        <f>IF(OR(C5036="",NOT(ISNUMBER(SEARCH("Package",D5036)))),"",VLOOKUP(C5036,'Clients List'!$A:$F,4,FALSE)-SUMIFS($E$2:$E5036,$C$2:$C5036,C5036,$D$2:$D5036,"*Package*"))</f>
        <v/>
      </c>
      <c r="G5036" t="str">
        <f t="shared" si="111"/>
        <v/>
      </c>
      <c r="H5036" s="33">
        <f>IF(ISNUMBER(SEARCH("Group",D5036)),IF(G5036="",E5036,IFERROR(E5036/COUNTIF($G2:$G6000,G5036),E5036)),E5036)</f>
        <v>0</v>
      </c>
      <c r="I5036" s="1" t="str">
        <f>IFERROR(VLOOKUP(C5036,'Clients List'!A:F,6,FALSE),"")</f>
        <v/>
      </c>
    </row>
    <row r="5037" spans="4:9" x14ac:dyDescent="0.45">
      <c r="D5037" t="str">
        <f>IFERROR(VLOOKUP(C5037,'Clients List'!$A:$F,2,FALSE),"")</f>
        <v/>
      </c>
      <c r="F5037" s="1" t="str">
        <f>IF(OR(C5037="",NOT(ISNUMBER(SEARCH("Package",D5037)))),"",VLOOKUP(C5037,'Clients List'!$A:$F,4,FALSE)-SUMIFS($E$2:$E5037,$C$2:$C5037,C5037,$D$2:$D5037,"*Package*"))</f>
        <v/>
      </c>
      <c r="G5037" t="str">
        <f t="shared" si="111"/>
        <v/>
      </c>
      <c r="H5037" s="33">
        <f>IF(ISNUMBER(SEARCH("Group",D5037)),IF(G5037="",E5037,IFERROR(E5037/COUNTIF($G2:$G6000,G5037),E5037)),E5037)</f>
        <v>0</v>
      </c>
      <c r="I5037" s="1" t="str">
        <f>IFERROR(VLOOKUP(C5037,'Clients List'!A:F,6,FALSE),"")</f>
        <v/>
      </c>
    </row>
    <row r="5038" spans="4:9" x14ac:dyDescent="0.45">
      <c r="D5038" t="str">
        <f>IFERROR(VLOOKUP(C5038,'Clients List'!$A:$F,2,FALSE),"")</f>
        <v/>
      </c>
      <c r="F5038" s="1" t="str">
        <f>IF(OR(C5038="",NOT(ISNUMBER(SEARCH("Package",D5038)))),"",VLOOKUP(C5038,'Clients List'!$A:$F,4,FALSE)-SUMIFS($E$2:$E5038,$C$2:$C5038,C5038,$D$2:$D5038,"*Package*"))</f>
        <v/>
      </c>
      <c r="G5038" t="str">
        <f t="shared" si="111"/>
        <v/>
      </c>
      <c r="H5038" s="33">
        <f>IF(ISNUMBER(SEARCH("Group",D5038)),IF(G5038="",E5038,IFERROR(E5038/COUNTIF($G2:$G6000,G5038),E5038)),E5038)</f>
        <v>0</v>
      </c>
      <c r="I5038" s="1" t="str">
        <f>IFERROR(VLOOKUP(C5038,'Clients List'!A:F,6,FALSE),"")</f>
        <v/>
      </c>
    </row>
    <row r="5039" spans="4:9" x14ac:dyDescent="0.45">
      <c r="D5039" t="str">
        <f>IFERROR(VLOOKUP(C5039,'Clients List'!$A:$F,2,FALSE),"")</f>
        <v/>
      </c>
      <c r="F5039" s="1" t="str">
        <f>IF(OR(C5039="",NOT(ISNUMBER(SEARCH("Package",D5039)))),"",VLOOKUP(C5039,'Clients List'!$A:$F,4,FALSE)-SUMIFS($E$2:$E5039,$C$2:$C5039,C5039,$D$2:$D5039,"*Package*"))</f>
        <v/>
      </c>
      <c r="G5039" t="str">
        <f t="shared" si="111"/>
        <v/>
      </c>
      <c r="H5039" s="33">
        <f>IF(ISNUMBER(SEARCH("Group",D5039)),IF(G5039="",E5039,IFERROR(E5039/COUNTIF($G2:$G6000,G5039),E5039)),E5039)</f>
        <v>0</v>
      </c>
      <c r="I5039" s="1" t="str">
        <f>IFERROR(VLOOKUP(C5039,'Clients List'!A:F,6,FALSE),"")</f>
        <v/>
      </c>
    </row>
    <row r="5040" spans="4:9" x14ac:dyDescent="0.45">
      <c r="D5040" t="str">
        <f>IFERROR(VLOOKUP(C5040,'Clients List'!$A:$F,2,FALSE),"")</f>
        <v/>
      </c>
      <c r="F5040" s="1" t="str">
        <f>IF(OR(C5040="",NOT(ISNUMBER(SEARCH("Package",D5040)))),"",VLOOKUP(C5040,'Clients List'!$A:$F,4,FALSE)-SUMIFS($E$2:$E5040,$C$2:$C5040,C5040,$D$2:$D5040,"*Package*"))</f>
        <v/>
      </c>
      <c r="G5040" t="str">
        <f t="shared" si="111"/>
        <v/>
      </c>
      <c r="H5040" s="33">
        <f>IF(ISNUMBER(SEARCH("Group",D5040)),IF(G5040="",E5040,IFERROR(E5040/COUNTIF($G2:$G6000,G5040),E5040)),E5040)</f>
        <v>0</v>
      </c>
      <c r="I5040" s="1" t="str">
        <f>IFERROR(VLOOKUP(C5040,'Clients List'!A:F,6,FALSE),"")</f>
        <v/>
      </c>
    </row>
    <row r="5041" spans="4:9" x14ac:dyDescent="0.45">
      <c r="D5041" t="str">
        <f>IFERROR(VLOOKUP(C5041,'Clients List'!$A:$F,2,FALSE),"")</f>
        <v/>
      </c>
      <c r="F5041" s="1" t="str">
        <f>IF(OR(C5041="",NOT(ISNUMBER(SEARCH("Package",D5041)))),"",VLOOKUP(C5041,'Clients List'!$A:$F,4,FALSE)-SUMIFS($E$2:$E5041,$C$2:$C5041,C5041,$D$2:$D5041,"*Package*"))</f>
        <v/>
      </c>
      <c r="G5041" t="str">
        <f t="shared" si="111"/>
        <v/>
      </c>
      <c r="H5041" s="33">
        <f>IF(ISNUMBER(SEARCH("Group",D5041)),IF(G5041="",E5041,IFERROR(E5041/COUNTIF($G2:$G6000,G5041),E5041)),E5041)</f>
        <v>0</v>
      </c>
      <c r="I5041" s="1" t="str">
        <f>IFERROR(VLOOKUP(C5041,'Clients List'!A:F,6,FALSE),"")</f>
        <v/>
      </c>
    </row>
    <row r="5042" spans="4:9" x14ac:dyDescent="0.45">
      <c r="D5042" t="str">
        <f>IFERROR(VLOOKUP(C5042,'Clients List'!$A:$F,2,FALSE),"")</f>
        <v/>
      </c>
      <c r="F5042" s="1" t="str">
        <f>IF(OR(C5042="",NOT(ISNUMBER(SEARCH("Package",D5042)))),"",VLOOKUP(C5042,'Clients List'!$A:$F,4,FALSE)-SUMIFS($E$2:$E5042,$C$2:$C5042,C5042,$D$2:$D5042,"*Package*"))</f>
        <v/>
      </c>
      <c r="G5042" t="str">
        <f t="shared" si="111"/>
        <v/>
      </c>
      <c r="H5042" s="33">
        <f>IF(ISNUMBER(SEARCH("Group",D5042)),IF(G5042="",E5042,IFERROR(E5042/COUNTIF($G2:$G6000,G5042),E5042)),E5042)</f>
        <v>0</v>
      </c>
      <c r="I5042" s="1" t="str">
        <f>IFERROR(VLOOKUP(C5042,'Clients List'!A:F,6,FALSE),"")</f>
        <v/>
      </c>
    </row>
    <row r="5043" spans="4:9" x14ac:dyDescent="0.45">
      <c r="D5043" t="str">
        <f>IFERROR(VLOOKUP(C5043,'Clients List'!$A:$F,2,FALSE),"")</f>
        <v/>
      </c>
      <c r="F5043" s="1" t="str">
        <f>IF(OR(C5043="",NOT(ISNUMBER(SEARCH("Package",D5043)))),"",VLOOKUP(C5043,'Clients List'!$A:$F,4,FALSE)-SUMIFS($E$2:$E5043,$C$2:$C5043,C5043,$D$2:$D5043,"*Package*"))</f>
        <v/>
      </c>
      <c r="G5043" t="str">
        <f t="shared" si="111"/>
        <v/>
      </c>
      <c r="H5043" s="33">
        <f>IF(ISNUMBER(SEARCH("Group",D5043)),IF(G5043="",E5043,IFERROR(E5043/COUNTIF($G2:$G6000,G5043),E5043)),E5043)</f>
        <v>0</v>
      </c>
      <c r="I5043" s="1" t="str">
        <f>IFERROR(VLOOKUP(C5043,'Clients List'!A:F,6,FALSE),"")</f>
        <v/>
      </c>
    </row>
    <row r="5044" spans="4:9" x14ac:dyDescent="0.45">
      <c r="D5044" t="str">
        <f>IFERROR(VLOOKUP(C5044,'Clients List'!$A:$F,2,FALSE),"")</f>
        <v/>
      </c>
      <c r="F5044" s="1" t="str">
        <f>IF(OR(C5044="",NOT(ISNUMBER(SEARCH("Package",D5044)))),"",VLOOKUP(C5044,'Clients List'!$A:$F,4,FALSE)-SUMIFS($E$2:$E5044,$C$2:$C5044,C5044,$D$2:$D5044,"*Package*"))</f>
        <v/>
      </c>
      <c r="G5044" t="str">
        <f t="shared" si="111"/>
        <v/>
      </c>
      <c r="H5044" s="33">
        <f>IF(ISNUMBER(SEARCH("Group",D5044)),IF(G5044="",E5044,IFERROR(E5044/COUNTIF($G2:$G6000,G5044),E5044)),E5044)</f>
        <v>0</v>
      </c>
      <c r="I5044" s="1" t="str">
        <f>IFERROR(VLOOKUP(C5044,'Clients List'!A:F,6,FALSE),"")</f>
        <v/>
      </c>
    </row>
    <row r="5045" spans="4:9" x14ac:dyDescent="0.45">
      <c r="D5045" t="str">
        <f>IFERROR(VLOOKUP(C5045,'Clients List'!$A:$F,2,FALSE),"")</f>
        <v/>
      </c>
      <c r="F5045" s="1" t="str">
        <f>IF(OR(C5045="",NOT(ISNUMBER(SEARCH("Package",D5045)))),"",VLOOKUP(C5045,'Clients List'!$A:$F,4,FALSE)-SUMIFS($E$2:$E5045,$C$2:$C5045,C5045,$D$2:$D5045,"*Package*"))</f>
        <v/>
      </c>
      <c r="G5045" t="str">
        <f t="shared" ref="G5045:G5108" si="112">IF(ISNUMBER(SEARCH("Group",D5045)),IFERROR("GRP-"&amp;TEXT(IF(ISNUMBER(A5045),A5045,DATEVALUE(A5045)),"yyyymmdd"),""),"" )</f>
        <v/>
      </c>
      <c r="H5045" s="33">
        <f>IF(ISNUMBER(SEARCH("Group",D5045)),IF(G5045="",E5045,IFERROR(E5045/COUNTIF($G2:$G6000,G5045),E5045)),E5045)</f>
        <v>0</v>
      </c>
      <c r="I5045" s="1" t="str">
        <f>IFERROR(VLOOKUP(C5045,'Clients List'!A:F,6,FALSE),"")</f>
        <v/>
      </c>
    </row>
    <row r="5046" spans="4:9" x14ac:dyDescent="0.45">
      <c r="D5046" t="str">
        <f>IFERROR(VLOOKUP(C5046,'Clients List'!$A:$F,2,FALSE),"")</f>
        <v/>
      </c>
      <c r="F5046" s="1" t="str">
        <f>IF(OR(C5046="",NOT(ISNUMBER(SEARCH("Package",D5046)))),"",VLOOKUP(C5046,'Clients List'!$A:$F,4,FALSE)-SUMIFS($E$2:$E5046,$C$2:$C5046,C5046,$D$2:$D5046,"*Package*"))</f>
        <v/>
      </c>
      <c r="G5046" t="str">
        <f t="shared" si="112"/>
        <v/>
      </c>
      <c r="H5046" s="33">
        <f>IF(ISNUMBER(SEARCH("Group",D5046)),IF(G5046="",E5046,IFERROR(E5046/COUNTIF($G2:$G6000,G5046),E5046)),E5046)</f>
        <v>0</v>
      </c>
      <c r="I5046" s="1" t="str">
        <f>IFERROR(VLOOKUP(C5046,'Clients List'!A:F,6,FALSE),"")</f>
        <v/>
      </c>
    </row>
    <row r="5047" spans="4:9" x14ac:dyDescent="0.45">
      <c r="D5047" t="str">
        <f>IFERROR(VLOOKUP(C5047,'Clients List'!$A:$F,2,FALSE),"")</f>
        <v/>
      </c>
      <c r="F5047" s="1" t="str">
        <f>IF(OR(C5047="",NOT(ISNUMBER(SEARCH("Package",D5047)))),"",VLOOKUP(C5047,'Clients List'!$A:$F,4,FALSE)-SUMIFS($E$2:$E5047,$C$2:$C5047,C5047,$D$2:$D5047,"*Package*"))</f>
        <v/>
      </c>
      <c r="G5047" t="str">
        <f t="shared" si="112"/>
        <v/>
      </c>
      <c r="H5047" s="33">
        <f>IF(ISNUMBER(SEARCH("Group",D5047)),IF(G5047="",E5047,IFERROR(E5047/COUNTIF($G2:$G6000,G5047),E5047)),E5047)</f>
        <v>0</v>
      </c>
      <c r="I5047" s="1" t="str">
        <f>IFERROR(VLOOKUP(C5047,'Clients List'!A:F,6,FALSE),"")</f>
        <v/>
      </c>
    </row>
    <row r="5048" spans="4:9" x14ac:dyDescent="0.45">
      <c r="D5048" t="str">
        <f>IFERROR(VLOOKUP(C5048,'Clients List'!$A:$F,2,FALSE),"")</f>
        <v/>
      </c>
      <c r="F5048" s="1" t="str">
        <f>IF(OR(C5048="",NOT(ISNUMBER(SEARCH("Package",D5048)))),"",VLOOKUP(C5048,'Clients List'!$A:$F,4,FALSE)-SUMIFS($E$2:$E5048,$C$2:$C5048,C5048,$D$2:$D5048,"*Package*"))</f>
        <v/>
      </c>
      <c r="G5048" t="str">
        <f t="shared" si="112"/>
        <v/>
      </c>
      <c r="H5048" s="33">
        <f>IF(ISNUMBER(SEARCH("Group",D5048)),IF(G5048="",E5048,IFERROR(E5048/COUNTIF($G2:$G6000,G5048),E5048)),E5048)</f>
        <v>0</v>
      </c>
      <c r="I5048" s="1" t="str">
        <f>IFERROR(VLOOKUP(C5048,'Clients List'!A:F,6,FALSE),"")</f>
        <v/>
      </c>
    </row>
    <row r="5049" spans="4:9" x14ac:dyDescent="0.45">
      <c r="D5049" t="str">
        <f>IFERROR(VLOOKUP(C5049,'Clients List'!$A:$F,2,FALSE),"")</f>
        <v/>
      </c>
      <c r="F5049" s="1" t="str">
        <f>IF(OR(C5049="",NOT(ISNUMBER(SEARCH("Package",D5049)))),"",VLOOKUP(C5049,'Clients List'!$A:$F,4,FALSE)-SUMIFS($E$2:$E5049,$C$2:$C5049,C5049,$D$2:$D5049,"*Package*"))</f>
        <v/>
      </c>
      <c r="G5049" t="str">
        <f t="shared" si="112"/>
        <v/>
      </c>
      <c r="H5049" s="33">
        <f>IF(ISNUMBER(SEARCH("Group",D5049)),IF(G5049="",E5049,IFERROR(E5049/COUNTIF($G2:$G6000,G5049),E5049)),E5049)</f>
        <v>0</v>
      </c>
      <c r="I5049" s="1" t="str">
        <f>IFERROR(VLOOKUP(C5049,'Clients List'!A:F,6,FALSE),"")</f>
        <v/>
      </c>
    </row>
    <row r="5050" spans="4:9" x14ac:dyDescent="0.45">
      <c r="D5050" t="str">
        <f>IFERROR(VLOOKUP(C5050,'Clients List'!$A:$F,2,FALSE),"")</f>
        <v/>
      </c>
      <c r="F5050" s="1" t="str">
        <f>IF(OR(C5050="",NOT(ISNUMBER(SEARCH("Package",D5050)))),"",VLOOKUP(C5050,'Clients List'!$A:$F,4,FALSE)-SUMIFS($E$2:$E5050,$C$2:$C5050,C5050,$D$2:$D5050,"*Package*"))</f>
        <v/>
      </c>
      <c r="G5050" t="str">
        <f t="shared" si="112"/>
        <v/>
      </c>
      <c r="H5050" s="33">
        <f>IF(ISNUMBER(SEARCH("Group",D5050)),IF(G5050="",E5050,IFERROR(E5050/COUNTIF($G2:$G6000,G5050),E5050)),E5050)</f>
        <v>0</v>
      </c>
      <c r="I5050" s="1" t="str">
        <f>IFERROR(VLOOKUP(C5050,'Clients List'!A:F,6,FALSE),"")</f>
        <v/>
      </c>
    </row>
    <row r="5051" spans="4:9" x14ac:dyDescent="0.45">
      <c r="D5051" t="str">
        <f>IFERROR(VLOOKUP(C5051,'Clients List'!$A:$F,2,FALSE),"")</f>
        <v/>
      </c>
      <c r="F5051" s="1" t="str">
        <f>IF(OR(C5051="",NOT(ISNUMBER(SEARCH("Package",D5051)))),"",VLOOKUP(C5051,'Clients List'!$A:$F,4,FALSE)-SUMIFS($E$2:$E5051,$C$2:$C5051,C5051,$D$2:$D5051,"*Package*"))</f>
        <v/>
      </c>
      <c r="G5051" t="str">
        <f t="shared" si="112"/>
        <v/>
      </c>
      <c r="H5051" s="33">
        <f>IF(ISNUMBER(SEARCH("Group",D5051)),IF(G5051="",E5051,IFERROR(E5051/COUNTIF($G2:$G6000,G5051),E5051)),E5051)</f>
        <v>0</v>
      </c>
      <c r="I5051" s="1" t="str">
        <f>IFERROR(VLOOKUP(C5051,'Clients List'!A:F,6,FALSE),"")</f>
        <v/>
      </c>
    </row>
    <row r="5052" spans="4:9" x14ac:dyDescent="0.45">
      <c r="D5052" t="str">
        <f>IFERROR(VLOOKUP(C5052,'Clients List'!$A:$F,2,FALSE),"")</f>
        <v/>
      </c>
      <c r="F5052" s="1" t="str">
        <f>IF(OR(C5052="",NOT(ISNUMBER(SEARCH("Package",D5052)))),"",VLOOKUP(C5052,'Clients List'!$A:$F,4,FALSE)-SUMIFS($E$2:$E5052,$C$2:$C5052,C5052,$D$2:$D5052,"*Package*"))</f>
        <v/>
      </c>
      <c r="G5052" t="str">
        <f t="shared" si="112"/>
        <v/>
      </c>
      <c r="H5052" s="33">
        <f>IF(ISNUMBER(SEARCH("Group",D5052)),IF(G5052="",E5052,IFERROR(E5052/COUNTIF($G2:$G6000,G5052),E5052)),E5052)</f>
        <v>0</v>
      </c>
      <c r="I5052" s="1" t="str">
        <f>IFERROR(VLOOKUP(C5052,'Clients List'!A:F,6,FALSE),"")</f>
        <v/>
      </c>
    </row>
    <row r="5053" spans="4:9" x14ac:dyDescent="0.45">
      <c r="D5053" t="str">
        <f>IFERROR(VLOOKUP(C5053,'Clients List'!$A:$F,2,FALSE),"")</f>
        <v/>
      </c>
      <c r="F5053" s="1" t="str">
        <f>IF(OR(C5053="",NOT(ISNUMBER(SEARCH("Package",D5053)))),"",VLOOKUP(C5053,'Clients List'!$A:$F,4,FALSE)-SUMIFS($E$2:$E5053,$C$2:$C5053,C5053,$D$2:$D5053,"*Package*"))</f>
        <v/>
      </c>
      <c r="G5053" t="str">
        <f t="shared" si="112"/>
        <v/>
      </c>
      <c r="H5053" s="33">
        <f>IF(ISNUMBER(SEARCH("Group",D5053)),IF(G5053="",E5053,IFERROR(E5053/COUNTIF($G2:$G6000,G5053),E5053)),E5053)</f>
        <v>0</v>
      </c>
      <c r="I5053" s="1" t="str">
        <f>IFERROR(VLOOKUP(C5053,'Clients List'!A:F,6,FALSE),"")</f>
        <v/>
      </c>
    </row>
    <row r="5054" spans="4:9" x14ac:dyDescent="0.45">
      <c r="D5054" t="str">
        <f>IFERROR(VLOOKUP(C5054,'Clients List'!$A:$F,2,FALSE),"")</f>
        <v/>
      </c>
      <c r="F5054" s="1" t="str">
        <f>IF(OR(C5054="",NOT(ISNUMBER(SEARCH("Package",D5054)))),"",VLOOKUP(C5054,'Clients List'!$A:$F,4,FALSE)-SUMIFS($E$2:$E5054,$C$2:$C5054,C5054,$D$2:$D5054,"*Package*"))</f>
        <v/>
      </c>
      <c r="G5054" t="str">
        <f t="shared" si="112"/>
        <v/>
      </c>
      <c r="H5054" s="33">
        <f>IF(ISNUMBER(SEARCH("Group",D5054)),IF(G5054="",E5054,IFERROR(E5054/COUNTIF($G2:$G6000,G5054),E5054)),E5054)</f>
        <v>0</v>
      </c>
      <c r="I5054" s="1" t="str">
        <f>IFERROR(VLOOKUP(C5054,'Clients List'!A:F,6,FALSE),"")</f>
        <v/>
      </c>
    </row>
    <row r="5055" spans="4:9" x14ac:dyDescent="0.45">
      <c r="D5055" t="str">
        <f>IFERROR(VLOOKUP(C5055,'Clients List'!$A:$F,2,FALSE),"")</f>
        <v/>
      </c>
      <c r="F5055" s="1" t="str">
        <f>IF(OR(C5055="",NOT(ISNUMBER(SEARCH("Package",D5055)))),"",VLOOKUP(C5055,'Clients List'!$A:$F,4,FALSE)-SUMIFS($E$2:$E5055,$C$2:$C5055,C5055,$D$2:$D5055,"*Package*"))</f>
        <v/>
      </c>
      <c r="G5055" t="str">
        <f t="shared" si="112"/>
        <v/>
      </c>
      <c r="H5055" s="33">
        <f>IF(ISNUMBER(SEARCH("Group",D5055)),IF(G5055="",E5055,IFERROR(E5055/COUNTIF($G2:$G6000,G5055),E5055)),E5055)</f>
        <v>0</v>
      </c>
      <c r="I5055" s="1" t="str">
        <f>IFERROR(VLOOKUP(C5055,'Clients List'!A:F,6,FALSE),"")</f>
        <v/>
      </c>
    </row>
    <row r="5056" spans="4:9" x14ac:dyDescent="0.45">
      <c r="D5056" t="str">
        <f>IFERROR(VLOOKUP(C5056,'Clients List'!$A:$F,2,FALSE),"")</f>
        <v/>
      </c>
      <c r="F5056" s="1" t="str">
        <f>IF(OR(C5056="",NOT(ISNUMBER(SEARCH("Package",D5056)))),"",VLOOKUP(C5056,'Clients List'!$A:$F,4,FALSE)-SUMIFS($E$2:$E5056,$C$2:$C5056,C5056,$D$2:$D5056,"*Package*"))</f>
        <v/>
      </c>
      <c r="G5056" t="str">
        <f t="shared" si="112"/>
        <v/>
      </c>
      <c r="H5056" s="33">
        <f>IF(ISNUMBER(SEARCH("Group",D5056)),IF(G5056="",E5056,IFERROR(E5056/COUNTIF($G2:$G6000,G5056),E5056)),E5056)</f>
        <v>0</v>
      </c>
      <c r="I5056" s="1" t="str">
        <f>IFERROR(VLOOKUP(C5056,'Clients List'!A:F,6,FALSE),"")</f>
        <v/>
      </c>
    </row>
    <row r="5057" spans="4:9" x14ac:dyDescent="0.45">
      <c r="D5057" t="str">
        <f>IFERROR(VLOOKUP(C5057,'Clients List'!$A:$F,2,FALSE),"")</f>
        <v/>
      </c>
      <c r="F5057" s="1" t="str">
        <f>IF(OR(C5057="",NOT(ISNUMBER(SEARCH("Package",D5057)))),"",VLOOKUP(C5057,'Clients List'!$A:$F,4,FALSE)-SUMIFS($E$2:$E5057,$C$2:$C5057,C5057,$D$2:$D5057,"*Package*"))</f>
        <v/>
      </c>
      <c r="G5057" t="str">
        <f t="shared" si="112"/>
        <v/>
      </c>
      <c r="H5057" s="33">
        <f>IF(ISNUMBER(SEARCH("Group",D5057)),IF(G5057="",E5057,IFERROR(E5057/COUNTIF($G2:$G6000,G5057),E5057)),E5057)</f>
        <v>0</v>
      </c>
      <c r="I5057" s="1" t="str">
        <f>IFERROR(VLOOKUP(C5057,'Clients List'!A:F,6,FALSE),"")</f>
        <v/>
      </c>
    </row>
    <row r="5058" spans="4:9" x14ac:dyDescent="0.45">
      <c r="D5058" t="str">
        <f>IFERROR(VLOOKUP(C5058,'Clients List'!$A:$F,2,FALSE),"")</f>
        <v/>
      </c>
      <c r="F5058" s="1" t="str">
        <f>IF(OR(C5058="",NOT(ISNUMBER(SEARCH("Package",D5058)))),"",VLOOKUP(C5058,'Clients List'!$A:$F,4,FALSE)-SUMIFS($E$2:$E5058,$C$2:$C5058,C5058,$D$2:$D5058,"*Package*"))</f>
        <v/>
      </c>
      <c r="G5058" t="str">
        <f t="shared" si="112"/>
        <v/>
      </c>
      <c r="H5058" s="33">
        <f>IF(ISNUMBER(SEARCH("Group",D5058)),IF(G5058="",E5058,IFERROR(E5058/COUNTIF($G2:$G6000,G5058),E5058)),E5058)</f>
        <v>0</v>
      </c>
      <c r="I5058" s="1" t="str">
        <f>IFERROR(VLOOKUP(C5058,'Clients List'!A:F,6,FALSE),"")</f>
        <v/>
      </c>
    </row>
    <row r="5059" spans="4:9" x14ac:dyDescent="0.45">
      <c r="D5059" t="str">
        <f>IFERROR(VLOOKUP(C5059,'Clients List'!$A:$F,2,FALSE),"")</f>
        <v/>
      </c>
      <c r="F5059" s="1" t="str">
        <f>IF(OR(C5059="",NOT(ISNUMBER(SEARCH("Package",D5059)))),"",VLOOKUP(C5059,'Clients List'!$A:$F,4,FALSE)-SUMIFS($E$2:$E5059,$C$2:$C5059,C5059,$D$2:$D5059,"*Package*"))</f>
        <v/>
      </c>
      <c r="G5059" t="str">
        <f t="shared" si="112"/>
        <v/>
      </c>
      <c r="H5059" s="33">
        <f>IF(ISNUMBER(SEARCH("Group",D5059)),IF(G5059="",E5059,IFERROR(E5059/COUNTIF($G2:$G6000,G5059),E5059)),E5059)</f>
        <v>0</v>
      </c>
      <c r="I5059" s="1" t="str">
        <f>IFERROR(VLOOKUP(C5059,'Clients List'!A:F,6,FALSE),"")</f>
        <v/>
      </c>
    </row>
    <row r="5060" spans="4:9" x14ac:dyDescent="0.45">
      <c r="D5060" t="str">
        <f>IFERROR(VLOOKUP(C5060,'Clients List'!$A:$F,2,FALSE),"")</f>
        <v/>
      </c>
      <c r="F5060" s="1" t="str">
        <f>IF(OR(C5060="",NOT(ISNUMBER(SEARCH("Package",D5060)))),"",VLOOKUP(C5060,'Clients List'!$A:$F,4,FALSE)-SUMIFS($E$2:$E5060,$C$2:$C5060,C5060,$D$2:$D5060,"*Package*"))</f>
        <v/>
      </c>
      <c r="G5060" t="str">
        <f t="shared" si="112"/>
        <v/>
      </c>
      <c r="H5060" s="33">
        <f>IF(ISNUMBER(SEARCH("Group",D5060)),IF(G5060="",E5060,IFERROR(E5060/COUNTIF($G2:$G6000,G5060),E5060)),E5060)</f>
        <v>0</v>
      </c>
      <c r="I5060" s="1" t="str">
        <f>IFERROR(VLOOKUP(C5060,'Clients List'!A:F,6,FALSE),"")</f>
        <v/>
      </c>
    </row>
    <row r="5061" spans="4:9" x14ac:dyDescent="0.45">
      <c r="D5061" t="str">
        <f>IFERROR(VLOOKUP(C5061,'Clients List'!$A:$F,2,FALSE),"")</f>
        <v/>
      </c>
      <c r="F5061" s="1" t="str">
        <f>IF(OR(C5061="",NOT(ISNUMBER(SEARCH("Package",D5061)))),"",VLOOKUP(C5061,'Clients List'!$A:$F,4,FALSE)-SUMIFS($E$2:$E5061,$C$2:$C5061,C5061,$D$2:$D5061,"*Package*"))</f>
        <v/>
      </c>
      <c r="G5061" t="str">
        <f t="shared" si="112"/>
        <v/>
      </c>
      <c r="H5061" s="33">
        <f>IF(ISNUMBER(SEARCH("Group",D5061)),IF(G5061="",E5061,IFERROR(E5061/COUNTIF($G2:$G6000,G5061),E5061)),E5061)</f>
        <v>0</v>
      </c>
      <c r="I5061" s="1" t="str">
        <f>IFERROR(VLOOKUP(C5061,'Clients List'!A:F,6,FALSE),"")</f>
        <v/>
      </c>
    </row>
    <row r="5062" spans="4:9" x14ac:dyDescent="0.45">
      <c r="D5062" t="str">
        <f>IFERROR(VLOOKUP(C5062,'Clients List'!$A:$F,2,FALSE),"")</f>
        <v/>
      </c>
      <c r="F5062" s="1" t="str">
        <f>IF(OR(C5062="",NOT(ISNUMBER(SEARCH("Package",D5062)))),"",VLOOKUP(C5062,'Clients List'!$A:$F,4,FALSE)-SUMIFS($E$2:$E5062,$C$2:$C5062,C5062,$D$2:$D5062,"*Package*"))</f>
        <v/>
      </c>
      <c r="G5062" t="str">
        <f t="shared" si="112"/>
        <v/>
      </c>
      <c r="H5062" s="33">
        <f>IF(ISNUMBER(SEARCH("Group",D5062)),IF(G5062="",E5062,IFERROR(E5062/COUNTIF($G2:$G6000,G5062),E5062)),E5062)</f>
        <v>0</v>
      </c>
      <c r="I5062" s="1" t="str">
        <f>IFERROR(VLOOKUP(C5062,'Clients List'!A:F,6,FALSE),"")</f>
        <v/>
      </c>
    </row>
    <row r="5063" spans="4:9" x14ac:dyDescent="0.45">
      <c r="D5063" t="str">
        <f>IFERROR(VLOOKUP(C5063,'Clients List'!$A:$F,2,FALSE),"")</f>
        <v/>
      </c>
      <c r="F5063" s="1" t="str">
        <f>IF(OR(C5063="",NOT(ISNUMBER(SEARCH("Package",D5063)))),"",VLOOKUP(C5063,'Clients List'!$A:$F,4,FALSE)-SUMIFS($E$2:$E5063,$C$2:$C5063,C5063,$D$2:$D5063,"*Package*"))</f>
        <v/>
      </c>
      <c r="G5063" t="str">
        <f t="shared" si="112"/>
        <v/>
      </c>
      <c r="H5063" s="33">
        <f>IF(ISNUMBER(SEARCH("Group",D5063)),IF(G5063="",E5063,IFERROR(E5063/COUNTIF($G2:$G6000,G5063),E5063)),E5063)</f>
        <v>0</v>
      </c>
      <c r="I5063" s="1" t="str">
        <f>IFERROR(VLOOKUP(C5063,'Clients List'!A:F,6,FALSE),"")</f>
        <v/>
      </c>
    </row>
    <row r="5064" spans="4:9" x14ac:dyDescent="0.45">
      <c r="D5064" t="str">
        <f>IFERROR(VLOOKUP(C5064,'Clients List'!$A:$F,2,FALSE),"")</f>
        <v/>
      </c>
      <c r="F5064" s="1" t="str">
        <f>IF(OR(C5064="",NOT(ISNUMBER(SEARCH("Package",D5064)))),"",VLOOKUP(C5064,'Clients List'!$A:$F,4,FALSE)-SUMIFS($E$2:$E5064,$C$2:$C5064,C5064,$D$2:$D5064,"*Package*"))</f>
        <v/>
      </c>
      <c r="G5064" t="str">
        <f t="shared" si="112"/>
        <v/>
      </c>
      <c r="H5064" s="33">
        <f>IF(ISNUMBER(SEARCH("Group",D5064)),IF(G5064="",E5064,IFERROR(E5064/COUNTIF($G2:$G6000,G5064),E5064)),E5064)</f>
        <v>0</v>
      </c>
      <c r="I5064" s="1" t="str">
        <f>IFERROR(VLOOKUP(C5064,'Clients List'!A:F,6,FALSE),"")</f>
        <v/>
      </c>
    </row>
    <row r="5065" spans="4:9" x14ac:dyDescent="0.45">
      <c r="D5065" t="str">
        <f>IFERROR(VLOOKUP(C5065,'Clients List'!$A:$F,2,FALSE),"")</f>
        <v/>
      </c>
      <c r="F5065" s="1" t="str">
        <f>IF(OR(C5065="",NOT(ISNUMBER(SEARCH("Package",D5065)))),"",VLOOKUP(C5065,'Clients List'!$A:$F,4,FALSE)-SUMIFS($E$2:$E5065,$C$2:$C5065,C5065,$D$2:$D5065,"*Package*"))</f>
        <v/>
      </c>
      <c r="G5065" t="str">
        <f t="shared" si="112"/>
        <v/>
      </c>
      <c r="H5065" s="33">
        <f>IF(ISNUMBER(SEARCH("Group",D5065)),IF(G5065="",E5065,IFERROR(E5065/COUNTIF($G2:$G6000,G5065),E5065)),E5065)</f>
        <v>0</v>
      </c>
      <c r="I5065" s="1" t="str">
        <f>IFERROR(VLOOKUP(C5065,'Clients List'!A:F,6,FALSE),"")</f>
        <v/>
      </c>
    </row>
    <row r="5066" spans="4:9" x14ac:dyDescent="0.45">
      <c r="D5066" t="str">
        <f>IFERROR(VLOOKUP(C5066,'Clients List'!$A:$F,2,FALSE),"")</f>
        <v/>
      </c>
      <c r="F5066" s="1" t="str">
        <f>IF(OR(C5066="",NOT(ISNUMBER(SEARCH("Package",D5066)))),"",VLOOKUP(C5066,'Clients List'!$A:$F,4,FALSE)-SUMIFS($E$2:$E5066,$C$2:$C5066,C5066,$D$2:$D5066,"*Package*"))</f>
        <v/>
      </c>
      <c r="G5066" t="str">
        <f t="shared" si="112"/>
        <v/>
      </c>
      <c r="H5066" s="33">
        <f>IF(ISNUMBER(SEARCH("Group",D5066)),IF(G5066="",E5066,IFERROR(E5066/COUNTIF($G2:$G6000,G5066),E5066)),E5066)</f>
        <v>0</v>
      </c>
      <c r="I5066" s="1" t="str">
        <f>IFERROR(VLOOKUP(C5066,'Clients List'!A:F,6,FALSE),"")</f>
        <v/>
      </c>
    </row>
    <row r="5067" spans="4:9" x14ac:dyDescent="0.45">
      <c r="D5067" t="str">
        <f>IFERROR(VLOOKUP(C5067,'Clients List'!$A:$F,2,FALSE),"")</f>
        <v/>
      </c>
      <c r="F5067" s="1" t="str">
        <f>IF(OR(C5067="",NOT(ISNUMBER(SEARCH("Package",D5067)))),"",VLOOKUP(C5067,'Clients List'!$A:$F,4,FALSE)-SUMIFS($E$2:$E5067,$C$2:$C5067,C5067,$D$2:$D5067,"*Package*"))</f>
        <v/>
      </c>
      <c r="G5067" t="str">
        <f t="shared" si="112"/>
        <v/>
      </c>
      <c r="H5067" s="33">
        <f>IF(ISNUMBER(SEARCH("Group",D5067)),IF(G5067="",E5067,IFERROR(E5067/COUNTIF($G2:$G6000,G5067),E5067)),E5067)</f>
        <v>0</v>
      </c>
      <c r="I5067" s="1" t="str">
        <f>IFERROR(VLOOKUP(C5067,'Clients List'!A:F,6,FALSE),"")</f>
        <v/>
      </c>
    </row>
    <row r="5068" spans="4:9" x14ac:dyDescent="0.45">
      <c r="D5068" t="str">
        <f>IFERROR(VLOOKUP(C5068,'Clients List'!$A:$F,2,FALSE),"")</f>
        <v/>
      </c>
      <c r="F5068" s="1" t="str">
        <f>IF(OR(C5068="",NOT(ISNUMBER(SEARCH("Package",D5068)))),"",VLOOKUP(C5068,'Clients List'!$A:$F,4,FALSE)-SUMIFS($E$2:$E5068,$C$2:$C5068,C5068,$D$2:$D5068,"*Package*"))</f>
        <v/>
      </c>
      <c r="G5068" t="str">
        <f t="shared" si="112"/>
        <v/>
      </c>
      <c r="H5068" s="33">
        <f>IF(ISNUMBER(SEARCH("Group",D5068)),IF(G5068="",E5068,IFERROR(E5068/COUNTIF($G2:$G6000,G5068),E5068)),E5068)</f>
        <v>0</v>
      </c>
      <c r="I5068" s="1" t="str">
        <f>IFERROR(VLOOKUP(C5068,'Clients List'!A:F,6,FALSE),"")</f>
        <v/>
      </c>
    </row>
    <row r="5069" spans="4:9" x14ac:dyDescent="0.45">
      <c r="D5069" t="str">
        <f>IFERROR(VLOOKUP(C5069,'Clients List'!$A:$F,2,FALSE),"")</f>
        <v/>
      </c>
      <c r="F5069" s="1" t="str">
        <f>IF(OR(C5069="",NOT(ISNUMBER(SEARCH("Package",D5069)))),"",VLOOKUP(C5069,'Clients List'!$A:$F,4,FALSE)-SUMIFS($E$2:$E5069,$C$2:$C5069,C5069,$D$2:$D5069,"*Package*"))</f>
        <v/>
      </c>
      <c r="G5069" t="str">
        <f t="shared" si="112"/>
        <v/>
      </c>
      <c r="H5069" s="33">
        <f>IF(ISNUMBER(SEARCH("Group",D5069)),IF(G5069="",E5069,IFERROR(E5069/COUNTIF($G2:$G6000,G5069),E5069)),E5069)</f>
        <v>0</v>
      </c>
      <c r="I5069" s="1" t="str">
        <f>IFERROR(VLOOKUP(C5069,'Clients List'!A:F,6,FALSE),"")</f>
        <v/>
      </c>
    </row>
    <row r="5070" spans="4:9" x14ac:dyDescent="0.45">
      <c r="D5070" t="str">
        <f>IFERROR(VLOOKUP(C5070,'Clients List'!$A:$F,2,FALSE),"")</f>
        <v/>
      </c>
      <c r="F5070" s="1" t="str">
        <f>IF(OR(C5070="",NOT(ISNUMBER(SEARCH("Package",D5070)))),"",VLOOKUP(C5070,'Clients List'!$A:$F,4,FALSE)-SUMIFS($E$2:$E5070,$C$2:$C5070,C5070,$D$2:$D5070,"*Package*"))</f>
        <v/>
      </c>
      <c r="G5070" t="str">
        <f t="shared" si="112"/>
        <v/>
      </c>
      <c r="H5070" s="33">
        <f>IF(ISNUMBER(SEARCH("Group",D5070)),IF(G5070="",E5070,IFERROR(E5070/COUNTIF($G2:$G6000,G5070),E5070)),E5070)</f>
        <v>0</v>
      </c>
      <c r="I5070" s="1" t="str">
        <f>IFERROR(VLOOKUP(C5070,'Clients List'!A:F,6,FALSE),"")</f>
        <v/>
      </c>
    </row>
    <row r="5071" spans="4:9" x14ac:dyDescent="0.45">
      <c r="D5071" t="str">
        <f>IFERROR(VLOOKUP(C5071,'Clients List'!$A:$F,2,FALSE),"")</f>
        <v/>
      </c>
      <c r="F5071" s="1" t="str">
        <f>IF(OR(C5071="",NOT(ISNUMBER(SEARCH("Package",D5071)))),"",VLOOKUP(C5071,'Clients List'!$A:$F,4,FALSE)-SUMIFS($E$2:$E5071,$C$2:$C5071,C5071,$D$2:$D5071,"*Package*"))</f>
        <v/>
      </c>
      <c r="G5071" t="str">
        <f t="shared" si="112"/>
        <v/>
      </c>
      <c r="H5071" s="33">
        <f>IF(ISNUMBER(SEARCH("Group",D5071)),IF(G5071="",E5071,IFERROR(E5071/COUNTIF($G2:$G6000,G5071),E5071)),E5071)</f>
        <v>0</v>
      </c>
      <c r="I5071" s="1" t="str">
        <f>IFERROR(VLOOKUP(C5071,'Clients List'!A:F,6,FALSE),"")</f>
        <v/>
      </c>
    </row>
    <row r="5072" spans="4:9" x14ac:dyDescent="0.45">
      <c r="D5072" t="str">
        <f>IFERROR(VLOOKUP(C5072,'Clients List'!$A:$F,2,FALSE),"")</f>
        <v/>
      </c>
      <c r="F5072" s="1" t="str">
        <f>IF(OR(C5072="",NOT(ISNUMBER(SEARCH("Package",D5072)))),"",VLOOKUP(C5072,'Clients List'!$A:$F,4,FALSE)-SUMIFS($E$2:$E5072,$C$2:$C5072,C5072,$D$2:$D5072,"*Package*"))</f>
        <v/>
      </c>
      <c r="G5072" t="str">
        <f t="shared" si="112"/>
        <v/>
      </c>
      <c r="H5072" s="33">
        <f>IF(ISNUMBER(SEARCH("Group",D5072)),IF(G5072="",E5072,IFERROR(E5072/COUNTIF($G2:$G6000,G5072),E5072)),E5072)</f>
        <v>0</v>
      </c>
      <c r="I5072" s="1" t="str">
        <f>IFERROR(VLOOKUP(C5072,'Clients List'!A:F,6,FALSE),"")</f>
        <v/>
      </c>
    </row>
    <row r="5073" spans="4:9" x14ac:dyDescent="0.45">
      <c r="D5073" t="str">
        <f>IFERROR(VLOOKUP(C5073,'Clients List'!$A:$F,2,FALSE),"")</f>
        <v/>
      </c>
      <c r="F5073" s="1" t="str">
        <f>IF(OR(C5073="",NOT(ISNUMBER(SEARCH("Package",D5073)))),"",VLOOKUP(C5073,'Clients List'!$A:$F,4,FALSE)-SUMIFS($E$2:$E5073,$C$2:$C5073,C5073,$D$2:$D5073,"*Package*"))</f>
        <v/>
      </c>
      <c r="G5073" t="str">
        <f t="shared" si="112"/>
        <v/>
      </c>
      <c r="H5073" s="33">
        <f>IF(ISNUMBER(SEARCH("Group",D5073)),IF(G5073="",E5073,IFERROR(E5073/COUNTIF($G2:$G6000,G5073),E5073)),E5073)</f>
        <v>0</v>
      </c>
      <c r="I5073" s="1" t="str">
        <f>IFERROR(VLOOKUP(C5073,'Clients List'!A:F,6,FALSE),"")</f>
        <v/>
      </c>
    </row>
    <row r="5074" spans="4:9" x14ac:dyDescent="0.45">
      <c r="D5074" t="str">
        <f>IFERROR(VLOOKUP(C5074,'Clients List'!$A:$F,2,FALSE),"")</f>
        <v/>
      </c>
      <c r="F5074" s="1" t="str">
        <f>IF(OR(C5074="",NOT(ISNUMBER(SEARCH("Package",D5074)))),"",VLOOKUP(C5074,'Clients List'!$A:$F,4,FALSE)-SUMIFS($E$2:$E5074,$C$2:$C5074,C5074,$D$2:$D5074,"*Package*"))</f>
        <v/>
      </c>
      <c r="G5074" t="str">
        <f t="shared" si="112"/>
        <v/>
      </c>
      <c r="H5074" s="33">
        <f>IF(ISNUMBER(SEARCH("Group",D5074)),IF(G5074="",E5074,IFERROR(E5074/COUNTIF($G2:$G6000,G5074),E5074)),E5074)</f>
        <v>0</v>
      </c>
      <c r="I5074" s="1" t="str">
        <f>IFERROR(VLOOKUP(C5074,'Clients List'!A:F,6,FALSE),"")</f>
        <v/>
      </c>
    </row>
    <row r="5075" spans="4:9" x14ac:dyDescent="0.45">
      <c r="D5075" t="str">
        <f>IFERROR(VLOOKUP(C5075,'Clients List'!$A:$F,2,FALSE),"")</f>
        <v/>
      </c>
      <c r="F5075" s="1" t="str">
        <f>IF(OR(C5075="",NOT(ISNUMBER(SEARCH("Package",D5075)))),"",VLOOKUP(C5075,'Clients List'!$A:$F,4,FALSE)-SUMIFS($E$2:$E5075,$C$2:$C5075,C5075,$D$2:$D5075,"*Package*"))</f>
        <v/>
      </c>
      <c r="G5075" t="str">
        <f t="shared" si="112"/>
        <v/>
      </c>
      <c r="H5075" s="33">
        <f>IF(ISNUMBER(SEARCH("Group",D5075)),IF(G5075="",E5075,IFERROR(E5075/COUNTIF($G2:$G6000,G5075),E5075)),E5075)</f>
        <v>0</v>
      </c>
      <c r="I5075" s="1" t="str">
        <f>IFERROR(VLOOKUP(C5075,'Clients List'!A:F,6,FALSE),"")</f>
        <v/>
      </c>
    </row>
    <row r="5076" spans="4:9" x14ac:dyDescent="0.45">
      <c r="D5076" t="str">
        <f>IFERROR(VLOOKUP(C5076,'Clients List'!$A:$F,2,FALSE),"")</f>
        <v/>
      </c>
      <c r="F5076" s="1" t="str">
        <f>IF(OR(C5076="",NOT(ISNUMBER(SEARCH("Package",D5076)))),"",VLOOKUP(C5076,'Clients List'!$A:$F,4,FALSE)-SUMIFS($E$2:$E5076,$C$2:$C5076,C5076,$D$2:$D5076,"*Package*"))</f>
        <v/>
      </c>
      <c r="G5076" t="str">
        <f t="shared" si="112"/>
        <v/>
      </c>
      <c r="H5076" s="33">
        <f>IF(ISNUMBER(SEARCH("Group",D5076)),IF(G5076="",E5076,IFERROR(E5076/COUNTIF($G2:$G6000,G5076),E5076)),E5076)</f>
        <v>0</v>
      </c>
      <c r="I5076" s="1" t="str">
        <f>IFERROR(VLOOKUP(C5076,'Clients List'!A:F,6,FALSE),"")</f>
        <v/>
      </c>
    </row>
    <row r="5077" spans="4:9" x14ac:dyDescent="0.45">
      <c r="D5077" t="str">
        <f>IFERROR(VLOOKUP(C5077,'Clients List'!$A:$F,2,FALSE),"")</f>
        <v/>
      </c>
      <c r="F5077" s="1" t="str">
        <f>IF(OR(C5077="",NOT(ISNUMBER(SEARCH("Package",D5077)))),"",VLOOKUP(C5077,'Clients List'!$A:$F,4,FALSE)-SUMIFS($E$2:$E5077,$C$2:$C5077,C5077,$D$2:$D5077,"*Package*"))</f>
        <v/>
      </c>
      <c r="G5077" t="str">
        <f t="shared" si="112"/>
        <v/>
      </c>
      <c r="H5077" s="33">
        <f>IF(ISNUMBER(SEARCH("Group",D5077)),IF(G5077="",E5077,IFERROR(E5077/COUNTIF($G2:$G6000,G5077),E5077)),E5077)</f>
        <v>0</v>
      </c>
      <c r="I5077" s="1" t="str">
        <f>IFERROR(VLOOKUP(C5077,'Clients List'!A:F,6,FALSE),"")</f>
        <v/>
      </c>
    </row>
    <row r="5078" spans="4:9" x14ac:dyDescent="0.45">
      <c r="D5078" t="str">
        <f>IFERROR(VLOOKUP(C5078,'Clients List'!$A:$F,2,FALSE),"")</f>
        <v/>
      </c>
      <c r="F5078" s="1" t="str">
        <f>IF(OR(C5078="",NOT(ISNUMBER(SEARCH("Package",D5078)))),"",VLOOKUP(C5078,'Clients List'!$A:$F,4,FALSE)-SUMIFS($E$2:$E5078,$C$2:$C5078,C5078,$D$2:$D5078,"*Package*"))</f>
        <v/>
      </c>
      <c r="G5078" t="str">
        <f t="shared" si="112"/>
        <v/>
      </c>
      <c r="H5078" s="33">
        <f>IF(ISNUMBER(SEARCH("Group",D5078)),IF(G5078="",E5078,IFERROR(E5078/COUNTIF($G2:$G6000,G5078),E5078)),E5078)</f>
        <v>0</v>
      </c>
      <c r="I5078" s="1" t="str">
        <f>IFERROR(VLOOKUP(C5078,'Clients List'!A:F,6,FALSE),"")</f>
        <v/>
      </c>
    </row>
    <row r="5079" spans="4:9" x14ac:dyDescent="0.45">
      <c r="D5079" t="str">
        <f>IFERROR(VLOOKUP(C5079,'Clients List'!$A:$F,2,FALSE),"")</f>
        <v/>
      </c>
      <c r="F5079" s="1" t="str">
        <f>IF(OR(C5079="",NOT(ISNUMBER(SEARCH("Package",D5079)))),"",VLOOKUP(C5079,'Clients List'!$A:$F,4,FALSE)-SUMIFS($E$2:$E5079,$C$2:$C5079,C5079,$D$2:$D5079,"*Package*"))</f>
        <v/>
      </c>
      <c r="G5079" t="str">
        <f t="shared" si="112"/>
        <v/>
      </c>
      <c r="H5079" s="33">
        <f>IF(ISNUMBER(SEARCH("Group",D5079)),IF(G5079="",E5079,IFERROR(E5079/COUNTIF($G2:$G6000,G5079),E5079)),E5079)</f>
        <v>0</v>
      </c>
      <c r="I5079" s="1" t="str">
        <f>IFERROR(VLOOKUP(C5079,'Clients List'!A:F,6,FALSE),"")</f>
        <v/>
      </c>
    </row>
    <row r="5080" spans="4:9" x14ac:dyDescent="0.45">
      <c r="D5080" t="str">
        <f>IFERROR(VLOOKUP(C5080,'Clients List'!$A:$F,2,FALSE),"")</f>
        <v/>
      </c>
      <c r="F5080" s="1" t="str">
        <f>IF(OR(C5080="",NOT(ISNUMBER(SEARCH("Package",D5080)))),"",VLOOKUP(C5080,'Clients List'!$A:$F,4,FALSE)-SUMIFS($E$2:$E5080,$C$2:$C5080,C5080,$D$2:$D5080,"*Package*"))</f>
        <v/>
      </c>
      <c r="G5080" t="str">
        <f t="shared" si="112"/>
        <v/>
      </c>
      <c r="H5080" s="33">
        <f>IF(ISNUMBER(SEARCH("Group",D5080)),IF(G5080="",E5080,IFERROR(E5080/COUNTIF($G2:$G6000,G5080),E5080)),E5080)</f>
        <v>0</v>
      </c>
      <c r="I5080" s="1" t="str">
        <f>IFERROR(VLOOKUP(C5080,'Clients List'!A:F,6,FALSE),"")</f>
        <v/>
      </c>
    </row>
    <row r="5081" spans="4:9" x14ac:dyDescent="0.45">
      <c r="D5081" t="str">
        <f>IFERROR(VLOOKUP(C5081,'Clients List'!$A:$F,2,FALSE),"")</f>
        <v/>
      </c>
      <c r="F5081" s="1" t="str">
        <f>IF(OR(C5081="",NOT(ISNUMBER(SEARCH("Package",D5081)))),"",VLOOKUP(C5081,'Clients List'!$A:$F,4,FALSE)-SUMIFS($E$2:$E5081,$C$2:$C5081,C5081,$D$2:$D5081,"*Package*"))</f>
        <v/>
      </c>
      <c r="G5081" t="str">
        <f t="shared" si="112"/>
        <v/>
      </c>
      <c r="H5081" s="33">
        <f>IF(ISNUMBER(SEARCH("Group",D5081)),IF(G5081="",E5081,IFERROR(E5081/COUNTIF($G2:$G6000,G5081),E5081)),E5081)</f>
        <v>0</v>
      </c>
      <c r="I5081" s="1" t="str">
        <f>IFERROR(VLOOKUP(C5081,'Clients List'!A:F,6,FALSE),"")</f>
        <v/>
      </c>
    </row>
    <row r="5082" spans="4:9" x14ac:dyDescent="0.45">
      <c r="D5082" t="str">
        <f>IFERROR(VLOOKUP(C5082,'Clients List'!$A:$F,2,FALSE),"")</f>
        <v/>
      </c>
      <c r="F5082" s="1" t="str">
        <f>IF(OR(C5082="",NOT(ISNUMBER(SEARCH("Package",D5082)))),"",VLOOKUP(C5082,'Clients List'!$A:$F,4,FALSE)-SUMIFS($E$2:$E5082,$C$2:$C5082,C5082,$D$2:$D5082,"*Package*"))</f>
        <v/>
      </c>
      <c r="G5082" t="str">
        <f t="shared" si="112"/>
        <v/>
      </c>
      <c r="H5082" s="33">
        <f>IF(ISNUMBER(SEARCH("Group",D5082)),IF(G5082="",E5082,IFERROR(E5082/COUNTIF($G2:$G6000,G5082),E5082)),E5082)</f>
        <v>0</v>
      </c>
      <c r="I5082" s="1" t="str">
        <f>IFERROR(VLOOKUP(C5082,'Clients List'!A:F,6,FALSE),"")</f>
        <v/>
      </c>
    </row>
    <row r="5083" spans="4:9" x14ac:dyDescent="0.45">
      <c r="D5083" t="str">
        <f>IFERROR(VLOOKUP(C5083,'Clients List'!$A:$F,2,FALSE),"")</f>
        <v/>
      </c>
      <c r="F5083" s="1" t="str">
        <f>IF(OR(C5083="",NOT(ISNUMBER(SEARCH("Package",D5083)))),"",VLOOKUP(C5083,'Clients List'!$A:$F,4,FALSE)-SUMIFS($E$2:$E5083,$C$2:$C5083,C5083,$D$2:$D5083,"*Package*"))</f>
        <v/>
      </c>
      <c r="G5083" t="str">
        <f t="shared" si="112"/>
        <v/>
      </c>
      <c r="H5083" s="33">
        <f>IF(ISNUMBER(SEARCH("Group",D5083)),IF(G5083="",E5083,IFERROR(E5083/COUNTIF($G2:$G6000,G5083),E5083)),E5083)</f>
        <v>0</v>
      </c>
      <c r="I5083" s="1" t="str">
        <f>IFERROR(VLOOKUP(C5083,'Clients List'!A:F,6,FALSE),"")</f>
        <v/>
      </c>
    </row>
    <row r="5084" spans="4:9" x14ac:dyDescent="0.45">
      <c r="D5084" t="str">
        <f>IFERROR(VLOOKUP(C5084,'Clients List'!$A:$F,2,FALSE),"")</f>
        <v/>
      </c>
      <c r="F5084" s="1" t="str">
        <f>IF(OR(C5084="",NOT(ISNUMBER(SEARCH("Package",D5084)))),"",VLOOKUP(C5084,'Clients List'!$A:$F,4,FALSE)-SUMIFS($E$2:$E5084,$C$2:$C5084,C5084,$D$2:$D5084,"*Package*"))</f>
        <v/>
      </c>
      <c r="G5084" t="str">
        <f t="shared" si="112"/>
        <v/>
      </c>
      <c r="H5084" s="33">
        <f>IF(ISNUMBER(SEARCH("Group",D5084)),IF(G5084="",E5084,IFERROR(E5084/COUNTIF($G2:$G6000,G5084),E5084)),E5084)</f>
        <v>0</v>
      </c>
      <c r="I5084" s="1" t="str">
        <f>IFERROR(VLOOKUP(C5084,'Clients List'!A:F,6,FALSE),"")</f>
        <v/>
      </c>
    </row>
    <row r="5085" spans="4:9" x14ac:dyDescent="0.45">
      <c r="D5085" t="str">
        <f>IFERROR(VLOOKUP(C5085,'Clients List'!$A:$F,2,FALSE),"")</f>
        <v/>
      </c>
      <c r="F5085" s="1" t="str">
        <f>IF(OR(C5085="",NOT(ISNUMBER(SEARCH("Package",D5085)))),"",VLOOKUP(C5085,'Clients List'!$A:$F,4,FALSE)-SUMIFS($E$2:$E5085,$C$2:$C5085,C5085,$D$2:$D5085,"*Package*"))</f>
        <v/>
      </c>
      <c r="G5085" t="str">
        <f t="shared" si="112"/>
        <v/>
      </c>
      <c r="H5085" s="33">
        <f>IF(ISNUMBER(SEARCH("Group",D5085)),IF(G5085="",E5085,IFERROR(E5085/COUNTIF($G2:$G6000,G5085),E5085)),E5085)</f>
        <v>0</v>
      </c>
      <c r="I5085" s="1" t="str">
        <f>IFERROR(VLOOKUP(C5085,'Clients List'!A:F,6,FALSE),"")</f>
        <v/>
      </c>
    </row>
    <row r="5086" spans="4:9" x14ac:dyDescent="0.45">
      <c r="D5086" t="str">
        <f>IFERROR(VLOOKUP(C5086,'Clients List'!$A:$F,2,FALSE),"")</f>
        <v/>
      </c>
      <c r="F5086" s="1" t="str">
        <f>IF(OR(C5086="",NOT(ISNUMBER(SEARCH("Package",D5086)))),"",VLOOKUP(C5086,'Clients List'!$A:$F,4,FALSE)-SUMIFS($E$2:$E5086,$C$2:$C5086,C5086,$D$2:$D5086,"*Package*"))</f>
        <v/>
      </c>
      <c r="G5086" t="str">
        <f t="shared" si="112"/>
        <v/>
      </c>
      <c r="H5086" s="33">
        <f>IF(ISNUMBER(SEARCH("Group",D5086)),IF(G5086="",E5086,IFERROR(E5086/COUNTIF($G2:$G6000,G5086),E5086)),E5086)</f>
        <v>0</v>
      </c>
      <c r="I5086" s="1" t="str">
        <f>IFERROR(VLOOKUP(C5086,'Clients List'!A:F,6,FALSE),"")</f>
        <v/>
      </c>
    </row>
    <row r="5087" spans="4:9" x14ac:dyDescent="0.45">
      <c r="D5087" t="str">
        <f>IFERROR(VLOOKUP(C5087,'Clients List'!$A:$F,2,FALSE),"")</f>
        <v/>
      </c>
      <c r="F5087" s="1" t="str">
        <f>IF(OR(C5087="",NOT(ISNUMBER(SEARCH("Package",D5087)))),"",VLOOKUP(C5087,'Clients List'!$A:$F,4,FALSE)-SUMIFS($E$2:$E5087,$C$2:$C5087,C5087,$D$2:$D5087,"*Package*"))</f>
        <v/>
      </c>
      <c r="G5087" t="str">
        <f t="shared" si="112"/>
        <v/>
      </c>
      <c r="H5087" s="33">
        <f>IF(ISNUMBER(SEARCH("Group",D5087)),IF(G5087="",E5087,IFERROR(E5087/COUNTIF($G2:$G6000,G5087),E5087)),E5087)</f>
        <v>0</v>
      </c>
      <c r="I5087" s="1" t="str">
        <f>IFERROR(VLOOKUP(C5087,'Clients List'!A:F,6,FALSE),"")</f>
        <v/>
      </c>
    </row>
    <row r="5088" spans="4:9" x14ac:dyDescent="0.45">
      <c r="D5088" t="str">
        <f>IFERROR(VLOOKUP(C5088,'Clients List'!$A:$F,2,FALSE),"")</f>
        <v/>
      </c>
      <c r="F5088" s="1" t="str">
        <f>IF(OR(C5088="",NOT(ISNUMBER(SEARCH("Package",D5088)))),"",VLOOKUP(C5088,'Clients List'!$A:$F,4,FALSE)-SUMIFS($E$2:$E5088,$C$2:$C5088,C5088,$D$2:$D5088,"*Package*"))</f>
        <v/>
      </c>
      <c r="G5088" t="str">
        <f t="shared" si="112"/>
        <v/>
      </c>
      <c r="H5088" s="33">
        <f>IF(ISNUMBER(SEARCH("Group",D5088)),IF(G5088="",E5088,IFERROR(E5088/COUNTIF($G2:$G6000,G5088),E5088)),E5088)</f>
        <v>0</v>
      </c>
      <c r="I5088" s="1" t="str">
        <f>IFERROR(VLOOKUP(C5088,'Clients List'!A:F,6,FALSE),"")</f>
        <v/>
      </c>
    </row>
    <row r="5089" spans="4:9" x14ac:dyDescent="0.45">
      <c r="D5089" t="str">
        <f>IFERROR(VLOOKUP(C5089,'Clients List'!$A:$F,2,FALSE),"")</f>
        <v/>
      </c>
      <c r="F5089" s="1" t="str">
        <f>IF(OR(C5089="",NOT(ISNUMBER(SEARCH("Package",D5089)))),"",VLOOKUP(C5089,'Clients List'!$A:$F,4,FALSE)-SUMIFS($E$2:$E5089,$C$2:$C5089,C5089,$D$2:$D5089,"*Package*"))</f>
        <v/>
      </c>
      <c r="G5089" t="str">
        <f t="shared" si="112"/>
        <v/>
      </c>
      <c r="H5089" s="33">
        <f>IF(ISNUMBER(SEARCH("Group",D5089)),IF(G5089="",E5089,IFERROR(E5089/COUNTIF($G2:$G6000,G5089),E5089)),E5089)</f>
        <v>0</v>
      </c>
      <c r="I5089" s="1" t="str">
        <f>IFERROR(VLOOKUP(C5089,'Clients List'!A:F,6,FALSE),"")</f>
        <v/>
      </c>
    </row>
    <row r="5090" spans="4:9" x14ac:dyDescent="0.45">
      <c r="D5090" t="str">
        <f>IFERROR(VLOOKUP(C5090,'Clients List'!$A:$F,2,FALSE),"")</f>
        <v/>
      </c>
      <c r="F5090" s="1" t="str">
        <f>IF(OR(C5090="",NOT(ISNUMBER(SEARCH("Package",D5090)))),"",VLOOKUP(C5090,'Clients List'!$A:$F,4,FALSE)-SUMIFS($E$2:$E5090,$C$2:$C5090,C5090,$D$2:$D5090,"*Package*"))</f>
        <v/>
      </c>
      <c r="G5090" t="str">
        <f t="shared" si="112"/>
        <v/>
      </c>
      <c r="H5090" s="33">
        <f>IF(ISNUMBER(SEARCH("Group",D5090)),IF(G5090="",E5090,IFERROR(E5090/COUNTIF($G2:$G6000,G5090),E5090)),E5090)</f>
        <v>0</v>
      </c>
      <c r="I5090" s="1" t="str">
        <f>IFERROR(VLOOKUP(C5090,'Clients List'!A:F,6,FALSE),"")</f>
        <v/>
      </c>
    </row>
    <row r="5091" spans="4:9" x14ac:dyDescent="0.45">
      <c r="D5091" t="str">
        <f>IFERROR(VLOOKUP(C5091,'Clients List'!$A:$F,2,FALSE),"")</f>
        <v/>
      </c>
      <c r="F5091" s="1" t="str">
        <f>IF(OR(C5091="",NOT(ISNUMBER(SEARCH("Package",D5091)))),"",VLOOKUP(C5091,'Clients List'!$A:$F,4,FALSE)-SUMIFS($E$2:$E5091,$C$2:$C5091,C5091,$D$2:$D5091,"*Package*"))</f>
        <v/>
      </c>
      <c r="G5091" t="str">
        <f t="shared" si="112"/>
        <v/>
      </c>
      <c r="H5091" s="33">
        <f>IF(ISNUMBER(SEARCH("Group",D5091)),IF(G5091="",E5091,IFERROR(E5091/COUNTIF($G2:$G6000,G5091),E5091)),E5091)</f>
        <v>0</v>
      </c>
      <c r="I5091" s="1" t="str">
        <f>IFERROR(VLOOKUP(C5091,'Clients List'!A:F,6,FALSE),"")</f>
        <v/>
      </c>
    </row>
    <row r="5092" spans="4:9" x14ac:dyDescent="0.45">
      <c r="D5092" t="str">
        <f>IFERROR(VLOOKUP(C5092,'Clients List'!$A:$F,2,FALSE),"")</f>
        <v/>
      </c>
      <c r="F5092" s="1" t="str">
        <f>IF(OR(C5092="",NOT(ISNUMBER(SEARCH("Package",D5092)))),"",VLOOKUP(C5092,'Clients List'!$A:$F,4,FALSE)-SUMIFS($E$2:$E5092,$C$2:$C5092,C5092,$D$2:$D5092,"*Package*"))</f>
        <v/>
      </c>
      <c r="G5092" t="str">
        <f t="shared" si="112"/>
        <v/>
      </c>
      <c r="H5092" s="33">
        <f>IF(ISNUMBER(SEARCH("Group",D5092)),IF(G5092="",E5092,IFERROR(E5092/COUNTIF($G2:$G6000,G5092),E5092)),E5092)</f>
        <v>0</v>
      </c>
      <c r="I5092" s="1" t="str">
        <f>IFERROR(VLOOKUP(C5092,'Clients List'!A:F,6,FALSE),"")</f>
        <v/>
      </c>
    </row>
    <row r="5093" spans="4:9" x14ac:dyDescent="0.45">
      <c r="D5093" t="str">
        <f>IFERROR(VLOOKUP(C5093,'Clients List'!$A:$F,2,FALSE),"")</f>
        <v/>
      </c>
      <c r="F5093" s="1" t="str">
        <f>IF(OR(C5093="",NOT(ISNUMBER(SEARCH("Package",D5093)))),"",VLOOKUP(C5093,'Clients List'!$A:$F,4,FALSE)-SUMIFS($E$2:$E5093,$C$2:$C5093,C5093,$D$2:$D5093,"*Package*"))</f>
        <v/>
      </c>
      <c r="G5093" t="str">
        <f t="shared" si="112"/>
        <v/>
      </c>
      <c r="H5093" s="33">
        <f>IF(ISNUMBER(SEARCH("Group",D5093)),IF(G5093="",E5093,IFERROR(E5093/COUNTIF($G2:$G6000,G5093),E5093)),E5093)</f>
        <v>0</v>
      </c>
      <c r="I5093" s="1" t="str">
        <f>IFERROR(VLOOKUP(C5093,'Clients List'!A:F,6,FALSE),"")</f>
        <v/>
      </c>
    </row>
    <row r="5094" spans="4:9" x14ac:dyDescent="0.45">
      <c r="D5094" t="str">
        <f>IFERROR(VLOOKUP(C5094,'Clients List'!$A:$F,2,FALSE),"")</f>
        <v/>
      </c>
      <c r="F5094" s="1" t="str">
        <f>IF(OR(C5094="",NOT(ISNUMBER(SEARCH("Package",D5094)))),"",VLOOKUP(C5094,'Clients List'!$A:$F,4,FALSE)-SUMIFS($E$2:$E5094,$C$2:$C5094,C5094,$D$2:$D5094,"*Package*"))</f>
        <v/>
      </c>
      <c r="G5094" t="str">
        <f t="shared" si="112"/>
        <v/>
      </c>
      <c r="H5094" s="33">
        <f>IF(ISNUMBER(SEARCH("Group",D5094)),IF(G5094="",E5094,IFERROR(E5094/COUNTIF($G2:$G6000,G5094),E5094)),E5094)</f>
        <v>0</v>
      </c>
      <c r="I5094" s="1" t="str">
        <f>IFERROR(VLOOKUP(C5094,'Clients List'!A:F,6,FALSE),"")</f>
        <v/>
      </c>
    </row>
    <row r="5095" spans="4:9" x14ac:dyDescent="0.45">
      <c r="D5095" t="str">
        <f>IFERROR(VLOOKUP(C5095,'Clients List'!$A:$F,2,FALSE),"")</f>
        <v/>
      </c>
      <c r="F5095" s="1" t="str">
        <f>IF(OR(C5095="",NOT(ISNUMBER(SEARCH("Package",D5095)))),"",VLOOKUP(C5095,'Clients List'!$A:$F,4,FALSE)-SUMIFS($E$2:$E5095,$C$2:$C5095,C5095,$D$2:$D5095,"*Package*"))</f>
        <v/>
      </c>
      <c r="G5095" t="str">
        <f t="shared" si="112"/>
        <v/>
      </c>
      <c r="H5095" s="33">
        <f>IF(ISNUMBER(SEARCH("Group",D5095)),IF(G5095="",E5095,IFERROR(E5095/COUNTIF($G2:$G6000,G5095),E5095)),E5095)</f>
        <v>0</v>
      </c>
      <c r="I5095" s="1" t="str">
        <f>IFERROR(VLOOKUP(C5095,'Clients List'!A:F,6,FALSE),"")</f>
        <v/>
      </c>
    </row>
    <row r="5096" spans="4:9" x14ac:dyDescent="0.45">
      <c r="D5096" t="str">
        <f>IFERROR(VLOOKUP(C5096,'Clients List'!$A:$F,2,FALSE),"")</f>
        <v/>
      </c>
      <c r="F5096" s="1" t="str">
        <f>IF(OR(C5096="",NOT(ISNUMBER(SEARCH("Package",D5096)))),"",VLOOKUP(C5096,'Clients List'!$A:$F,4,FALSE)-SUMIFS($E$2:$E5096,$C$2:$C5096,C5096,$D$2:$D5096,"*Package*"))</f>
        <v/>
      </c>
      <c r="G5096" t="str">
        <f t="shared" si="112"/>
        <v/>
      </c>
      <c r="H5096" s="33">
        <f>IF(ISNUMBER(SEARCH("Group",D5096)),IF(G5096="",E5096,IFERROR(E5096/COUNTIF($G2:$G6000,G5096),E5096)),E5096)</f>
        <v>0</v>
      </c>
      <c r="I5096" s="1" t="str">
        <f>IFERROR(VLOOKUP(C5096,'Clients List'!A:F,6,FALSE),"")</f>
        <v/>
      </c>
    </row>
    <row r="5097" spans="4:9" x14ac:dyDescent="0.45">
      <c r="D5097" t="str">
        <f>IFERROR(VLOOKUP(C5097,'Clients List'!$A:$F,2,FALSE),"")</f>
        <v/>
      </c>
      <c r="F5097" s="1" t="str">
        <f>IF(OR(C5097="",NOT(ISNUMBER(SEARCH("Package",D5097)))),"",VLOOKUP(C5097,'Clients List'!$A:$F,4,FALSE)-SUMIFS($E$2:$E5097,$C$2:$C5097,C5097,$D$2:$D5097,"*Package*"))</f>
        <v/>
      </c>
      <c r="G5097" t="str">
        <f t="shared" si="112"/>
        <v/>
      </c>
      <c r="H5097" s="33">
        <f>IF(ISNUMBER(SEARCH("Group",D5097)),IF(G5097="",E5097,IFERROR(E5097/COUNTIF($G2:$G6000,G5097),E5097)),E5097)</f>
        <v>0</v>
      </c>
      <c r="I5097" s="1" t="str">
        <f>IFERROR(VLOOKUP(C5097,'Clients List'!A:F,6,FALSE),"")</f>
        <v/>
      </c>
    </row>
    <row r="5098" spans="4:9" x14ac:dyDescent="0.45">
      <c r="D5098" t="str">
        <f>IFERROR(VLOOKUP(C5098,'Clients List'!$A:$F,2,FALSE),"")</f>
        <v/>
      </c>
      <c r="F5098" s="1" t="str">
        <f>IF(OR(C5098="",NOT(ISNUMBER(SEARCH("Package",D5098)))),"",VLOOKUP(C5098,'Clients List'!$A:$F,4,FALSE)-SUMIFS($E$2:$E5098,$C$2:$C5098,C5098,$D$2:$D5098,"*Package*"))</f>
        <v/>
      </c>
      <c r="G5098" t="str">
        <f t="shared" si="112"/>
        <v/>
      </c>
      <c r="H5098" s="33">
        <f>IF(ISNUMBER(SEARCH("Group",D5098)),IF(G5098="",E5098,IFERROR(E5098/COUNTIF($G2:$G6000,G5098),E5098)),E5098)</f>
        <v>0</v>
      </c>
      <c r="I5098" s="1" t="str">
        <f>IFERROR(VLOOKUP(C5098,'Clients List'!A:F,6,FALSE),"")</f>
        <v/>
      </c>
    </row>
    <row r="5099" spans="4:9" x14ac:dyDescent="0.45">
      <c r="D5099" t="str">
        <f>IFERROR(VLOOKUP(C5099,'Clients List'!$A:$F,2,FALSE),"")</f>
        <v/>
      </c>
      <c r="F5099" s="1" t="str">
        <f>IF(OR(C5099="",NOT(ISNUMBER(SEARCH("Package",D5099)))),"",VLOOKUP(C5099,'Clients List'!$A:$F,4,FALSE)-SUMIFS($E$2:$E5099,$C$2:$C5099,C5099,$D$2:$D5099,"*Package*"))</f>
        <v/>
      </c>
      <c r="G5099" t="str">
        <f t="shared" si="112"/>
        <v/>
      </c>
      <c r="H5099" s="33">
        <f>IF(ISNUMBER(SEARCH("Group",D5099)),IF(G5099="",E5099,IFERROR(E5099/COUNTIF($G2:$G6000,G5099),E5099)),E5099)</f>
        <v>0</v>
      </c>
      <c r="I5099" s="1" t="str">
        <f>IFERROR(VLOOKUP(C5099,'Clients List'!A:F,6,FALSE),"")</f>
        <v/>
      </c>
    </row>
    <row r="5100" spans="4:9" x14ac:dyDescent="0.45">
      <c r="D5100" t="str">
        <f>IFERROR(VLOOKUP(C5100,'Clients List'!$A:$F,2,FALSE),"")</f>
        <v/>
      </c>
      <c r="F5100" s="1" t="str">
        <f>IF(OR(C5100="",NOT(ISNUMBER(SEARCH("Package",D5100)))),"",VLOOKUP(C5100,'Clients List'!$A:$F,4,FALSE)-SUMIFS($E$2:$E5100,$C$2:$C5100,C5100,$D$2:$D5100,"*Package*"))</f>
        <v/>
      </c>
      <c r="G5100" t="str">
        <f t="shared" si="112"/>
        <v/>
      </c>
      <c r="H5100" s="33">
        <f>IF(ISNUMBER(SEARCH("Group",D5100)),IF(G5100="",E5100,IFERROR(E5100/COUNTIF($G2:$G6000,G5100),E5100)),E5100)</f>
        <v>0</v>
      </c>
      <c r="I5100" s="1" t="str">
        <f>IFERROR(VLOOKUP(C5100,'Clients List'!A:F,6,FALSE),"")</f>
        <v/>
      </c>
    </row>
    <row r="5101" spans="4:9" x14ac:dyDescent="0.45">
      <c r="D5101" t="str">
        <f>IFERROR(VLOOKUP(C5101,'Clients List'!$A:$F,2,FALSE),"")</f>
        <v/>
      </c>
      <c r="F5101" s="1" t="str">
        <f>IF(OR(C5101="",NOT(ISNUMBER(SEARCH("Package",D5101)))),"",VLOOKUP(C5101,'Clients List'!$A:$F,4,FALSE)-SUMIFS($E$2:$E5101,$C$2:$C5101,C5101,$D$2:$D5101,"*Package*"))</f>
        <v/>
      </c>
      <c r="G5101" t="str">
        <f t="shared" si="112"/>
        <v/>
      </c>
      <c r="H5101" s="33">
        <f>IF(ISNUMBER(SEARCH("Group",D5101)),IF(G5101="",E5101,IFERROR(E5101/COUNTIF($G2:$G6000,G5101),E5101)),E5101)</f>
        <v>0</v>
      </c>
      <c r="I5101" s="1" t="str">
        <f>IFERROR(VLOOKUP(C5101,'Clients List'!A:F,6,FALSE),"")</f>
        <v/>
      </c>
    </row>
    <row r="5102" spans="4:9" x14ac:dyDescent="0.45">
      <c r="D5102" t="str">
        <f>IFERROR(VLOOKUP(C5102,'Clients List'!$A:$F,2,FALSE),"")</f>
        <v/>
      </c>
      <c r="F5102" s="1" t="str">
        <f>IF(OR(C5102="",NOT(ISNUMBER(SEARCH("Package",D5102)))),"",VLOOKUP(C5102,'Clients List'!$A:$F,4,FALSE)-SUMIFS($E$2:$E5102,$C$2:$C5102,C5102,$D$2:$D5102,"*Package*"))</f>
        <v/>
      </c>
      <c r="G5102" t="str">
        <f t="shared" si="112"/>
        <v/>
      </c>
      <c r="H5102" s="33">
        <f>IF(ISNUMBER(SEARCH("Group",D5102)),IF(G5102="",E5102,IFERROR(E5102/COUNTIF($G2:$G6000,G5102),E5102)),E5102)</f>
        <v>0</v>
      </c>
      <c r="I5102" s="1" t="str">
        <f>IFERROR(VLOOKUP(C5102,'Clients List'!A:F,6,FALSE),"")</f>
        <v/>
      </c>
    </row>
    <row r="5103" spans="4:9" x14ac:dyDescent="0.45">
      <c r="D5103" t="str">
        <f>IFERROR(VLOOKUP(C5103,'Clients List'!$A:$F,2,FALSE),"")</f>
        <v/>
      </c>
      <c r="F5103" s="1" t="str">
        <f>IF(OR(C5103="",NOT(ISNUMBER(SEARCH("Package",D5103)))),"",VLOOKUP(C5103,'Clients List'!$A:$F,4,FALSE)-SUMIFS($E$2:$E5103,$C$2:$C5103,C5103,$D$2:$D5103,"*Package*"))</f>
        <v/>
      </c>
      <c r="G5103" t="str">
        <f t="shared" si="112"/>
        <v/>
      </c>
      <c r="H5103" s="33">
        <f>IF(ISNUMBER(SEARCH("Group",D5103)),IF(G5103="",E5103,IFERROR(E5103/COUNTIF($G2:$G6000,G5103),E5103)),E5103)</f>
        <v>0</v>
      </c>
      <c r="I5103" s="1" t="str">
        <f>IFERROR(VLOOKUP(C5103,'Clients List'!A:F,6,FALSE),"")</f>
        <v/>
      </c>
    </row>
    <row r="5104" spans="4:9" x14ac:dyDescent="0.45">
      <c r="D5104" t="str">
        <f>IFERROR(VLOOKUP(C5104,'Clients List'!$A:$F,2,FALSE),"")</f>
        <v/>
      </c>
      <c r="F5104" s="1" t="str">
        <f>IF(OR(C5104="",NOT(ISNUMBER(SEARCH("Package",D5104)))),"",VLOOKUP(C5104,'Clients List'!$A:$F,4,FALSE)-SUMIFS($E$2:$E5104,$C$2:$C5104,C5104,$D$2:$D5104,"*Package*"))</f>
        <v/>
      </c>
      <c r="G5104" t="str">
        <f t="shared" si="112"/>
        <v/>
      </c>
      <c r="H5104" s="33">
        <f>IF(ISNUMBER(SEARCH("Group",D5104)),IF(G5104="",E5104,IFERROR(E5104/COUNTIF($G2:$G6000,G5104),E5104)),E5104)</f>
        <v>0</v>
      </c>
      <c r="I5104" s="1" t="str">
        <f>IFERROR(VLOOKUP(C5104,'Clients List'!A:F,6,FALSE),"")</f>
        <v/>
      </c>
    </row>
    <row r="5105" spans="4:9" x14ac:dyDescent="0.45">
      <c r="D5105" t="str">
        <f>IFERROR(VLOOKUP(C5105,'Clients List'!$A:$F,2,FALSE),"")</f>
        <v/>
      </c>
      <c r="F5105" s="1" t="str">
        <f>IF(OR(C5105="",NOT(ISNUMBER(SEARCH("Package",D5105)))),"",VLOOKUP(C5105,'Clients List'!$A:$F,4,FALSE)-SUMIFS($E$2:$E5105,$C$2:$C5105,C5105,$D$2:$D5105,"*Package*"))</f>
        <v/>
      </c>
      <c r="G5105" t="str">
        <f t="shared" si="112"/>
        <v/>
      </c>
      <c r="H5105" s="33">
        <f>IF(ISNUMBER(SEARCH("Group",D5105)),IF(G5105="",E5105,IFERROR(E5105/COUNTIF($G2:$G6000,G5105),E5105)),E5105)</f>
        <v>0</v>
      </c>
      <c r="I5105" s="1" t="str">
        <f>IFERROR(VLOOKUP(C5105,'Clients List'!A:F,6,FALSE),"")</f>
        <v/>
      </c>
    </row>
    <row r="5106" spans="4:9" x14ac:dyDescent="0.45">
      <c r="D5106" t="str">
        <f>IFERROR(VLOOKUP(C5106,'Clients List'!$A:$F,2,FALSE),"")</f>
        <v/>
      </c>
      <c r="F5106" s="1" t="str">
        <f>IF(OR(C5106="",NOT(ISNUMBER(SEARCH("Package",D5106)))),"",VLOOKUP(C5106,'Clients List'!$A:$F,4,FALSE)-SUMIFS($E$2:$E5106,$C$2:$C5106,C5106,$D$2:$D5106,"*Package*"))</f>
        <v/>
      </c>
      <c r="G5106" t="str">
        <f t="shared" si="112"/>
        <v/>
      </c>
      <c r="H5106" s="33">
        <f>IF(ISNUMBER(SEARCH("Group",D5106)),IF(G5106="",E5106,IFERROR(E5106/COUNTIF($G2:$G6000,G5106),E5106)),E5106)</f>
        <v>0</v>
      </c>
      <c r="I5106" s="1" t="str">
        <f>IFERROR(VLOOKUP(C5106,'Clients List'!A:F,6,FALSE),"")</f>
        <v/>
      </c>
    </row>
    <row r="5107" spans="4:9" x14ac:dyDescent="0.45">
      <c r="D5107" t="str">
        <f>IFERROR(VLOOKUP(C5107,'Clients List'!$A:$F,2,FALSE),"")</f>
        <v/>
      </c>
      <c r="F5107" s="1" t="str">
        <f>IF(OR(C5107="",NOT(ISNUMBER(SEARCH("Package",D5107)))),"",VLOOKUP(C5107,'Clients List'!$A:$F,4,FALSE)-SUMIFS($E$2:$E5107,$C$2:$C5107,C5107,$D$2:$D5107,"*Package*"))</f>
        <v/>
      </c>
      <c r="G5107" t="str">
        <f t="shared" si="112"/>
        <v/>
      </c>
      <c r="H5107" s="33">
        <f>IF(ISNUMBER(SEARCH("Group",D5107)),IF(G5107="",E5107,IFERROR(E5107/COUNTIF($G2:$G6000,G5107),E5107)),E5107)</f>
        <v>0</v>
      </c>
      <c r="I5107" s="1" t="str">
        <f>IFERROR(VLOOKUP(C5107,'Clients List'!A:F,6,FALSE),"")</f>
        <v/>
      </c>
    </row>
    <row r="5108" spans="4:9" x14ac:dyDescent="0.45">
      <c r="D5108" t="str">
        <f>IFERROR(VLOOKUP(C5108,'Clients List'!$A:$F,2,FALSE),"")</f>
        <v/>
      </c>
      <c r="F5108" s="1" t="str">
        <f>IF(OR(C5108="",NOT(ISNUMBER(SEARCH("Package",D5108)))),"",VLOOKUP(C5108,'Clients List'!$A:$F,4,FALSE)-SUMIFS($E$2:$E5108,$C$2:$C5108,C5108,$D$2:$D5108,"*Package*"))</f>
        <v/>
      </c>
      <c r="G5108" t="str">
        <f t="shared" si="112"/>
        <v/>
      </c>
      <c r="H5108" s="33">
        <f>IF(ISNUMBER(SEARCH("Group",D5108)),IF(G5108="",E5108,IFERROR(E5108/COUNTIF($G2:$G6000,G5108),E5108)),E5108)</f>
        <v>0</v>
      </c>
      <c r="I5108" s="1" t="str">
        <f>IFERROR(VLOOKUP(C5108,'Clients List'!A:F,6,FALSE),"")</f>
        <v/>
      </c>
    </row>
    <row r="5109" spans="4:9" x14ac:dyDescent="0.45">
      <c r="D5109" t="str">
        <f>IFERROR(VLOOKUP(C5109,'Clients List'!$A:$F,2,FALSE),"")</f>
        <v/>
      </c>
      <c r="F5109" s="1" t="str">
        <f>IF(OR(C5109="",NOT(ISNUMBER(SEARCH("Package",D5109)))),"",VLOOKUP(C5109,'Clients List'!$A:$F,4,FALSE)-SUMIFS($E$2:$E5109,$C$2:$C5109,C5109,$D$2:$D5109,"*Package*"))</f>
        <v/>
      </c>
      <c r="G5109" t="str">
        <f t="shared" ref="G5109:G5172" si="113">IF(ISNUMBER(SEARCH("Group",D5109)),IFERROR("GRP-"&amp;TEXT(IF(ISNUMBER(A5109),A5109,DATEVALUE(A5109)),"yyyymmdd"),""),"" )</f>
        <v/>
      </c>
      <c r="H5109" s="33">
        <f>IF(ISNUMBER(SEARCH("Group",D5109)),IF(G5109="",E5109,IFERROR(E5109/COUNTIF($G2:$G6000,G5109),E5109)),E5109)</f>
        <v>0</v>
      </c>
      <c r="I5109" s="1" t="str">
        <f>IFERROR(VLOOKUP(C5109,'Clients List'!A:F,6,FALSE),"")</f>
        <v/>
      </c>
    </row>
    <row r="5110" spans="4:9" x14ac:dyDescent="0.45">
      <c r="D5110" t="str">
        <f>IFERROR(VLOOKUP(C5110,'Clients List'!$A:$F,2,FALSE),"")</f>
        <v/>
      </c>
      <c r="F5110" s="1" t="str">
        <f>IF(OR(C5110="",NOT(ISNUMBER(SEARCH("Package",D5110)))),"",VLOOKUP(C5110,'Clients List'!$A:$F,4,FALSE)-SUMIFS($E$2:$E5110,$C$2:$C5110,C5110,$D$2:$D5110,"*Package*"))</f>
        <v/>
      </c>
      <c r="G5110" t="str">
        <f t="shared" si="113"/>
        <v/>
      </c>
      <c r="H5110" s="33">
        <f>IF(ISNUMBER(SEARCH("Group",D5110)),IF(G5110="",E5110,IFERROR(E5110/COUNTIF($G2:$G6000,G5110),E5110)),E5110)</f>
        <v>0</v>
      </c>
      <c r="I5110" s="1" t="str">
        <f>IFERROR(VLOOKUP(C5110,'Clients List'!A:F,6,FALSE),"")</f>
        <v/>
      </c>
    </row>
    <row r="5111" spans="4:9" x14ac:dyDescent="0.45">
      <c r="D5111" t="str">
        <f>IFERROR(VLOOKUP(C5111,'Clients List'!$A:$F,2,FALSE),"")</f>
        <v/>
      </c>
      <c r="F5111" s="1" t="str">
        <f>IF(OR(C5111="",NOT(ISNUMBER(SEARCH("Package",D5111)))),"",VLOOKUP(C5111,'Clients List'!$A:$F,4,FALSE)-SUMIFS($E$2:$E5111,$C$2:$C5111,C5111,$D$2:$D5111,"*Package*"))</f>
        <v/>
      </c>
      <c r="G5111" t="str">
        <f t="shared" si="113"/>
        <v/>
      </c>
      <c r="H5111" s="33">
        <f>IF(ISNUMBER(SEARCH("Group",D5111)),IF(G5111="",E5111,IFERROR(E5111/COUNTIF($G2:$G6000,G5111),E5111)),E5111)</f>
        <v>0</v>
      </c>
      <c r="I5111" s="1" t="str">
        <f>IFERROR(VLOOKUP(C5111,'Clients List'!A:F,6,FALSE),"")</f>
        <v/>
      </c>
    </row>
    <row r="5112" spans="4:9" x14ac:dyDescent="0.45">
      <c r="D5112" t="str">
        <f>IFERROR(VLOOKUP(C5112,'Clients List'!$A:$F,2,FALSE),"")</f>
        <v/>
      </c>
      <c r="F5112" s="1" t="str">
        <f>IF(OR(C5112="",NOT(ISNUMBER(SEARCH("Package",D5112)))),"",VLOOKUP(C5112,'Clients List'!$A:$F,4,FALSE)-SUMIFS($E$2:$E5112,$C$2:$C5112,C5112,$D$2:$D5112,"*Package*"))</f>
        <v/>
      </c>
      <c r="G5112" t="str">
        <f t="shared" si="113"/>
        <v/>
      </c>
      <c r="H5112" s="33">
        <f>IF(ISNUMBER(SEARCH("Group",D5112)),IF(G5112="",E5112,IFERROR(E5112/COUNTIF($G2:$G6000,G5112),E5112)),E5112)</f>
        <v>0</v>
      </c>
      <c r="I5112" s="1" t="str">
        <f>IFERROR(VLOOKUP(C5112,'Clients List'!A:F,6,FALSE),"")</f>
        <v/>
      </c>
    </row>
    <row r="5113" spans="4:9" x14ac:dyDescent="0.45">
      <c r="D5113" t="str">
        <f>IFERROR(VLOOKUP(C5113,'Clients List'!$A:$F,2,FALSE),"")</f>
        <v/>
      </c>
      <c r="F5113" s="1" t="str">
        <f>IF(OR(C5113="",NOT(ISNUMBER(SEARCH("Package",D5113)))),"",VLOOKUP(C5113,'Clients List'!$A:$F,4,FALSE)-SUMIFS($E$2:$E5113,$C$2:$C5113,C5113,$D$2:$D5113,"*Package*"))</f>
        <v/>
      </c>
      <c r="G5113" t="str">
        <f t="shared" si="113"/>
        <v/>
      </c>
      <c r="H5113" s="33">
        <f>IF(ISNUMBER(SEARCH("Group",D5113)),IF(G5113="",E5113,IFERROR(E5113/COUNTIF($G2:$G6000,G5113),E5113)),E5113)</f>
        <v>0</v>
      </c>
      <c r="I5113" s="1" t="str">
        <f>IFERROR(VLOOKUP(C5113,'Clients List'!A:F,6,FALSE),"")</f>
        <v/>
      </c>
    </row>
    <row r="5114" spans="4:9" x14ac:dyDescent="0.45">
      <c r="D5114" t="str">
        <f>IFERROR(VLOOKUP(C5114,'Clients List'!$A:$F,2,FALSE),"")</f>
        <v/>
      </c>
      <c r="F5114" s="1" t="str">
        <f>IF(OR(C5114="",NOT(ISNUMBER(SEARCH("Package",D5114)))),"",VLOOKUP(C5114,'Clients List'!$A:$F,4,FALSE)-SUMIFS($E$2:$E5114,$C$2:$C5114,C5114,$D$2:$D5114,"*Package*"))</f>
        <v/>
      </c>
      <c r="G5114" t="str">
        <f t="shared" si="113"/>
        <v/>
      </c>
      <c r="H5114" s="33">
        <f>IF(ISNUMBER(SEARCH("Group",D5114)),IF(G5114="",E5114,IFERROR(E5114/COUNTIF($G2:$G6000,G5114),E5114)),E5114)</f>
        <v>0</v>
      </c>
      <c r="I5114" s="1" t="str">
        <f>IFERROR(VLOOKUP(C5114,'Clients List'!A:F,6,FALSE),"")</f>
        <v/>
      </c>
    </row>
    <row r="5115" spans="4:9" x14ac:dyDescent="0.45">
      <c r="D5115" t="str">
        <f>IFERROR(VLOOKUP(C5115,'Clients List'!$A:$F,2,FALSE),"")</f>
        <v/>
      </c>
      <c r="F5115" s="1" t="str">
        <f>IF(OR(C5115="",NOT(ISNUMBER(SEARCH("Package",D5115)))),"",VLOOKUP(C5115,'Clients List'!$A:$F,4,FALSE)-SUMIFS($E$2:$E5115,$C$2:$C5115,C5115,$D$2:$D5115,"*Package*"))</f>
        <v/>
      </c>
      <c r="G5115" t="str">
        <f t="shared" si="113"/>
        <v/>
      </c>
      <c r="H5115" s="33">
        <f>IF(ISNUMBER(SEARCH("Group",D5115)),IF(G5115="",E5115,IFERROR(E5115/COUNTIF($G2:$G6000,G5115),E5115)),E5115)</f>
        <v>0</v>
      </c>
      <c r="I5115" s="1" t="str">
        <f>IFERROR(VLOOKUP(C5115,'Clients List'!A:F,6,FALSE),"")</f>
        <v/>
      </c>
    </row>
    <row r="5116" spans="4:9" x14ac:dyDescent="0.45">
      <c r="D5116" t="str">
        <f>IFERROR(VLOOKUP(C5116,'Clients List'!$A:$F,2,FALSE),"")</f>
        <v/>
      </c>
      <c r="F5116" s="1" t="str">
        <f>IF(OR(C5116="",NOT(ISNUMBER(SEARCH("Package",D5116)))),"",VLOOKUP(C5116,'Clients List'!$A:$F,4,FALSE)-SUMIFS($E$2:$E5116,$C$2:$C5116,C5116,$D$2:$D5116,"*Package*"))</f>
        <v/>
      </c>
      <c r="G5116" t="str">
        <f t="shared" si="113"/>
        <v/>
      </c>
      <c r="H5116" s="33">
        <f>IF(ISNUMBER(SEARCH("Group",D5116)),IF(G5116="",E5116,IFERROR(E5116/COUNTIF($G2:$G6000,G5116),E5116)),E5116)</f>
        <v>0</v>
      </c>
      <c r="I5116" s="1" t="str">
        <f>IFERROR(VLOOKUP(C5116,'Clients List'!A:F,6,FALSE),"")</f>
        <v/>
      </c>
    </row>
    <row r="5117" spans="4:9" x14ac:dyDescent="0.45">
      <c r="D5117" t="str">
        <f>IFERROR(VLOOKUP(C5117,'Clients List'!$A:$F,2,FALSE),"")</f>
        <v/>
      </c>
      <c r="F5117" s="1" t="str">
        <f>IF(OR(C5117="",NOT(ISNUMBER(SEARCH("Package",D5117)))),"",VLOOKUP(C5117,'Clients List'!$A:$F,4,FALSE)-SUMIFS($E$2:$E5117,$C$2:$C5117,C5117,$D$2:$D5117,"*Package*"))</f>
        <v/>
      </c>
      <c r="G5117" t="str">
        <f t="shared" si="113"/>
        <v/>
      </c>
      <c r="H5117" s="33">
        <f>IF(ISNUMBER(SEARCH("Group",D5117)),IF(G5117="",E5117,IFERROR(E5117/COUNTIF($G2:$G6000,G5117),E5117)),E5117)</f>
        <v>0</v>
      </c>
      <c r="I5117" s="1" t="str">
        <f>IFERROR(VLOOKUP(C5117,'Clients List'!A:F,6,FALSE),"")</f>
        <v/>
      </c>
    </row>
    <row r="5118" spans="4:9" x14ac:dyDescent="0.45">
      <c r="D5118" t="str">
        <f>IFERROR(VLOOKUP(C5118,'Clients List'!$A:$F,2,FALSE),"")</f>
        <v/>
      </c>
      <c r="F5118" s="1" t="str">
        <f>IF(OR(C5118="",NOT(ISNUMBER(SEARCH("Package",D5118)))),"",VLOOKUP(C5118,'Clients List'!$A:$F,4,FALSE)-SUMIFS($E$2:$E5118,$C$2:$C5118,C5118,$D$2:$D5118,"*Package*"))</f>
        <v/>
      </c>
      <c r="G5118" t="str">
        <f t="shared" si="113"/>
        <v/>
      </c>
      <c r="H5118" s="33">
        <f>IF(ISNUMBER(SEARCH("Group",D5118)),IF(G5118="",E5118,IFERROR(E5118/COUNTIF($G2:$G6000,G5118),E5118)),E5118)</f>
        <v>0</v>
      </c>
      <c r="I5118" s="1" t="str">
        <f>IFERROR(VLOOKUP(C5118,'Clients List'!A:F,6,FALSE),"")</f>
        <v/>
      </c>
    </row>
    <row r="5119" spans="4:9" x14ac:dyDescent="0.45">
      <c r="D5119" t="str">
        <f>IFERROR(VLOOKUP(C5119,'Clients List'!$A:$F,2,FALSE),"")</f>
        <v/>
      </c>
      <c r="F5119" s="1" t="str">
        <f>IF(OR(C5119="",NOT(ISNUMBER(SEARCH("Package",D5119)))),"",VLOOKUP(C5119,'Clients List'!$A:$F,4,FALSE)-SUMIFS($E$2:$E5119,$C$2:$C5119,C5119,$D$2:$D5119,"*Package*"))</f>
        <v/>
      </c>
      <c r="G5119" t="str">
        <f t="shared" si="113"/>
        <v/>
      </c>
      <c r="H5119" s="33">
        <f>IF(ISNUMBER(SEARCH("Group",D5119)),IF(G5119="",E5119,IFERROR(E5119/COUNTIF($G2:$G6000,G5119),E5119)),E5119)</f>
        <v>0</v>
      </c>
      <c r="I5119" s="1" t="str">
        <f>IFERROR(VLOOKUP(C5119,'Clients List'!A:F,6,FALSE),"")</f>
        <v/>
      </c>
    </row>
    <row r="5120" spans="4:9" x14ac:dyDescent="0.45">
      <c r="D5120" t="str">
        <f>IFERROR(VLOOKUP(C5120,'Clients List'!$A:$F,2,FALSE),"")</f>
        <v/>
      </c>
      <c r="F5120" s="1" t="str">
        <f>IF(OR(C5120="",NOT(ISNUMBER(SEARCH("Package",D5120)))),"",VLOOKUP(C5120,'Clients List'!$A:$F,4,FALSE)-SUMIFS($E$2:$E5120,$C$2:$C5120,C5120,$D$2:$D5120,"*Package*"))</f>
        <v/>
      </c>
      <c r="G5120" t="str">
        <f t="shared" si="113"/>
        <v/>
      </c>
      <c r="H5120" s="33">
        <f>IF(ISNUMBER(SEARCH("Group",D5120)),IF(G5120="",E5120,IFERROR(E5120/COUNTIF($G2:$G6000,G5120),E5120)),E5120)</f>
        <v>0</v>
      </c>
      <c r="I5120" s="1" t="str">
        <f>IFERROR(VLOOKUP(C5120,'Clients List'!A:F,6,FALSE),"")</f>
        <v/>
      </c>
    </row>
    <row r="5121" spans="4:9" x14ac:dyDescent="0.45">
      <c r="D5121" t="str">
        <f>IFERROR(VLOOKUP(C5121,'Clients List'!$A:$F,2,FALSE),"")</f>
        <v/>
      </c>
      <c r="F5121" s="1" t="str">
        <f>IF(OR(C5121="",NOT(ISNUMBER(SEARCH("Package",D5121)))),"",VLOOKUP(C5121,'Clients List'!$A:$F,4,FALSE)-SUMIFS($E$2:$E5121,$C$2:$C5121,C5121,$D$2:$D5121,"*Package*"))</f>
        <v/>
      </c>
      <c r="G5121" t="str">
        <f t="shared" si="113"/>
        <v/>
      </c>
      <c r="H5121" s="33">
        <f>IF(ISNUMBER(SEARCH("Group",D5121)),IF(G5121="",E5121,IFERROR(E5121/COUNTIF($G2:$G6000,G5121),E5121)),E5121)</f>
        <v>0</v>
      </c>
      <c r="I5121" s="1" t="str">
        <f>IFERROR(VLOOKUP(C5121,'Clients List'!A:F,6,FALSE),"")</f>
        <v/>
      </c>
    </row>
    <row r="5122" spans="4:9" x14ac:dyDescent="0.45">
      <c r="D5122" t="str">
        <f>IFERROR(VLOOKUP(C5122,'Clients List'!$A:$F,2,FALSE),"")</f>
        <v/>
      </c>
      <c r="F5122" s="1" t="str">
        <f>IF(OR(C5122="",NOT(ISNUMBER(SEARCH("Package",D5122)))),"",VLOOKUP(C5122,'Clients List'!$A:$F,4,FALSE)-SUMIFS($E$2:$E5122,$C$2:$C5122,C5122,$D$2:$D5122,"*Package*"))</f>
        <v/>
      </c>
      <c r="G5122" t="str">
        <f t="shared" si="113"/>
        <v/>
      </c>
      <c r="H5122" s="33">
        <f>IF(ISNUMBER(SEARCH("Group",D5122)),IF(G5122="",E5122,IFERROR(E5122/COUNTIF($G2:$G6000,G5122),E5122)),E5122)</f>
        <v>0</v>
      </c>
      <c r="I5122" s="1" t="str">
        <f>IFERROR(VLOOKUP(C5122,'Clients List'!A:F,6,FALSE),"")</f>
        <v/>
      </c>
    </row>
    <row r="5123" spans="4:9" x14ac:dyDescent="0.45">
      <c r="D5123" t="str">
        <f>IFERROR(VLOOKUP(C5123,'Clients List'!$A:$F,2,FALSE),"")</f>
        <v/>
      </c>
      <c r="F5123" s="1" t="str">
        <f>IF(OR(C5123="",NOT(ISNUMBER(SEARCH("Package",D5123)))),"",VLOOKUP(C5123,'Clients List'!$A:$F,4,FALSE)-SUMIFS($E$2:$E5123,$C$2:$C5123,C5123,$D$2:$D5123,"*Package*"))</f>
        <v/>
      </c>
      <c r="G5123" t="str">
        <f t="shared" si="113"/>
        <v/>
      </c>
      <c r="H5123" s="33">
        <f>IF(ISNUMBER(SEARCH("Group",D5123)),IF(G5123="",E5123,IFERROR(E5123/COUNTIF($G2:$G6000,G5123),E5123)),E5123)</f>
        <v>0</v>
      </c>
      <c r="I5123" s="1" t="str">
        <f>IFERROR(VLOOKUP(C5123,'Clients List'!A:F,6,FALSE),"")</f>
        <v/>
      </c>
    </row>
    <row r="5124" spans="4:9" x14ac:dyDescent="0.45">
      <c r="D5124" t="str">
        <f>IFERROR(VLOOKUP(C5124,'Clients List'!$A:$F,2,FALSE),"")</f>
        <v/>
      </c>
      <c r="F5124" s="1" t="str">
        <f>IF(OR(C5124="",NOT(ISNUMBER(SEARCH("Package",D5124)))),"",VLOOKUP(C5124,'Clients List'!$A:$F,4,FALSE)-SUMIFS($E$2:$E5124,$C$2:$C5124,C5124,$D$2:$D5124,"*Package*"))</f>
        <v/>
      </c>
      <c r="G5124" t="str">
        <f t="shared" si="113"/>
        <v/>
      </c>
      <c r="H5124" s="33">
        <f>IF(ISNUMBER(SEARCH("Group",D5124)),IF(G5124="",E5124,IFERROR(E5124/COUNTIF($G2:$G6000,G5124),E5124)),E5124)</f>
        <v>0</v>
      </c>
      <c r="I5124" s="1" t="str">
        <f>IFERROR(VLOOKUP(C5124,'Clients List'!A:F,6,FALSE),"")</f>
        <v/>
      </c>
    </row>
    <row r="5125" spans="4:9" x14ac:dyDescent="0.45">
      <c r="D5125" t="str">
        <f>IFERROR(VLOOKUP(C5125,'Clients List'!$A:$F,2,FALSE),"")</f>
        <v/>
      </c>
      <c r="F5125" s="1" t="str">
        <f>IF(OR(C5125="",NOT(ISNUMBER(SEARCH("Package",D5125)))),"",VLOOKUP(C5125,'Clients List'!$A:$F,4,FALSE)-SUMIFS($E$2:$E5125,$C$2:$C5125,C5125,$D$2:$D5125,"*Package*"))</f>
        <v/>
      </c>
      <c r="G5125" t="str">
        <f t="shared" si="113"/>
        <v/>
      </c>
      <c r="H5125" s="33">
        <f>IF(ISNUMBER(SEARCH("Group",D5125)),IF(G5125="",E5125,IFERROR(E5125/COUNTIF($G2:$G6000,G5125),E5125)),E5125)</f>
        <v>0</v>
      </c>
      <c r="I5125" s="1" t="str">
        <f>IFERROR(VLOOKUP(C5125,'Clients List'!A:F,6,FALSE),"")</f>
        <v/>
      </c>
    </row>
    <row r="5126" spans="4:9" x14ac:dyDescent="0.45">
      <c r="D5126" t="str">
        <f>IFERROR(VLOOKUP(C5126,'Clients List'!$A:$F,2,FALSE),"")</f>
        <v/>
      </c>
      <c r="F5126" s="1" t="str">
        <f>IF(OR(C5126="",NOT(ISNUMBER(SEARCH("Package",D5126)))),"",VLOOKUP(C5126,'Clients List'!$A:$F,4,FALSE)-SUMIFS($E$2:$E5126,$C$2:$C5126,C5126,$D$2:$D5126,"*Package*"))</f>
        <v/>
      </c>
      <c r="G5126" t="str">
        <f t="shared" si="113"/>
        <v/>
      </c>
      <c r="H5126" s="33">
        <f>IF(ISNUMBER(SEARCH("Group",D5126)),IF(G5126="",E5126,IFERROR(E5126/COUNTIF($G2:$G6000,G5126),E5126)),E5126)</f>
        <v>0</v>
      </c>
      <c r="I5126" s="1" t="str">
        <f>IFERROR(VLOOKUP(C5126,'Clients List'!A:F,6,FALSE),"")</f>
        <v/>
      </c>
    </row>
    <row r="5127" spans="4:9" x14ac:dyDescent="0.45">
      <c r="D5127" t="str">
        <f>IFERROR(VLOOKUP(C5127,'Clients List'!$A:$F,2,FALSE),"")</f>
        <v/>
      </c>
      <c r="F5127" s="1" t="str">
        <f>IF(OR(C5127="",NOT(ISNUMBER(SEARCH("Package",D5127)))),"",VLOOKUP(C5127,'Clients List'!$A:$F,4,FALSE)-SUMIFS($E$2:$E5127,$C$2:$C5127,C5127,$D$2:$D5127,"*Package*"))</f>
        <v/>
      </c>
      <c r="G5127" t="str">
        <f t="shared" si="113"/>
        <v/>
      </c>
      <c r="H5127" s="33">
        <f>IF(ISNUMBER(SEARCH("Group",D5127)),IF(G5127="",E5127,IFERROR(E5127/COUNTIF($G2:$G6000,G5127),E5127)),E5127)</f>
        <v>0</v>
      </c>
      <c r="I5127" s="1" t="str">
        <f>IFERROR(VLOOKUP(C5127,'Clients List'!A:F,6,FALSE),"")</f>
        <v/>
      </c>
    </row>
    <row r="5128" spans="4:9" x14ac:dyDescent="0.45">
      <c r="D5128" t="str">
        <f>IFERROR(VLOOKUP(C5128,'Clients List'!$A:$F,2,FALSE),"")</f>
        <v/>
      </c>
      <c r="F5128" s="1" t="str">
        <f>IF(OR(C5128="",NOT(ISNUMBER(SEARCH("Package",D5128)))),"",VLOOKUP(C5128,'Clients List'!$A:$F,4,FALSE)-SUMIFS($E$2:$E5128,$C$2:$C5128,C5128,$D$2:$D5128,"*Package*"))</f>
        <v/>
      </c>
      <c r="G5128" t="str">
        <f t="shared" si="113"/>
        <v/>
      </c>
      <c r="H5128" s="33">
        <f>IF(ISNUMBER(SEARCH("Group",D5128)),IF(G5128="",E5128,IFERROR(E5128/COUNTIF($G2:$G6000,G5128),E5128)),E5128)</f>
        <v>0</v>
      </c>
      <c r="I5128" s="1" t="str">
        <f>IFERROR(VLOOKUP(C5128,'Clients List'!A:F,6,FALSE),"")</f>
        <v/>
      </c>
    </row>
    <row r="5129" spans="4:9" x14ac:dyDescent="0.45">
      <c r="D5129" t="str">
        <f>IFERROR(VLOOKUP(C5129,'Clients List'!$A:$F,2,FALSE),"")</f>
        <v/>
      </c>
      <c r="F5129" s="1" t="str">
        <f>IF(OR(C5129="",NOT(ISNUMBER(SEARCH("Package",D5129)))),"",VLOOKUP(C5129,'Clients List'!$A:$F,4,FALSE)-SUMIFS($E$2:$E5129,$C$2:$C5129,C5129,$D$2:$D5129,"*Package*"))</f>
        <v/>
      </c>
      <c r="G5129" t="str">
        <f t="shared" si="113"/>
        <v/>
      </c>
      <c r="H5129" s="33">
        <f>IF(ISNUMBER(SEARCH("Group",D5129)),IF(G5129="",E5129,IFERROR(E5129/COUNTIF($G2:$G6000,G5129),E5129)),E5129)</f>
        <v>0</v>
      </c>
      <c r="I5129" s="1" t="str">
        <f>IFERROR(VLOOKUP(C5129,'Clients List'!A:F,6,FALSE),"")</f>
        <v/>
      </c>
    </row>
    <row r="5130" spans="4:9" x14ac:dyDescent="0.45">
      <c r="D5130" t="str">
        <f>IFERROR(VLOOKUP(C5130,'Clients List'!$A:$F,2,FALSE),"")</f>
        <v/>
      </c>
      <c r="F5130" s="1" t="str">
        <f>IF(OR(C5130="",NOT(ISNUMBER(SEARCH("Package",D5130)))),"",VLOOKUP(C5130,'Clients List'!$A:$F,4,FALSE)-SUMIFS($E$2:$E5130,$C$2:$C5130,C5130,$D$2:$D5130,"*Package*"))</f>
        <v/>
      </c>
      <c r="G5130" t="str">
        <f t="shared" si="113"/>
        <v/>
      </c>
      <c r="H5130" s="33">
        <f>IF(ISNUMBER(SEARCH("Group",D5130)),IF(G5130="",E5130,IFERROR(E5130/COUNTIF($G2:$G6000,G5130),E5130)),E5130)</f>
        <v>0</v>
      </c>
      <c r="I5130" s="1" t="str">
        <f>IFERROR(VLOOKUP(C5130,'Clients List'!A:F,6,FALSE),"")</f>
        <v/>
      </c>
    </row>
    <row r="5131" spans="4:9" x14ac:dyDescent="0.45">
      <c r="D5131" t="str">
        <f>IFERROR(VLOOKUP(C5131,'Clients List'!$A:$F,2,FALSE),"")</f>
        <v/>
      </c>
      <c r="F5131" s="1" t="str">
        <f>IF(OR(C5131="",NOT(ISNUMBER(SEARCH("Package",D5131)))),"",VLOOKUP(C5131,'Clients List'!$A:$F,4,FALSE)-SUMIFS($E$2:$E5131,$C$2:$C5131,C5131,$D$2:$D5131,"*Package*"))</f>
        <v/>
      </c>
      <c r="G5131" t="str">
        <f t="shared" si="113"/>
        <v/>
      </c>
      <c r="H5131" s="33">
        <f>IF(ISNUMBER(SEARCH("Group",D5131)),IF(G5131="",E5131,IFERROR(E5131/COUNTIF($G2:$G6000,G5131),E5131)),E5131)</f>
        <v>0</v>
      </c>
      <c r="I5131" s="1" t="str">
        <f>IFERROR(VLOOKUP(C5131,'Clients List'!A:F,6,FALSE),"")</f>
        <v/>
      </c>
    </row>
    <row r="5132" spans="4:9" x14ac:dyDescent="0.45">
      <c r="D5132" t="str">
        <f>IFERROR(VLOOKUP(C5132,'Clients List'!$A:$F,2,FALSE),"")</f>
        <v/>
      </c>
      <c r="F5132" s="1" t="str">
        <f>IF(OR(C5132="",NOT(ISNUMBER(SEARCH("Package",D5132)))),"",VLOOKUP(C5132,'Clients List'!$A:$F,4,FALSE)-SUMIFS($E$2:$E5132,$C$2:$C5132,C5132,$D$2:$D5132,"*Package*"))</f>
        <v/>
      </c>
      <c r="G5132" t="str">
        <f t="shared" si="113"/>
        <v/>
      </c>
      <c r="H5132" s="33">
        <f>IF(ISNUMBER(SEARCH("Group",D5132)),IF(G5132="",E5132,IFERROR(E5132/COUNTIF($G2:$G6000,G5132),E5132)),E5132)</f>
        <v>0</v>
      </c>
      <c r="I5132" s="1" t="str">
        <f>IFERROR(VLOOKUP(C5132,'Clients List'!A:F,6,FALSE),"")</f>
        <v/>
      </c>
    </row>
    <row r="5133" spans="4:9" x14ac:dyDescent="0.45">
      <c r="D5133" t="str">
        <f>IFERROR(VLOOKUP(C5133,'Clients List'!$A:$F,2,FALSE),"")</f>
        <v/>
      </c>
      <c r="F5133" s="1" t="str">
        <f>IF(OR(C5133="",NOT(ISNUMBER(SEARCH("Package",D5133)))),"",VLOOKUP(C5133,'Clients List'!$A:$F,4,FALSE)-SUMIFS($E$2:$E5133,$C$2:$C5133,C5133,$D$2:$D5133,"*Package*"))</f>
        <v/>
      </c>
      <c r="G5133" t="str">
        <f t="shared" si="113"/>
        <v/>
      </c>
      <c r="H5133" s="33">
        <f>IF(ISNUMBER(SEARCH("Group",D5133)),IF(G5133="",E5133,IFERROR(E5133/COUNTIF($G2:$G6000,G5133),E5133)),E5133)</f>
        <v>0</v>
      </c>
      <c r="I5133" s="1" t="str">
        <f>IFERROR(VLOOKUP(C5133,'Clients List'!A:F,6,FALSE),"")</f>
        <v/>
      </c>
    </row>
    <row r="5134" spans="4:9" x14ac:dyDescent="0.45">
      <c r="D5134" t="str">
        <f>IFERROR(VLOOKUP(C5134,'Clients List'!$A:$F,2,FALSE),"")</f>
        <v/>
      </c>
      <c r="F5134" s="1" t="str">
        <f>IF(OR(C5134="",NOT(ISNUMBER(SEARCH("Package",D5134)))),"",VLOOKUP(C5134,'Clients List'!$A:$F,4,FALSE)-SUMIFS($E$2:$E5134,$C$2:$C5134,C5134,$D$2:$D5134,"*Package*"))</f>
        <v/>
      </c>
      <c r="G5134" t="str">
        <f t="shared" si="113"/>
        <v/>
      </c>
      <c r="H5134" s="33">
        <f>IF(ISNUMBER(SEARCH("Group",D5134)),IF(G5134="",E5134,IFERROR(E5134/COUNTIF($G2:$G6000,G5134),E5134)),E5134)</f>
        <v>0</v>
      </c>
      <c r="I5134" s="1" t="str">
        <f>IFERROR(VLOOKUP(C5134,'Clients List'!A:F,6,FALSE),"")</f>
        <v/>
      </c>
    </row>
    <row r="5135" spans="4:9" x14ac:dyDescent="0.45">
      <c r="D5135" t="str">
        <f>IFERROR(VLOOKUP(C5135,'Clients List'!$A:$F,2,FALSE),"")</f>
        <v/>
      </c>
      <c r="F5135" s="1" t="str">
        <f>IF(OR(C5135="",NOT(ISNUMBER(SEARCH("Package",D5135)))),"",VLOOKUP(C5135,'Clients List'!$A:$F,4,FALSE)-SUMIFS($E$2:$E5135,$C$2:$C5135,C5135,$D$2:$D5135,"*Package*"))</f>
        <v/>
      </c>
      <c r="G5135" t="str">
        <f t="shared" si="113"/>
        <v/>
      </c>
      <c r="H5135" s="33">
        <f>IF(ISNUMBER(SEARCH("Group",D5135)),IF(G5135="",E5135,IFERROR(E5135/COUNTIF($G2:$G6000,G5135),E5135)),E5135)</f>
        <v>0</v>
      </c>
      <c r="I5135" s="1" t="str">
        <f>IFERROR(VLOOKUP(C5135,'Clients List'!A:F,6,FALSE),"")</f>
        <v/>
      </c>
    </row>
    <row r="5136" spans="4:9" x14ac:dyDescent="0.45">
      <c r="D5136" t="str">
        <f>IFERROR(VLOOKUP(C5136,'Clients List'!$A:$F,2,FALSE),"")</f>
        <v/>
      </c>
      <c r="F5136" s="1" t="str">
        <f>IF(OR(C5136="",NOT(ISNUMBER(SEARCH("Package",D5136)))),"",VLOOKUP(C5136,'Clients List'!$A:$F,4,FALSE)-SUMIFS($E$2:$E5136,$C$2:$C5136,C5136,$D$2:$D5136,"*Package*"))</f>
        <v/>
      </c>
      <c r="G5136" t="str">
        <f t="shared" si="113"/>
        <v/>
      </c>
      <c r="H5136" s="33">
        <f>IF(ISNUMBER(SEARCH("Group",D5136)),IF(G5136="",E5136,IFERROR(E5136/COUNTIF($G2:$G6000,G5136),E5136)),E5136)</f>
        <v>0</v>
      </c>
      <c r="I5136" s="1" t="str">
        <f>IFERROR(VLOOKUP(C5136,'Clients List'!A:F,6,FALSE),"")</f>
        <v/>
      </c>
    </row>
    <row r="5137" spans="4:9" x14ac:dyDescent="0.45">
      <c r="D5137" t="str">
        <f>IFERROR(VLOOKUP(C5137,'Clients List'!$A:$F,2,FALSE),"")</f>
        <v/>
      </c>
      <c r="F5137" s="1" t="str">
        <f>IF(OR(C5137="",NOT(ISNUMBER(SEARCH("Package",D5137)))),"",VLOOKUP(C5137,'Clients List'!$A:$F,4,FALSE)-SUMIFS($E$2:$E5137,$C$2:$C5137,C5137,$D$2:$D5137,"*Package*"))</f>
        <v/>
      </c>
      <c r="G5137" t="str">
        <f t="shared" si="113"/>
        <v/>
      </c>
      <c r="H5137" s="33">
        <f>IF(ISNUMBER(SEARCH("Group",D5137)),IF(G5137="",E5137,IFERROR(E5137/COUNTIF($G2:$G6000,G5137),E5137)),E5137)</f>
        <v>0</v>
      </c>
      <c r="I5137" s="1" t="str">
        <f>IFERROR(VLOOKUP(C5137,'Clients List'!A:F,6,FALSE),"")</f>
        <v/>
      </c>
    </row>
    <row r="5138" spans="4:9" x14ac:dyDescent="0.45">
      <c r="D5138" t="str">
        <f>IFERROR(VLOOKUP(C5138,'Clients List'!$A:$F,2,FALSE),"")</f>
        <v/>
      </c>
      <c r="F5138" s="1" t="str">
        <f>IF(OR(C5138="",NOT(ISNUMBER(SEARCH("Package",D5138)))),"",VLOOKUP(C5138,'Clients List'!$A:$F,4,FALSE)-SUMIFS($E$2:$E5138,$C$2:$C5138,C5138,$D$2:$D5138,"*Package*"))</f>
        <v/>
      </c>
      <c r="G5138" t="str">
        <f t="shared" si="113"/>
        <v/>
      </c>
      <c r="H5138" s="33">
        <f>IF(ISNUMBER(SEARCH("Group",D5138)),IF(G5138="",E5138,IFERROR(E5138/COUNTIF($G2:$G6000,G5138),E5138)),E5138)</f>
        <v>0</v>
      </c>
      <c r="I5138" s="1" t="str">
        <f>IFERROR(VLOOKUP(C5138,'Clients List'!A:F,6,FALSE),"")</f>
        <v/>
      </c>
    </row>
    <row r="5139" spans="4:9" x14ac:dyDescent="0.45">
      <c r="D5139" t="str">
        <f>IFERROR(VLOOKUP(C5139,'Clients List'!$A:$F,2,FALSE),"")</f>
        <v/>
      </c>
      <c r="F5139" s="1" t="str">
        <f>IF(OR(C5139="",NOT(ISNUMBER(SEARCH("Package",D5139)))),"",VLOOKUP(C5139,'Clients List'!$A:$F,4,FALSE)-SUMIFS($E$2:$E5139,$C$2:$C5139,C5139,$D$2:$D5139,"*Package*"))</f>
        <v/>
      </c>
      <c r="G5139" t="str">
        <f t="shared" si="113"/>
        <v/>
      </c>
      <c r="H5139" s="33">
        <f>IF(ISNUMBER(SEARCH("Group",D5139)),IF(G5139="",E5139,IFERROR(E5139/COUNTIF($G2:$G6000,G5139),E5139)),E5139)</f>
        <v>0</v>
      </c>
      <c r="I5139" s="1" t="str">
        <f>IFERROR(VLOOKUP(C5139,'Clients List'!A:F,6,FALSE),"")</f>
        <v/>
      </c>
    </row>
    <row r="5140" spans="4:9" x14ac:dyDescent="0.45">
      <c r="D5140" t="str">
        <f>IFERROR(VLOOKUP(C5140,'Clients List'!$A:$F,2,FALSE),"")</f>
        <v/>
      </c>
      <c r="F5140" s="1" t="str">
        <f>IF(OR(C5140="",NOT(ISNUMBER(SEARCH("Package",D5140)))),"",VLOOKUP(C5140,'Clients List'!$A:$F,4,FALSE)-SUMIFS($E$2:$E5140,$C$2:$C5140,C5140,$D$2:$D5140,"*Package*"))</f>
        <v/>
      </c>
      <c r="G5140" t="str">
        <f t="shared" si="113"/>
        <v/>
      </c>
      <c r="H5140" s="33">
        <f>IF(ISNUMBER(SEARCH("Group",D5140)),IF(G5140="",E5140,IFERROR(E5140/COUNTIF($G2:$G6000,G5140),E5140)),E5140)</f>
        <v>0</v>
      </c>
      <c r="I5140" s="1" t="str">
        <f>IFERROR(VLOOKUP(C5140,'Clients List'!A:F,6,FALSE),"")</f>
        <v/>
      </c>
    </row>
    <row r="5141" spans="4:9" x14ac:dyDescent="0.45">
      <c r="D5141" t="str">
        <f>IFERROR(VLOOKUP(C5141,'Clients List'!$A:$F,2,FALSE),"")</f>
        <v/>
      </c>
      <c r="F5141" s="1" t="str">
        <f>IF(OR(C5141="",NOT(ISNUMBER(SEARCH("Package",D5141)))),"",VLOOKUP(C5141,'Clients List'!$A:$F,4,FALSE)-SUMIFS($E$2:$E5141,$C$2:$C5141,C5141,$D$2:$D5141,"*Package*"))</f>
        <v/>
      </c>
      <c r="G5141" t="str">
        <f t="shared" si="113"/>
        <v/>
      </c>
      <c r="H5141" s="33">
        <f>IF(ISNUMBER(SEARCH("Group",D5141)),IF(G5141="",E5141,IFERROR(E5141/COUNTIF($G2:$G6000,G5141),E5141)),E5141)</f>
        <v>0</v>
      </c>
      <c r="I5141" s="1" t="str">
        <f>IFERROR(VLOOKUP(C5141,'Clients List'!A:F,6,FALSE),"")</f>
        <v/>
      </c>
    </row>
    <row r="5142" spans="4:9" x14ac:dyDescent="0.45">
      <c r="D5142" t="str">
        <f>IFERROR(VLOOKUP(C5142,'Clients List'!$A:$F,2,FALSE),"")</f>
        <v/>
      </c>
      <c r="F5142" s="1" t="str">
        <f>IF(OR(C5142="",NOT(ISNUMBER(SEARCH("Package",D5142)))),"",VLOOKUP(C5142,'Clients List'!$A:$F,4,FALSE)-SUMIFS($E$2:$E5142,$C$2:$C5142,C5142,$D$2:$D5142,"*Package*"))</f>
        <v/>
      </c>
      <c r="G5142" t="str">
        <f t="shared" si="113"/>
        <v/>
      </c>
      <c r="H5142" s="33">
        <f>IF(ISNUMBER(SEARCH("Group",D5142)),IF(G5142="",E5142,IFERROR(E5142/COUNTIF($G2:$G6000,G5142),E5142)),E5142)</f>
        <v>0</v>
      </c>
      <c r="I5142" s="1" t="str">
        <f>IFERROR(VLOOKUP(C5142,'Clients List'!A:F,6,FALSE),"")</f>
        <v/>
      </c>
    </row>
    <row r="5143" spans="4:9" x14ac:dyDescent="0.45">
      <c r="D5143" t="str">
        <f>IFERROR(VLOOKUP(C5143,'Clients List'!$A:$F,2,FALSE),"")</f>
        <v/>
      </c>
      <c r="F5143" s="1" t="str">
        <f>IF(OR(C5143="",NOT(ISNUMBER(SEARCH("Package",D5143)))),"",VLOOKUP(C5143,'Clients List'!$A:$F,4,FALSE)-SUMIFS($E$2:$E5143,$C$2:$C5143,C5143,$D$2:$D5143,"*Package*"))</f>
        <v/>
      </c>
      <c r="G5143" t="str">
        <f t="shared" si="113"/>
        <v/>
      </c>
      <c r="H5143" s="33">
        <f>IF(ISNUMBER(SEARCH("Group",D5143)),IF(G5143="",E5143,IFERROR(E5143/COUNTIF($G2:$G6000,G5143),E5143)),E5143)</f>
        <v>0</v>
      </c>
      <c r="I5143" s="1" t="str">
        <f>IFERROR(VLOOKUP(C5143,'Clients List'!A:F,6,FALSE),"")</f>
        <v/>
      </c>
    </row>
    <row r="5144" spans="4:9" x14ac:dyDescent="0.45">
      <c r="D5144" t="str">
        <f>IFERROR(VLOOKUP(C5144,'Clients List'!$A:$F,2,FALSE),"")</f>
        <v/>
      </c>
      <c r="F5144" s="1" t="str">
        <f>IF(OR(C5144="",NOT(ISNUMBER(SEARCH("Package",D5144)))),"",VLOOKUP(C5144,'Clients List'!$A:$F,4,FALSE)-SUMIFS($E$2:$E5144,$C$2:$C5144,C5144,$D$2:$D5144,"*Package*"))</f>
        <v/>
      </c>
      <c r="G5144" t="str">
        <f t="shared" si="113"/>
        <v/>
      </c>
      <c r="H5144" s="33">
        <f>IF(ISNUMBER(SEARCH("Group",D5144)),IF(G5144="",E5144,IFERROR(E5144/COUNTIF($G2:$G6000,G5144),E5144)),E5144)</f>
        <v>0</v>
      </c>
      <c r="I5144" s="1" t="str">
        <f>IFERROR(VLOOKUP(C5144,'Clients List'!A:F,6,FALSE),"")</f>
        <v/>
      </c>
    </row>
    <row r="5145" spans="4:9" x14ac:dyDescent="0.45">
      <c r="D5145" t="str">
        <f>IFERROR(VLOOKUP(C5145,'Clients List'!$A:$F,2,FALSE),"")</f>
        <v/>
      </c>
      <c r="F5145" s="1" t="str">
        <f>IF(OR(C5145="",NOT(ISNUMBER(SEARCH("Package",D5145)))),"",VLOOKUP(C5145,'Clients List'!$A:$F,4,FALSE)-SUMIFS($E$2:$E5145,$C$2:$C5145,C5145,$D$2:$D5145,"*Package*"))</f>
        <v/>
      </c>
      <c r="G5145" t="str">
        <f t="shared" si="113"/>
        <v/>
      </c>
      <c r="H5145" s="33">
        <f>IF(ISNUMBER(SEARCH("Group",D5145)),IF(G5145="",E5145,IFERROR(E5145/COUNTIF($G2:$G6000,G5145),E5145)),E5145)</f>
        <v>0</v>
      </c>
      <c r="I5145" s="1" t="str">
        <f>IFERROR(VLOOKUP(C5145,'Clients List'!A:F,6,FALSE),"")</f>
        <v/>
      </c>
    </row>
    <row r="5146" spans="4:9" x14ac:dyDescent="0.45">
      <c r="D5146" t="str">
        <f>IFERROR(VLOOKUP(C5146,'Clients List'!$A:$F,2,FALSE),"")</f>
        <v/>
      </c>
      <c r="F5146" s="1" t="str">
        <f>IF(OR(C5146="",NOT(ISNUMBER(SEARCH("Package",D5146)))),"",VLOOKUP(C5146,'Clients List'!$A:$F,4,FALSE)-SUMIFS($E$2:$E5146,$C$2:$C5146,C5146,$D$2:$D5146,"*Package*"))</f>
        <v/>
      </c>
      <c r="G5146" t="str">
        <f t="shared" si="113"/>
        <v/>
      </c>
      <c r="H5146" s="33">
        <f>IF(ISNUMBER(SEARCH("Group",D5146)),IF(G5146="",E5146,IFERROR(E5146/COUNTIF($G2:$G6000,G5146),E5146)),E5146)</f>
        <v>0</v>
      </c>
      <c r="I5146" s="1" t="str">
        <f>IFERROR(VLOOKUP(C5146,'Clients List'!A:F,6,FALSE),"")</f>
        <v/>
      </c>
    </row>
    <row r="5147" spans="4:9" x14ac:dyDescent="0.45">
      <c r="D5147" t="str">
        <f>IFERROR(VLOOKUP(C5147,'Clients List'!$A:$F,2,FALSE),"")</f>
        <v/>
      </c>
      <c r="F5147" s="1" t="str">
        <f>IF(OR(C5147="",NOT(ISNUMBER(SEARCH("Package",D5147)))),"",VLOOKUP(C5147,'Clients List'!$A:$F,4,FALSE)-SUMIFS($E$2:$E5147,$C$2:$C5147,C5147,$D$2:$D5147,"*Package*"))</f>
        <v/>
      </c>
      <c r="G5147" t="str">
        <f t="shared" si="113"/>
        <v/>
      </c>
      <c r="H5147" s="33">
        <f>IF(ISNUMBER(SEARCH("Group",D5147)),IF(G5147="",E5147,IFERROR(E5147/COUNTIF($G2:$G6000,G5147),E5147)),E5147)</f>
        <v>0</v>
      </c>
      <c r="I5147" s="1" t="str">
        <f>IFERROR(VLOOKUP(C5147,'Clients List'!A:F,6,FALSE),"")</f>
        <v/>
      </c>
    </row>
    <row r="5148" spans="4:9" x14ac:dyDescent="0.45">
      <c r="D5148" t="str">
        <f>IFERROR(VLOOKUP(C5148,'Clients List'!$A:$F,2,FALSE),"")</f>
        <v/>
      </c>
      <c r="F5148" s="1" t="str">
        <f>IF(OR(C5148="",NOT(ISNUMBER(SEARCH("Package",D5148)))),"",VLOOKUP(C5148,'Clients List'!$A:$F,4,FALSE)-SUMIFS($E$2:$E5148,$C$2:$C5148,C5148,$D$2:$D5148,"*Package*"))</f>
        <v/>
      </c>
      <c r="G5148" t="str">
        <f t="shared" si="113"/>
        <v/>
      </c>
      <c r="H5148" s="33">
        <f>IF(ISNUMBER(SEARCH("Group",D5148)),IF(G5148="",E5148,IFERROR(E5148/COUNTIF($G2:$G6000,G5148),E5148)),E5148)</f>
        <v>0</v>
      </c>
      <c r="I5148" s="1" t="str">
        <f>IFERROR(VLOOKUP(C5148,'Clients List'!A:F,6,FALSE),"")</f>
        <v/>
      </c>
    </row>
    <row r="5149" spans="4:9" x14ac:dyDescent="0.45">
      <c r="D5149" t="str">
        <f>IFERROR(VLOOKUP(C5149,'Clients List'!$A:$F,2,FALSE),"")</f>
        <v/>
      </c>
      <c r="F5149" s="1" t="str">
        <f>IF(OR(C5149="",NOT(ISNUMBER(SEARCH("Package",D5149)))),"",VLOOKUP(C5149,'Clients List'!$A:$F,4,FALSE)-SUMIFS($E$2:$E5149,$C$2:$C5149,C5149,$D$2:$D5149,"*Package*"))</f>
        <v/>
      </c>
      <c r="G5149" t="str">
        <f t="shared" si="113"/>
        <v/>
      </c>
      <c r="H5149" s="33">
        <f>IF(ISNUMBER(SEARCH("Group",D5149)),IF(G5149="",E5149,IFERROR(E5149/COUNTIF($G2:$G6000,G5149),E5149)),E5149)</f>
        <v>0</v>
      </c>
      <c r="I5149" s="1" t="str">
        <f>IFERROR(VLOOKUP(C5149,'Clients List'!A:F,6,FALSE),"")</f>
        <v/>
      </c>
    </row>
    <row r="5150" spans="4:9" x14ac:dyDescent="0.45">
      <c r="D5150" t="str">
        <f>IFERROR(VLOOKUP(C5150,'Clients List'!$A:$F,2,FALSE),"")</f>
        <v/>
      </c>
      <c r="F5150" s="1" t="str">
        <f>IF(OR(C5150="",NOT(ISNUMBER(SEARCH("Package",D5150)))),"",VLOOKUP(C5150,'Clients List'!$A:$F,4,FALSE)-SUMIFS($E$2:$E5150,$C$2:$C5150,C5150,$D$2:$D5150,"*Package*"))</f>
        <v/>
      </c>
      <c r="G5150" t="str">
        <f t="shared" si="113"/>
        <v/>
      </c>
      <c r="H5150" s="33">
        <f>IF(ISNUMBER(SEARCH("Group",D5150)),IF(G5150="",E5150,IFERROR(E5150/COUNTIF($G2:$G6000,G5150),E5150)),E5150)</f>
        <v>0</v>
      </c>
      <c r="I5150" s="1" t="str">
        <f>IFERROR(VLOOKUP(C5150,'Clients List'!A:F,6,FALSE),"")</f>
        <v/>
      </c>
    </row>
    <row r="5151" spans="4:9" x14ac:dyDescent="0.45">
      <c r="D5151" t="str">
        <f>IFERROR(VLOOKUP(C5151,'Clients List'!$A:$F,2,FALSE),"")</f>
        <v/>
      </c>
      <c r="F5151" s="1" t="str">
        <f>IF(OR(C5151="",NOT(ISNUMBER(SEARCH("Package",D5151)))),"",VLOOKUP(C5151,'Clients List'!$A:$F,4,FALSE)-SUMIFS($E$2:$E5151,$C$2:$C5151,C5151,$D$2:$D5151,"*Package*"))</f>
        <v/>
      </c>
      <c r="G5151" t="str">
        <f t="shared" si="113"/>
        <v/>
      </c>
      <c r="H5151" s="33">
        <f>IF(ISNUMBER(SEARCH("Group",D5151)),IF(G5151="",E5151,IFERROR(E5151/COUNTIF($G2:$G6000,G5151),E5151)),E5151)</f>
        <v>0</v>
      </c>
      <c r="I5151" s="1" t="str">
        <f>IFERROR(VLOOKUP(C5151,'Clients List'!A:F,6,FALSE),"")</f>
        <v/>
      </c>
    </row>
    <row r="5152" spans="4:9" x14ac:dyDescent="0.45">
      <c r="D5152" t="str">
        <f>IFERROR(VLOOKUP(C5152,'Clients List'!$A:$F,2,FALSE),"")</f>
        <v/>
      </c>
      <c r="F5152" s="1" t="str">
        <f>IF(OR(C5152="",NOT(ISNUMBER(SEARCH("Package",D5152)))),"",VLOOKUP(C5152,'Clients List'!$A:$F,4,FALSE)-SUMIFS($E$2:$E5152,$C$2:$C5152,C5152,$D$2:$D5152,"*Package*"))</f>
        <v/>
      </c>
      <c r="G5152" t="str">
        <f t="shared" si="113"/>
        <v/>
      </c>
      <c r="H5152" s="33">
        <f>IF(ISNUMBER(SEARCH("Group",D5152)),IF(G5152="",E5152,IFERROR(E5152/COUNTIF($G2:$G6000,G5152),E5152)),E5152)</f>
        <v>0</v>
      </c>
      <c r="I5152" s="1" t="str">
        <f>IFERROR(VLOOKUP(C5152,'Clients List'!A:F,6,FALSE),"")</f>
        <v/>
      </c>
    </row>
    <row r="5153" spans="4:9" x14ac:dyDescent="0.45">
      <c r="D5153" t="str">
        <f>IFERROR(VLOOKUP(C5153,'Clients List'!$A:$F,2,FALSE),"")</f>
        <v/>
      </c>
      <c r="F5153" s="1" t="str">
        <f>IF(OR(C5153="",NOT(ISNUMBER(SEARCH("Package",D5153)))),"",VLOOKUP(C5153,'Clients List'!$A:$F,4,FALSE)-SUMIFS($E$2:$E5153,$C$2:$C5153,C5153,$D$2:$D5153,"*Package*"))</f>
        <v/>
      </c>
      <c r="G5153" t="str">
        <f t="shared" si="113"/>
        <v/>
      </c>
      <c r="H5153" s="33">
        <f>IF(ISNUMBER(SEARCH("Group",D5153)),IF(G5153="",E5153,IFERROR(E5153/COUNTIF($G2:$G6000,G5153),E5153)),E5153)</f>
        <v>0</v>
      </c>
      <c r="I5153" s="1" t="str">
        <f>IFERROR(VLOOKUP(C5153,'Clients List'!A:F,6,FALSE),"")</f>
        <v/>
      </c>
    </row>
    <row r="5154" spans="4:9" x14ac:dyDescent="0.45">
      <c r="D5154" t="str">
        <f>IFERROR(VLOOKUP(C5154,'Clients List'!$A:$F,2,FALSE),"")</f>
        <v/>
      </c>
      <c r="F5154" s="1" t="str">
        <f>IF(OR(C5154="",NOT(ISNUMBER(SEARCH("Package",D5154)))),"",VLOOKUP(C5154,'Clients List'!$A:$F,4,FALSE)-SUMIFS($E$2:$E5154,$C$2:$C5154,C5154,$D$2:$D5154,"*Package*"))</f>
        <v/>
      </c>
      <c r="G5154" t="str">
        <f t="shared" si="113"/>
        <v/>
      </c>
      <c r="H5154" s="33">
        <f>IF(ISNUMBER(SEARCH("Group",D5154)),IF(G5154="",E5154,IFERROR(E5154/COUNTIF($G2:$G6000,G5154),E5154)),E5154)</f>
        <v>0</v>
      </c>
      <c r="I5154" s="1" t="str">
        <f>IFERROR(VLOOKUP(C5154,'Clients List'!A:F,6,FALSE),"")</f>
        <v/>
      </c>
    </row>
    <row r="5155" spans="4:9" x14ac:dyDescent="0.45">
      <c r="D5155" t="str">
        <f>IFERROR(VLOOKUP(C5155,'Clients List'!$A:$F,2,FALSE),"")</f>
        <v/>
      </c>
      <c r="F5155" s="1" t="str">
        <f>IF(OR(C5155="",NOT(ISNUMBER(SEARCH("Package",D5155)))),"",VLOOKUP(C5155,'Clients List'!$A:$F,4,FALSE)-SUMIFS($E$2:$E5155,$C$2:$C5155,C5155,$D$2:$D5155,"*Package*"))</f>
        <v/>
      </c>
      <c r="G5155" t="str">
        <f t="shared" si="113"/>
        <v/>
      </c>
      <c r="H5155" s="33">
        <f>IF(ISNUMBER(SEARCH("Group",D5155)),IF(G5155="",E5155,IFERROR(E5155/COUNTIF($G2:$G6000,G5155),E5155)),E5155)</f>
        <v>0</v>
      </c>
      <c r="I5155" s="1" t="str">
        <f>IFERROR(VLOOKUP(C5155,'Clients List'!A:F,6,FALSE),"")</f>
        <v/>
      </c>
    </row>
    <row r="5156" spans="4:9" x14ac:dyDescent="0.45">
      <c r="D5156" t="str">
        <f>IFERROR(VLOOKUP(C5156,'Clients List'!$A:$F,2,FALSE),"")</f>
        <v/>
      </c>
      <c r="F5156" s="1" t="str">
        <f>IF(OR(C5156="",NOT(ISNUMBER(SEARCH("Package",D5156)))),"",VLOOKUP(C5156,'Clients List'!$A:$F,4,FALSE)-SUMIFS($E$2:$E5156,$C$2:$C5156,C5156,$D$2:$D5156,"*Package*"))</f>
        <v/>
      </c>
      <c r="G5156" t="str">
        <f t="shared" si="113"/>
        <v/>
      </c>
      <c r="H5156" s="33">
        <f>IF(ISNUMBER(SEARCH("Group",D5156)),IF(G5156="",E5156,IFERROR(E5156/COUNTIF($G2:$G6000,G5156),E5156)),E5156)</f>
        <v>0</v>
      </c>
      <c r="I5156" s="1" t="str">
        <f>IFERROR(VLOOKUP(C5156,'Clients List'!A:F,6,FALSE),"")</f>
        <v/>
      </c>
    </row>
    <row r="5157" spans="4:9" x14ac:dyDescent="0.45">
      <c r="D5157" t="str">
        <f>IFERROR(VLOOKUP(C5157,'Clients List'!$A:$F,2,FALSE),"")</f>
        <v/>
      </c>
      <c r="F5157" s="1" t="str">
        <f>IF(OR(C5157="",NOT(ISNUMBER(SEARCH("Package",D5157)))),"",VLOOKUP(C5157,'Clients List'!$A:$F,4,FALSE)-SUMIFS($E$2:$E5157,$C$2:$C5157,C5157,$D$2:$D5157,"*Package*"))</f>
        <v/>
      </c>
      <c r="G5157" t="str">
        <f t="shared" si="113"/>
        <v/>
      </c>
      <c r="H5157" s="33">
        <f>IF(ISNUMBER(SEARCH("Group",D5157)),IF(G5157="",E5157,IFERROR(E5157/COUNTIF($G2:$G6000,G5157),E5157)),E5157)</f>
        <v>0</v>
      </c>
      <c r="I5157" s="1" t="str">
        <f>IFERROR(VLOOKUP(C5157,'Clients List'!A:F,6,FALSE),"")</f>
        <v/>
      </c>
    </row>
    <row r="5158" spans="4:9" x14ac:dyDescent="0.45">
      <c r="D5158" t="str">
        <f>IFERROR(VLOOKUP(C5158,'Clients List'!$A:$F,2,FALSE),"")</f>
        <v/>
      </c>
      <c r="F5158" s="1" t="str">
        <f>IF(OR(C5158="",NOT(ISNUMBER(SEARCH("Package",D5158)))),"",VLOOKUP(C5158,'Clients List'!$A:$F,4,FALSE)-SUMIFS($E$2:$E5158,$C$2:$C5158,C5158,$D$2:$D5158,"*Package*"))</f>
        <v/>
      </c>
      <c r="G5158" t="str">
        <f t="shared" si="113"/>
        <v/>
      </c>
      <c r="H5158" s="33">
        <f>IF(ISNUMBER(SEARCH("Group",D5158)),IF(G5158="",E5158,IFERROR(E5158/COUNTIF($G2:$G6000,G5158),E5158)),E5158)</f>
        <v>0</v>
      </c>
      <c r="I5158" s="1" t="str">
        <f>IFERROR(VLOOKUP(C5158,'Clients List'!A:F,6,FALSE),"")</f>
        <v/>
      </c>
    </row>
    <row r="5159" spans="4:9" x14ac:dyDescent="0.45">
      <c r="D5159" t="str">
        <f>IFERROR(VLOOKUP(C5159,'Clients List'!$A:$F,2,FALSE),"")</f>
        <v/>
      </c>
      <c r="F5159" s="1" t="str">
        <f>IF(OR(C5159="",NOT(ISNUMBER(SEARCH("Package",D5159)))),"",VLOOKUP(C5159,'Clients List'!$A:$F,4,FALSE)-SUMIFS($E$2:$E5159,$C$2:$C5159,C5159,$D$2:$D5159,"*Package*"))</f>
        <v/>
      </c>
      <c r="G5159" t="str">
        <f t="shared" si="113"/>
        <v/>
      </c>
      <c r="H5159" s="33">
        <f>IF(ISNUMBER(SEARCH("Group",D5159)),IF(G5159="",E5159,IFERROR(E5159/COUNTIF($G2:$G6000,G5159),E5159)),E5159)</f>
        <v>0</v>
      </c>
      <c r="I5159" s="1" t="str">
        <f>IFERROR(VLOOKUP(C5159,'Clients List'!A:F,6,FALSE),"")</f>
        <v/>
      </c>
    </row>
    <row r="5160" spans="4:9" x14ac:dyDescent="0.45">
      <c r="D5160" t="str">
        <f>IFERROR(VLOOKUP(C5160,'Clients List'!$A:$F,2,FALSE),"")</f>
        <v/>
      </c>
      <c r="F5160" s="1" t="str">
        <f>IF(OR(C5160="",NOT(ISNUMBER(SEARCH("Package",D5160)))),"",VLOOKUP(C5160,'Clients List'!$A:$F,4,FALSE)-SUMIFS($E$2:$E5160,$C$2:$C5160,C5160,$D$2:$D5160,"*Package*"))</f>
        <v/>
      </c>
      <c r="G5160" t="str">
        <f t="shared" si="113"/>
        <v/>
      </c>
      <c r="H5160" s="33">
        <f>IF(ISNUMBER(SEARCH("Group",D5160)),IF(G5160="",E5160,IFERROR(E5160/COUNTIF($G2:$G6000,G5160),E5160)),E5160)</f>
        <v>0</v>
      </c>
      <c r="I5160" s="1" t="str">
        <f>IFERROR(VLOOKUP(C5160,'Clients List'!A:F,6,FALSE),"")</f>
        <v/>
      </c>
    </row>
    <row r="5161" spans="4:9" x14ac:dyDescent="0.45">
      <c r="D5161" t="str">
        <f>IFERROR(VLOOKUP(C5161,'Clients List'!$A:$F,2,FALSE),"")</f>
        <v/>
      </c>
      <c r="F5161" s="1" t="str">
        <f>IF(OR(C5161="",NOT(ISNUMBER(SEARCH("Package",D5161)))),"",VLOOKUP(C5161,'Clients List'!$A:$F,4,FALSE)-SUMIFS($E$2:$E5161,$C$2:$C5161,C5161,$D$2:$D5161,"*Package*"))</f>
        <v/>
      </c>
      <c r="G5161" t="str">
        <f t="shared" si="113"/>
        <v/>
      </c>
      <c r="H5161" s="33">
        <f>IF(ISNUMBER(SEARCH("Group",D5161)),IF(G5161="",E5161,IFERROR(E5161/COUNTIF($G2:$G6000,G5161),E5161)),E5161)</f>
        <v>0</v>
      </c>
      <c r="I5161" s="1" t="str">
        <f>IFERROR(VLOOKUP(C5161,'Clients List'!A:F,6,FALSE),"")</f>
        <v/>
      </c>
    </row>
    <row r="5162" spans="4:9" x14ac:dyDescent="0.45">
      <c r="D5162" t="str">
        <f>IFERROR(VLOOKUP(C5162,'Clients List'!$A:$F,2,FALSE),"")</f>
        <v/>
      </c>
      <c r="F5162" s="1" t="str">
        <f>IF(OR(C5162="",NOT(ISNUMBER(SEARCH("Package",D5162)))),"",VLOOKUP(C5162,'Clients List'!$A:$F,4,FALSE)-SUMIFS($E$2:$E5162,$C$2:$C5162,C5162,$D$2:$D5162,"*Package*"))</f>
        <v/>
      </c>
      <c r="G5162" t="str">
        <f t="shared" si="113"/>
        <v/>
      </c>
      <c r="H5162" s="33">
        <f>IF(ISNUMBER(SEARCH("Group",D5162)),IF(G5162="",E5162,IFERROR(E5162/COUNTIF($G2:$G6000,G5162),E5162)),E5162)</f>
        <v>0</v>
      </c>
      <c r="I5162" s="1" t="str">
        <f>IFERROR(VLOOKUP(C5162,'Clients List'!A:F,6,FALSE),"")</f>
        <v/>
      </c>
    </row>
    <row r="5163" spans="4:9" x14ac:dyDescent="0.45">
      <c r="D5163" t="str">
        <f>IFERROR(VLOOKUP(C5163,'Clients List'!$A:$F,2,FALSE),"")</f>
        <v/>
      </c>
      <c r="F5163" s="1" t="str">
        <f>IF(OR(C5163="",NOT(ISNUMBER(SEARCH("Package",D5163)))),"",VLOOKUP(C5163,'Clients List'!$A:$F,4,FALSE)-SUMIFS($E$2:$E5163,$C$2:$C5163,C5163,$D$2:$D5163,"*Package*"))</f>
        <v/>
      </c>
      <c r="G5163" t="str">
        <f t="shared" si="113"/>
        <v/>
      </c>
      <c r="H5163" s="33">
        <f>IF(ISNUMBER(SEARCH("Group",D5163)),IF(G5163="",E5163,IFERROR(E5163/COUNTIF($G2:$G6000,G5163),E5163)),E5163)</f>
        <v>0</v>
      </c>
      <c r="I5163" s="1" t="str">
        <f>IFERROR(VLOOKUP(C5163,'Clients List'!A:F,6,FALSE),"")</f>
        <v/>
      </c>
    </row>
    <row r="5164" spans="4:9" x14ac:dyDescent="0.45">
      <c r="D5164" t="str">
        <f>IFERROR(VLOOKUP(C5164,'Clients List'!$A:$F,2,FALSE),"")</f>
        <v/>
      </c>
      <c r="F5164" s="1" t="str">
        <f>IF(OR(C5164="",NOT(ISNUMBER(SEARCH("Package",D5164)))),"",VLOOKUP(C5164,'Clients List'!$A:$F,4,FALSE)-SUMIFS($E$2:$E5164,$C$2:$C5164,C5164,$D$2:$D5164,"*Package*"))</f>
        <v/>
      </c>
      <c r="G5164" t="str">
        <f t="shared" si="113"/>
        <v/>
      </c>
      <c r="H5164" s="33">
        <f>IF(ISNUMBER(SEARCH("Group",D5164)),IF(G5164="",E5164,IFERROR(E5164/COUNTIF($G2:$G6000,G5164),E5164)),E5164)</f>
        <v>0</v>
      </c>
      <c r="I5164" s="1" t="str">
        <f>IFERROR(VLOOKUP(C5164,'Clients List'!A:F,6,FALSE),"")</f>
        <v/>
      </c>
    </row>
    <row r="5165" spans="4:9" x14ac:dyDescent="0.45">
      <c r="D5165" t="str">
        <f>IFERROR(VLOOKUP(C5165,'Clients List'!$A:$F,2,FALSE),"")</f>
        <v/>
      </c>
      <c r="F5165" s="1" t="str">
        <f>IF(OR(C5165="",NOT(ISNUMBER(SEARCH("Package",D5165)))),"",VLOOKUP(C5165,'Clients List'!$A:$F,4,FALSE)-SUMIFS($E$2:$E5165,$C$2:$C5165,C5165,$D$2:$D5165,"*Package*"))</f>
        <v/>
      </c>
      <c r="G5165" t="str">
        <f t="shared" si="113"/>
        <v/>
      </c>
      <c r="H5165" s="33">
        <f>IF(ISNUMBER(SEARCH("Group",D5165)),IF(G5165="",E5165,IFERROR(E5165/COUNTIF($G2:$G6000,G5165),E5165)),E5165)</f>
        <v>0</v>
      </c>
      <c r="I5165" s="1" t="str">
        <f>IFERROR(VLOOKUP(C5165,'Clients List'!A:F,6,FALSE),"")</f>
        <v/>
      </c>
    </row>
    <row r="5166" spans="4:9" x14ac:dyDescent="0.45">
      <c r="D5166" t="str">
        <f>IFERROR(VLOOKUP(C5166,'Clients List'!$A:$F,2,FALSE),"")</f>
        <v/>
      </c>
      <c r="F5166" s="1" t="str">
        <f>IF(OR(C5166="",NOT(ISNUMBER(SEARCH("Package",D5166)))),"",VLOOKUP(C5166,'Clients List'!$A:$F,4,FALSE)-SUMIFS($E$2:$E5166,$C$2:$C5166,C5166,$D$2:$D5166,"*Package*"))</f>
        <v/>
      </c>
      <c r="G5166" t="str">
        <f t="shared" si="113"/>
        <v/>
      </c>
      <c r="H5166" s="33">
        <f>IF(ISNUMBER(SEARCH("Group",D5166)),IF(G5166="",E5166,IFERROR(E5166/COUNTIF($G2:$G6000,G5166),E5166)),E5166)</f>
        <v>0</v>
      </c>
      <c r="I5166" s="1" t="str">
        <f>IFERROR(VLOOKUP(C5166,'Clients List'!A:F,6,FALSE),"")</f>
        <v/>
      </c>
    </row>
    <row r="5167" spans="4:9" x14ac:dyDescent="0.45">
      <c r="D5167" t="str">
        <f>IFERROR(VLOOKUP(C5167,'Clients List'!$A:$F,2,FALSE),"")</f>
        <v/>
      </c>
      <c r="F5167" s="1" t="str">
        <f>IF(OR(C5167="",NOT(ISNUMBER(SEARCH("Package",D5167)))),"",VLOOKUP(C5167,'Clients List'!$A:$F,4,FALSE)-SUMIFS($E$2:$E5167,$C$2:$C5167,C5167,$D$2:$D5167,"*Package*"))</f>
        <v/>
      </c>
      <c r="G5167" t="str">
        <f t="shared" si="113"/>
        <v/>
      </c>
      <c r="H5167" s="33">
        <f>IF(ISNUMBER(SEARCH("Group",D5167)),IF(G5167="",E5167,IFERROR(E5167/COUNTIF($G2:$G6000,G5167),E5167)),E5167)</f>
        <v>0</v>
      </c>
      <c r="I5167" s="1" t="str">
        <f>IFERROR(VLOOKUP(C5167,'Clients List'!A:F,6,FALSE),"")</f>
        <v/>
      </c>
    </row>
    <row r="5168" spans="4:9" x14ac:dyDescent="0.45">
      <c r="D5168" t="str">
        <f>IFERROR(VLOOKUP(C5168,'Clients List'!$A:$F,2,FALSE),"")</f>
        <v/>
      </c>
      <c r="F5168" s="1" t="str">
        <f>IF(OR(C5168="",NOT(ISNUMBER(SEARCH("Package",D5168)))),"",VLOOKUP(C5168,'Clients List'!$A:$F,4,FALSE)-SUMIFS($E$2:$E5168,$C$2:$C5168,C5168,$D$2:$D5168,"*Package*"))</f>
        <v/>
      </c>
      <c r="G5168" t="str">
        <f t="shared" si="113"/>
        <v/>
      </c>
      <c r="H5168" s="33">
        <f>IF(ISNUMBER(SEARCH("Group",D5168)),IF(G5168="",E5168,IFERROR(E5168/COUNTIF($G2:$G6000,G5168),E5168)),E5168)</f>
        <v>0</v>
      </c>
      <c r="I5168" s="1" t="str">
        <f>IFERROR(VLOOKUP(C5168,'Clients List'!A:F,6,FALSE),"")</f>
        <v/>
      </c>
    </row>
    <row r="5169" spans="4:9" x14ac:dyDescent="0.45">
      <c r="D5169" t="str">
        <f>IFERROR(VLOOKUP(C5169,'Clients List'!$A:$F,2,FALSE),"")</f>
        <v/>
      </c>
      <c r="F5169" s="1" t="str">
        <f>IF(OR(C5169="",NOT(ISNUMBER(SEARCH("Package",D5169)))),"",VLOOKUP(C5169,'Clients List'!$A:$F,4,FALSE)-SUMIFS($E$2:$E5169,$C$2:$C5169,C5169,$D$2:$D5169,"*Package*"))</f>
        <v/>
      </c>
      <c r="G5169" t="str">
        <f t="shared" si="113"/>
        <v/>
      </c>
      <c r="H5169" s="33">
        <f>IF(ISNUMBER(SEARCH("Group",D5169)),IF(G5169="",E5169,IFERROR(E5169/COUNTIF($G2:$G6000,G5169),E5169)),E5169)</f>
        <v>0</v>
      </c>
      <c r="I5169" s="1" t="str">
        <f>IFERROR(VLOOKUP(C5169,'Clients List'!A:F,6,FALSE),"")</f>
        <v/>
      </c>
    </row>
    <row r="5170" spans="4:9" x14ac:dyDescent="0.45">
      <c r="D5170" t="str">
        <f>IFERROR(VLOOKUP(C5170,'Clients List'!$A:$F,2,FALSE),"")</f>
        <v/>
      </c>
      <c r="F5170" s="1" t="str">
        <f>IF(OR(C5170="",NOT(ISNUMBER(SEARCH("Package",D5170)))),"",VLOOKUP(C5170,'Clients List'!$A:$F,4,FALSE)-SUMIFS($E$2:$E5170,$C$2:$C5170,C5170,$D$2:$D5170,"*Package*"))</f>
        <v/>
      </c>
      <c r="G5170" t="str">
        <f t="shared" si="113"/>
        <v/>
      </c>
      <c r="H5170" s="33">
        <f>IF(ISNUMBER(SEARCH("Group",D5170)),IF(G5170="",E5170,IFERROR(E5170/COUNTIF($G2:$G6000,G5170),E5170)),E5170)</f>
        <v>0</v>
      </c>
      <c r="I5170" s="1" t="str">
        <f>IFERROR(VLOOKUP(C5170,'Clients List'!A:F,6,FALSE),"")</f>
        <v/>
      </c>
    </row>
    <row r="5171" spans="4:9" x14ac:dyDescent="0.45">
      <c r="D5171" t="str">
        <f>IFERROR(VLOOKUP(C5171,'Clients List'!$A:$F,2,FALSE),"")</f>
        <v/>
      </c>
      <c r="F5171" s="1" t="str">
        <f>IF(OR(C5171="",NOT(ISNUMBER(SEARCH("Package",D5171)))),"",VLOOKUP(C5171,'Clients List'!$A:$F,4,FALSE)-SUMIFS($E$2:$E5171,$C$2:$C5171,C5171,$D$2:$D5171,"*Package*"))</f>
        <v/>
      </c>
      <c r="G5171" t="str">
        <f t="shared" si="113"/>
        <v/>
      </c>
      <c r="H5171" s="33">
        <f>IF(ISNUMBER(SEARCH("Group",D5171)),IF(G5171="",E5171,IFERROR(E5171/COUNTIF($G2:$G6000,G5171),E5171)),E5171)</f>
        <v>0</v>
      </c>
      <c r="I5171" s="1" t="str">
        <f>IFERROR(VLOOKUP(C5171,'Clients List'!A:F,6,FALSE),"")</f>
        <v/>
      </c>
    </row>
    <row r="5172" spans="4:9" x14ac:dyDescent="0.45">
      <c r="D5172" t="str">
        <f>IFERROR(VLOOKUP(C5172,'Clients List'!$A:$F,2,FALSE),"")</f>
        <v/>
      </c>
      <c r="F5172" s="1" t="str">
        <f>IF(OR(C5172="",NOT(ISNUMBER(SEARCH("Package",D5172)))),"",VLOOKUP(C5172,'Clients List'!$A:$F,4,FALSE)-SUMIFS($E$2:$E5172,$C$2:$C5172,C5172,$D$2:$D5172,"*Package*"))</f>
        <v/>
      </c>
      <c r="G5172" t="str">
        <f t="shared" si="113"/>
        <v/>
      </c>
      <c r="H5172" s="33">
        <f>IF(ISNUMBER(SEARCH("Group",D5172)),IF(G5172="",E5172,IFERROR(E5172/COUNTIF($G2:$G6000,G5172),E5172)),E5172)</f>
        <v>0</v>
      </c>
      <c r="I5172" s="1" t="str">
        <f>IFERROR(VLOOKUP(C5172,'Clients List'!A:F,6,FALSE),"")</f>
        <v/>
      </c>
    </row>
    <row r="5173" spans="4:9" x14ac:dyDescent="0.45">
      <c r="D5173" t="str">
        <f>IFERROR(VLOOKUP(C5173,'Clients List'!$A:$F,2,FALSE),"")</f>
        <v/>
      </c>
      <c r="F5173" s="1" t="str">
        <f>IF(OR(C5173="",NOT(ISNUMBER(SEARCH("Package",D5173)))),"",VLOOKUP(C5173,'Clients List'!$A:$F,4,FALSE)-SUMIFS($E$2:$E5173,$C$2:$C5173,C5173,$D$2:$D5173,"*Package*"))</f>
        <v/>
      </c>
      <c r="G5173" t="str">
        <f t="shared" ref="G5173:G5236" si="114">IF(ISNUMBER(SEARCH("Group",D5173)),IFERROR("GRP-"&amp;TEXT(IF(ISNUMBER(A5173),A5173,DATEVALUE(A5173)),"yyyymmdd"),""),"" )</f>
        <v/>
      </c>
      <c r="H5173" s="33">
        <f>IF(ISNUMBER(SEARCH("Group",D5173)),IF(G5173="",E5173,IFERROR(E5173/COUNTIF($G2:$G6000,G5173),E5173)),E5173)</f>
        <v>0</v>
      </c>
      <c r="I5173" s="1" t="str">
        <f>IFERROR(VLOOKUP(C5173,'Clients List'!A:F,6,FALSE),"")</f>
        <v/>
      </c>
    </row>
    <row r="5174" spans="4:9" x14ac:dyDescent="0.45">
      <c r="D5174" t="str">
        <f>IFERROR(VLOOKUP(C5174,'Clients List'!$A:$F,2,FALSE),"")</f>
        <v/>
      </c>
      <c r="F5174" s="1" t="str">
        <f>IF(OR(C5174="",NOT(ISNUMBER(SEARCH("Package",D5174)))),"",VLOOKUP(C5174,'Clients List'!$A:$F,4,FALSE)-SUMIFS($E$2:$E5174,$C$2:$C5174,C5174,$D$2:$D5174,"*Package*"))</f>
        <v/>
      </c>
      <c r="G5174" t="str">
        <f t="shared" si="114"/>
        <v/>
      </c>
      <c r="H5174" s="33">
        <f>IF(ISNUMBER(SEARCH("Group",D5174)),IF(G5174="",E5174,IFERROR(E5174/COUNTIF($G2:$G6000,G5174),E5174)),E5174)</f>
        <v>0</v>
      </c>
      <c r="I5174" s="1" t="str">
        <f>IFERROR(VLOOKUP(C5174,'Clients List'!A:F,6,FALSE),"")</f>
        <v/>
      </c>
    </row>
    <row r="5175" spans="4:9" x14ac:dyDescent="0.45">
      <c r="D5175" t="str">
        <f>IFERROR(VLOOKUP(C5175,'Clients List'!$A:$F,2,FALSE),"")</f>
        <v/>
      </c>
      <c r="F5175" s="1" t="str">
        <f>IF(OR(C5175="",NOT(ISNUMBER(SEARCH("Package",D5175)))),"",VLOOKUP(C5175,'Clients List'!$A:$F,4,FALSE)-SUMIFS($E$2:$E5175,$C$2:$C5175,C5175,$D$2:$D5175,"*Package*"))</f>
        <v/>
      </c>
      <c r="G5175" t="str">
        <f t="shared" si="114"/>
        <v/>
      </c>
      <c r="H5175" s="33">
        <f>IF(ISNUMBER(SEARCH("Group",D5175)),IF(G5175="",E5175,IFERROR(E5175/COUNTIF($G2:$G6000,G5175),E5175)),E5175)</f>
        <v>0</v>
      </c>
      <c r="I5175" s="1" t="str">
        <f>IFERROR(VLOOKUP(C5175,'Clients List'!A:F,6,FALSE),"")</f>
        <v/>
      </c>
    </row>
    <row r="5176" spans="4:9" x14ac:dyDescent="0.45">
      <c r="D5176" t="str">
        <f>IFERROR(VLOOKUP(C5176,'Clients List'!$A:$F,2,FALSE),"")</f>
        <v/>
      </c>
      <c r="F5176" s="1" t="str">
        <f>IF(OR(C5176="",NOT(ISNUMBER(SEARCH("Package",D5176)))),"",VLOOKUP(C5176,'Clients List'!$A:$F,4,FALSE)-SUMIFS($E$2:$E5176,$C$2:$C5176,C5176,$D$2:$D5176,"*Package*"))</f>
        <v/>
      </c>
      <c r="G5176" t="str">
        <f t="shared" si="114"/>
        <v/>
      </c>
      <c r="H5176" s="33">
        <f>IF(ISNUMBER(SEARCH("Group",D5176)),IF(G5176="",E5176,IFERROR(E5176/COUNTIF($G2:$G6000,G5176),E5176)),E5176)</f>
        <v>0</v>
      </c>
      <c r="I5176" s="1" t="str">
        <f>IFERROR(VLOOKUP(C5176,'Clients List'!A:F,6,FALSE),"")</f>
        <v/>
      </c>
    </row>
    <row r="5177" spans="4:9" x14ac:dyDescent="0.45">
      <c r="D5177" t="str">
        <f>IFERROR(VLOOKUP(C5177,'Clients List'!$A:$F,2,FALSE),"")</f>
        <v/>
      </c>
      <c r="F5177" s="1" t="str">
        <f>IF(OR(C5177="",NOT(ISNUMBER(SEARCH("Package",D5177)))),"",VLOOKUP(C5177,'Clients List'!$A:$F,4,FALSE)-SUMIFS($E$2:$E5177,$C$2:$C5177,C5177,$D$2:$D5177,"*Package*"))</f>
        <v/>
      </c>
      <c r="G5177" t="str">
        <f t="shared" si="114"/>
        <v/>
      </c>
      <c r="H5177" s="33">
        <f>IF(ISNUMBER(SEARCH("Group",D5177)),IF(G5177="",E5177,IFERROR(E5177/COUNTIF($G2:$G6000,G5177),E5177)),E5177)</f>
        <v>0</v>
      </c>
      <c r="I5177" s="1" t="str">
        <f>IFERROR(VLOOKUP(C5177,'Clients List'!A:F,6,FALSE),"")</f>
        <v/>
      </c>
    </row>
    <row r="5178" spans="4:9" x14ac:dyDescent="0.45">
      <c r="D5178" t="str">
        <f>IFERROR(VLOOKUP(C5178,'Clients List'!$A:$F,2,FALSE),"")</f>
        <v/>
      </c>
      <c r="F5178" s="1" t="str">
        <f>IF(OR(C5178="",NOT(ISNUMBER(SEARCH("Package",D5178)))),"",VLOOKUP(C5178,'Clients List'!$A:$F,4,FALSE)-SUMIFS($E$2:$E5178,$C$2:$C5178,C5178,$D$2:$D5178,"*Package*"))</f>
        <v/>
      </c>
      <c r="G5178" t="str">
        <f t="shared" si="114"/>
        <v/>
      </c>
      <c r="H5178" s="33">
        <f>IF(ISNUMBER(SEARCH("Group",D5178)),IF(G5178="",E5178,IFERROR(E5178/COUNTIF($G2:$G6000,G5178),E5178)),E5178)</f>
        <v>0</v>
      </c>
      <c r="I5178" s="1" t="str">
        <f>IFERROR(VLOOKUP(C5178,'Clients List'!A:F,6,FALSE),"")</f>
        <v/>
      </c>
    </row>
    <row r="5179" spans="4:9" x14ac:dyDescent="0.45">
      <c r="D5179" t="str">
        <f>IFERROR(VLOOKUP(C5179,'Clients List'!$A:$F,2,FALSE),"")</f>
        <v/>
      </c>
      <c r="F5179" s="1" t="str">
        <f>IF(OR(C5179="",NOT(ISNUMBER(SEARCH("Package",D5179)))),"",VLOOKUP(C5179,'Clients List'!$A:$F,4,FALSE)-SUMIFS($E$2:$E5179,$C$2:$C5179,C5179,$D$2:$D5179,"*Package*"))</f>
        <v/>
      </c>
      <c r="G5179" t="str">
        <f t="shared" si="114"/>
        <v/>
      </c>
      <c r="H5179" s="33">
        <f>IF(ISNUMBER(SEARCH("Group",D5179)),IF(G5179="",E5179,IFERROR(E5179/COUNTIF($G2:$G6000,G5179),E5179)),E5179)</f>
        <v>0</v>
      </c>
      <c r="I5179" s="1" t="str">
        <f>IFERROR(VLOOKUP(C5179,'Clients List'!A:F,6,FALSE),"")</f>
        <v/>
      </c>
    </row>
    <row r="5180" spans="4:9" x14ac:dyDescent="0.45">
      <c r="D5180" t="str">
        <f>IFERROR(VLOOKUP(C5180,'Clients List'!$A:$F,2,FALSE),"")</f>
        <v/>
      </c>
      <c r="F5180" s="1" t="str">
        <f>IF(OR(C5180="",NOT(ISNUMBER(SEARCH("Package",D5180)))),"",VLOOKUP(C5180,'Clients List'!$A:$F,4,FALSE)-SUMIFS($E$2:$E5180,$C$2:$C5180,C5180,$D$2:$D5180,"*Package*"))</f>
        <v/>
      </c>
      <c r="G5180" t="str">
        <f t="shared" si="114"/>
        <v/>
      </c>
      <c r="H5180" s="33">
        <f>IF(ISNUMBER(SEARCH("Group",D5180)),IF(G5180="",E5180,IFERROR(E5180/COUNTIF($G2:$G6000,G5180),E5180)),E5180)</f>
        <v>0</v>
      </c>
      <c r="I5180" s="1" t="str">
        <f>IFERROR(VLOOKUP(C5180,'Clients List'!A:F,6,FALSE),"")</f>
        <v/>
      </c>
    </row>
    <row r="5181" spans="4:9" x14ac:dyDescent="0.45">
      <c r="D5181" t="str">
        <f>IFERROR(VLOOKUP(C5181,'Clients List'!$A:$F,2,FALSE),"")</f>
        <v/>
      </c>
      <c r="F5181" s="1" t="str">
        <f>IF(OR(C5181="",NOT(ISNUMBER(SEARCH("Package",D5181)))),"",VLOOKUP(C5181,'Clients List'!$A:$F,4,FALSE)-SUMIFS($E$2:$E5181,$C$2:$C5181,C5181,$D$2:$D5181,"*Package*"))</f>
        <v/>
      </c>
      <c r="G5181" t="str">
        <f t="shared" si="114"/>
        <v/>
      </c>
      <c r="H5181" s="33">
        <f>IF(ISNUMBER(SEARCH("Group",D5181)),IF(G5181="",E5181,IFERROR(E5181/COUNTIF($G2:$G6000,G5181),E5181)),E5181)</f>
        <v>0</v>
      </c>
      <c r="I5181" s="1" t="str">
        <f>IFERROR(VLOOKUP(C5181,'Clients List'!A:F,6,FALSE),"")</f>
        <v/>
      </c>
    </row>
    <row r="5182" spans="4:9" x14ac:dyDescent="0.45">
      <c r="D5182" t="str">
        <f>IFERROR(VLOOKUP(C5182,'Clients List'!$A:$F,2,FALSE),"")</f>
        <v/>
      </c>
      <c r="F5182" s="1" t="str">
        <f>IF(OR(C5182="",NOT(ISNUMBER(SEARCH("Package",D5182)))),"",VLOOKUP(C5182,'Clients List'!$A:$F,4,FALSE)-SUMIFS($E$2:$E5182,$C$2:$C5182,C5182,$D$2:$D5182,"*Package*"))</f>
        <v/>
      </c>
      <c r="G5182" t="str">
        <f t="shared" si="114"/>
        <v/>
      </c>
      <c r="H5182" s="33">
        <f>IF(ISNUMBER(SEARCH("Group",D5182)),IF(G5182="",E5182,IFERROR(E5182/COUNTIF($G2:$G6000,G5182),E5182)),E5182)</f>
        <v>0</v>
      </c>
      <c r="I5182" s="1" t="str">
        <f>IFERROR(VLOOKUP(C5182,'Clients List'!A:F,6,FALSE),"")</f>
        <v/>
      </c>
    </row>
    <row r="5183" spans="4:9" x14ac:dyDescent="0.45">
      <c r="D5183" t="str">
        <f>IFERROR(VLOOKUP(C5183,'Clients List'!$A:$F,2,FALSE),"")</f>
        <v/>
      </c>
      <c r="F5183" s="1" t="str">
        <f>IF(OR(C5183="",NOT(ISNUMBER(SEARCH("Package",D5183)))),"",VLOOKUP(C5183,'Clients List'!$A:$F,4,FALSE)-SUMIFS($E$2:$E5183,$C$2:$C5183,C5183,$D$2:$D5183,"*Package*"))</f>
        <v/>
      </c>
      <c r="G5183" t="str">
        <f t="shared" si="114"/>
        <v/>
      </c>
      <c r="H5183" s="33">
        <f>IF(ISNUMBER(SEARCH("Group",D5183)),IF(G5183="",E5183,IFERROR(E5183/COUNTIF($G2:$G6000,G5183),E5183)),E5183)</f>
        <v>0</v>
      </c>
      <c r="I5183" s="1" t="str">
        <f>IFERROR(VLOOKUP(C5183,'Clients List'!A:F,6,FALSE),"")</f>
        <v/>
      </c>
    </row>
    <row r="5184" spans="4:9" x14ac:dyDescent="0.45">
      <c r="D5184" t="str">
        <f>IFERROR(VLOOKUP(C5184,'Clients List'!$A:$F,2,FALSE),"")</f>
        <v/>
      </c>
      <c r="F5184" s="1" t="str">
        <f>IF(OR(C5184="",NOT(ISNUMBER(SEARCH("Package",D5184)))),"",VLOOKUP(C5184,'Clients List'!$A:$F,4,FALSE)-SUMIFS($E$2:$E5184,$C$2:$C5184,C5184,$D$2:$D5184,"*Package*"))</f>
        <v/>
      </c>
      <c r="G5184" t="str">
        <f t="shared" si="114"/>
        <v/>
      </c>
      <c r="H5184" s="33">
        <f>IF(ISNUMBER(SEARCH("Group",D5184)),IF(G5184="",E5184,IFERROR(E5184/COUNTIF($G2:$G6000,G5184),E5184)),E5184)</f>
        <v>0</v>
      </c>
      <c r="I5184" s="1" t="str">
        <f>IFERROR(VLOOKUP(C5184,'Clients List'!A:F,6,FALSE),"")</f>
        <v/>
      </c>
    </row>
    <row r="5185" spans="4:9" x14ac:dyDescent="0.45">
      <c r="D5185" t="str">
        <f>IFERROR(VLOOKUP(C5185,'Clients List'!$A:$F,2,FALSE),"")</f>
        <v/>
      </c>
      <c r="F5185" s="1" t="str">
        <f>IF(OR(C5185="",NOT(ISNUMBER(SEARCH("Package",D5185)))),"",VLOOKUP(C5185,'Clients List'!$A:$F,4,FALSE)-SUMIFS($E$2:$E5185,$C$2:$C5185,C5185,$D$2:$D5185,"*Package*"))</f>
        <v/>
      </c>
      <c r="G5185" t="str">
        <f t="shared" si="114"/>
        <v/>
      </c>
      <c r="H5185" s="33">
        <f>IF(ISNUMBER(SEARCH("Group",D5185)),IF(G5185="",E5185,IFERROR(E5185/COUNTIF($G2:$G6000,G5185),E5185)),E5185)</f>
        <v>0</v>
      </c>
      <c r="I5185" s="1" t="str">
        <f>IFERROR(VLOOKUP(C5185,'Clients List'!A:F,6,FALSE),"")</f>
        <v/>
      </c>
    </row>
    <row r="5186" spans="4:9" x14ac:dyDescent="0.45">
      <c r="D5186" t="str">
        <f>IFERROR(VLOOKUP(C5186,'Clients List'!$A:$F,2,FALSE),"")</f>
        <v/>
      </c>
      <c r="F5186" s="1" t="str">
        <f>IF(OR(C5186="",NOT(ISNUMBER(SEARCH("Package",D5186)))),"",VLOOKUP(C5186,'Clients List'!$A:$F,4,FALSE)-SUMIFS($E$2:$E5186,$C$2:$C5186,C5186,$D$2:$D5186,"*Package*"))</f>
        <v/>
      </c>
      <c r="G5186" t="str">
        <f t="shared" si="114"/>
        <v/>
      </c>
      <c r="H5186" s="33">
        <f>IF(ISNUMBER(SEARCH("Group",D5186)),IF(G5186="",E5186,IFERROR(E5186/COUNTIF($G2:$G6000,G5186),E5186)),E5186)</f>
        <v>0</v>
      </c>
      <c r="I5186" s="1" t="str">
        <f>IFERROR(VLOOKUP(C5186,'Clients List'!A:F,6,FALSE),"")</f>
        <v/>
      </c>
    </row>
    <row r="5187" spans="4:9" x14ac:dyDescent="0.45">
      <c r="D5187" t="str">
        <f>IFERROR(VLOOKUP(C5187,'Clients List'!$A:$F,2,FALSE),"")</f>
        <v/>
      </c>
      <c r="F5187" s="1" t="str">
        <f>IF(OR(C5187="",NOT(ISNUMBER(SEARCH("Package",D5187)))),"",VLOOKUP(C5187,'Clients List'!$A:$F,4,FALSE)-SUMIFS($E$2:$E5187,$C$2:$C5187,C5187,$D$2:$D5187,"*Package*"))</f>
        <v/>
      </c>
      <c r="G5187" t="str">
        <f t="shared" si="114"/>
        <v/>
      </c>
      <c r="H5187" s="33">
        <f>IF(ISNUMBER(SEARCH("Group",D5187)),IF(G5187="",E5187,IFERROR(E5187/COUNTIF($G2:$G6000,G5187),E5187)),E5187)</f>
        <v>0</v>
      </c>
      <c r="I5187" s="1" t="str">
        <f>IFERROR(VLOOKUP(C5187,'Clients List'!A:F,6,FALSE),"")</f>
        <v/>
      </c>
    </row>
    <row r="5188" spans="4:9" x14ac:dyDescent="0.45">
      <c r="D5188" t="str">
        <f>IFERROR(VLOOKUP(C5188,'Clients List'!$A:$F,2,FALSE),"")</f>
        <v/>
      </c>
      <c r="F5188" s="1" t="str">
        <f>IF(OR(C5188="",NOT(ISNUMBER(SEARCH("Package",D5188)))),"",VLOOKUP(C5188,'Clients List'!$A:$F,4,FALSE)-SUMIFS($E$2:$E5188,$C$2:$C5188,C5188,$D$2:$D5188,"*Package*"))</f>
        <v/>
      </c>
      <c r="G5188" t="str">
        <f t="shared" si="114"/>
        <v/>
      </c>
      <c r="H5188" s="33">
        <f>IF(ISNUMBER(SEARCH("Group",D5188)),IF(G5188="",E5188,IFERROR(E5188/COUNTIF($G2:$G6000,G5188),E5188)),E5188)</f>
        <v>0</v>
      </c>
      <c r="I5188" s="1" t="str">
        <f>IFERROR(VLOOKUP(C5188,'Clients List'!A:F,6,FALSE),"")</f>
        <v/>
      </c>
    </row>
    <row r="5189" spans="4:9" x14ac:dyDescent="0.45">
      <c r="D5189" t="str">
        <f>IFERROR(VLOOKUP(C5189,'Clients List'!$A:$F,2,FALSE),"")</f>
        <v/>
      </c>
      <c r="F5189" s="1" t="str">
        <f>IF(OR(C5189="",NOT(ISNUMBER(SEARCH("Package",D5189)))),"",VLOOKUP(C5189,'Clients List'!$A:$F,4,FALSE)-SUMIFS($E$2:$E5189,$C$2:$C5189,C5189,$D$2:$D5189,"*Package*"))</f>
        <v/>
      </c>
      <c r="G5189" t="str">
        <f t="shared" si="114"/>
        <v/>
      </c>
      <c r="H5189" s="33">
        <f>IF(ISNUMBER(SEARCH("Group",D5189)),IF(G5189="",E5189,IFERROR(E5189/COUNTIF($G2:$G6000,G5189),E5189)),E5189)</f>
        <v>0</v>
      </c>
      <c r="I5189" s="1" t="str">
        <f>IFERROR(VLOOKUP(C5189,'Clients List'!A:F,6,FALSE),"")</f>
        <v/>
      </c>
    </row>
    <row r="5190" spans="4:9" x14ac:dyDescent="0.45">
      <c r="D5190" t="str">
        <f>IFERROR(VLOOKUP(C5190,'Clients List'!$A:$F,2,FALSE),"")</f>
        <v/>
      </c>
      <c r="F5190" s="1" t="str">
        <f>IF(OR(C5190="",NOT(ISNUMBER(SEARCH("Package",D5190)))),"",VLOOKUP(C5190,'Clients List'!$A:$F,4,FALSE)-SUMIFS($E$2:$E5190,$C$2:$C5190,C5190,$D$2:$D5190,"*Package*"))</f>
        <v/>
      </c>
      <c r="G5190" t="str">
        <f t="shared" si="114"/>
        <v/>
      </c>
      <c r="H5190" s="33">
        <f>IF(ISNUMBER(SEARCH("Group",D5190)),IF(G5190="",E5190,IFERROR(E5190/COUNTIF($G2:$G6000,G5190),E5190)),E5190)</f>
        <v>0</v>
      </c>
      <c r="I5190" s="1" t="str">
        <f>IFERROR(VLOOKUP(C5190,'Clients List'!A:F,6,FALSE),"")</f>
        <v/>
      </c>
    </row>
    <row r="5191" spans="4:9" x14ac:dyDescent="0.45">
      <c r="D5191" t="str">
        <f>IFERROR(VLOOKUP(C5191,'Clients List'!$A:$F,2,FALSE),"")</f>
        <v/>
      </c>
      <c r="F5191" s="1" t="str">
        <f>IF(OR(C5191="",NOT(ISNUMBER(SEARCH("Package",D5191)))),"",VLOOKUP(C5191,'Clients List'!$A:$F,4,FALSE)-SUMIFS($E$2:$E5191,$C$2:$C5191,C5191,$D$2:$D5191,"*Package*"))</f>
        <v/>
      </c>
      <c r="G5191" t="str">
        <f t="shared" si="114"/>
        <v/>
      </c>
      <c r="H5191" s="33">
        <f>IF(ISNUMBER(SEARCH("Group",D5191)),IF(G5191="",E5191,IFERROR(E5191/COUNTIF($G2:$G6000,G5191),E5191)),E5191)</f>
        <v>0</v>
      </c>
      <c r="I5191" s="1" t="str">
        <f>IFERROR(VLOOKUP(C5191,'Clients List'!A:F,6,FALSE),"")</f>
        <v/>
      </c>
    </row>
    <row r="5192" spans="4:9" x14ac:dyDescent="0.45">
      <c r="D5192" t="str">
        <f>IFERROR(VLOOKUP(C5192,'Clients List'!$A:$F,2,FALSE),"")</f>
        <v/>
      </c>
      <c r="F5192" s="1" t="str">
        <f>IF(OR(C5192="",NOT(ISNUMBER(SEARCH("Package",D5192)))),"",VLOOKUP(C5192,'Clients List'!$A:$F,4,FALSE)-SUMIFS($E$2:$E5192,$C$2:$C5192,C5192,$D$2:$D5192,"*Package*"))</f>
        <v/>
      </c>
      <c r="G5192" t="str">
        <f t="shared" si="114"/>
        <v/>
      </c>
      <c r="H5192" s="33">
        <f>IF(ISNUMBER(SEARCH("Group",D5192)),IF(G5192="",E5192,IFERROR(E5192/COUNTIF($G2:$G6000,G5192),E5192)),E5192)</f>
        <v>0</v>
      </c>
      <c r="I5192" s="1" t="str">
        <f>IFERROR(VLOOKUP(C5192,'Clients List'!A:F,6,FALSE),"")</f>
        <v/>
      </c>
    </row>
    <row r="5193" spans="4:9" x14ac:dyDescent="0.45">
      <c r="D5193" t="str">
        <f>IFERROR(VLOOKUP(C5193,'Clients List'!$A:$F,2,FALSE),"")</f>
        <v/>
      </c>
      <c r="F5193" s="1" t="str">
        <f>IF(OR(C5193="",NOT(ISNUMBER(SEARCH("Package",D5193)))),"",VLOOKUP(C5193,'Clients List'!$A:$F,4,FALSE)-SUMIFS($E$2:$E5193,$C$2:$C5193,C5193,$D$2:$D5193,"*Package*"))</f>
        <v/>
      </c>
      <c r="G5193" t="str">
        <f t="shared" si="114"/>
        <v/>
      </c>
      <c r="H5193" s="33">
        <f>IF(ISNUMBER(SEARCH("Group",D5193)),IF(G5193="",E5193,IFERROR(E5193/COUNTIF($G2:$G6000,G5193),E5193)),E5193)</f>
        <v>0</v>
      </c>
      <c r="I5193" s="1" t="str">
        <f>IFERROR(VLOOKUP(C5193,'Clients List'!A:F,6,FALSE),"")</f>
        <v/>
      </c>
    </row>
    <row r="5194" spans="4:9" x14ac:dyDescent="0.45">
      <c r="D5194" t="str">
        <f>IFERROR(VLOOKUP(C5194,'Clients List'!$A:$F,2,FALSE),"")</f>
        <v/>
      </c>
      <c r="F5194" s="1" t="str">
        <f>IF(OR(C5194="",NOT(ISNUMBER(SEARCH("Package",D5194)))),"",VLOOKUP(C5194,'Clients List'!$A:$F,4,FALSE)-SUMIFS($E$2:$E5194,$C$2:$C5194,C5194,$D$2:$D5194,"*Package*"))</f>
        <v/>
      </c>
      <c r="G5194" t="str">
        <f t="shared" si="114"/>
        <v/>
      </c>
      <c r="H5194" s="33">
        <f>IF(ISNUMBER(SEARCH("Group",D5194)),IF(G5194="",E5194,IFERROR(E5194/COUNTIF($G2:$G6000,G5194),E5194)),E5194)</f>
        <v>0</v>
      </c>
      <c r="I5194" s="1" t="str">
        <f>IFERROR(VLOOKUP(C5194,'Clients List'!A:F,6,FALSE),"")</f>
        <v/>
      </c>
    </row>
    <row r="5195" spans="4:9" x14ac:dyDescent="0.45">
      <c r="D5195" t="str">
        <f>IFERROR(VLOOKUP(C5195,'Clients List'!$A:$F,2,FALSE),"")</f>
        <v/>
      </c>
      <c r="F5195" s="1" t="str">
        <f>IF(OR(C5195="",NOT(ISNUMBER(SEARCH("Package",D5195)))),"",VLOOKUP(C5195,'Clients List'!$A:$F,4,FALSE)-SUMIFS($E$2:$E5195,$C$2:$C5195,C5195,$D$2:$D5195,"*Package*"))</f>
        <v/>
      </c>
      <c r="G5195" t="str">
        <f t="shared" si="114"/>
        <v/>
      </c>
      <c r="H5195" s="33">
        <f>IF(ISNUMBER(SEARCH("Group",D5195)),IF(G5195="",E5195,IFERROR(E5195/COUNTIF($G2:$G6000,G5195),E5195)),E5195)</f>
        <v>0</v>
      </c>
      <c r="I5195" s="1" t="str">
        <f>IFERROR(VLOOKUP(C5195,'Clients List'!A:F,6,FALSE),"")</f>
        <v/>
      </c>
    </row>
    <row r="5196" spans="4:9" x14ac:dyDescent="0.45">
      <c r="D5196" t="str">
        <f>IFERROR(VLOOKUP(C5196,'Clients List'!$A:$F,2,FALSE),"")</f>
        <v/>
      </c>
      <c r="F5196" s="1" t="str">
        <f>IF(OR(C5196="",NOT(ISNUMBER(SEARCH("Package",D5196)))),"",VLOOKUP(C5196,'Clients List'!$A:$F,4,FALSE)-SUMIFS($E$2:$E5196,$C$2:$C5196,C5196,$D$2:$D5196,"*Package*"))</f>
        <v/>
      </c>
      <c r="G5196" t="str">
        <f t="shared" si="114"/>
        <v/>
      </c>
      <c r="H5196" s="33">
        <f>IF(ISNUMBER(SEARCH("Group",D5196)),IF(G5196="",E5196,IFERROR(E5196/COUNTIF($G2:$G6000,G5196),E5196)),E5196)</f>
        <v>0</v>
      </c>
      <c r="I5196" s="1" t="str">
        <f>IFERROR(VLOOKUP(C5196,'Clients List'!A:F,6,FALSE),"")</f>
        <v/>
      </c>
    </row>
    <row r="5197" spans="4:9" x14ac:dyDescent="0.45">
      <c r="D5197" t="str">
        <f>IFERROR(VLOOKUP(C5197,'Clients List'!$A:$F,2,FALSE),"")</f>
        <v/>
      </c>
      <c r="F5197" s="1" t="str">
        <f>IF(OR(C5197="",NOT(ISNUMBER(SEARCH("Package",D5197)))),"",VLOOKUP(C5197,'Clients List'!$A:$F,4,FALSE)-SUMIFS($E$2:$E5197,$C$2:$C5197,C5197,$D$2:$D5197,"*Package*"))</f>
        <v/>
      </c>
      <c r="G5197" t="str">
        <f t="shared" si="114"/>
        <v/>
      </c>
      <c r="H5197" s="33">
        <f>IF(ISNUMBER(SEARCH("Group",D5197)),IF(G5197="",E5197,IFERROR(E5197/COUNTIF($G2:$G6000,G5197),E5197)),E5197)</f>
        <v>0</v>
      </c>
      <c r="I5197" s="1" t="str">
        <f>IFERROR(VLOOKUP(C5197,'Clients List'!A:F,6,FALSE),"")</f>
        <v/>
      </c>
    </row>
    <row r="5198" spans="4:9" x14ac:dyDescent="0.45">
      <c r="D5198" t="str">
        <f>IFERROR(VLOOKUP(C5198,'Clients List'!$A:$F,2,FALSE),"")</f>
        <v/>
      </c>
      <c r="F5198" s="1" t="str">
        <f>IF(OR(C5198="",NOT(ISNUMBER(SEARCH("Package",D5198)))),"",VLOOKUP(C5198,'Clients List'!$A:$F,4,FALSE)-SUMIFS($E$2:$E5198,$C$2:$C5198,C5198,$D$2:$D5198,"*Package*"))</f>
        <v/>
      </c>
      <c r="G5198" t="str">
        <f t="shared" si="114"/>
        <v/>
      </c>
      <c r="H5198" s="33">
        <f>IF(ISNUMBER(SEARCH("Group",D5198)),IF(G5198="",E5198,IFERROR(E5198/COUNTIF($G2:$G6000,G5198),E5198)),E5198)</f>
        <v>0</v>
      </c>
      <c r="I5198" s="1" t="str">
        <f>IFERROR(VLOOKUP(C5198,'Clients List'!A:F,6,FALSE),"")</f>
        <v/>
      </c>
    </row>
    <row r="5199" spans="4:9" x14ac:dyDescent="0.45">
      <c r="D5199" t="str">
        <f>IFERROR(VLOOKUP(C5199,'Clients List'!$A:$F,2,FALSE),"")</f>
        <v/>
      </c>
      <c r="F5199" s="1" t="str">
        <f>IF(OR(C5199="",NOT(ISNUMBER(SEARCH("Package",D5199)))),"",VLOOKUP(C5199,'Clients List'!$A:$F,4,FALSE)-SUMIFS($E$2:$E5199,$C$2:$C5199,C5199,$D$2:$D5199,"*Package*"))</f>
        <v/>
      </c>
      <c r="G5199" t="str">
        <f t="shared" si="114"/>
        <v/>
      </c>
      <c r="H5199" s="33">
        <f>IF(ISNUMBER(SEARCH("Group",D5199)),IF(G5199="",E5199,IFERROR(E5199/COUNTIF($G2:$G6000,G5199),E5199)),E5199)</f>
        <v>0</v>
      </c>
      <c r="I5199" s="1" t="str">
        <f>IFERROR(VLOOKUP(C5199,'Clients List'!A:F,6,FALSE),"")</f>
        <v/>
      </c>
    </row>
    <row r="5200" spans="4:9" x14ac:dyDescent="0.45">
      <c r="D5200" t="str">
        <f>IFERROR(VLOOKUP(C5200,'Clients List'!$A:$F,2,FALSE),"")</f>
        <v/>
      </c>
      <c r="F5200" s="1" t="str">
        <f>IF(OR(C5200="",NOT(ISNUMBER(SEARCH("Package",D5200)))),"",VLOOKUP(C5200,'Clients List'!$A:$F,4,FALSE)-SUMIFS($E$2:$E5200,$C$2:$C5200,C5200,$D$2:$D5200,"*Package*"))</f>
        <v/>
      </c>
      <c r="G5200" t="str">
        <f t="shared" si="114"/>
        <v/>
      </c>
      <c r="H5200" s="33">
        <f>IF(ISNUMBER(SEARCH("Group",D5200)),IF(G5200="",E5200,IFERROR(E5200/COUNTIF($G2:$G6000,G5200),E5200)),E5200)</f>
        <v>0</v>
      </c>
      <c r="I5200" s="1" t="str">
        <f>IFERROR(VLOOKUP(C5200,'Clients List'!A:F,6,FALSE),"")</f>
        <v/>
      </c>
    </row>
    <row r="5201" spans="4:9" x14ac:dyDescent="0.45">
      <c r="D5201" t="str">
        <f>IFERROR(VLOOKUP(C5201,'Clients List'!$A:$F,2,FALSE),"")</f>
        <v/>
      </c>
      <c r="F5201" s="1" t="str">
        <f>IF(OR(C5201="",NOT(ISNUMBER(SEARCH("Package",D5201)))),"",VLOOKUP(C5201,'Clients List'!$A:$F,4,FALSE)-SUMIFS($E$2:$E5201,$C$2:$C5201,C5201,$D$2:$D5201,"*Package*"))</f>
        <v/>
      </c>
      <c r="G5201" t="str">
        <f t="shared" si="114"/>
        <v/>
      </c>
      <c r="H5201" s="33">
        <f>IF(ISNUMBER(SEARCH("Group",D5201)),IF(G5201="",E5201,IFERROR(E5201/COUNTIF($G2:$G6000,G5201),E5201)),E5201)</f>
        <v>0</v>
      </c>
      <c r="I5201" s="1" t="str">
        <f>IFERROR(VLOOKUP(C5201,'Clients List'!A:F,6,FALSE),"")</f>
        <v/>
      </c>
    </row>
    <row r="5202" spans="4:9" x14ac:dyDescent="0.45">
      <c r="D5202" t="str">
        <f>IFERROR(VLOOKUP(C5202,'Clients List'!$A:$F,2,FALSE),"")</f>
        <v/>
      </c>
      <c r="F5202" s="1" t="str">
        <f>IF(OR(C5202="",NOT(ISNUMBER(SEARCH("Package",D5202)))),"",VLOOKUP(C5202,'Clients List'!$A:$F,4,FALSE)-SUMIFS($E$2:$E5202,$C$2:$C5202,C5202,$D$2:$D5202,"*Package*"))</f>
        <v/>
      </c>
      <c r="G5202" t="str">
        <f t="shared" si="114"/>
        <v/>
      </c>
      <c r="H5202" s="33">
        <f>IF(ISNUMBER(SEARCH("Group",D5202)),IF(G5202="",E5202,IFERROR(E5202/COUNTIF($G2:$G6000,G5202),E5202)),E5202)</f>
        <v>0</v>
      </c>
      <c r="I5202" s="1" t="str">
        <f>IFERROR(VLOOKUP(C5202,'Clients List'!A:F,6,FALSE),"")</f>
        <v/>
      </c>
    </row>
    <row r="5203" spans="4:9" x14ac:dyDescent="0.45">
      <c r="D5203" t="str">
        <f>IFERROR(VLOOKUP(C5203,'Clients List'!$A:$F,2,FALSE),"")</f>
        <v/>
      </c>
      <c r="F5203" s="1" t="str">
        <f>IF(OR(C5203="",NOT(ISNUMBER(SEARCH("Package",D5203)))),"",VLOOKUP(C5203,'Clients List'!$A:$F,4,FALSE)-SUMIFS($E$2:$E5203,$C$2:$C5203,C5203,$D$2:$D5203,"*Package*"))</f>
        <v/>
      </c>
      <c r="G5203" t="str">
        <f t="shared" si="114"/>
        <v/>
      </c>
      <c r="H5203" s="33">
        <f>IF(ISNUMBER(SEARCH("Group",D5203)),IF(G5203="",E5203,IFERROR(E5203/COUNTIF($G2:$G6000,G5203),E5203)),E5203)</f>
        <v>0</v>
      </c>
      <c r="I5203" s="1" t="str">
        <f>IFERROR(VLOOKUP(C5203,'Clients List'!A:F,6,FALSE),"")</f>
        <v/>
      </c>
    </row>
    <row r="5204" spans="4:9" x14ac:dyDescent="0.45">
      <c r="D5204" t="str">
        <f>IFERROR(VLOOKUP(C5204,'Clients List'!$A:$F,2,FALSE),"")</f>
        <v/>
      </c>
      <c r="F5204" s="1" t="str">
        <f>IF(OR(C5204="",NOT(ISNUMBER(SEARCH("Package",D5204)))),"",VLOOKUP(C5204,'Clients List'!$A:$F,4,FALSE)-SUMIFS($E$2:$E5204,$C$2:$C5204,C5204,$D$2:$D5204,"*Package*"))</f>
        <v/>
      </c>
      <c r="G5204" t="str">
        <f t="shared" si="114"/>
        <v/>
      </c>
      <c r="H5204" s="33">
        <f>IF(ISNUMBER(SEARCH("Group",D5204)),IF(G5204="",E5204,IFERROR(E5204/COUNTIF($G2:$G6000,G5204),E5204)),E5204)</f>
        <v>0</v>
      </c>
      <c r="I5204" s="1" t="str">
        <f>IFERROR(VLOOKUP(C5204,'Clients List'!A:F,6,FALSE),"")</f>
        <v/>
      </c>
    </row>
    <row r="5205" spans="4:9" x14ac:dyDescent="0.45">
      <c r="D5205" t="str">
        <f>IFERROR(VLOOKUP(C5205,'Clients List'!$A:$F,2,FALSE),"")</f>
        <v/>
      </c>
      <c r="F5205" s="1" t="str">
        <f>IF(OR(C5205="",NOT(ISNUMBER(SEARCH("Package",D5205)))),"",VLOOKUP(C5205,'Clients List'!$A:$F,4,FALSE)-SUMIFS($E$2:$E5205,$C$2:$C5205,C5205,$D$2:$D5205,"*Package*"))</f>
        <v/>
      </c>
      <c r="G5205" t="str">
        <f t="shared" si="114"/>
        <v/>
      </c>
      <c r="H5205" s="33">
        <f>IF(ISNUMBER(SEARCH("Group",D5205)),IF(G5205="",E5205,IFERROR(E5205/COUNTIF($G2:$G6000,G5205),E5205)),E5205)</f>
        <v>0</v>
      </c>
      <c r="I5205" s="1" t="str">
        <f>IFERROR(VLOOKUP(C5205,'Clients List'!A:F,6,FALSE),"")</f>
        <v/>
      </c>
    </row>
    <row r="5206" spans="4:9" x14ac:dyDescent="0.45">
      <c r="D5206" t="str">
        <f>IFERROR(VLOOKUP(C5206,'Clients List'!$A:$F,2,FALSE),"")</f>
        <v/>
      </c>
      <c r="F5206" s="1" t="str">
        <f>IF(OR(C5206="",NOT(ISNUMBER(SEARCH("Package",D5206)))),"",VLOOKUP(C5206,'Clients List'!$A:$F,4,FALSE)-SUMIFS($E$2:$E5206,$C$2:$C5206,C5206,$D$2:$D5206,"*Package*"))</f>
        <v/>
      </c>
      <c r="G5206" t="str">
        <f t="shared" si="114"/>
        <v/>
      </c>
      <c r="H5206" s="33">
        <f>IF(ISNUMBER(SEARCH("Group",D5206)),IF(G5206="",E5206,IFERROR(E5206/COUNTIF($G2:$G6000,G5206),E5206)),E5206)</f>
        <v>0</v>
      </c>
      <c r="I5206" s="1" t="str">
        <f>IFERROR(VLOOKUP(C5206,'Clients List'!A:F,6,FALSE),"")</f>
        <v/>
      </c>
    </row>
    <row r="5207" spans="4:9" x14ac:dyDescent="0.45">
      <c r="D5207" t="str">
        <f>IFERROR(VLOOKUP(C5207,'Clients List'!$A:$F,2,FALSE),"")</f>
        <v/>
      </c>
      <c r="F5207" s="1" t="str">
        <f>IF(OR(C5207="",NOT(ISNUMBER(SEARCH("Package",D5207)))),"",VLOOKUP(C5207,'Clients List'!$A:$F,4,FALSE)-SUMIFS($E$2:$E5207,$C$2:$C5207,C5207,$D$2:$D5207,"*Package*"))</f>
        <v/>
      </c>
      <c r="G5207" t="str">
        <f t="shared" si="114"/>
        <v/>
      </c>
      <c r="H5207" s="33">
        <f>IF(ISNUMBER(SEARCH("Group",D5207)),IF(G5207="",E5207,IFERROR(E5207/COUNTIF($G2:$G6000,G5207),E5207)),E5207)</f>
        <v>0</v>
      </c>
      <c r="I5207" s="1" t="str">
        <f>IFERROR(VLOOKUP(C5207,'Clients List'!A:F,6,FALSE),"")</f>
        <v/>
      </c>
    </row>
    <row r="5208" spans="4:9" x14ac:dyDescent="0.45">
      <c r="D5208" t="str">
        <f>IFERROR(VLOOKUP(C5208,'Clients List'!$A:$F,2,FALSE),"")</f>
        <v/>
      </c>
      <c r="F5208" s="1" t="str">
        <f>IF(OR(C5208="",NOT(ISNUMBER(SEARCH("Package",D5208)))),"",VLOOKUP(C5208,'Clients List'!$A:$F,4,FALSE)-SUMIFS($E$2:$E5208,$C$2:$C5208,C5208,$D$2:$D5208,"*Package*"))</f>
        <v/>
      </c>
      <c r="G5208" t="str">
        <f t="shared" si="114"/>
        <v/>
      </c>
      <c r="H5208" s="33">
        <f>IF(ISNUMBER(SEARCH("Group",D5208)),IF(G5208="",E5208,IFERROR(E5208/COUNTIF($G2:$G6000,G5208),E5208)),E5208)</f>
        <v>0</v>
      </c>
      <c r="I5208" s="1" t="str">
        <f>IFERROR(VLOOKUP(C5208,'Clients List'!A:F,6,FALSE),"")</f>
        <v/>
      </c>
    </row>
    <row r="5209" spans="4:9" x14ac:dyDescent="0.45">
      <c r="D5209" t="str">
        <f>IFERROR(VLOOKUP(C5209,'Clients List'!$A:$F,2,FALSE),"")</f>
        <v/>
      </c>
      <c r="F5209" s="1" t="str">
        <f>IF(OR(C5209="",NOT(ISNUMBER(SEARCH("Package",D5209)))),"",VLOOKUP(C5209,'Clients List'!$A:$F,4,FALSE)-SUMIFS($E$2:$E5209,$C$2:$C5209,C5209,$D$2:$D5209,"*Package*"))</f>
        <v/>
      </c>
      <c r="G5209" t="str">
        <f t="shared" si="114"/>
        <v/>
      </c>
      <c r="H5209" s="33">
        <f>IF(ISNUMBER(SEARCH("Group",D5209)),IF(G5209="",E5209,IFERROR(E5209/COUNTIF($G2:$G6000,G5209),E5209)),E5209)</f>
        <v>0</v>
      </c>
      <c r="I5209" s="1" t="str">
        <f>IFERROR(VLOOKUP(C5209,'Clients List'!A:F,6,FALSE),"")</f>
        <v/>
      </c>
    </row>
    <row r="5210" spans="4:9" x14ac:dyDescent="0.45">
      <c r="D5210" t="str">
        <f>IFERROR(VLOOKUP(C5210,'Clients List'!$A:$F,2,FALSE),"")</f>
        <v/>
      </c>
      <c r="F5210" s="1" t="str">
        <f>IF(OR(C5210="",NOT(ISNUMBER(SEARCH("Package",D5210)))),"",VLOOKUP(C5210,'Clients List'!$A:$F,4,FALSE)-SUMIFS($E$2:$E5210,$C$2:$C5210,C5210,$D$2:$D5210,"*Package*"))</f>
        <v/>
      </c>
      <c r="G5210" t="str">
        <f t="shared" si="114"/>
        <v/>
      </c>
      <c r="H5210" s="33">
        <f>IF(ISNUMBER(SEARCH("Group",D5210)),IF(G5210="",E5210,IFERROR(E5210/COUNTIF($G2:$G6000,G5210),E5210)),E5210)</f>
        <v>0</v>
      </c>
      <c r="I5210" s="1" t="str">
        <f>IFERROR(VLOOKUP(C5210,'Clients List'!A:F,6,FALSE),"")</f>
        <v/>
      </c>
    </row>
    <row r="5211" spans="4:9" x14ac:dyDescent="0.45">
      <c r="D5211" t="str">
        <f>IFERROR(VLOOKUP(C5211,'Clients List'!$A:$F,2,FALSE),"")</f>
        <v/>
      </c>
      <c r="F5211" s="1" t="str">
        <f>IF(OR(C5211="",NOT(ISNUMBER(SEARCH("Package",D5211)))),"",VLOOKUP(C5211,'Clients List'!$A:$F,4,FALSE)-SUMIFS($E$2:$E5211,$C$2:$C5211,C5211,$D$2:$D5211,"*Package*"))</f>
        <v/>
      </c>
      <c r="G5211" t="str">
        <f t="shared" si="114"/>
        <v/>
      </c>
      <c r="H5211" s="33">
        <f>IF(ISNUMBER(SEARCH("Group",D5211)),IF(G5211="",E5211,IFERROR(E5211/COUNTIF($G2:$G6000,G5211),E5211)),E5211)</f>
        <v>0</v>
      </c>
      <c r="I5211" s="1" t="str">
        <f>IFERROR(VLOOKUP(C5211,'Clients List'!A:F,6,FALSE),"")</f>
        <v/>
      </c>
    </row>
    <row r="5212" spans="4:9" x14ac:dyDescent="0.45">
      <c r="D5212" t="str">
        <f>IFERROR(VLOOKUP(C5212,'Clients List'!$A:$F,2,FALSE),"")</f>
        <v/>
      </c>
      <c r="F5212" s="1" t="str">
        <f>IF(OR(C5212="",NOT(ISNUMBER(SEARCH("Package",D5212)))),"",VLOOKUP(C5212,'Clients List'!$A:$F,4,FALSE)-SUMIFS($E$2:$E5212,$C$2:$C5212,C5212,$D$2:$D5212,"*Package*"))</f>
        <v/>
      </c>
      <c r="G5212" t="str">
        <f t="shared" si="114"/>
        <v/>
      </c>
      <c r="H5212" s="33">
        <f>IF(ISNUMBER(SEARCH("Group",D5212)),IF(G5212="",E5212,IFERROR(E5212/COUNTIF($G2:$G6000,G5212),E5212)),E5212)</f>
        <v>0</v>
      </c>
      <c r="I5212" s="1" t="str">
        <f>IFERROR(VLOOKUP(C5212,'Clients List'!A:F,6,FALSE),"")</f>
        <v/>
      </c>
    </row>
    <row r="5213" spans="4:9" x14ac:dyDescent="0.45">
      <c r="D5213" t="str">
        <f>IFERROR(VLOOKUP(C5213,'Clients List'!$A:$F,2,FALSE),"")</f>
        <v/>
      </c>
      <c r="F5213" s="1" t="str">
        <f>IF(OR(C5213="",NOT(ISNUMBER(SEARCH("Package",D5213)))),"",VLOOKUP(C5213,'Clients List'!$A:$F,4,FALSE)-SUMIFS($E$2:$E5213,$C$2:$C5213,C5213,$D$2:$D5213,"*Package*"))</f>
        <v/>
      </c>
      <c r="G5213" t="str">
        <f t="shared" si="114"/>
        <v/>
      </c>
      <c r="H5213" s="33">
        <f>IF(ISNUMBER(SEARCH("Group",D5213)),IF(G5213="",E5213,IFERROR(E5213/COUNTIF($G2:$G6000,G5213),E5213)),E5213)</f>
        <v>0</v>
      </c>
      <c r="I5213" s="1" t="str">
        <f>IFERROR(VLOOKUP(C5213,'Clients List'!A:F,6,FALSE),"")</f>
        <v/>
      </c>
    </row>
    <row r="5214" spans="4:9" x14ac:dyDescent="0.45">
      <c r="D5214" t="str">
        <f>IFERROR(VLOOKUP(C5214,'Clients List'!$A:$F,2,FALSE),"")</f>
        <v/>
      </c>
      <c r="F5214" s="1" t="str">
        <f>IF(OR(C5214="",NOT(ISNUMBER(SEARCH("Package",D5214)))),"",VLOOKUP(C5214,'Clients List'!$A:$F,4,FALSE)-SUMIFS($E$2:$E5214,$C$2:$C5214,C5214,$D$2:$D5214,"*Package*"))</f>
        <v/>
      </c>
      <c r="G5214" t="str">
        <f t="shared" si="114"/>
        <v/>
      </c>
      <c r="H5214" s="33">
        <f>IF(ISNUMBER(SEARCH("Group",D5214)),IF(G5214="",E5214,IFERROR(E5214/COUNTIF($G2:$G6000,G5214),E5214)),E5214)</f>
        <v>0</v>
      </c>
      <c r="I5214" s="1" t="str">
        <f>IFERROR(VLOOKUP(C5214,'Clients List'!A:F,6,FALSE),"")</f>
        <v/>
      </c>
    </row>
    <row r="5215" spans="4:9" x14ac:dyDescent="0.45">
      <c r="D5215" t="str">
        <f>IFERROR(VLOOKUP(C5215,'Clients List'!$A:$F,2,FALSE),"")</f>
        <v/>
      </c>
      <c r="F5215" s="1" t="str">
        <f>IF(OR(C5215="",NOT(ISNUMBER(SEARCH("Package",D5215)))),"",VLOOKUP(C5215,'Clients List'!$A:$F,4,FALSE)-SUMIFS($E$2:$E5215,$C$2:$C5215,C5215,$D$2:$D5215,"*Package*"))</f>
        <v/>
      </c>
      <c r="G5215" t="str">
        <f t="shared" si="114"/>
        <v/>
      </c>
      <c r="H5215" s="33">
        <f>IF(ISNUMBER(SEARCH("Group",D5215)),IF(G5215="",E5215,IFERROR(E5215/COUNTIF($G2:$G6000,G5215),E5215)),E5215)</f>
        <v>0</v>
      </c>
      <c r="I5215" s="1" t="str">
        <f>IFERROR(VLOOKUP(C5215,'Clients List'!A:F,6,FALSE),"")</f>
        <v/>
      </c>
    </row>
    <row r="5216" spans="4:9" x14ac:dyDescent="0.45">
      <c r="D5216" t="str">
        <f>IFERROR(VLOOKUP(C5216,'Clients List'!$A:$F,2,FALSE),"")</f>
        <v/>
      </c>
      <c r="F5216" s="1" t="str">
        <f>IF(OR(C5216="",NOT(ISNUMBER(SEARCH("Package",D5216)))),"",VLOOKUP(C5216,'Clients List'!$A:$F,4,FALSE)-SUMIFS($E$2:$E5216,$C$2:$C5216,C5216,$D$2:$D5216,"*Package*"))</f>
        <v/>
      </c>
      <c r="G5216" t="str">
        <f t="shared" si="114"/>
        <v/>
      </c>
      <c r="H5216" s="33">
        <f>IF(ISNUMBER(SEARCH("Group",D5216)),IF(G5216="",E5216,IFERROR(E5216/COUNTIF($G2:$G6000,G5216),E5216)),E5216)</f>
        <v>0</v>
      </c>
      <c r="I5216" s="1" t="str">
        <f>IFERROR(VLOOKUP(C5216,'Clients List'!A:F,6,FALSE),"")</f>
        <v/>
      </c>
    </row>
    <row r="5217" spans="4:9" x14ac:dyDescent="0.45">
      <c r="D5217" t="str">
        <f>IFERROR(VLOOKUP(C5217,'Clients List'!$A:$F,2,FALSE),"")</f>
        <v/>
      </c>
      <c r="F5217" s="1" t="str">
        <f>IF(OR(C5217="",NOT(ISNUMBER(SEARCH("Package",D5217)))),"",VLOOKUP(C5217,'Clients List'!$A:$F,4,FALSE)-SUMIFS($E$2:$E5217,$C$2:$C5217,C5217,$D$2:$D5217,"*Package*"))</f>
        <v/>
      </c>
      <c r="G5217" t="str">
        <f t="shared" si="114"/>
        <v/>
      </c>
      <c r="H5217" s="33">
        <f>IF(ISNUMBER(SEARCH("Group",D5217)),IF(G5217="",E5217,IFERROR(E5217/COUNTIF($G2:$G6000,G5217),E5217)),E5217)</f>
        <v>0</v>
      </c>
      <c r="I5217" s="1" t="str">
        <f>IFERROR(VLOOKUP(C5217,'Clients List'!A:F,6,FALSE),"")</f>
        <v/>
      </c>
    </row>
    <row r="5218" spans="4:9" x14ac:dyDescent="0.45">
      <c r="D5218" t="str">
        <f>IFERROR(VLOOKUP(C5218,'Clients List'!$A:$F,2,FALSE),"")</f>
        <v/>
      </c>
      <c r="F5218" s="1" t="str">
        <f>IF(OR(C5218="",NOT(ISNUMBER(SEARCH("Package",D5218)))),"",VLOOKUP(C5218,'Clients List'!$A:$F,4,FALSE)-SUMIFS($E$2:$E5218,$C$2:$C5218,C5218,$D$2:$D5218,"*Package*"))</f>
        <v/>
      </c>
      <c r="G5218" t="str">
        <f t="shared" si="114"/>
        <v/>
      </c>
      <c r="H5218" s="33">
        <f>IF(ISNUMBER(SEARCH("Group",D5218)),IF(G5218="",E5218,IFERROR(E5218/COUNTIF($G2:$G6000,G5218),E5218)),E5218)</f>
        <v>0</v>
      </c>
      <c r="I5218" s="1" t="str">
        <f>IFERROR(VLOOKUP(C5218,'Clients List'!A:F,6,FALSE),"")</f>
        <v/>
      </c>
    </row>
    <row r="5219" spans="4:9" x14ac:dyDescent="0.45">
      <c r="D5219" t="str">
        <f>IFERROR(VLOOKUP(C5219,'Clients List'!$A:$F,2,FALSE),"")</f>
        <v/>
      </c>
      <c r="F5219" s="1" t="str">
        <f>IF(OR(C5219="",NOT(ISNUMBER(SEARCH("Package",D5219)))),"",VLOOKUP(C5219,'Clients List'!$A:$F,4,FALSE)-SUMIFS($E$2:$E5219,$C$2:$C5219,C5219,$D$2:$D5219,"*Package*"))</f>
        <v/>
      </c>
      <c r="G5219" t="str">
        <f t="shared" si="114"/>
        <v/>
      </c>
      <c r="H5219" s="33">
        <f>IF(ISNUMBER(SEARCH("Group",D5219)),IF(G5219="",E5219,IFERROR(E5219/COUNTIF($G2:$G6000,G5219),E5219)),E5219)</f>
        <v>0</v>
      </c>
      <c r="I5219" s="1" t="str">
        <f>IFERROR(VLOOKUP(C5219,'Clients List'!A:F,6,FALSE),"")</f>
        <v/>
      </c>
    </row>
    <row r="5220" spans="4:9" x14ac:dyDescent="0.45">
      <c r="D5220" t="str">
        <f>IFERROR(VLOOKUP(C5220,'Clients List'!$A:$F,2,FALSE),"")</f>
        <v/>
      </c>
      <c r="F5220" s="1" t="str">
        <f>IF(OR(C5220="",NOT(ISNUMBER(SEARCH("Package",D5220)))),"",VLOOKUP(C5220,'Clients List'!$A:$F,4,FALSE)-SUMIFS($E$2:$E5220,$C$2:$C5220,C5220,$D$2:$D5220,"*Package*"))</f>
        <v/>
      </c>
      <c r="G5220" t="str">
        <f t="shared" si="114"/>
        <v/>
      </c>
      <c r="H5220" s="33">
        <f>IF(ISNUMBER(SEARCH("Group",D5220)),IF(G5220="",E5220,IFERROR(E5220/COUNTIF($G2:$G6000,G5220),E5220)),E5220)</f>
        <v>0</v>
      </c>
      <c r="I5220" s="1" t="str">
        <f>IFERROR(VLOOKUP(C5220,'Clients List'!A:F,6,FALSE),"")</f>
        <v/>
      </c>
    </row>
    <row r="5221" spans="4:9" x14ac:dyDescent="0.45">
      <c r="D5221" t="str">
        <f>IFERROR(VLOOKUP(C5221,'Clients List'!$A:$F,2,FALSE),"")</f>
        <v/>
      </c>
      <c r="F5221" s="1" t="str">
        <f>IF(OR(C5221="",NOT(ISNUMBER(SEARCH("Package",D5221)))),"",VLOOKUP(C5221,'Clients List'!$A:$F,4,FALSE)-SUMIFS($E$2:$E5221,$C$2:$C5221,C5221,$D$2:$D5221,"*Package*"))</f>
        <v/>
      </c>
      <c r="G5221" t="str">
        <f t="shared" si="114"/>
        <v/>
      </c>
      <c r="H5221" s="33">
        <f>IF(ISNUMBER(SEARCH("Group",D5221)),IF(G5221="",E5221,IFERROR(E5221/COUNTIF($G2:$G6000,G5221),E5221)),E5221)</f>
        <v>0</v>
      </c>
      <c r="I5221" s="1" t="str">
        <f>IFERROR(VLOOKUP(C5221,'Clients List'!A:F,6,FALSE),"")</f>
        <v/>
      </c>
    </row>
    <row r="5222" spans="4:9" x14ac:dyDescent="0.45">
      <c r="D5222" t="str">
        <f>IFERROR(VLOOKUP(C5222,'Clients List'!$A:$F,2,FALSE),"")</f>
        <v/>
      </c>
      <c r="F5222" s="1" t="str">
        <f>IF(OR(C5222="",NOT(ISNUMBER(SEARCH("Package",D5222)))),"",VLOOKUP(C5222,'Clients List'!$A:$F,4,FALSE)-SUMIFS($E$2:$E5222,$C$2:$C5222,C5222,$D$2:$D5222,"*Package*"))</f>
        <v/>
      </c>
      <c r="G5222" t="str">
        <f t="shared" si="114"/>
        <v/>
      </c>
      <c r="H5222" s="33">
        <f>IF(ISNUMBER(SEARCH("Group",D5222)),IF(G5222="",E5222,IFERROR(E5222/COUNTIF($G2:$G6000,G5222),E5222)),E5222)</f>
        <v>0</v>
      </c>
      <c r="I5222" s="1" t="str">
        <f>IFERROR(VLOOKUP(C5222,'Clients List'!A:F,6,FALSE),"")</f>
        <v/>
      </c>
    </row>
    <row r="5223" spans="4:9" x14ac:dyDescent="0.45">
      <c r="D5223" t="str">
        <f>IFERROR(VLOOKUP(C5223,'Clients List'!$A:$F,2,FALSE),"")</f>
        <v/>
      </c>
      <c r="F5223" s="1" t="str">
        <f>IF(OR(C5223="",NOT(ISNUMBER(SEARCH("Package",D5223)))),"",VLOOKUP(C5223,'Clients List'!$A:$F,4,FALSE)-SUMIFS($E$2:$E5223,$C$2:$C5223,C5223,$D$2:$D5223,"*Package*"))</f>
        <v/>
      </c>
      <c r="G5223" t="str">
        <f t="shared" si="114"/>
        <v/>
      </c>
      <c r="H5223" s="33">
        <f>IF(ISNUMBER(SEARCH("Group",D5223)),IF(G5223="",E5223,IFERROR(E5223/COUNTIF($G2:$G6000,G5223),E5223)),E5223)</f>
        <v>0</v>
      </c>
      <c r="I5223" s="1" t="str">
        <f>IFERROR(VLOOKUP(C5223,'Clients List'!A:F,6,FALSE),"")</f>
        <v/>
      </c>
    </row>
    <row r="5224" spans="4:9" x14ac:dyDescent="0.45">
      <c r="D5224" t="str">
        <f>IFERROR(VLOOKUP(C5224,'Clients List'!$A:$F,2,FALSE),"")</f>
        <v/>
      </c>
      <c r="F5224" s="1" t="str">
        <f>IF(OR(C5224="",NOT(ISNUMBER(SEARCH("Package",D5224)))),"",VLOOKUP(C5224,'Clients List'!$A:$F,4,FALSE)-SUMIFS($E$2:$E5224,$C$2:$C5224,C5224,$D$2:$D5224,"*Package*"))</f>
        <v/>
      </c>
      <c r="G5224" t="str">
        <f t="shared" si="114"/>
        <v/>
      </c>
      <c r="H5224" s="33">
        <f>IF(ISNUMBER(SEARCH("Group",D5224)),IF(G5224="",E5224,IFERROR(E5224/COUNTIF($G2:$G6000,G5224),E5224)),E5224)</f>
        <v>0</v>
      </c>
      <c r="I5224" s="1" t="str">
        <f>IFERROR(VLOOKUP(C5224,'Clients List'!A:F,6,FALSE),"")</f>
        <v/>
      </c>
    </row>
    <row r="5225" spans="4:9" x14ac:dyDescent="0.45">
      <c r="D5225" t="str">
        <f>IFERROR(VLOOKUP(C5225,'Clients List'!$A:$F,2,FALSE),"")</f>
        <v/>
      </c>
      <c r="F5225" s="1" t="str">
        <f>IF(OR(C5225="",NOT(ISNUMBER(SEARCH("Package",D5225)))),"",VLOOKUP(C5225,'Clients List'!$A:$F,4,FALSE)-SUMIFS($E$2:$E5225,$C$2:$C5225,C5225,$D$2:$D5225,"*Package*"))</f>
        <v/>
      </c>
      <c r="G5225" t="str">
        <f t="shared" si="114"/>
        <v/>
      </c>
      <c r="H5225" s="33">
        <f>IF(ISNUMBER(SEARCH("Group",D5225)),IF(G5225="",E5225,IFERROR(E5225/COUNTIF($G2:$G6000,G5225),E5225)),E5225)</f>
        <v>0</v>
      </c>
      <c r="I5225" s="1" t="str">
        <f>IFERROR(VLOOKUP(C5225,'Clients List'!A:F,6,FALSE),"")</f>
        <v/>
      </c>
    </row>
    <row r="5226" spans="4:9" x14ac:dyDescent="0.45">
      <c r="D5226" t="str">
        <f>IFERROR(VLOOKUP(C5226,'Clients List'!$A:$F,2,FALSE),"")</f>
        <v/>
      </c>
      <c r="F5226" s="1" t="str">
        <f>IF(OR(C5226="",NOT(ISNUMBER(SEARCH("Package",D5226)))),"",VLOOKUP(C5226,'Clients List'!$A:$F,4,FALSE)-SUMIFS($E$2:$E5226,$C$2:$C5226,C5226,$D$2:$D5226,"*Package*"))</f>
        <v/>
      </c>
      <c r="G5226" t="str">
        <f t="shared" si="114"/>
        <v/>
      </c>
      <c r="H5226" s="33">
        <f>IF(ISNUMBER(SEARCH("Group",D5226)),IF(G5226="",E5226,IFERROR(E5226/COUNTIF($G2:$G6000,G5226),E5226)),E5226)</f>
        <v>0</v>
      </c>
      <c r="I5226" s="1" t="str">
        <f>IFERROR(VLOOKUP(C5226,'Clients List'!A:F,6,FALSE),"")</f>
        <v/>
      </c>
    </row>
    <row r="5227" spans="4:9" x14ac:dyDescent="0.45">
      <c r="D5227" t="str">
        <f>IFERROR(VLOOKUP(C5227,'Clients List'!$A:$F,2,FALSE),"")</f>
        <v/>
      </c>
      <c r="F5227" s="1" t="str">
        <f>IF(OR(C5227="",NOT(ISNUMBER(SEARCH("Package",D5227)))),"",VLOOKUP(C5227,'Clients List'!$A:$F,4,FALSE)-SUMIFS($E$2:$E5227,$C$2:$C5227,C5227,$D$2:$D5227,"*Package*"))</f>
        <v/>
      </c>
      <c r="G5227" t="str">
        <f t="shared" si="114"/>
        <v/>
      </c>
      <c r="H5227" s="33">
        <f>IF(ISNUMBER(SEARCH("Group",D5227)),IF(G5227="",E5227,IFERROR(E5227/COUNTIF($G2:$G6000,G5227),E5227)),E5227)</f>
        <v>0</v>
      </c>
      <c r="I5227" s="1" t="str">
        <f>IFERROR(VLOOKUP(C5227,'Clients List'!A:F,6,FALSE),"")</f>
        <v/>
      </c>
    </row>
    <row r="5228" spans="4:9" x14ac:dyDescent="0.45">
      <c r="D5228" t="str">
        <f>IFERROR(VLOOKUP(C5228,'Clients List'!$A:$F,2,FALSE),"")</f>
        <v/>
      </c>
      <c r="F5228" s="1" t="str">
        <f>IF(OR(C5228="",NOT(ISNUMBER(SEARCH("Package",D5228)))),"",VLOOKUP(C5228,'Clients List'!$A:$F,4,FALSE)-SUMIFS($E$2:$E5228,$C$2:$C5228,C5228,$D$2:$D5228,"*Package*"))</f>
        <v/>
      </c>
      <c r="G5228" t="str">
        <f t="shared" si="114"/>
        <v/>
      </c>
      <c r="H5228" s="33">
        <f>IF(ISNUMBER(SEARCH("Group",D5228)),IF(G5228="",E5228,IFERROR(E5228/COUNTIF($G2:$G6000,G5228),E5228)),E5228)</f>
        <v>0</v>
      </c>
      <c r="I5228" s="1" t="str">
        <f>IFERROR(VLOOKUP(C5228,'Clients List'!A:F,6,FALSE),"")</f>
        <v/>
      </c>
    </row>
    <row r="5229" spans="4:9" x14ac:dyDescent="0.45">
      <c r="D5229" t="str">
        <f>IFERROR(VLOOKUP(C5229,'Clients List'!$A:$F,2,FALSE),"")</f>
        <v/>
      </c>
      <c r="F5229" s="1" t="str">
        <f>IF(OR(C5229="",NOT(ISNUMBER(SEARCH("Package",D5229)))),"",VLOOKUP(C5229,'Clients List'!$A:$F,4,FALSE)-SUMIFS($E$2:$E5229,$C$2:$C5229,C5229,$D$2:$D5229,"*Package*"))</f>
        <v/>
      </c>
      <c r="G5229" t="str">
        <f t="shared" si="114"/>
        <v/>
      </c>
      <c r="H5229" s="33">
        <f>IF(ISNUMBER(SEARCH("Group",D5229)),IF(G5229="",E5229,IFERROR(E5229/COUNTIF($G2:$G6000,G5229),E5229)),E5229)</f>
        <v>0</v>
      </c>
      <c r="I5229" s="1" t="str">
        <f>IFERROR(VLOOKUP(C5229,'Clients List'!A:F,6,FALSE),"")</f>
        <v/>
      </c>
    </row>
    <row r="5230" spans="4:9" x14ac:dyDescent="0.45">
      <c r="D5230" t="str">
        <f>IFERROR(VLOOKUP(C5230,'Clients List'!$A:$F,2,FALSE),"")</f>
        <v/>
      </c>
      <c r="F5230" s="1" t="str">
        <f>IF(OR(C5230="",NOT(ISNUMBER(SEARCH("Package",D5230)))),"",VLOOKUP(C5230,'Clients List'!$A:$F,4,FALSE)-SUMIFS($E$2:$E5230,$C$2:$C5230,C5230,$D$2:$D5230,"*Package*"))</f>
        <v/>
      </c>
      <c r="G5230" t="str">
        <f t="shared" si="114"/>
        <v/>
      </c>
      <c r="H5230" s="33">
        <f>IF(ISNUMBER(SEARCH("Group",D5230)),IF(G5230="",E5230,IFERROR(E5230/COUNTIF($G2:$G6000,G5230),E5230)),E5230)</f>
        <v>0</v>
      </c>
      <c r="I5230" s="1" t="str">
        <f>IFERROR(VLOOKUP(C5230,'Clients List'!A:F,6,FALSE),"")</f>
        <v/>
      </c>
    </row>
    <row r="5231" spans="4:9" x14ac:dyDescent="0.45">
      <c r="D5231" t="str">
        <f>IFERROR(VLOOKUP(C5231,'Clients List'!$A:$F,2,FALSE),"")</f>
        <v/>
      </c>
      <c r="F5231" s="1" t="str">
        <f>IF(OR(C5231="",NOT(ISNUMBER(SEARCH("Package",D5231)))),"",VLOOKUP(C5231,'Clients List'!$A:$F,4,FALSE)-SUMIFS($E$2:$E5231,$C$2:$C5231,C5231,$D$2:$D5231,"*Package*"))</f>
        <v/>
      </c>
      <c r="G5231" t="str">
        <f t="shared" si="114"/>
        <v/>
      </c>
      <c r="H5231" s="33">
        <f>IF(ISNUMBER(SEARCH("Group",D5231)),IF(G5231="",E5231,IFERROR(E5231/COUNTIF($G2:$G6000,G5231),E5231)),E5231)</f>
        <v>0</v>
      </c>
      <c r="I5231" s="1" t="str">
        <f>IFERROR(VLOOKUP(C5231,'Clients List'!A:F,6,FALSE),"")</f>
        <v/>
      </c>
    </row>
    <row r="5232" spans="4:9" x14ac:dyDescent="0.45">
      <c r="D5232" t="str">
        <f>IFERROR(VLOOKUP(C5232,'Clients List'!$A:$F,2,FALSE),"")</f>
        <v/>
      </c>
      <c r="F5232" s="1" t="str">
        <f>IF(OR(C5232="",NOT(ISNUMBER(SEARCH("Package",D5232)))),"",VLOOKUP(C5232,'Clients List'!$A:$F,4,FALSE)-SUMIFS($E$2:$E5232,$C$2:$C5232,C5232,$D$2:$D5232,"*Package*"))</f>
        <v/>
      </c>
      <c r="G5232" t="str">
        <f t="shared" si="114"/>
        <v/>
      </c>
      <c r="H5232" s="33">
        <f>IF(ISNUMBER(SEARCH("Group",D5232)),IF(G5232="",E5232,IFERROR(E5232/COUNTIF($G2:$G6000,G5232),E5232)),E5232)</f>
        <v>0</v>
      </c>
      <c r="I5232" s="1" t="str">
        <f>IFERROR(VLOOKUP(C5232,'Clients List'!A:F,6,FALSE),"")</f>
        <v/>
      </c>
    </row>
    <row r="5233" spans="4:9" x14ac:dyDescent="0.45">
      <c r="D5233" t="str">
        <f>IFERROR(VLOOKUP(C5233,'Clients List'!$A:$F,2,FALSE),"")</f>
        <v/>
      </c>
      <c r="F5233" s="1" t="str">
        <f>IF(OR(C5233="",NOT(ISNUMBER(SEARCH("Package",D5233)))),"",VLOOKUP(C5233,'Clients List'!$A:$F,4,FALSE)-SUMIFS($E$2:$E5233,$C$2:$C5233,C5233,$D$2:$D5233,"*Package*"))</f>
        <v/>
      </c>
      <c r="G5233" t="str">
        <f t="shared" si="114"/>
        <v/>
      </c>
      <c r="H5233" s="33">
        <f>IF(ISNUMBER(SEARCH("Group",D5233)),IF(G5233="",E5233,IFERROR(E5233/COUNTIF($G2:$G6000,G5233),E5233)),E5233)</f>
        <v>0</v>
      </c>
      <c r="I5233" s="1" t="str">
        <f>IFERROR(VLOOKUP(C5233,'Clients List'!A:F,6,FALSE),"")</f>
        <v/>
      </c>
    </row>
    <row r="5234" spans="4:9" x14ac:dyDescent="0.45">
      <c r="D5234" t="str">
        <f>IFERROR(VLOOKUP(C5234,'Clients List'!$A:$F,2,FALSE),"")</f>
        <v/>
      </c>
      <c r="F5234" s="1" t="str">
        <f>IF(OR(C5234="",NOT(ISNUMBER(SEARCH("Package",D5234)))),"",VLOOKUP(C5234,'Clients List'!$A:$F,4,FALSE)-SUMIFS($E$2:$E5234,$C$2:$C5234,C5234,$D$2:$D5234,"*Package*"))</f>
        <v/>
      </c>
      <c r="G5234" t="str">
        <f t="shared" si="114"/>
        <v/>
      </c>
      <c r="H5234" s="33">
        <f>IF(ISNUMBER(SEARCH("Group",D5234)),IF(G5234="",E5234,IFERROR(E5234/COUNTIF($G2:$G6000,G5234),E5234)),E5234)</f>
        <v>0</v>
      </c>
      <c r="I5234" s="1" t="str">
        <f>IFERROR(VLOOKUP(C5234,'Clients List'!A:F,6,FALSE),"")</f>
        <v/>
      </c>
    </row>
    <row r="5235" spans="4:9" x14ac:dyDescent="0.45">
      <c r="D5235" t="str">
        <f>IFERROR(VLOOKUP(C5235,'Clients List'!$A:$F,2,FALSE),"")</f>
        <v/>
      </c>
      <c r="F5235" s="1" t="str">
        <f>IF(OR(C5235="",NOT(ISNUMBER(SEARCH("Package",D5235)))),"",VLOOKUP(C5235,'Clients List'!$A:$F,4,FALSE)-SUMIFS($E$2:$E5235,$C$2:$C5235,C5235,$D$2:$D5235,"*Package*"))</f>
        <v/>
      </c>
      <c r="G5235" t="str">
        <f t="shared" si="114"/>
        <v/>
      </c>
      <c r="H5235" s="33">
        <f>IF(ISNUMBER(SEARCH("Group",D5235)),IF(G5235="",E5235,IFERROR(E5235/COUNTIF($G2:$G6000,G5235),E5235)),E5235)</f>
        <v>0</v>
      </c>
      <c r="I5235" s="1" t="str">
        <f>IFERROR(VLOOKUP(C5235,'Clients List'!A:F,6,FALSE),"")</f>
        <v/>
      </c>
    </row>
    <row r="5236" spans="4:9" x14ac:dyDescent="0.45">
      <c r="D5236" t="str">
        <f>IFERROR(VLOOKUP(C5236,'Clients List'!$A:$F,2,FALSE),"")</f>
        <v/>
      </c>
      <c r="F5236" s="1" t="str">
        <f>IF(OR(C5236="",NOT(ISNUMBER(SEARCH("Package",D5236)))),"",VLOOKUP(C5236,'Clients List'!$A:$F,4,FALSE)-SUMIFS($E$2:$E5236,$C$2:$C5236,C5236,$D$2:$D5236,"*Package*"))</f>
        <v/>
      </c>
      <c r="G5236" t="str">
        <f t="shared" si="114"/>
        <v/>
      </c>
      <c r="H5236" s="33">
        <f>IF(ISNUMBER(SEARCH("Group",D5236)),IF(G5236="",E5236,IFERROR(E5236/COUNTIF($G2:$G6000,G5236),E5236)),E5236)</f>
        <v>0</v>
      </c>
      <c r="I5236" s="1" t="str">
        <f>IFERROR(VLOOKUP(C5236,'Clients List'!A:F,6,FALSE),"")</f>
        <v/>
      </c>
    </row>
    <row r="5237" spans="4:9" x14ac:dyDescent="0.45">
      <c r="D5237" t="str">
        <f>IFERROR(VLOOKUP(C5237,'Clients List'!$A:$F,2,FALSE),"")</f>
        <v/>
      </c>
      <c r="F5237" s="1" t="str">
        <f>IF(OR(C5237="",NOT(ISNUMBER(SEARCH("Package",D5237)))),"",VLOOKUP(C5237,'Clients List'!$A:$F,4,FALSE)-SUMIFS($E$2:$E5237,$C$2:$C5237,C5237,$D$2:$D5237,"*Package*"))</f>
        <v/>
      </c>
      <c r="G5237" t="str">
        <f t="shared" ref="G5237:G5300" si="115">IF(ISNUMBER(SEARCH("Group",D5237)),IFERROR("GRP-"&amp;TEXT(IF(ISNUMBER(A5237),A5237,DATEVALUE(A5237)),"yyyymmdd"),""),"" )</f>
        <v/>
      </c>
      <c r="H5237" s="33">
        <f>IF(ISNUMBER(SEARCH("Group",D5237)),IF(G5237="",E5237,IFERROR(E5237/COUNTIF($G2:$G6000,G5237),E5237)),E5237)</f>
        <v>0</v>
      </c>
      <c r="I5237" s="1" t="str">
        <f>IFERROR(VLOOKUP(C5237,'Clients List'!A:F,6,FALSE),"")</f>
        <v/>
      </c>
    </row>
    <row r="5238" spans="4:9" x14ac:dyDescent="0.45">
      <c r="D5238" t="str">
        <f>IFERROR(VLOOKUP(C5238,'Clients List'!$A:$F,2,FALSE),"")</f>
        <v/>
      </c>
      <c r="F5238" s="1" t="str">
        <f>IF(OR(C5238="",NOT(ISNUMBER(SEARCH("Package",D5238)))),"",VLOOKUP(C5238,'Clients List'!$A:$F,4,FALSE)-SUMIFS($E$2:$E5238,$C$2:$C5238,C5238,$D$2:$D5238,"*Package*"))</f>
        <v/>
      </c>
      <c r="G5238" t="str">
        <f t="shared" si="115"/>
        <v/>
      </c>
      <c r="H5238" s="33">
        <f>IF(ISNUMBER(SEARCH("Group",D5238)),IF(G5238="",E5238,IFERROR(E5238/COUNTIF($G2:$G6000,G5238),E5238)),E5238)</f>
        <v>0</v>
      </c>
      <c r="I5238" s="1" t="str">
        <f>IFERROR(VLOOKUP(C5238,'Clients List'!A:F,6,FALSE),"")</f>
        <v/>
      </c>
    </row>
    <row r="5239" spans="4:9" x14ac:dyDescent="0.45">
      <c r="D5239" t="str">
        <f>IFERROR(VLOOKUP(C5239,'Clients List'!$A:$F,2,FALSE),"")</f>
        <v/>
      </c>
      <c r="F5239" s="1" t="str">
        <f>IF(OR(C5239="",NOT(ISNUMBER(SEARCH("Package",D5239)))),"",VLOOKUP(C5239,'Clients List'!$A:$F,4,FALSE)-SUMIFS($E$2:$E5239,$C$2:$C5239,C5239,$D$2:$D5239,"*Package*"))</f>
        <v/>
      </c>
      <c r="G5239" t="str">
        <f t="shared" si="115"/>
        <v/>
      </c>
      <c r="H5239" s="33">
        <f>IF(ISNUMBER(SEARCH("Group",D5239)),IF(G5239="",E5239,IFERROR(E5239/COUNTIF($G2:$G6000,G5239),E5239)),E5239)</f>
        <v>0</v>
      </c>
      <c r="I5239" s="1" t="str">
        <f>IFERROR(VLOOKUP(C5239,'Clients List'!A:F,6,FALSE),"")</f>
        <v/>
      </c>
    </row>
    <row r="5240" spans="4:9" x14ac:dyDescent="0.45">
      <c r="D5240" t="str">
        <f>IFERROR(VLOOKUP(C5240,'Clients List'!$A:$F,2,FALSE),"")</f>
        <v/>
      </c>
      <c r="F5240" s="1" t="str">
        <f>IF(OR(C5240="",NOT(ISNUMBER(SEARCH("Package",D5240)))),"",VLOOKUP(C5240,'Clients List'!$A:$F,4,FALSE)-SUMIFS($E$2:$E5240,$C$2:$C5240,C5240,$D$2:$D5240,"*Package*"))</f>
        <v/>
      </c>
      <c r="G5240" t="str">
        <f t="shared" si="115"/>
        <v/>
      </c>
      <c r="H5240" s="33">
        <f>IF(ISNUMBER(SEARCH("Group",D5240)),IF(G5240="",E5240,IFERROR(E5240/COUNTIF($G2:$G6000,G5240),E5240)),E5240)</f>
        <v>0</v>
      </c>
      <c r="I5240" s="1" t="str">
        <f>IFERROR(VLOOKUP(C5240,'Clients List'!A:F,6,FALSE),"")</f>
        <v/>
      </c>
    </row>
    <row r="5241" spans="4:9" x14ac:dyDescent="0.45">
      <c r="D5241" t="str">
        <f>IFERROR(VLOOKUP(C5241,'Clients List'!$A:$F,2,FALSE),"")</f>
        <v/>
      </c>
      <c r="F5241" s="1" t="str">
        <f>IF(OR(C5241="",NOT(ISNUMBER(SEARCH("Package",D5241)))),"",VLOOKUP(C5241,'Clients List'!$A:$F,4,FALSE)-SUMIFS($E$2:$E5241,$C$2:$C5241,C5241,$D$2:$D5241,"*Package*"))</f>
        <v/>
      </c>
      <c r="G5241" t="str">
        <f t="shared" si="115"/>
        <v/>
      </c>
      <c r="H5241" s="33">
        <f>IF(ISNUMBER(SEARCH("Group",D5241)),IF(G5241="",E5241,IFERROR(E5241/COUNTIF($G2:$G6000,G5241),E5241)),E5241)</f>
        <v>0</v>
      </c>
      <c r="I5241" s="1" t="str">
        <f>IFERROR(VLOOKUP(C5241,'Clients List'!A:F,6,FALSE),"")</f>
        <v/>
      </c>
    </row>
    <row r="5242" spans="4:9" x14ac:dyDescent="0.45">
      <c r="D5242" t="str">
        <f>IFERROR(VLOOKUP(C5242,'Clients List'!$A:$F,2,FALSE),"")</f>
        <v/>
      </c>
      <c r="F5242" s="1" t="str">
        <f>IF(OR(C5242="",NOT(ISNUMBER(SEARCH("Package",D5242)))),"",VLOOKUP(C5242,'Clients List'!$A:$F,4,FALSE)-SUMIFS($E$2:$E5242,$C$2:$C5242,C5242,$D$2:$D5242,"*Package*"))</f>
        <v/>
      </c>
      <c r="G5242" t="str">
        <f t="shared" si="115"/>
        <v/>
      </c>
      <c r="H5242" s="33">
        <f>IF(ISNUMBER(SEARCH("Group",D5242)),IF(G5242="",E5242,IFERROR(E5242/COUNTIF($G2:$G6000,G5242),E5242)),E5242)</f>
        <v>0</v>
      </c>
      <c r="I5242" s="1" t="str">
        <f>IFERROR(VLOOKUP(C5242,'Clients List'!A:F,6,FALSE),"")</f>
        <v/>
      </c>
    </row>
    <row r="5243" spans="4:9" x14ac:dyDescent="0.45">
      <c r="D5243" t="str">
        <f>IFERROR(VLOOKUP(C5243,'Clients List'!$A:$F,2,FALSE),"")</f>
        <v/>
      </c>
      <c r="F5243" s="1" t="str">
        <f>IF(OR(C5243="",NOT(ISNUMBER(SEARCH("Package",D5243)))),"",VLOOKUP(C5243,'Clients List'!$A:$F,4,FALSE)-SUMIFS($E$2:$E5243,$C$2:$C5243,C5243,$D$2:$D5243,"*Package*"))</f>
        <v/>
      </c>
      <c r="G5243" t="str">
        <f t="shared" si="115"/>
        <v/>
      </c>
      <c r="H5243" s="33">
        <f>IF(ISNUMBER(SEARCH("Group",D5243)),IF(G5243="",E5243,IFERROR(E5243/COUNTIF($G2:$G6000,G5243),E5243)),E5243)</f>
        <v>0</v>
      </c>
      <c r="I5243" s="1" t="str">
        <f>IFERROR(VLOOKUP(C5243,'Clients List'!A:F,6,FALSE),"")</f>
        <v/>
      </c>
    </row>
    <row r="5244" spans="4:9" x14ac:dyDescent="0.45">
      <c r="D5244" t="str">
        <f>IFERROR(VLOOKUP(C5244,'Clients List'!$A:$F,2,FALSE),"")</f>
        <v/>
      </c>
      <c r="F5244" s="1" t="str">
        <f>IF(OR(C5244="",NOT(ISNUMBER(SEARCH("Package",D5244)))),"",VLOOKUP(C5244,'Clients List'!$A:$F,4,FALSE)-SUMIFS($E$2:$E5244,$C$2:$C5244,C5244,$D$2:$D5244,"*Package*"))</f>
        <v/>
      </c>
      <c r="G5244" t="str">
        <f t="shared" si="115"/>
        <v/>
      </c>
      <c r="H5244" s="33">
        <f>IF(ISNUMBER(SEARCH("Group",D5244)),IF(G5244="",E5244,IFERROR(E5244/COUNTIF($G2:$G6000,G5244),E5244)),E5244)</f>
        <v>0</v>
      </c>
      <c r="I5244" s="1" t="str">
        <f>IFERROR(VLOOKUP(C5244,'Clients List'!A:F,6,FALSE),"")</f>
        <v/>
      </c>
    </row>
    <row r="5245" spans="4:9" x14ac:dyDescent="0.45">
      <c r="D5245" t="str">
        <f>IFERROR(VLOOKUP(C5245,'Clients List'!$A:$F,2,FALSE),"")</f>
        <v/>
      </c>
      <c r="F5245" s="1" t="str">
        <f>IF(OR(C5245="",NOT(ISNUMBER(SEARCH("Package",D5245)))),"",VLOOKUP(C5245,'Clients List'!$A:$F,4,FALSE)-SUMIFS($E$2:$E5245,$C$2:$C5245,C5245,$D$2:$D5245,"*Package*"))</f>
        <v/>
      </c>
      <c r="G5245" t="str">
        <f t="shared" si="115"/>
        <v/>
      </c>
      <c r="H5245" s="33">
        <f>IF(ISNUMBER(SEARCH("Group",D5245)),IF(G5245="",E5245,IFERROR(E5245/COUNTIF($G2:$G6000,G5245),E5245)),E5245)</f>
        <v>0</v>
      </c>
      <c r="I5245" s="1" t="str">
        <f>IFERROR(VLOOKUP(C5245,'Clients List'!A:F,6,FALSE),"")</f>
        <v/>
      </c>
    </row>
    <row r="5246" spans="4:9" x14ac:dyDescent="0.45">
      <c r="D5246" t="str">
        <f>IFERROR(VLOOKUP(C5246,'Clients List'!$A:$F,2,FALSE),"")</f>
        <v/>
      </c>
      <c r="F5246" s="1" t="str">
        <f>IF(OR(C5246="",NOT(ISNUMBER(SEARCH("Package",D5246)))),"",VLOOKUP(C5246,'Clients List'!$A:$F,4,FALSE)-SUMIFS($E$2:$E5246,$C$2:$C5246,C5246,$D$2:$D5246,"*Package*"))</f>
        <v/>
      </c>
      <c r="G5246" t="str">
        <f t="shared" si="115"/>
        <v/>
      </c>
      <c r="H5246" s="33">
        <f>IF(ISNUMBER(SEARCH("Group",D5246)),IF(G5246="",E5246,IFERROR(E5246/COUNTIF($G2:$G6000,G5246),E5246)),E5246)</f>
        <v>0</v>
      </c>
      <c r="I5246" s="1" t="str">
        <f>IFERROR(VLOOKUP(C5246,'Clients List'!A:F,6,FALSE),"")</f>
        <v/>
      </c>
    </row>
    <row r="5247" spans="4:9" x14ac:dyDescent="0.45">
      <c r="D5247" t="str">
        <f>IFERROR(VLOOKUP(C5247,'Clients List'!$A:$F,2,FALSE),"")</f>
        <v/>
      </c>
      <c r="F5247" s="1" t="str">
        <f>IF(OR(C5247="",NOT(ISNUMBER(SEARCH("Package",D5247)))),"",VLOOKUP(C5247,'Clients List'!$A:$F,4,FALSE)-SUMIFS($E$2:$E5247,$C$2:$C5247,C5247,$D$2:$D5247,"*Package*"))</f>
        <v/>
      </c>
      <c r="G5247" t="str">
        <f t="shared" si="115"/>
        <v/>
      </c>
      <c r="H5247" s="33">
        <f>IF(ISNUMBER(SEARCH("Group",D5247)),IF(G5247="",E5247,IFERROR(E5247/COUNTIF($G2:$G6000,G5247),E5247)),E5247)</f>
        <v>0</v>
      </c>
      <c r="I5247" s="1" t="str">
        <f>IFERROR(VLOOKUP(C5247,'Clients List'!A:F,6,FALSE),"")</f>
        <v/>
      </c>
    </row>
    <row r="5248" spans="4:9" x14ac:dyDescent="0.45">
      <c r="D5248" t="str">
        <f>IFERROR(VLOOKUP(C5248,'Clients List'!$A:$F,2,FALSE),"")</f>
        <v/>
      </c>
      <c r="F5248" s="1" t="str">
        <f>IF(OR(C5248="",NOT(ISNUMBER(SEARCH("Package",D5248)))),"",VLOOKUP(C5248,'Clients List'!$A:$F,4,FALSE)-SUMIFS($E$2:$E5248,$C$2:$C5248,C5248,$D$2:$D5248,"*Package*"))</f>
        <v/>
      </c>
      <c r="G5248" t="str">
        <f t="shared" si="115"/>
        <v/>
      </c>
      <c r="H5248" s="33">
        <f>IF(ISNUMBER(SEARCH("Group",D5248)),IF(G5248="",E5248,IFERROR(E5248/COUNTIF($G2:$G6000,G5248),E5248)),E5248)</f>
        <v>0</v>
      </c>
      <c r="I5248" s="1" t="str">
        <f>IFERROR(VLOOKUP(C5248,'Clients List'!A:F,6,FALSE),"")</f>
        <v/>
      </c>
    </row>
    <row r="5249" spans="4:9" x14ac:dyDescent="0.45">
      <c r="D5249" t="str">
        <f>IFERROR(VLOOKUP(C5249,'Clients List'!$A:$F,2,FALSE),"")</f>
        <v/>
      </c>
      <c r="F5249" s="1" t="str">
        <f>IF(OR(C5249="",NOT(ISNUMBER(SEARCH("Package",D5249)))),"",VLOOKUP(C5249,'Clients List'!$A:$F,4,FALSE)-SUMIFS($E$2:$E5249,$C$2:$C5249,C5249,$D$2:$D5249,"*Package*"))</f>
        <v/>
      </c>
      <c r="G5249" t="str">
        <f t="shared" si="115"/>
        <v/>
      </c>
      <c r="H5249" s="33">
        <f>IF(ISNUMBER(SEARCH("Group",D5249)),IF(G5249="",E5249,IFERROR(E5249/COUNTIF($G2:$G6000,G5249),E5249)),E5249)</f>
        <v>0</v>
      </c>
      <c r="I5249" s="1" t="str">
        <f>IFERROR(VLOOKUP(C5249,'Clients List'!A:F,6,FALSE),"")</f>
        <v/>
      </c>
    </row>
    <row r="5250" spans="4:9" x14ac:dyDescent="0.45">
      <c r="D5250" t="str">
        <f>IFERROR(VLOOKUP(C5250,'Clients List'!$A:$F,2,FALSE),"")</f>
        <v/>
      </c>
      <c r="F5250" s="1" t="str">
        <f>IF(OR(C5250="",NOT(ISNUMBER(SEARCH("Package",D5250)))),"",VLOOKUP(C5250,'Clients List'!$A:$F,4,FALSE)-SUMIFS($E$2:$E5250,$C$2:$C5250,C5250,$D$2:$D5250,"*Package*"))</f>
        <v/>
      </c>
      <c r="G5250" t="str">
        <f t="shared" si="115"/>
        <v/>
      </c>
      <c r="H5250" s="33">
        <f>IF(ISNUMBER(SEARCH("Group",D5250)),IF(G5250="",E5250,IFERROR(E5250/COUNTIF($G2:$G6000,G5250),E5250)),E5250)</f>
        <v>0</v>
      </c>
      <c r="I5250" s="1" t="str">
        <f>IFERROR(VLOOKUP(C5250,'Clients List'!A:F,6,FALSE),"")</f>
        <v/>
      </c>
    </row>
    <row r="5251" spans="4:9" x14ac:dyDescent="0.45">
      <c r="D5251" t="str">
        <f>IFERROR(VLOOKUP(C5251,'Clients List'!$A:$F,2,FALSE),"")</f>
        <v/>
      </c>
      <c r="F5251" s="1" t="str">
        <f>IF(OR(C5251="",NOT(ISNUMBER(SEARCH("Package",D5251)))),"",VLOOKUP(C5251,'Clients List'!$A:$F,4,FALSE)-SUMIFS($E$2:$E5251,$C$2:$C5251,C5251,$D$2:$D5251,"*Package*"))</f>
        <v/>
      </c>
      <c r="G5251" t="str">
        <f t="shared" si="115"/>
        <v/>
      </c>
      <c r="H5251" s="33">
        <f>IF(ISNUMBER(SEARCH("Group",D5251)),IF(G5251="",E5251,IFERROR(E5251/COUNTIF($G2:$G6000,G5251),E5251)),E5251)</f>
        <v>0</v>
      </c>
      <c r="I5251" s="1" t="str">
        <f>IFERROR(VLOOKUP(C5251,'Clients List'!A:F,6,FALSE),"")</f>
        <v/>
      </c>
    </row>
    <row r="5252" spans="4:9" x14ac:dyDescent="0.45">
      <c r="D5252" t="str">
        <f>IFERROR(VLOOKUP(C5252,'Clients List'!$A:$F,2,FALSE),"")</f>
        <v/>
      </c>
      <c r="F5252" s="1" t="str">
        <f>IF(OR(C5252="",NOT(ISNUMBER(SEARCH("Package",D5252)))),"",VLOOKUP(C5252,'Clients List'!$A:$F,4,FALSE)-SUMIFS($E$2:$E5252,$C$2:$C5252,C5252,$D$2:$D5252,"*Package*"))</f>
        <v/>
      </c>
      <c r="G5252" t="str">
        <f t="shared" si="115"/>
        <v/>
      </c>
      <c r="H5252" s="33">
        <f>IF(ISNUMBER(SEARCH("Group",D5252)),IF(G5252="",E5252,IFERROR(E5252/COUNTIF($G2:$G6000,G5252),E5252)),E5252)</f>
        <v>0</v>
      </c>
      <c r="I5252" s="1" t="str">
        <f>IFERROR(VLOOKUP(C5252,'Clients List'!A:F,6,FALSE),"")</f>
        <v/>
      </c>
    </row>
    <row r="5253" spans="4:9" x14ac:dyDescent="0.45">
      <c r="D5253" t="str">
        <f>IFERROR(VLOOKUP(C5253,'Clients List'!$A:$F,2,FALSE),"")</f>
        <v/>
      </c>
      <c r="F5253" s="1" t="str">
        <f>IF(OR(C5253="",NOT(ISNUMBER(SEARCH("Package",D5253)))),"",VLOOKUP(C5253,'Clients List'!$A:$F,4,FALSE)-SUMIFS($E$2:$E5253,$C$2:$C5253,C5253,$D$2:$D5253,"*Package*"))</f>
        <v/>
      </c>
      <c r="G5253" t="str">
        <f t="shared" si="115"/>
        <v/>
      </c>
      <c r="H5253" s="33">
        <f>IF(ISNUMBER(SEARCH("Group",D5253)),IF(G5253="",E5253,IFERROR(E5253/COUNTIF($G2:$G6000,G5253),E5253)),E5253)</f>
        <v>0</v>
      </c>
      <c r="I5253" s="1" t="str">
        <f>IFERROR(VLOOKUP(C5253,'Clients List'!A:F,6,FALSE),"")</f>
        <v/>
      </c>
    </row>
    <row r="5254" spans="4:9" x14ac:dyDescent="0.45">
      <c r="D5254" t="str">
        <f>IFERROR(VLOOKUP(C5254,'Clients List'!$A:$F,2,FALSE),"")</f>
        <v/>
      </c>
      <c r="F5254" s="1" t="str">
        <f>IF(OR(C5254="",NOT(ISNUMBER(SEARCH("Package",D5254)))),"",VLOOKUP(C5254,'Clients List'!$A:$F,4,FALSE)-SUMIFS($E$2:$E5254,$C$2:$C5254,C5254,$D$2:$D5254,"*Package*"))</f>
        <v/>
      </c>
      <c r="G5254" t="str">
        <f t="shared" si="115"/>
        <v/>
      </c>
      <c r="H5254" s="33">
        <f>IF(ISNUMBER(SEARCH("Group",D5254)),IF(G5254="",E5254,IFERROR(E5254/COUNTIF($G2:$G6000,G5254),E5254)),E5254)</f>
        <v>0</v>
      </c>
      <c r="I5254" s="1" t="str">
        <f>IFERROR(VLOOKUP(C5254,'Clients List'!A:F,6,FALSE),"")</f>
        <v/>
      </c>
    </row>
    <row r="5255" spans="4:9" x14ac:dyDescent="0.45">
      <c r="D5255" t="str">
        <f>IFERROR(VLOOKUP(C5255,'Clients List'!$A:$F,2,FALSE),"")</f>
        <v/>
      </c>
      <c r="F5255" s="1" t="str">
        <f>IF(OR(C5255="",NOT(ISNUMBER(SEARCH("Package",D5255)))),"",VLOOKUP(C5255,'Clients List'!$A:$F,4,FALSE)-SUMIFS($E$2:$E5255,$C$2:$C5255,C5255,$D$2:$D5255,"*Package*"))</f>
        <v/>
      </c>
      <c r="G5255" t="str">
        <f t="shared" si="115"/>
        <v/>
      </c>
      <c r="H5255" s="33">
        <f>IF(ISNUMBER(SEARCH("Group",D5255)),IF(G5255="",E5255,IFERROR(E5255/COUNTIF($G2:$G6000,G5255),E5255)),E5255)</f>
        <v>0</v>
      </c>
      <c r="I5255" s="1" t="str">
        <f>IFERROR(VLOOKUP(C5255,'Clients List'!A:F,6,FALSE),"")</f>
        <v/>
      </c>
    </row>
    <row r="5256" spans="4:9" x14ac:dyDescent="0.45">
      <c r="D5256" t="str">
        <f>IFERROR(VLOOKUP(C5256,'Clients List'!$A:$F,2,FALSE),"")</f>
        <v/>
      </c>
      <c r="F5256" s="1" t="str">
        <f>IF(OR(C5256="",NOT(ISNUMBER(SEARCH("Package",D5256)))),"",VLOOKUP(C5256,'Clients List'!$A:$F,4,FALSE)-SUMIFS($E$2:$E5256,$C$2:$C5256,C5256,$D$2:$D5256,"*Package*"))</f>
        <v/>
      </c>
      <c r="G5256" t="str">
        <f t="shared" si="115"/>
        <v/>
      </c>
      <c r="H5256" s="33">
        <f>IF(ISNUMBER(SEARCH("Group",D5256)),IF(G5256="",E5256,IFERROR(E5256/COUNTIF($G2:$G6000,G5256),E5256)),E5256)</f>
        <v>0</v>
      </c>
      <c r="I5256" s="1" t="str">
        <f>IFERROR(VLOOKUP(C5256,'Clients List'!A:F,6,FALSE),"")</f>
        <v/>
      </c>
    </row>
    <row r="5257" spans="4:9" x14ac:dyDescent="0.45">
      <c r="D5257" t="str">
        <f>IFERROR(VLOOKUP(C5257,'Clients List'!$A:$F,2,FALSE),"")</f>
        <v/>
      </c>
      <c r="F5257" s="1" t="str">
        <f>IF(OR(C5257="",NOT(ISNUMBER(SEARCH("Package",D5257)))),"",VLOOKUP(C5257,'Clients List'!$A:$F,4,FALSE)-SUMIFS($E$2:$E5257,$C$2:$C5257,C5257,$D$2:$D5257,"*Package*"))</f>
        <v/>
      </c>
      <c r="G5257" t="str">
        <f t="shared" si="115"/>
        <v/>
      </c>
      <c r="H5257" s="33">
        <f>IF(ISNUMBER(SEARCH("Group",D5257)),IF(G5257="",E5257,IFERROR(E5257/COUNTIF($G2:$G6000,G5257),E5257)),E5257)</f>
        <v>0</v>
      </c>
      <c r="I5257" s="1" t="str">
        <f>IFERROR(VLOOKUP(C5257,'Clients List'!A:F,6,FALSE),"")</f>
        <v/>
      </c>
    </row>
    <row r="5258" spans="4:9" x14ac:dyDescent="0.45">
      <c r="D5258" t="str">
        <f>IFERROR(VLOOKUP(C5258,'Clients List'!$A:$F,2,FALSE),"")</f>
        <v/>
      </c>
      <c r="F5258" s="1" t="str">
        <f>IF(OR(C5258="",NOT(ISNUMBER(SEARCH("Package",D5258)))),"",VLOOKUP(C5258,'Clients List'!$A:$F,4,FALSE)-SUMIFS($E$2:$E5258,$C$2:$C5258,C5258,$D$2:$D5258,"*Package*"))</f>
        <v/>
      </c>
      <c r="G5258" t="str">
        <f t="shared" si="115"/>
        <v/>
      </c>
      <c r="H5258" s="33">
        <f>IF(ISNUMBER(SEARCH("Group",D5258)),IF(G5258="",E5258,IFERROR(E5258/COUNTIF($G2:$G6000,G5258),E5258)),E5258)</f>
        <v>0</v>
      </c>
      <c r="I5258" s="1" t="str">
        <f>IFERROR(VLOOKUP(C5258,'Clients List'!A:F,6,FALSE),"")</f>
        <v/>
      </c>
    </row>
    <row r="5259" spans="4:9" x14ac:dyDescent="0.45">
      <c r="D5259" t="str">
        <f>IFERROR(VLOOKUP(C5259,'Clients List'!$A:$F,2,FALSE),"")</f>
        <v/>
      </c>
      <c r="F5259" s="1" t="str">
        <f>IF(OR(C5259="",NOT(ISNUMBER(SEARCH("Package",D5259)))),"",VLOOKUP(C5259,'Clients List'!$A:$F,4,FALSE)-SUMIFS($E$2:$E5259,$C$2:$C5259,C5259,$D$2:$D5259,"*Package*"))</f>
        <v/>
      </c>
      <c r="G5259" t="str">
        <f t="shared" si="115"/>
        <v/>
      </c>
      <c r="H5259" s="33">
        <f>IF(ISNUMBER(SEARCH("Group",D5259)),IF(G5259="",E5259,IFERROR(E5259/COUNTIF($G2:$G6000,G5259),E5259)),E5259)</f>
        <v>0</v>
      </c>
      <c r="I5259" s="1" t="str">
        <f>IFERROR(VLOOKUP(C5259,'Clients List'!A:F,6,FALSE),"")</f>
        <v/>
      </c>
    </row>
    <row r="5260" spans="4:9" x14ac:dyDescent="0.45">
      <c r="D5260" t="str">
        <f>IFERROR(VLOOKUP(C5260,'Clients List'!$A:$F,2,FALSE),"")</f>
        <v/>
      </c>
      <c r="F5260" s="1" t="str">
        <f>IF(OR(C5260="",NOT(ISNUMBER(SEARCH("Package",D5260)))),"",VLOOKUP(C5260,'Clients List'!$A:$F,4,FALSE)-SUMIFS($E$2:$E5260,$C$2:$C5260,C5260,$D$2:$D5260,"*Package*"))</f>
        <v/>
      </c>
      <c r="G5260" t="str">
        <f t="shared" si="115"/>
        <v/>
      </c>
      <c r="H5260" s="33">
        <f>IF(ISNUMBER(SEARCH("Group",D5260)),IF(G5260="",E5260,IFERROR(E5260/COUNTIF($G2:$G6000,G5260),E5260)),E5260)</f>
        <v>0</v>
      </c>
      <c r="I5260" s="1" t="str">
        <f>IFERROR(VLOOKUP(C5260,'Clients List'!A:F,6,FALSE),"")</f>
        <v/>
      </c>
    </row>
    <row r="5261" spans="4:9" x14ac:dyDescent="0.45">
      <c r="D5261" t="str">
        <f>IFERROR(VLOOKUP(C5261,'Clients List'!$A:$F,2,FALSE),"")</f>
        <v/>
      </c>
      <c r="F5261" s="1" t="str">
        <f>IF(OR(C5261="",NOT(ISNUMBER(SEARCH("Package",D5261)))),"",VLOOKUP(C5261,'Clients List'!$A:$F,4,FALSE)-SUMIFS($E$2:$E5261,$C$2:$C5261,C5261,$D$2:$D5261,"*Package*"))</f>
        <v/>
      </c>
      <c r="G5261" t="str">
        <f t="shared" si="115"/>
        <v/>
      </c>
      <c r="H5261" s="33">
        <f>IF(ISNUMBER(SEARCH("Group",D5261)),IF(G5261="",E5261,IFERROR(E5261/COUNTIF($G2:$G6000,G5261),E5261)),E5261)</f>
        <v>0</v>
      </c>
      <c r="I5261" s="1" t="str">
        <f>IFERROR(VLOOKUP(C5261,'Clients List'!A:F,6,FALSE),"")</f>
        <v/>
      </c>
    </row>
    <row r="5262" spans="4:9" x14ac:dyDescent="0.45">
      <c r="D5262" t="str">
        <f>IFERROR(VLOOKUP(C5262,'Clients List'!$A:$F,2,FALSE),"")</f>
        <v/>
      </c>
      <c r="F5262" s="1" t="str">
        <f>IF(OR(C5262="",NOT(ISNUMBER(SEARCH("Package",D5262)))),"",VLOOKUP(C5262,'Clients List'!$A:$F,4,FALSE)-SUMIFS($E$2:$E5262,$C$2:$C5262,C5262,$D$2:$D5262,"*Package*"))</f>
        <v/>
      </c>
      <c r="G5262" t="str">
        <f t="shared" si="115"/>
        <v/>
      </c>
      <c r="H5262" s="33">
        <f>IF(ISNUMBER(SEARCH("Group",D5262)),IF(G5262="",E5262,IFERROR(E5262/COUNTIF($G2:$G6000,G5262),E5262)),E5262)</f>
        <v>0</v>
      </c>
      <c r="I5262" s="1" t="str">
        <f>IFERROR(VLOOKUP(C5262,'Clients List'!A:F,6,FALSE),"")</f>
        <v/>
      </c>
    </row>
    <row r="5263" spans="4:9" x14ac:dyDescent="0.45">
      <c r="D5263" t="str">
        <f>IFERROR(VLOOKUP(C5263,'Clients List'!$A:$F,2,FALSE),"")</f>
        <v/>
      </c>
      <c r="F5263" s="1" t="str">
        <f>IF(OR(C5263="",NOT(ISNUMBER(SEARCH("Package",D5263)))),"",VLOOKUP(C5263,'Clients List'!$A:$F,4,FALSE)-SUMIFS($E$2:$E5263,$C$2:$C5263,C5263,$D$2:$D5263,"*Package*"))</f>
        <v/>
      </c>
      <c r="G5263" t="str">
        <f t="shared" si="115"/>
        <v/>
      </c>
      <c r="H5263" s="33">
        <f>IF(ISNUMBER(SEARCH("Group",D5263)),IF(G5263="",E5263,IFERROR(E5263/COUNTIF($G2:$G6000,G5263),E5263)),E5263)</f>
        <v>0</v>
      </c>
      <c r="I5263" s="1" t="str">
        <f>IFERROR(VLOOKUP(C5263,'Clients List'!A:F,6,FALSE),"")</f>
        <v/>
      </c>
    </row>
    <row r="5264" spans="4:9" x14ac:dyDescent="0.45">
      <c r="D5264" t="str">
        <f>IFERROR(VLOOKUP(C5264,'Clients List'!$A:$F,2,FALSE),"")</f>
        <v/>
      </c>
      <c r="F5264" s="1" t="str">
        <f>IF(OR(C5264="",NOT(ISNUMBER(SEARCH("Package",D5264)))),"",VLOOKUP(C5264,'Clients List'!$A:$F,4,FALSE)-SUMIFS($E$2:$E5264,$C$2:$C5264,C5264,$D$2:$D5264,"*Package*"))</f>
        <v/>
      </c>
      <c r="G5264" t="str">
        <f t="shared" si="115"/>
        <v/>
      </c>
      <c r="H5264" s="33">
        <f>IF(ISNUMBER(SEARCH("Group",D5264)),IF(G5264="",E5264,IFERROR(E5264/COUNTIF($G2:$G6000,G5264),E5264)),E5264)</f>
        <v>0</v>
      </c>
      <c r="I5264" s="1" t="str">
        <f>IFERROR(VLOOKUP(C5264,'Clients List'!A:F,6,FALSE),"")</f>
        <v/>
      </c>
    </row>
    <row r="5265" spans="4:9" x14ac:dyDescent="0.45">
      <c r="D5265" t="str">
        <f>IFERROR(VLOOKUP(C5265,'Clients List'!$A:$F,2,FALSE),"")</f>
        <v/>
      </c>
      <c r="F5265" s="1" t="str">
        <f>IF(OR(C5265="",NOT(ISNUMBER(SEARCH("Package",D5265)))),"",VLOOKUP(C5265,'Clients List'!$A:$F,4,FALSE)-SUMIFS($E$2:$E5265,$C$2:$C5265,C5265,$D$2:$D5265,"*Package*"))</f>
        <v/>
      </c>
      <c r="G5265" t="str">
        <f t="shared" si="115"/>
        <v/>
      </c>
      <c r="H5265" s="33">
        <f>IF(ISNUMBER(SEARCH("Group",D5265)),IF(G5265="",E5265,IFERROR(E5265/COUNTIF($G2:$G6000,G5265),E5265)),E5265)</f>
        <v>0</v>
      </c>
      <c r="I5265" s="1" t="str">
        <f>IFERROR(VLOOKUP(C5265,'Clients List'!A:F,6,FALSE),"")</f>
        <v/>
      </c>
    </row>
    <row r="5266" spans="4:9" x14ac:dyDescent="0.45">
      <c r="D5266" t="str">
        <f>IFERROR(VLOOKUP(C5266,'Clients List'!$A:$F,2,FALSE),"")</f>
        <v/>
      </c>
      <c r="F5266" s="1" t="str">
        <f>IF(OR(C5266="",NOT(ISNUMBER(SEARCH("Package",D5266)))),"",VLOOKUP(C5266,'Clients List'!$A:$F,4,FALSE)-SUMIFS($E$2:$E5266,$C$2:$C5266,C5266,$D$2:$D5266,"*Package*"))</f>
        <v/>
      </c>
      <c r="G5266" t="str">
        <f t="shared" si="115"/>
        <v/>
      </c>
      <c r="H5266" s="33">
        <f>IF(ISNUMBER(SEARCH("Group",D5266)),IF(G5266="",E5266,IFERROR(E5266/COUNTIF($G2:$G6000,G5266),E5266)),E5266)</f>
        <v>0</v>
      </c>
      <c r="I5266" s="1" t="str">
        <f>IFERROR(VLOOKUP(C5266,'Clients List'!A:F,6,FALSE),"")</f>
        <v/>
      </c>
    </row>
    <row r="5267" spans="4:9" x14ac:dyDescent="0.45">
      <c r="D5267" t="str">
        <f>IFERROR(VLOOKUP(C5267,'Clients List'!$A:$F,2,FALSE),"")</f>
        <v/>
      </c>
      <c r="F5267" s="1" t="str">
        <f>IF(OR(C5267="",NOT(ISNUMBER(SEARCH("Package",D5267)))),"",VLOOKUP(C5267,'Clients List'!$A:$F,4,FALSE)-SUMIFS($E$2:$E5267,$C$2:$C5267,C5267,$D$2:$D5267,"*Package*"))</f>
        <v/>
      </c>
      <c r="G5267" t="str">
        <f t="shared" si="115"/>
        <v/>
      </c>
      <c r="H5267" s="33">
        <f>IF(ISNUMBER(SEARCH("Group",D5267)),IF(G5267="",E5267,IFERROR(E5267/COUNTIF($G2:$G6000,G5267),E5267)),E5267)</f>
        <v>0</v>
      </c>
      <c r="I5267" s="1" t="str">
        <f>IFERROR(VLOOKUP(C5267,'Clients List'!A:F,6,FALSE),"")</f>
        <v/>
      </c>
    </row>
    <row r="5268" spans="4:9" x14ac:dyDescent="0.45">
      <c r="D5268" t="str">
        <f>IFERROR(VLOOKUP(C5268,'Clients List'!$A:$F,2,FALSE),"")</f>
        <v/>
      </c>
      <c r="F5268" s="1" t="str">
        <f>IF(OR(C5268="",NOT(ISNUMBER(SEARCH("Package",D5268)))),"",VLOOKUP(C5268,'Clients List'!$A:$F,4,FALSE)-SUMIFS($E$2:$E5268,$C$2:$C5268,C5268,$D$2:$D5268,"*Package*"))</f>
        <v/>
      </c>
      <c r="G5268" t="str">
        <f t="shared" si="115"/>
        <v/>
      </c>
      <c r="H5268" s="33">
        <f>IF(ISNUMBER(SEARCH("Group",D5268)),IF(G5268="",E5268,IFERROR(E5268/COUNTIF($G2:$G6000,G5268),E5268)),E5268)</f>
        <v>0</v>
      </c>
      <c r="I5268" s="1" t="str">
        <f>IFERROR(VLOOKUP(C5268,'Clients List'!A:F,6,FALSE),"")</f>
        <v/>
      </c>
    </row>
    <row r="5269" spans="4:9" x14ac:dyDescent="0.45">
      <c r="D5269" t="str">
        <f>IFERROR(VLOOKUP(C5269,'Clients List'!$A:$F,2,FALSE),"")</f>
        <v/>
      </c>
      <c r="F5269" s="1" t="str">
        <f>IF(OR(C5269="",NOT(ISNUMBER(SEARCH("Package",D5269)))),"",VLOOKUP(C5269,'Clients List'!$A:$F,4,FALSE)-SUMIFS($E$2:$E5269,$C$2:$C5269,C5269,$D$2:$D5269,"*Package*"))</f>
        <v/>
      </c>
      <c r="G5269" t="str">
        <f t="shared" si="115"/>
        <v/>
      </c>
      <c r="H5269" s="33">
        <f>IF(ISNUMBER(SEARCH("Group",D5269)),IF(G5269="",E5269,IFERROR(E5269/COUNTIF($G2:$G6000,G5269),E5269)),E5269)</f>
        <v>0</v>
      </c>
      <c r="I5269" s="1" t="str">
        <f>IFERROR(VLOOKUP(C5269,'Clients List'!A:F,6,FALSE),"")</f>
        <v/>
      </c>
    </row>
    <row r="5270" spans="4:9" x14ac:dyDescent="0.45">
      <c r="D5270" t="str">
        <f>IFERROR(VLOOKUP(C5270,'Clients List'!$A:$F,2,FALSE),"")</f>
        <v/>
      </c>
      <c r="F5270" s="1" t="str">
        <f>IF(OR(C5270="",NOT(ISNUMBER(SEARCH("Package",D5270)))),"",VLOOKUP(C5270,'Clients List'!$A:$F,4,FALSE)-SUMIFS($E$2:$E5270,$C$2:$C5270,C5270,$D$2:$D5270,"*Package*"))</f>
        <v/>
      </c>
      <c r="G5270" t="str">
        <f t="shared" si="115"/>
        <v/>
      </c>
      <c r="H5270" s="33">
        <f>IF(ISNUMBER(SEARCH("Group",D5270)),IF(G5270="",E5270,IFERROR(E5270/COUNTIF($G2:$G6000,G5270),E5270)),E5270)</f>
        <v>0</v>
      </c>
      <c r="I5270" s="1" t="str">
        <f>IFERROR(VLOOKUP(C5270,'Clients List'!A:F,6,FALSE),"")</f>
        <v/>
      </c>
    </row>
    <row r="5271" spans="4:9" x14ac:dyDescent="0.45">
      <c r="D5271" t="str">
        <f>IFERROR(VLOOKUP(C5271,'Clients List'!$A:$F,2,FALSE),"")</f>
        <v/>
      </c>
      <c r="F5271" s="1" t="str">
        <f>IF(OR(C5271="",NOT(ISNUMBER(SEARCH("Package",D5271)))),"",VLOOKUP(C5271,'Clients List'!$A:$F,4,FALSE)-SUMIFS($E$2:$E5271,$C$2:$C5271,C5271,$D$2:$D5271,"*Package*"))</f>
        <v/>
      </c>
      <c r="G5271" t="str">
        <f t="shared" si="115"/>
        <v/>
      </c>
      <c r="H5271" s="33">
        <f>IF(ISNUMBER(SEARCH("Group",D5271)),IF(G5271="",E5271,IFERROR(E5271/COUNTIF($G2:$G6000,G5271),E5271)),E5271)</f>
        <v>0</v>
      </c>
      <c r="I5271" s="1" t="str">
        <f>IFERROR(VLOOKUP(C5271,'Clients List'!A:F,6,FALSE),"")</f>
        <v/>
      </c>
    </row>
    <row r="5272" spans="4:9" x14ac:dyDescent="0.45">
      <c r="D5272" t="str">
        <f>IFERROR(VLOOKUP(C5272,'Clients List'!$A:$F,2,FALSE),"")</f>
        <v/>
      </c>
      <c r="F5272" s="1" t="str">
        <f>IF(OR(C5272="",NOT(ISNUMBER(SEARCH("Package",D5272)))),"",VLOOKUP(C5272,'Clients List'!$A:$F,4,FALSE)-SUMIFS($E$2:$E5272,$C$2:$C5272,C5272,$D$2:$D5272,"*Package*"))</f>
        <v/>
      </c>
      <c r="G5272" t="str">
        <f t="shared" si="115"/>
        <v/>
      </c>
      <c r="H5272" s="33">
        <f>IF(ISNUMBER(SEARCH("Group",D5272)),IF(G5272="",E5272,IFERROR(E5272/COUNTIF($G2:$G6000,G5272),E5272)),E5272)</f>
        <v>0</v>
      </c>
      <c r="I5272" s="1" t="str">
        <f>IFERROR(VLOOKUP(C5272,'Clients List'!A:F,6,FALSE),"")</f>
        <v/>
      </c>
    </row>
    <row r="5273" spans="4:9" x14ac:dyDescent="0.45">
      <c r="D5273" t="str">
        <f>IFERROR(VLOOKUP(C5273,'Clients List'!$A:$F,2,FALSE),"")</f>
        <v/>
      </c>
      <c r="F5273" s="1" t="str">
        <f>IF(OR(C5273="",NOT(ISNUMBER(SEARCH("Package",D5273)))),"",VLOOKUP(C5273,'Clients List'!$A:$F,4,FALSE)-SUMIFS($E$2:$E5273,$C$2:$C5273,C5273,$D$2:$D5273,"*Package*"))</f>
        <v/>
      </c>
      <c r="G5273" t="str">
        <f t="shared" si="115"/>
        <v/>
      </c>
      <c r="H5273" s="33">
        <f>IF(ISNUMBER(SEARCH("Group",D5273)),IF(G5273="",E5273,IFERROR(E5273/COUNTIF($G2:$G6000,G5273),E5273)),E5273)</f>
        <v>0</v>
      </c>
      <c r="I5273" s="1" t="str">
        <f>IFERROR(VLOOKUP(C5273,'Clients List'!A:F,6,FALSE),"")</f>
        <v/>
      </c>
    </row>
    <row r="5274" spans="4:9" x14ac:dyDescent="0.45">
      <c r="D5274" t="str">
        <f>IFERROR(VLOOKUP(C5274,'Clients List'!$A:$F,2,FALSE),"")</f>
        <v/>
      </c>
      <c r="F5274" s="1" t="str">
        <f>IF(OR(C5274="",NOT(ISNUMBER(SEARCH("Package",D5274)))),"",VLOOKUP(C5274,'Clients List'!$A:$F,4,FALSE)-SUMIFS($E$2:$E5274,$C$2:$C5274,C5274,$D$2:$D5274,"*Package*"))</f>
        <v/>
      </c>
      <c r="G5274" t="str">
        <f t="shared" si="115"/>
        <v/>
      </c>
      <c r="H5274" s="33">
        <f>IF(ISNUMBER(SEARCH("Group",D5274)),IF(G5274="",E5274,IFERROR(E5274/COUNTIF($G2:$G6000,G5274),E5274)),E5274)</f>
        <v>0</v>
      </c>
      <c r="I5274" s="1" t="str">
        <f>IFERROR(VLOOKUP(C5274,'Clients List'!A:F,6,FALSE),"")</f>
        <v/>
      </c>
    </row>
    <row r="5275" spans="4:9" x14ac:dyDescent="0.45">
      <c r="D5275" t="str">
        <f>IFERROR(VLOOKUP(C5275,'Clients List'!$A:$F,2,FALSE),"")</f>
        <v/>
      </c>
      <c r="F5275" s="1" t="str">
        <f>IF(OR(C5275="",NOT(ISNUMBER(SEARCH("Package",D5275)))),"",VLOOKUP(C5275,'Clients List'!$A:$F,4,FALSE)-SUMIFS($E$2:$E5275,$C$2:$C5275,C5275,$D$2:$D5275,"*Package*"))</f>
        <v/>
      </c>
      <c r="G5275" t="str">
        <f t="shared" si="115"/>
        <v/>
      </c>
      <c r="H5275" s="33">
        <f>IF(ISNUMBER(SEARCH("Group",D5275)),IF(G5275="",E5275,IFERROR(E5275/COUNTIF($G2:$G6000,G5275),E5275)),E5275)</f>
        <v>0</v>
      </c>
      <c r="I5275" s="1" t="str">
        <f>IFERROR(VLOOKUP(C5275,'Clients List'!A:F,6,FALSE),"")</f>
        <v/>
      </c>
    </row>
    <row r="5276" spans="4:9" x14ac:dyDescent="0.45">
      <c r="D5276" t="str">
        <f>IFERROR(VLOOKUP(C5276,'Clients List'!$A:$F,2,FALSE),"")</f>
        <v/>
      </c>
      <c r="F5276" s="1" t="str">
        <f>IF(OR(C5276="",NOT(ISNUMBER(SEARCH("Package",D5276)))),"",VLOOKUP(C5276,'Clients List'!$A:$F,4,FALSE)-SUMIFS($E$2:$E5276,$C$2:$C5276,C5276,$D$2:$D5276,"*Package*"))</f>
        <v/>
      </c>
      <c r="G5276" t="str">
        <f t="shared" si="115"/>
        <v/>
      </c>
      <c r="H5276" s="33">
        <f>IF(ISNUMBER(SEARCH("Group",D5276)),IF(G5276="",E5276,IFERROR(E5276/COUNTIF($G2:$G6000,G5276),E5276)),E5276)</f>
        <v>0</v>
      </c>
      <c r="I5276" s="1" t="str">
        <f>IFERROR(VLOOKUP(C5276,'Clients List'!A:F,6,FALSE),"")</f>
        <v/>
      </c>
    </row>
    <row r="5277" spans="4:9" x14ac:dyDescent="0.45">
      <c r="D5277" t="str">
        <f>IFERROR(VLOOKUP(C5277,'Clients List'!$A:$F,2,FALSE),"")</f>
        <v/>
      </c>
      <c r="F5277" s="1" t="str">
        <f>IF(OR(C5277="",NOT(ISNUMBER(SEARCH("Package",D5277)))),"",VLOOKUP(C5277,'Clients List'!$A:$F,4,FALSE)-SUMIFS($E$2:$E5277,$C$2:$C5277,C5277,$D$2:$D5277,"*Package*"))</f>
        <v/>
      </c>
      <c r="G5277" t="str">
        <f t="shared" si="115"/>
        <v/>
      </c>
      <c r="H5277" s="33">
        <f>IF(ISNUMBER(SEARCH("Group",D5277)),IF(G5277="",E5277,IFERROR(E5277/COUNTIF($G2:$G6000,G5277),E5277)),E5277)</f>
        <v>0</v>
      </c>
      <c r="I5277" s="1" t="str">
        <f>IFERROR(VLOOKUP(C5277,'Clients List'!A:F,6,FALSE),"")</f>
        <v/>
      </c>
    </row>
    <row r="5278" spans="4:9" x14ac:dyDescent="0.45">
      <c r="D5278" t="str">
        <f>IFERROR(VLOOKUP(C5278,'Clients List'!$A:$F,2,FALSE),"")</f>
        <v/>
      </c>
      <c r="F5278" s="1" t="str">
        <f>IF(OR(C5278="",NOT(ISNUMBER(SEARCH("Package",D5278)))),"",VLOOKUP(C5278,'Clients List'!$A:$F,4,FALSE)-SUMIFS($E$2:$E5278,$C$2:$C5278,C5278,$D$2:$D5278,"*Package*"))</f>
        <v/>
      </c>
      <c r="G5278" t="str">
        <f t="shared" si="115"/>
        <v/>
      </c>
      <c r="H5278" s="33">
        <f>IF(ISNUMBER(SEARCH("Group",D5278)),IF(G5278="",E5278,IFERROR(E5278/COUNTIF($G2:$G6000,G5278),E5278)),E5278)</f>
        <v>0</v>
      </c>
      <c r="I5278" s="1" t="str">
        <f>IFERROR(VLOOKUP(C5278,'Clients List'!A:F,6,FALSE),"")</f>
        <v/>
      </c>
    </row>
    <row r="5279" spans="4:9" x14ac:dyDescent="0.45">
      <c r="D5279" t="str">
        <f>IFERROR(VLOOKUP(C5279,'Clients List'!$A:$F,2,FALSE),"")</f>
        <v/>
      </c>
      <c r="F5279" s="1" t="str">
        <f>IF(OR(C5279="",NOT(ISNUMBER(SEARCH("Package",D5279)))),"",VLOOKUP(C5279,'Clients List'!$A:$F,4,FALSE)-SUMIFS($E$2:$E5279,$C$2:$C5279,C5279,$D$2:$D5279,"*Package*"))</f>
        <v/>
      </c>
      <c r="G5279" t="str">
        <f t="shared" si="115"/>
        <v/>
      </c>
      <c r="H5279" s="33">
        <f>IF(ISNUMBER(SEARCH("Group",D5279)),IF(G5279="",E5279,IFERROR(E5279/COUNTIF($G2:$G6000,G5279),E5279)),E5279)</f>
        <v>0</v>
      </c>
      <c r="I5279" s="1" t="str">
        <f>IFERROR(VLOOKUP(C5279,'Clients List'!A:F,6,FALSE),"")</f>
        <v/>
      </c>
    </row>
    <row r="5280" spans="4:9" x14ac:dyDescent="0.45">
      <c r="D5280" t="str">
        <f>IFERROR(VLOOKUP(C5280,'Clients List'!$A:$F,2,FALSE),"")</f>
        <v/>
      </c>
      <c r="F5280" s="1" t="str">
        <f>IF(OR(C5280="",NOT(ISNUMBER(SEARCH("Package",D5280)))),"",VLOOKUP(C5280,'Clients List'!$A:$F,4,FALSE)-SUMIFS($E$2:$E5280,$C$2:$C5280,C5280,$D$2:$D5280,"*Package*"))</f>
        <v/>
      </c>
      <c r="G5280" t="str">
        <f t="shared" si="115"/>
        <v/>
      </c>
      <c r="H5280" s="33">
        <f>IF(ISNUMBER(SEARCH("Group",D5280)),IF(G5280="",E5280,IFERROR(E5280/COUNTIF($G2:$G6000,G5280),E5280)),E5280)</f>
        <v>0</v>
      </c>
      <c r="I5280" s="1" t="str">
        <f>IFERROR(VLOOKUP(C5280,'Clients List'!A:F,6,FALSE),"")</f>
        <v/>
      </c>
    </row>
    <row r="5281" spans="4:9" x14ac:dyDescent="0.45">
      <c r="D5281" t="str">
        <f>IFERROR(VLOOKUP(C5281,'Clients List'!$A:$F,2,FALSE),"")</f>
        <v/>
      </c>
      <c r="F5281" s="1" t="str">
        <f>IF(OR(C5281="",NOT(ISNUMBER(SEARCH("Package",D5281)))),"",VLOOKUP(C5281,'Clients List'!$A:$F,4,FALSE)-SUMIFS($E$2:$E5281,$C$2:$C5281,C5281,$D$2:$D5281,"*Package*"))</f>
        <v/>
      </c>
      <c r="G5281" t="str">
        <f t="shared" si="115"/>
        <v/>
      </c>
      <c r="H5281" s="33">
        <f>IF(ISNUMBER(SEARCH("Group",D5281)),IF(G5281="",E5281,IFERROR(E5281/COUNTIF($G2:$G6000,G5281),E5281)),E5281)</f>
        <v>0</v>
      </c>
      <c r="I5281" s="1" t="str">
        <f>IFERROR(VLOOKUP(C5281,'Clients List'!A:F,6,FALSE),"")</f>
        <v/>
      </c>
    </row>
    <row r="5282" spans="4:9" x14ac:dyDescent="0.45">
      <c r="D5282" t="str">
        <f>IFERROR(VLOOKUP(C5282,'Clients List'!$A:$F,2,FALSE),"")</f>
        <v/>
      </c>
      <c r="F5282" s="1" t="str">
        <f>IF(OR(C5282="",NOT(ISNUMBER(SEARCH("Package",D5282)))),"",VLOOKUP(C5282,'Clients List'!$A:$F,4,FALSE)-SUMIFS($E$2:$E5282,$C$2:$C5282,C5282,$D$2:$D5282,"*Package*"))</f>
        <v/>
      </c>
      <c r="G5282" t="str">
        <f t="shared" si="115"/>
        <v/>
      </c>
      <c r="H5282" s="33">
        <f>IF(ISNUMBER(SEARCH("Group",D5282)),IF(G5282="",E5282,IFERROR(E5282/COUNTIF($G2:$G6000,G5282),E5282)),E5282)</f>
        <v>0</v>
      </c>
      <c r="I5282" s="1" t="str">
        <f>IFERROR(VLOOKUP(C5282,'Clients List'!A:F,6,FALSE),"")</f>
        <v/>
      </c>
    </row>
    <row r="5283" spans="4:9" x14ac:dyDescent="0.45">
      <c r="D5283" t="str">
        <f>IFERROR(VLOOKUP(C5283,'Clients List'!$A:$F,2,FALSE),"")</f>
        <v/>
      </c>
      <c r="F5283" s="1" t="str">
        <f>IF(OR(C5283="",NOT(ISNUMBER(SEARCH("Package",D5283)))),"",VLOOKUP(C5283,'Clients List'!$A:$F,4,FALSE)-SUMIFS($E$2:$E5283,$C$2:$C5283,C5283,$D$2:$D5283,"*Package*"))</f>
        <v/>
      </c>
      <c r="G5283" t="str">
        <f t="shared" si="115"/>
        <v/>
      </c>
      <c r="H5283" s="33">
        <f>IF(ISNUMBER(SEARCH("Group",D5283)),IF(G5283="",E5283,IFERROR(E5283/COUNTIF($G2:$G6000,G5283),E5283)),E5283)</f>
        <v>0</v>
      </c>
      <c r="I5283" s="1" t="str">
        <f>IFERROR(VLOOKUP(C5283,'Clients List'!A:F,6,FALSE),"")</f>
        <v/>
      </c>
    </row>
    <row r="5284" spans="4:9" x14ac:dyDescent="0.45">
      <c r="D5284" t="str">
        <f>IFERROR(VLOOKUP(C5284,'Clients List'!$A:$F,2,FALSE),"")</f>
        <v/>
      </c>
      <c r="F5284" s="1" t="str">
        <f>IF(OR(C5284="",NOT(ISNUMBER(SEARCH("Package",D5284)))),"",VLOOKUP(C5284,'Clients List'!$A:$F,4,FALSE)-SUMIFS($E$2:$E5284,$C$2:$C5284,C5284,$D$2:$D5284,"*Package*"))</f>
        <v/>
      </c>
      <c r="G5284" t="str">
        <f t="shared" si="115"/>
        <v/>
      </c>
      <c r="H5284" s="33">
        <f>IF(ISNUMBER(SEARCH("Group",D5284)),IF(G5284="",E5284,IFERROR(E5284/COUNTIF($G2:$G6000,G5284),E5284)),E5284)</f>
        <v>0</v>
      </c>
      <c r="I5284" s="1" t="str">
        <f>IFERROR(VLOOKUP(C5284,'Clients List'!A:F,6,FALSE),"")</f>
        <v/>
      </c>
    </row>
    <row r="5285" spans="4:9" x14ac:dyDescent="0.45">
      <c r="D5285" t="str">
        <f>IFERROR(VLOOKUP(C5285,'Clients List'!$A:$F,2,FALSE),"")</f>
        <v/>
      </c>
      <c r="F5285" s="1" t="str">
        <f>IF(OR(C5285="",NOT(ISNUMBER(SEARCH("Package",D5285)))),"",VLOOKUP(C5285,'Clients List'!$A:$F,4,FALSE)-SUMIFS($E$2:$E5285,$C$2:$C5285,C5285,$D$2:$D5285,"*Package*"))</f>
        <v/>
      </c>
      <c r="G5285" t="str">
        <f t="shared" si="115"/>
        <v/>
      </c>
      <c r="H5285" s="33">
        <f>IF(ISNUMBER(SEARCH("Group",D5285)),IF(G5285="",E5285,IFERROR(E5285/COUNTIF($G2:$G6000,G5285),E5285)),E5285)</f>
        <v>0</v>
      </c>
      <c r="I5285" s="1" t="str">
        <f>IFERROR(VLOOKUP(C5285,'Clients List'!A:F,6,FALSE),"")</f>
        <v/>
      </c>
    </row>
    <row r="5286" spans="4:9" x14ac:dyDescent="0.45">
      <c r="D5286" t="str">
        <f>IFERROR(VLOOKUP(C5286,'Clients List'!$A:$F,2,FALSE),"")</f>
        <v/>
      </c>
      <c r="F5286" s="1" t="str">
        <f>IF(OR(C5286="",NOT(ISNUMBER(SEARCH("Package",D5286)))),"",VLOOKUP(C5286,'Clients List'!$A:$F,4,FALSE)-SUMIFS($E$2:$E5286,$C$2:$C5286,C5286,$D$2:$D5286,"*Package*"))</f>
        <v/>
      </c>
      <c r="G5286" t="str">
        <f t="shared" si="115"/>
        <v/>
      </c>
      <c r="H5286" s="33">
        <f>IF(ISNUMBER(SEARCH("Group",D5286)),IF(G5286="",E5286,IFERROR(E5286/COUNTIF($G2:$G6000,G5286),E5286)),E5286)</f>
        <v>0</v>
      </c>
      <c r="I5286" s="1" t="str">
        <f>IFERROR(VLOOKUP(C5286,'Clients List'!A:F,6,FALSE),"")</f>
        <v/>
      </c>
    </row>
    <row r="5287" spans="4:9" x14ac:dyDescent="0.45">
      <c r="D5287" t="str">
        <f>IFERROR(VLOOKUP(C5287,'Clients List'!$A:$F,2,FALSE),"")</f>
        <v/>
      </c>
      <c r="F5287" s="1" t="str">
        <f>IF(OR(C5287="",NOT(ISNUMBER(SEARCH("Package",D5287)))),"",VLOOKUP(C5287,'Clients List'!$A:$F,4,FALSE)-SUMIFS($E$2:$E5287,$C$2:$C5287,C5287,$D$2:$D5287,"*Package*"))</f>
        <v/>
      </c>
      <c r="G5287" t="str">
        <f t="shared" si="115"/>
        <v/>
      </c>
      <c r="H5287" s="33">
        <f>IF(ISNUMBER(SEARCH("Group",D5287)),IF(G5287="",E5287,IFERROR(E5287/COUNTIF($G2:$G6000,G5287),E5287)),E5287)</f>
        <v>0</v>
      </c>
      <c r="I5287" s="1" t="str">
        <f>IFERROR(VLOOKUP(C5287,'Clients List'!A:F,6,FALSE),"")</f>
        <v/>
      </c>
    </row>
    <row r="5288" spans="4:9" x14ac:dyDescent="0.45">
      <c r="D5288" t="str">
        <f>IFERROR(VLOOKUP(C5288,'Clients List'!$A:$F,2,FALSE),"")</f>
        <v/>
      </c>
      <c r="F5288" s="1" t="str">
        <f>IF(OR(C5288="",NOT(ISNUMBER(SEARCH("Package",D5288)))),"",VLOOKUP(C5288,'Clients List'!$A:$F,4,FALSE)-SUMIFS($E$2:$E5288,$C$2:$C5288,C5288,$D$2:$D5288,"*Package*"))</f>
        <v/>
      </c>
      <c r="G5288" t="str">
        <f t="shared" si="115"/>
        <v/>
      </c>
      <c r="H5288" s="33">
        <f>IF(ISNUMBER(SEARCH("Group",D5288)),IF(G5288="",E5288,IFERROR(E5288/COUNTIF($G2:$G6000,G5288),E5288)),E5288)</f>
        <v>0</v>
      </c>
      <c r="I5288" s="1" t="str">
        <f>IFERROR(VLOOKUP(C5288,'Clients List'!A:F,6,FALSE),"")</f>
        <v/>
      </c>
    </row>
    <row r="5289" spans="4:9" x14ac:dyDescent="0.45">
      <c r="D5289" t="str">
        <f>IFERROR(VLOOKUP(C5289,'Clients List'!$A:$F,2,FALSE),"")</f>
        <v/>
      </c>
      <c r="F5289" s="1" t="str">
        <f>IF(OR(C5289="",NOT(ISNUMBER(SEARCH("Package",D5289)))),"",VLOOKUP(C5289,'Clients List'!$A:$F,4,FALSE)-SUMIFS($E$2:$E5289,$C$2:$C5289,C5289,$D$2:$D5289,"*Package*"))</f>
        <v/>
      </c>
      <c r="G5289" t="str">
        <f t="shared" si="115"/>
        <v/>
      </c>
      <c r="H5289" s="33">
        <f>IF(ISNUMBER(SEARCH("Group",D5289)),IF(G5289="",E5289,IFERROR(E5289/COUNTIF($G2:$G6000,G5289),E5289)),E5289)</f>
        <v>0</v>
      </c>
      <c r="I5289" s="1" t="str">
        <f>IFERROR(VLOOKUP(C5289,'Clients List'!A:F,6,FALSE),"")</f>
        <v/>
      </c>
    </row>
    <row r="5290" spans="4:9" x14ac:dyDescent="0.45">
      <c r="D5290" t="str">
        <f>IFERROR(VLOOKUP(C5290,'Clients List'!$A:$F,2,FALSE),"")</f>
        <v/>
      </c>
      <c r="F5290" s="1" t="str">
        <f>IF(OR(C5290="",NOT(ISNUMBER(SEARCH("Package",D5290)))),"",VLOOKUP(C5290,'Clients List'!$A:$F,4,FALSE)-SUMIFS($E$2:$E5290,$C$2:$C5290,C5290,$D$2:$D5290,"*Package*"))</f>
        <v/>
      </c>
      <c r="G5290" t="str">
        <f t="shared" si="115"/>
        <v/>
      </c>
      <c r="H5290" s="33">
        <f>IF(ISNUMBER(SEARCH("Group",D5290)),IF(G5290="",E5290,IFERROR(E5290/COUNTIF($G2:$G6000,G5290),E5290)),E5290)</f>
        <v>0</v>
      </c>
      <c r="I5290" s="1" t="str">
        <f>IFERROR(VLOOKUP(C5290,'Clients List'!A:F,6,FALSE),"")</f>
        <v/>
      </c>
    </row>
    <row r="5291" spans="4:9" x14ac:dyDescent="0.45">
      <c r="D5291" t="str">
        <f>IFERROR(VLOOKUP(C5291,'Clients List'!$A:$F,2,FALSE),"")</f>
        <v/>
      </c>
      <c r="F5291" s="1" t="str">
        <f>IF(OR(C5291="",NOT(ISNUMBER(SEARCH("Package",D5291)))),"",VLOOKUP(C5291,'Clients List'!$A:$F,4,FALSE)-SUMIFS($E$2:$E5291,$C$2:$C5291,C5291,$D$2:$D5291,"*Package*"))</f>
        <v/>
      </c>
      <c r="G5291" t="str">
        <f t="shared" si="115"/>
        <v/>
      </c>
      <c r="H5291" s="33">
        <f>IF(ISNUMBER(SEARCH("Group",D5291)),IF(G5291="",E5291,IFERROR(E5291/COUNTIF($G2:$G6000,G5291),E5291)),E5291)</f>
        <v>0</v>
      </c>
      <c r="I5291" s="1" t="str">
        <f>IFERROR(VLOOKUP(C5291,'Clients List'!A:F,6,FALSE),"")</f>
        <v/>
      </c>
    </row>
    <row r="5292" spans="4:9" x14ac:dyDescent="0.45">
      <c r="D5292" t="str">
        <f>IFERROR(VLOOKUP(C5292,'Clients List'!$A:$F,2,FALSE),"")</f>
        <v/>
      </c>
      <c r="F5292" s="1" t="str">
        <f>IF(OR(C5292="",NOT(ISNUMBER(SEARCH("Package",D5292)))),"",VLOOKUP(C5292,'Clients List'!$A:$F,4,FALSE)-SUMIFS($E$2:$E5292,$C$2:$C5292,C5292,$D$2:$D5292,"*Package*"))</f>
        <v/>
      </c>
      <c r="G5292" t="str">
        <f t="shared" si="115"/>
        <v/>
      </c>
      <c r="H5292" s="33">
        <f>IF(ISNUMBER(SEARCH("Group",D5292)),IF(G5292="",E5292,IFERROR(E5292/COUNTIF($G2:$G6000,G5292),E5292)),E5292)</f>
        <v>0</v>
      </c>
      <c r="I5292" s="1" t="str">
        <f>IFERROR(VLOOKUP(C5292,'Clients List'!A:F,6,FALSE),"")</f>
        <v/>
      </c>
    </row>
    <row r="5293" spans="4:9" x14ac:dyDescent="0.45">
      <c r="D5293" t="str">
        <f>IFERROR(VLOOKUP(C5293,'Clients List'!$A:$F,2,FALSE),"")</f>
        <v/>
      </c>
      <c r="F5293" s="1" t="str">
        <f>IF(OR(C5293="",NOT(ISNUMBER(SEARCH("Package",D5293)))),"",VLOOKUP(C5293,'Clients List'!$A:$F,4,FALSE)-SUMIFS($E$2:$E5293,$C$2:$C5293,C5293,$D$2:$D5293,"*Package*"))</f>
        <v/>
      </c>
      <c r="G5293" t="str">
        <f t="shared" si="115"/>
        <v/>
      </c>
      <c r="H5293" s="33">
        <f>IF(ISNUMBER(SEARCH("Group",D5293)),IF(G5293="",E5293,IFERROR(E5293/COUNTIF($G2:$G6000,G5293),E5293)),E5293)</f>
        <v>0</v>
      </c>
      <c r="I5293" s="1" t="str">
        <f>IFERROR(VLOOKUP(C5293,'Clients List'!A:F,6,FALSE),"")</f>
        <v/>
      </c>
    </row>
    <row r="5294" spans="4:9" x14ac:dyDescent="0.45">
      <c r="D5294" t="str">
        <f>IFERROR(VLOOKUP(C5294,'Clients List'!$A:$F,2,FALSE),"")</f>
        <v/>
      </c>
      <c r="F5294" s="1" t="str">
        <f>IF(OR(C5294="",NOT(ISNUMBER(SEARCH("Package",D5294)))),"",VLOOKUP(C5294,'Clients List'!$A:$F,4,FALSE)-SUMIFS($E$2:$E5294,$C$2:$C5294,C5294,$D$2:$D5294,"*Package*"))</f>
        <v/>
      </c>
      <c r="G5294" t="str">
        <f t="shared" si="115"/>
        <v/>
      </c>
      <c r="H5294" s="33">
        <f>IF(ISNUMBER(SEARCH("Group",D5294)),IF(G5294="",E5294,IFERROR(E5294/COUNTIF($G2:$G6000,G5294),E5294)),E5294)</f>
        <v>0</v>
      </c>
      <c r="I5294" s="1" t="str">
        <f>IFERROR(VLOOKUP(C5294,'Clients List'!A:F,6,FALSE),"")</f>
        <v/>
      </c>
    </row>
    <row r="5295" spans="4:9" x14ac:dyDescent="0.45">
      <c r="D5295" t="str">
        <f>IFERROR(VLOOKUP(C5295,'Clients List'!$A:$F,2,FALSE),"")</f>
        <v/>
      </c>
      <c r="F5295" s="1" t="str">
        <f>IF(OR(C5295="",NOT(ISNUMBER(SEARCH("Package",D5295)))),"",VLOOKUP(C5295,'Clients List'!$A:$F,4,FALSE)-SUMIFS($E$2:$E5295,$C$2:$C5295,C5295,$D$2:$D5295,"*Package*"))</f>
        <v/>
      </c>
      <c r="G5295" t="str">
        <f t="shared" si="115"/>
        <v/>
      </c>
      <c r="H5295" s="33">
        <f>IF(ISNUMBER(SEARCH("Group",D5295)),IF(G5295="",E5295,IFERROR(E5295/COUNTIF($G2:$G6000,G5295),E5295)),E5295)</f>
        <v>0</v>
      </c>
      <c r="I5295" s="1" t="str">
        <f>IFERROR(VLOOKUP(C5295,'Clients List'!A:F,6,FALSE),"")</f>
        <v/>
      </c>
    </row>
    <row r="5296" spans="4:9" x14ac:dyDescent="0.45">
      <c r="D5296" t="str">
        <f>IFERROR(VLOOKUP(C5296,'Clients List'!$A:$F,2,FALSE),"")</f>
        <v/>
      </c>
      <c r="F5296" s="1" t="str">
        <f>IF(OR(C5296="",NOT(ISNUMBER(SEARCH("Package",D5296)))),"",VLOOKUP(C5296,'Clients List'!$A:$F,4,FALSE)-SUMIFS($E$2:$E5296,$C$2:$C5296,C5296,$D$2:$D5296,"*Package*"))</f>
        <v/>
      </c>
      <c r="G5296" t="str">
        <f t="shared" si="115"/>
        <v/>
      </c>
      <c r="H5296" s="33">
        <f>IF(ISNUMBER(SEARCH("Group",D5296)),IF(G5296="",E5296,IFERROR(E5296/COUNTIF($G2:$G6000,G5296),E5296)),E5296)</f>
        <v>0</v>
      </c>
      <c r="I5296" s="1" t="str">
        <f>IFERROR(VLOOKUP(C5296,'Clients List'!A:F,6,FALSE),"")</f>
        <v/>
      </c>
    </row>
    <row r="5297" spans="4:9" x14ac:dyDescent="0.45">
      <c r="D5297" t="str">
        <f>IFERROR(VLOOKUP(C5297,'Clients List'!$A:$F,2,FALSE),"")</f>
        <v/>
      </c>
      <c r="F5297" s="1" t="str">
        <f>IF(OR(C5297="",NOT(ISNUMBER(SEARCH("Package",D5297)))),"",VLOOKUP(C5297,'Clients List'!$A:$F,4,FALSE)-SUMIFS($E$2:$E5297,$C$2:$C5297,C5297,$D$2:$D5297,"*Package*"))</f>
        <v/>
      </c>
      <c r="G5297" t="str">
        <f t="shared" si="115"/>
        <v/>
      </c>
      <c r="H5297" s="33">
        <f>IF(ISNUMBER(SEARCH("Group",D5297)),IF(G5297="",E5297,IFERROR(E5297/COUNTIF($G2:$G6000,G5297),E5297)),E5297)</f>
        <v>0</v>
      </c>
      <c r="I5297" s="1" t="str">
        <f>IFERROR(VLOOKUP(C5297,'Clients List'!A:F,6,FALSE),"")</f>
        <v/>
      </c>
    </row>
    <row r="5298" spans="4:9" x14ac:dyDescent="0.45">
      <c r="D5298" t="str">
        <f>IFERROR(VLOOKUP(C5298,'Clients List'!$A:$F,2,FALSE),"")</f>
        <v/>
      </c>
      <c r="F5298" s="1" t="str">
        <f>IF(OR(C5298="",NOT(ISNUMBER(SEARCH("Package",D5298)))),"",VLOOKUP(C5298,'Clients List'!$A:$F,4,FALSE)-SUMIFS($E$2:$E5298,$C$2:$C5298,C5298,$D$2:$D5298,"*Package*"))</f>
        <v/>
      </c>
      <c r="G5298" t="str">
        <f t="shared" si="115"/>
        <v/>
      </c>
      <c r="H5298" s="33">
        <f>IF(ISNUMBER(SEARCH("Group",D5298)),IF(G5298="",E5298,IFERROR(E5298/COUNTIF($G2:$G6000,G5298),E5298)),E5298)</f>
        <v>0</v>
      </c>
      <c r="I5298" s="1" t="str">
        <f>IFERROR(VLOOKUP(C5298,'Clients List'!A:F,6,FALSE),"")</f>
        <v/>
      </c>
    </row>
    <row r="5299" spans="4:9" x14ac:dyDescent="0.45">
      <c r="D5299" t="str">
        <f>IFERROR(VLOOKUP(C5299,'Clients List'!$A:$F,2,FALSE),"")</f>
        <v/>
      </c>
      <c r="F5299" s="1" t="str">
        <f>IF(OR(C5299="",NOT(ISNUMBER(SEARCH("Package",D5299)))),"",VLOOKUP(C5299,'Clients List'!$A:$F,4,FALSE)-SUMIFS($E$2:$E5299,$C$2:$C5299,C5299,$D$2:$D5299,"*Package*"))</f>
        <v/>
      </c>
      <c r="G5299" t="str">
        <f t="shared" si="115"/>
        <v/>
      </c>
      <c r="H5299" s="33">
        <f>IF(ISNUMBER(SEARCH("Group",D5299)),IF(G5299="",E5299,IFERROR(E5299/COUNTIF($G2:$G6000,G5299),E5299)),E5299)</f>
        <v>0</v>
      </c>
      <c r="I5299" s="1" t="str">
        <f>IFERROR(VLOOKUP(C5299,'Clients List'!A:F,6,FALSE),"")</f>
        <v/>
      </c>
    </row>
    <row r="5300" spans="4:9" x14ac:dyDescent="0.45">
      <c r="D5300" t="str">
        <f>IFERROR(VLOOKUP(C5300,'Clients List'!$A:$F,2,FALSE),"")</f>
        <v/>
      </c>
      <c r="F5300" s="1" t="str">
        <f>IF(OR(C5300="",NOT(ISNUMBER(SEARCH("Package",D5300)))),"",VLOOKUP(C5300,'Clients List'!$A:$F,4,FALSE)-SUMIFS($E$2:$E5300,$C$2:$C5300,C5300,$D$2:$D5300,"*Package*"))</f>
        <v/>
      </c>
      <c r="G5300" t="str">
        <f t="shared" si="115"/>
        <v/>
      </c>
      <c r="H5300" s="33">
        <f>IF(ISNUMBER(SEARCH("Group",D5300)),IF(G5300="",E5300,IFERROR(E5300/COUNTIF($G2:$G6000,G5300),E5300)),E5300)</f>
        <v>0</v>
      </c>
      <c r="I5300" s="1" t="str">
        <f>IFERROR(VLOOKUP(C5300,'Clients List'!A:F,6,FALSE),"")</f>
        <v/>
      </c>
    </row>
    <row r="5301" spans="4:9" x14ac:dyDescent="0.45">
      <c r="D5301" t="str">
        <f>IFERROR(VLOOKUP(C5301,'Clients List'!$A:$F,2,FALSE),"")</f>
        <v/>
      </c>
      <c r="F5301" s="1" t="str">
        <f>IF(OR(C5301="",NOT(ISNUMBER(SEARCH("Package",D5301)))),"",VLOOKUP(C5301,'Clients List'!$A:$F,4,FALSE)-SUMIFS($E$2:$E5301,$C$2:$C5301,C5301,$D$2:$D5301,"*Package*"))</f>
        <v/>
      </c>
      <c r="G5301" t="str">
        <f t="shared" ref="G5301:G5364" si="116">IF(ISNUMBER(SEARCH("Group",D5301)),IFERROR("GRP-"&amp;TEXT(IF(ISNUMBER(A5301),A5301,DATEVALUE(A5301)),"yyyymmdd"),""),"" )</f>
        <v/>
      </c>
      <c r="H5301" s="33">
        <f>IF(ISNUMBER(SEARCH("Group",D5301)),IF(G5301="",E5301,IFERROR(E5301/COUNTIF($G2:$G6000,G5301),E5301)),E5301)</f>
        <v>0</v>
      </c>
      <c r="I5301" s="1" t="str">
        <f>IFERROR(VLOOKUP(C5301,'Clients List'!A:F,6,FALSE),"")</f>
        <v/>
      </c>
    </row>
    <row r="5302" spans="4:9" x14ac:dyDescent="0.45">
      <c r="D5302" t="str">
        <f>IFERROR(VLOOKUP(C5302,'Clients List'!$A:$F,2,FALSE),"")</f>
        <v/>
      </c>
      <c r="F5302" s="1" t="str">
        <f>IF(OR(C5302="",NOT(ISNUMBER(SEARCH("Package",D5302)))),"",VLOOKUP(C5302,'Clients List'!$A:$F,4,FALSE)-SUMIFS($E$2:$E5302,$C$2:$C5302,C5302,$D$2:$D5302,"*Package*"))</f>
        <v/>
      </c>
      <c r="G5302" t="str">
        <f t="shared" si="116"/>
        <v/>
      </c>
      <c r="H5302" s="33">
        <f>IF(ISNUMBER(SEARCH("Group",D5302)),IF(G5302="",E5302,IFERROR(E5302/COUNTIF($G2:$G6000,G5302),E5302)),E5302)</f>
        <v>0</v>
      </c>
      <c r="I5302" s="1" t="str">
        <f>IFERROR(VLOOKUP(C5302,'Clients List'!A:F,6,FALSE),"")</f>
        <v/>
      </c>
    </row>
    <row r="5303" spans="4:9" x14ac:dyDescent="0.45">
      <c r="D5303" t="str">
        <f>IFERROR(VLOOKUP(C5303,'Clients List'!$A:$F,2,FALSE),"")</f>
        <v/>
      </c>
      <c r="F5303" s="1" t="str">
        <f>IF(OR(C5303="",NOT(ISNUMBER(SEARCH("Package",D5303)))),"",VLOOKUP(C5303,'Clients List'!$A:$F,4,FALSE)-SUMIFS($E$2:$E5303,$C$2:$C5303,C5303,$D$2:$D5303,"*Package*"))</f>
        <v/>
      </c>
      <c r="G5303" t="str">
        <f t="shared" si="116"/>
        <v/>
      </c>
      <c r="H5303" s="33">
        <f>IF(ISNUMBER(SEARCH("Group",D5303)),IF(G5303="",E5303,IFERROR(E5303/COUNTIF($G2:$G6000,G5303),E5303)),E5303)</f>
        <v>0</v>
      </c>
      <c r="I5303" s="1" t="str">
        <f>IFERROR(VLOOKUP(C5303,'Clients List'!A:F,6,FALSE),"")</f>
        <v/>
      </c>
    </row>
    <row r="5304" spans="4:9" x14ac:dyDescent="0.45">
      <c r="D5304" t="str">
        <f>IFERROR(VLOOKUP(C5304,'Clients List'!$A:$F,2,FALSE),"")</f>
        <v/>
      </c>
      <c r="F5304" s="1" t="str">
        <f>IF(OR(C5304="",NOT(ISNUMBER(SEARCH("Package",D5304)))),"",VLOOKUP(C5304,'Clients List'!$A:$F,4,FALSE)-SUMIFS($E$2:$E5304,$C$2:$C5304,C5304,$D$2:$D5304,"*Package*"))</f>
        <v/>
      </c>
      <c r="G5304" t="str">
        <f t="shared" si="116"/>
        <v/>
      </c>
      <c r="H5304" s="33">
        <f>IF(ISNUMBER(SEARCH("Group",D5304)),IF(G5304="",E5304,IFERROR(E5304/COUNTIF($G2:$G6000,G5304),E5304)),E5304)</f>
        <v>0</v>
      </c>
      <c r="I5304" s="1" t="str">
        <f>IFERROR(VLOOKUP(C5304,'Clients List'!A:F,6,FALSE),"")</f>
        <v/>
      </c>
    </row>
    <row r="5305" spans="4:9" x14ac:dyDescent="0.45">
      <c r="D5305" t="str">
        <f>IFERROR(VLOOKUP(C5305,'Clients List'!$A:$F,2,FALSE),"")</f>
        <v/>
      </c>
      <c r="F5305" s="1" t="str">
        <f>IF(OR(C5305="",NOT(ISNUMBER(SEARCH("Package",D5305)))),"",VLOOKUP(C5305,'Clients List'!$A:$F,4,FALSE)-SUMIFS($E$2:$E5305,$C$2:$C5305,C5305,$D$2:$D5305,"*Package*"))</f>
        <v/>
      </c>
      <c r="G5305" t="str">
        <f t="shared" si="116"/>
        <v/>
      </c>
      <c r="H5305" s="33">
        <f>IF(ISNUMBER(SEARCH("Group",D5305)),IF(G5305="",E5305,IFERROR(E5305/COUNTIF($G2:$G6000,G5305),E5305)),E5305)</f>
        <v>0</v>
      </c>
      <c r="I5305" s="1" t="str">
        <f>IFERROR(VLOOKUP(C5305,'Clients List'!A:F,6,FALSE),"")</f>
        <v/>
      </c>
    </row>
    <row r="5306" spans="4:9" x14ac:dyDescent="0.45">
      <c r="D5306" t="str">
        <f>IFERROR(VLOOKUP(C5306,'Clients List'!$A:$F,2,FALSE),"")</f>
        <v/>
      </c>
      <c r="F5306" s="1" t="str">
        <f>IF(OR(C5306="",NOT(ISNUMBER(SEARCH("Package",D5306)))),"",VLOOKUP(C5306,'Clients List'!$A:$F,4,FALSE)-SUMIFS($E$2:$E5306,$C$2:$C5306,C5306,$D$2:$D5306,"*Package*"))</f>
        <v/>
      </c>
      <c r="G5306" t="str">
        <f t="shared" si="116"/>
        <v/>
      </c>
      <c r="H5306" s="33">
        <f>IF(ISNUMBER(SEARCH("Group",D5306)),IF(G5306="",E5306,IFERROR(E5306/COUNTIF($G2:$G6000,G5306),E5306)),E5306)</f>
        <v>0</v>
      </c>
      <c r="I5306" s="1" t="str">
        <f>IFERROR(VLOOKUP(C5306,'Clients List'!A:F,6,FALSE),"")</f>
        <v/>
      </c>
    </row>
    <row r="5307" spans="4:9" x14ac:dyDescent="0.45">
      <c r="D5307" t="str">
        <f>IFERROR(VLOOKUP(C5307,'Clients List'!$A:$F,2,FALSE),"")</f>
        <v/>
      </c>
      <c r="F5307" s="1" t="str">
        <f>IF(OR(C5307="",NOT(ISNUMBER(SEARCH("Package",D5307)))),"",VLOOKUP(C5307,'Clients List'!$A:$F,4,FALSE)-SUMIFS($E$2:$E5307,$C$2:$C5307,C5307,$D$2:$D5307,"*Package*"))</f>
        <v/>
      </c>
      <c r="G5307" t="str">
        <f t="shared" si="116"/>
        <v/>
      </c>
      <c r="H5307" s="33">
        <f>IF(ISNUMBER(SEARCH("Group",D5307)),IF(G5307="",E5307,IFERROR(E5307/COUNTIF($G2:$G6000,G5307),E5307)),E5307)</f>
        <v>0</v>
      </c>
      <c r="I5307" s="1" t="str">
        <f>IFERROR(VLOOKUP(C5307,'Clients List'!A:F,6,FALSE),"")</f>
        <v/>
      </c>
    </row>
    <row r="5308" spans="4:9" x14ac:dyDescent="0.45">
      <c r="D5308" t="str">
        <f>IFERROR(VLOOKUP(C5308,'Clients List'!$A:$F,2,FALSE),"")</f>
        <v/>
      </c>
      <c r="F5308" s="1" t="str">
        <f>IF(OR(C5308="",NOT(ISNUMBER(SEARCH("Package",D5308)))),"",VLOOKUP(C5308,'Clients List'!$A:$F,4,FALSE)-SUMIFS($E$2:$E5308,$C$2:$C5308,C5308,$D$2:$D5308,"*Package*"))</f>
        <v/>
      </c>
      <c r="G5308" t="str">
        <f t="shared" si="116"/>
        <v/>
      </c>
      <c r="H5308" s="33">
        <f>IF(ISNUMBER(SEARCH("Group",D5308)),IF(G5308="",E5308,IFERROR(E5308/COUNTIF($G2:$G6000,G5308),E5308)),E5308)</f>
        <v>0</v>
      </c>
      <c r="I5308" s="1" t="str">
        <f>IFERROR(VLOOKUP(C5308,'Clients List'!A:F,6,FALSE),"")</f>
        <v/>
      </c>
    </row>
    <row r="5309" spans="4:9" x14ac:dyDescent="0.45">
      <c r="D5309" t="str">
        <f>IFERROR(VLOOKUP(C5309,'Clients List'!$A:$F,2,FALSE),"")</f>
        <v/>
      </c>
      <c r="F5309" s="1" t="str">
        <f>IF(OR(C5309="",NOT(ISNUMBER(SEARCH("Package",D5309)))),"",VLOOKUP(C5309,'Clients List'!$A:$F,4,FALSE)-SUMIFS($E$2:$E5309,$C$2:$C5309,C5309,$D$2:$D5309,"*Package*"))</f>
        <v/>
      </c>
      <c r="G5309" t="str">
        <f t="shared" si="116"/>
        <v/>
      </c>
      <c r="H5309" s="33">
        <f>IF(ISNUMBER(SEARCH("Group",D5309)),IF(G5309="",E5309,IFERROR(E5309/COUNTIF($G2:$G6000,G5309),E5309)),E5309)</f>
        <v>0</v>
      </c>
      <c r="I5309" s="1" t="str">
        <f>IFERROR(VLOOKUP(C5309,'Clients List'!A:F,6,FALSE),"")</f>
        <v/>
      </c>
    </row>
    <row r="5310" spans="4:9" x14ac:dyDescent="0.45">
      <c r="D5310" t="str">
        <f>IFERROR(VLOOKUP(C5310,'Clients List'!$A:$F,2,FALSE),"")</f>
        <v/>
      </c>
      <c r="F5310" s="1" t="str">
        <f>IF(OR(C5310="",NOT(ISNUMBER(SEARCH("Package",D5310)))),"",VLOOKUP(C5310,'Clients List'!$A:$F,4,FALSE)-SUMIFS($E$2:$E5310,$C$2:$C5310,C5310,$D$2:$D5310,"*Package*"))</f>
        <v/>
      </c>
      <c r="G5310" t="str">
        <f t="shared" si="116"/>
        <v/>
      </c>
      <c r="H5310" s="33">
        <f>IF(ISNUMBER(SEARCH("Group",D5310)),IF(G5310="",E5310,IFERROR(E5310/COUNTIF($G2:$G6000,G5310),E5310)),E5310)</f>
        <v>0</v>
      </c>
      <c r="I5310" s="1" t="str">
        <f>IFERROR(VLOOKUP(C5310,'Clients List'!A:F,6,FALSE),"")</f>
        <v/>
      </c>
    </row>
    <row r="5311" spans="4:9" x14ac:dyDescent="0.45">
      <c r="D5311" t="str">
        <f>IFERROR(VLOOKUP(C5311,'Clients List'!$A:$F,2,FALSE),"")</f>
        <v/>
      </c>
      <c r="F5311" s="1" t="str">
        <f>IF(OR(C5311="",NOT(ISNUMBER(SEARCH("Package",D5311)))),"",VLOOKUP(C5311,'Clients List'!$A:$F,4,FALSE)-SUMIFS($E$2:$E5311,$C$2:$C5311,C5311,$D$2:$D5311,"*Package*"))</f>
        <v/>
      </c>
      <c r="G5311" t="str">
        <f t="shared" si="116"/>
        <v/>
      </c>
      <c r="H5311" s="33">
        <f>IF(ISNUMBER(SEARCH("Group",D5311)),IF(G5311="",E5311,IFERROR(E5311/COUNTIF($G2:$G6000,G5311),E5311)),E5311)</f>
        <v>0</v>
      </c>
      <c r="I5311" s="1" t="str">
        <f>IFERROR(VLOOKUP(C5311,'Clients List'!A:F,6,FALSE),"")</f>
        <v/>
      </c>
    </row>
    <row r="5312" spans="4:9" x14ac:dyDescent="0.45">
      <c r="D5312" t="str">
        <f>IFERROR(VLOOKUP(C5312,'Clients List'!$A:$F,2,FALSE),"")</f>
        <v/>
      </c>
      <c r="F5312" s="1" t="str">
        <f>IF(OR(C5312="",NOT(ISNUMBER(SEARCH("Package",D5312)))),"",VLOOKUP(C5312,'Clients List'!$A:$F,4,FALSE)-SUMIFS($E$2:$E5312,$C$2:$C5312,C5312,$D$2:$D5312,"*Package*"))</f>
        <v/>
      </c>
      <c r="G5312" t="str">
        <f t="shared" si="116"/>
        <v/>
      </c>
      <c r="H5312" s="33">
        <f>IF(ISNUMBER(SEARCH("Group",D5312)),IF(G5312="",E5312,IFERROR(E5312/COUNTIF($G2:$G6000,G5312),E5312)),E5312)</f>
        <v>0</v>
      </c>
      <c r="I5312" s="1" t="str">
        <f>IFERROR(VLOOKUP(C5312,'Clients List'!A:F,6,FALSE),"")</f>
        <v/>
      </c>
    </row>
    <row r="5313" spans="4:9" x14ac:dyDescent="0.45">
      <c r="D5313" t="str">
        <f>IFERROR(VLOOKUP(C5313,'Clients List'!$A:$F,2,FALSE),"")</f>
        <v/>
      </c>
      <c r="F5313" s="1" t="str">
        <f>IF(OR(C5313="",NOT(ISNUMBER(SEARCH("Package",D5313)))),"",VLOOKUP(C5313,'Clients List'!$A:$F,4,FALSE)-SUMIFS($E$2:$E5313,$C$2:$C5313,C5313,$D$2:$D5313,"*Package*"))</f>
        <v/>
      </c>
      <c r="G5313" t="str">
        <f t="shared" si="116"/>
        <v/>
      </c>
      <c r="H5313" s="33">
        <f>IF(ISNUMBER(SEARCH("Group",D5313)),IF(G5313="",E5313,IFERROR(E5313/COUNTIF($G2:$G6000,G5313),E5313)),E5313)</f>
        <v>0</v>
      </c>
      <c r="I5313" s="1" t="str">
        <f>IFERROR(VLOOKUP(C5313,'Clients List'!A:F,6,FALSE),"")</f>
        <v/>
      </c>
    </row>
    <row r="5314" spans="4:9" x14ac:dyDescent="0.45">
      <c r="D5314" t="str">
        <f>IFERROR(VLOOKUP(C5314,'Clients List'!$A:$F,2,FALSE),"")</f>
        <v/>
      </c>
      <c r="F5314" s="1" t="str">
        <f>IF(OR(C5314="",NOT(ISNUMBER(SEARCH("Package",D5314)))),"",VLOOKUP(C5314,'Clients List'!$A:$F,4,FALSE)-SUMIFS($E$2:$E5314,$C$2:$C5314,C5314,$D$2:$D5314,"*Package*"))</f>
        <v/>
      </c>
      <c r="G5314" t="str">
        <f t="shared" si="116"/>
        <v/>
      </c>
      <c r="H5314" s="33">
        <f>IF(ISNUMBER(SEARCH("Group",D5314)),IF(G5314="",E5314,IFERROR(E5314/COUNTIF($G2:$G6000,G5314),E5314)),E5314)</f>
        <v>0</v>
      </c>
      <c r="I5314" s="1" t="str">
        <f>IFERROR(VLOOKUP(C5314,'Clients List'!A:F,6,FALSE),"")</f>
        <v/>
      </c>
    </row>
    <row r="5315" spans="4:9" x14ac:dyDescent="0.45">
      <c r="D5315" t="str">
        <f>IFERROR(VLOOKUP(C5315,'Clients List'!$A:$F,2,FALSE),"")</f>
        <v/>
      </c>
      <c r="F5315" s="1" t="str">
        <f>IF(OR(C5315="",NOT(ISNUMBER(SEARCH("Package",D5315)))),"",VLOOKUP(C5315,'Clients List'!$A:$F,4,FALSE)-SUMIFS($E$2:$E5315,$C$2:$C5315,C5315,$D$2:$D5315,"*Package*"))</f>
        <v/>
      </c>
      <c r="G5315" t="str">
        <f t="shared" si="116"/>
        <v/>
      </c>
      <c r="H5315" s="33">
        <f>IF(ISNUMBER(SEARCH("Group",D5315)),IF(G5315="",E5315,IFERROR(E5315/COUNTIF($G2:$G6000,G5315),E5315)),E5315)</f>
        <v>0</v>
      </c>
      <c r="I5315" s="1" t="str">
        <f>IFERROR(VLOOKUP(C5315,'Clients List'!A:F,6,FALSE),"")</f>
        <v/>
      </c>
    </row>
    <row r="5316" spans="4:9" x14ac:dyDescent="0.45">
      <c r="D5316" t="str">
        <f>IFERROR(VLOOKUP(C5316,'Clients List'!$A:$F,2,FALSE),"")</f>
        <v/>
      </c>
      <c r="F5316" s="1" t="str">
        <f>IF(OR(C5316="",NOT(ISNUMBER(SEARCH("Package",D5316)))),"",VLOOKUP(C5316,'Clients List'!$A:$F,4,FALSE)-SUMIFS($E$2:$E5316,$C$2:$C5316,C5316,$D$2:$D5316,"*Package*"))</f>
        <v/>
      </c>
      <c r="G5316" t="str">
        <f t="shared" si="116"/>
        <v/>
      </c>
      <c r="H5316" s="33">
        <f>IF(ISNUMBER(SEARCH("Group",D5316)),IF(G5316="",E5316,IFERROR(E5316/COUNTIF($G2:$G6000,G5316),E5316)),E5316)</f>
        <v>0</v>
      </c>
      <c r="I5316" s="1" t="str">
        <f>IFERROR(VLOOKUP(C5316,'Clients List'!A:F,6,FALSE),"")</f>
        <v/>
      </c>
    </row>
    <row r="5317" spans="4:9" x14ac:dyDescent="0.45">
      <c r="D5317" t="str">
        <f>IFERROR(VLOOKUP(C5317,'Clients List'!$A:$F,2,FALSE),"")</f>
        <v/>
      </c>
      <c r="F5317" s="1" t="str">
        <f>IF(OR(C5317="",NOT(ISNUMBER(SEARCH("Package",D5317)))),"",VLOOKUP(C5317,'Clients List'!$A:$F,4,FALSE)-SUMIFS($E$2:$E5317,$C$2:$C5317,C5317,$D$2:$D5317,"*Package*"))</f>
        <v/>
      </c>
      <c r="G5317" t="str">
        <f t="shared" si="116"/>
        <v/>
      </c>
      <c r="H5317" s="33">
        <f>IF(ISNUMBER(SEARCH("Group",D5317)),IF(G5317="",E5317,IFERROR(E5317/COUNTIF($G2:$G6000,G5317),E5317)),E5317)</f>
        <v>0</v>
      </c>
      <c r="I5317" s="1" t="str">
        <f>IFERROR(VLOOKUP(C5317,'Clients List'!A:F,6,FALSE),"")</f>
        <v/>
      </c>
    </row>
    <row r="5318" spans="4:9" x14ac:dyDescent="0.45">
      <c r="D5318" t="str">
        <f>IFERROR(VLOOKUP(C5318,'Clients List'!$A:$F,2,FALSE),"")</f>
        <v/>
      </c>
      <c r="F5318" s="1" t="str">
        <f>IF(OR(C5318="",NOT(ISNUMBER(SEARCH("Package",D5318)))),"",VLOOKUP(C5318,'Clients List'!$A:$F,4,FALSE)-SUMIFS($E$2:$E5318,$C$2:$C5318,C5318,$D$2:$D5318,"*Package*"))</f>
        <v/>
      </c>
      <c r="G5318" t="str">
        <f t="shared" si="116"/>
        <v/>
      </c>
      <c r="H5318" s="33">
        <f>IF(ISNUMBER(SEARCH("Group",D5318)),IF(G5318="",E5318,IFERROR(E5318/COUNTIF($G2:$G6000,G5318),E5318)),E5318)</f>
        <v>0</v>
      </c>
      <c r="I5318" s="1" t="str">
        <f>IFERROR(VLOOKUP(C5318,'Clients List'!A:F,6,FALSE),"")</f>
        <v/>
      </c>
    </row>
    <row r="5319" spans="4:9" x14ac:dyDescent="0.45">
      <c r="D5319" t="str">
        <f>IFERROR(VLOOKUP(C5319,'Clients List'!$A:$F,2,FALSE),"")</f>
        <v/>
      </c>
      <c r="F5319" s="1" t="str">
        <f>IF(OR(C5319="",NOT(ISNUMBER(SEARCH("Package",D5319)))),"",VLOOKUP(C5319,'Clients List'!$A:$F,4,FALSE)-SUMIFS($E$2:$E5319,$C$2:$C5319,C5319,$D$2:$D5319,"*Package*"))</f>
        <v/>
      </c>
      <c r="G5319" t="str">
        <f t="shared" si="116"/>
        <v/>
      </c>
      <c r="H5319" s="33">
        <f>IF(ISNUMBER(SEARCH("Group",D5319)),IF(G5319="",E5319,IFERROR(E5319/COUNTIF($G2:$G6000,G5319),E5319)),E5319)</f>
        <v>0</v>
      </c>
      <c r="I5319" s="1" t="str">
        <f>IFERROR(VLOOKUP(C5319,'Clients List'!A:F,6,FALSE),"")</f>
        <v/>
      </c>
    </row>
    <row r="5320" spans="4:9" x14ac:dyDescent="0.45">
      <c r="D5320" t="str">
        <f>IFERROR(VLOOKUP(C5320,'Clients List'!$A:$F,2,FALSE),"")</f>
        <v/>
      </c>
      <c r="F5320" s="1" t="str">
        <f>IF(OR(C5320="",NOT(ISNUMBER(SEARCH("Package",D5320)))),"",VLOOKUP(C5320,'Clients List'!$A:$F,4,FALSE)-SUMIFS($E$2:$E5320,$C$2:$C5320,C5320,$D$2:$D5320,"*Package*"))</f>
        <v/>
      </c>
      <c r="G5320" t="str">
        <f t="shared" si="116"/>
        <v/>
      </c>
      <c r="H5320" s="33">
        <f>IF(ISNUMBER(SEARCH("Group",D5320)),IF(G5320="",E5320,IFERROR(E5320/COUNTIF($G2:$G6000,G5320),E5320)),E5320)</f>
        <v>0</v>
      </c>
      <c r="I5320" s="1" t="str">
        <f>IFERROR(VLOOKUP(C5320,'Clients List'!A:F,6,FALSE),"")</f>
        <v/>
      </c>
    </row>
    <row r="5321" spans="4:9" x14ac:dyDescent="0.45">
      <c r="D5321" t="str">
        <f>IFERROR(VLOOKUP(C5321,'Clients List'!$A:$F,2,FALSE),"")</f>
        <v/>
      </c>
      <c r="F5321" s="1" t="str">
        <f>IF(OR(C5321="",NOT(ISNUMBER(SEARCH("Package",D5321)))),"",VLOOKUP(C5321,'Clients List'!$A:$F,4,FALSE)-SUMIFS($E$2:$E5321,$C$2:$C5321,C5321,$D$2:$D5321,"*Package*"))</f>
        <v/>
      </c>
      <c r="G5321" t="str">
        <f t="shared" si="116"/>
        <v/>
      </c>
      <c r="H5321" s="33">
        <f>IF(ISNUMBER(SEARCH("Group",D5321)),IF(G5321="",E5321,IFERROR(E5321/COUNTIF($G2:$G6000,G5321),E5321)),E5321)</f>
        <v>0</v>
      </c>
      <c r="I5321" s="1" t="str">
        <f>IFERROR(VLOOKUP(C5321,'Clients List'!A:F,6,FALSE),"")</f>
        <v/>
      </c>
    </row>
    <row r="5322" spans="4:9" x14ac:dyDescent="0.45">
      <c r="D5322" t="str">
        <f>IFERROR(VLOOKUP(C5322,'Clients List'!$A:$F,2,FALSE),"")</f>
        <v/>
      </c>
      <c r="F5322" s="1" t="str">
        <f>IF(OR(C5322="",NOT(ISNUMBER(SEARCH("Package",D5322)))),"",VLOOKUP(C5322,'Clients List'!$A:$F,4,FALSE)-SUMIFS($E$2:$E5322,$C$2:$C5322,C5322,$D$2:$D5322,"*Package*"))</f>
        <v/>
      </c>
      <c r="G5322" t="str">
        <f t="shared" si="116"/>
        <v/>
      </c>
      <c r="H5322" s="33">
        <f>IF(ISNUMBER(SEARCH("Group",D5322)),IF(G5322="",E5322,IFERROR(E5322/COUNTIF($G2:$G6000,G5322),E5322)),E5322)</f>
        <v>0</v>
      </c>
      <c r="I5322" s="1" t="str">
        <f>IFERROR(VLOOKUP(C5322,'Clients List'!A:F,6,FALSE),"")</f>
        <v/>
      </c>
    </row>
    <row r="5323" spans="4:9" x14ac:dyDescent="0.45">
      <c r="D5323" t="str">
        <f>IFERROR(VLOOKUP(C5323,'Clients List'!$A:$F,2,FALSE),"")</f>
        <v/>
      </c>
      <c r="F5323" s="1" t="str">
        <f>IF(OR(C5323="",NOT(ISNUMBER(SEARCH("Package",D5323)))),"",VLOOKUP(C5323,'Clients List'!$A:$F,4,FALSE)-SUMIFS($E$2:$E5323,$C$2:$C5323,C5323,$D$2:$D5323,"*Package*"))</f>
        <v/>
      </c>
      <c r="G5323" t="str">
        <f t="shared" si="116"/>
        <v/>
      </c>
      <c r="H5323" s="33">
        <f>IF(ISNUMBER(SEARCH("Group",D5323)),IF(G5323="",E5323,IFERROR(E5323/COUNTIF($G2:$G6000,G5323),E5323)),E5323)</f>
        <v>0</v>
      </c>
      <c r="I5323" s="1" t="str">
        <f>IFERROR(VLOOKUP(C5323,'Clients List'!A:F,6,FALSE),"")</f>
        <v/>
      </c>
    </row>
    <row r="5324" spans="4:9" x14ac:dyDescent="0.45">
      <c r="D5324" t="str">
        <f>IFERROR(VLOOKUP(C5324,'Clients List'!$A:$F,2,FALSE),"")</f>
        <v/>
      </c>
      <c r="F5324" s="1" t="str">
        <f>IF(OR(C5324="",NOT(ISNUMBER(SEARCH("Package",D5324)))),"",VLOOKUP(C5324,'Clients List'!$A:$F,4,FALSE)-SUMIFS($E$2:$E5324,$C$2:$C5324,C5324,$D$2:$D5324,"*Package*"))</f>
        <v/>
      </c>
      <c r="G5324" t="str">
        <f t="shared" si="116"/>
        <v/>
      </c>
      <c r="H5324" s="33">
        <f>IF(ISNUMBER(SEARCH("Group",D5324)),IF(G5324="",E5324,IFERROR(E5324/COUNTIF($G2:$G6000,G5324),E5324)),E5324)</f>
        <v>0</v>
      </c>
      <c r="I5324" s="1" t="str">
        <f>IFERROR(VLOOKUP(C5324,'Clients List'!A:F,6,FALSE),"")</f>
        <v/>
      </c>
    </row>
    <row r="5325" spans="4:9" x14ac:dyDescent="0.45">
      <c r="D5325" t="str">
        <f>IFERROR(VLOOKUP(C5325,'Clients List'!$A:$F,2,FALSE),"")</f>
        <v/>
      </c>
      <c r="F5325" s="1" t="str">
        <f>IF(OR(C5325="",NOT(ISNUMBER(SEARCH("Package",D5325)))),"",VLOOKUP(C5325,'Clients List'!$A:$F,4,FALSE)-SUMIFS($E$2:$E5325,$C$2:$C5325,C5325,$D$2:$D5325,"*Package*"))</f>
        <v/>
      </c>
      <c r="G5325" t="str">
        <f t="shared" si="116"/>
        <v/>
      </c>
      <c r="H5325" s="33">
        <f>IF(ISNUMBER(SEARCH("Group",D5325)),IF(G5325="",E5325,IFERROR(E5325/COUNTIF($G2:$G6000,G5325),E5325)),E5325)</f>
        <v>0</v>
      </c>
      <c r="I5325" s="1" t="str">
        <f>IFERROR(VLOOKUP(C5325,'Clients List'!A:F,6,FALSE),"")</f>
        <v/>
      </c>
    </row>
    <row r="5326" spans="4:9" x14ac:dyDescent="0.45">
      <c r="D5326" t="str">
        <f>IFERROR(VLOOKUP(C5326,'Clients List'!$A:$F,2,FALSE),"")</f>
        <v/>
      </c>
      <c r="F5326" s="1" t="str">
        <f>IF(OR(C5326="",NOT(ISNUMBER(SEARCH("Package",D5326)))),"",VLOOKUP(C5326,'Clients List'!$A:$F,4,FALSE)-SUMIFS($E$2:$E5326,$C$2:$C5326,C5326,$D$2:$D5326,"*Package*"))</f>
        <v/>
      </c>
      <c r="G5326" t="str">
        <f t="shared" si="116"/>
        <v/>
      </c>
      <c r="H5326" s="33">
        <f>IF(ISNUMBER(SEARCH("Group",D5326)),IF(G5326="",E5326,IFERROR(E5326/COUNTIF($G2:$G6000,G5326),E5326)),E5326)</f>
        <v>0</v>
      </c>
      <c r="I5326" s="1" t="str">
        <f>IFERROR(VLOOKUP(C5326,'Clients List'!A:F,6,FALSE),"")</f>
        <v/>
      </c>
    </row>
    <row r="5327" spans="4:9" x14ac:dyDescent="0.45">
      <c r="D5327" t="str">
        <f>IFERROR(VLOOKUP(C5327,'Clients List'!$A:$F,2,FALSE),"")</f>
        <v/>
      </c>
      <c r="F5327" s="1" t="str">
        <f>IF(OR(C5327="",NOT(ISNUMBER(SEARCH("Package",D5327)))),"",VLOOKUP(C5327,'Clients List'!$A:$F,4,FALSE)-SUMIFS($E$2:$E5327,$C$2:$C5327,C5327,$D$2:$D5327,"*Package*"))</f>
        <v/>
      </c>
      <c r="G5327" t="str">
        <f t="shared" si="116"/>
        <v/>
      </c>
      <c r="H5327" s="33">
        <f>IF(ISNUMBER(SEARCH("Group",D5327)),IF(G5327="",E5327,IFERROR(E5327/COUNTIF($G2:$G6000,G5327),E5327)),E5327)</f>
        <v>0</v>
      </c>
      <c r="I5327" s="1" t="str">
        <f>IFERROR(VLOOKUP(C5327,'Clients List'!A:F,6,FALSE),"")</f>
        <v/>
      </c>
    </row>
    <row r="5328" spans="4:9" x14ac:dyDescent="0.45">
      <c r="D5328" t="str">
        <f>IFERROR(VLOOKUP(C5328,'Clients List'!$A:$F,2,FALSE),"")</f>
        <v/>
      </c>
      <c r="F5328" s="1" t="str">
        <f>IF(OR(C5328="",NOT(ISNUMBER(SEARCH("Package",D5328)))),"",VLOOKUP(C5328,'Clients List'!$A:$F,4,FALSE)-SUMIFS($E$2:$E5328,$C$2:$C5328,C5328,$D$2:$D5328,"*Package*"))</f>
        <v/>
      </c>
      <c r="G5328" t="str">
        <f t="shared" si="116"/>
        <v/>
      </c>
      <c r="H5328" s="33">
        <f>IF(ISNUMBER(SEARCH("Group",D5328)),IF(G5328="",E5328,IFERROR(E5328/COUNTIF($G2:$G6000,G5328),E5328)),E5328)</f>
        <v>0</v>
      </c>
      <c r="I5328" s="1" t="str">
        <f>IFERROR(VLOOKUP(C5328,'Clients List'!A:F,6,FALSE),"")</f>
        <v/>
      </c>
    </row>
    <row r="5329" spans="4:9" x14ac:dyDescent="0.45">
      <c r="D5329" t="str">
        <f>IFERROR(VLOOKUP(C5329,'Clients List'!$A:$F,2,FALSE),"")</f>
        <v/>
      </c>
      <c r="F5329" s="1" t="str">
        <f>IF(OR(C5329="",NOT(ISNUMBER(SEARCH("Package",D5329)))),"",VLOOKUP(C5329,'Clients List'!$A:$F,4,FALSE)-SUMIFS($E$2:$E5329,$C$2:$C5329,C5329,$D$2:$D5329,"*Package*"))</f>
        <v/>
      </c>
      <c r="G5329" t="str">
        <f t="shared" si="116"/>
        <v/>
      </c>
      <c r="H5329" s="33">
        <f>IF(ISNUMBER(SEARCH("Group",D5329)),IF(G5329="",E5329,IFERROR(E5329/COUNTIF($G2:$G6000,G5329),E5329)),E5329)</f>
        <v>0</v>
      </c>
      <c r="I5329" s="1" t="str">
        <f>IFERROR(VLOOKUP(C5329,'Clients List'!A:F,6,FALSE),"")</f>
        <v/>
      </c>
    </row>
    <row r="5330" spans="4:9" x14ac:dyDescent="0.45">
      <c r="D5330" t="str">
        <f>IFERROR(VLOOKUP(C5330,'Clients List'!$A:$F,2,FALSE),"")</f>
        <v/>
      </c>
      <c r="F5330" s="1" t="str">
        <f>IF(OR(C5330="",NOT(ISNUMBER(SEARCH("Package",D5330)))),"",VLOOKUP(C5330,'Clients List'!$A:$F,4,FALSE)-SUMIFS($E$2:$E5330,$C$2:$C5330,C5330,$D$2:$D5330,"*Package*"))</f>
        <v/>
      </c>
      <c r="G5330" t="str">
        <f t="shared" si="116"/>
        <v/>
      </c>
      <c r="H5330" s="33">
        <f>IF(ISNUMBER(SEARCH("Group",D5330)),IF(G5330="",E5330,IFERROR(E5330/COUNTIF($G2:$G6000,G5330),E5330)),E5330)</f>
        <v>0</v>
      </c>
      <c r="I5330" s="1" t="str">
        <f>IFERROR(VLOOKUP(C5330,'Clients List'!A:F,6,FALSE),"")</f>
        <v/>
      </c>
    </row>
    <row r="5331" spans="4:9" x14ac:dyDescent="0.45">
      <c r="D5331" t="str">
        <f>IFERROR(VLOOKUP(C5331,'Clients List'!$A:$F,2,FALSE),"")</f>
        <v/>
      </c>
      <c r="F5331" s="1" t="str">
        <f>IF(OR(C5331="",NOT(ISNUMBER(SEARCH("Package",D5331)))),"",VLOOKUP(C5331,'Clients List'!$A:$F,4,FALSE)-SUMIFS($E$2:$E5331,$C$2:$C5331,C5331,$D$2:$D5331,"*Package*"))</f>
        <v/>
      </c>
      <c r="G5331" t="str">
        <f t="shared" si="116"/>
        <v/>
      </c>
      <c r="H5331" s="33">
        <f>IF(ISNUMBER(SEARCH("Group",D5331)),IF(G5331="",E5331,IFERROR(E5331/COUNTIF($G2:$G6000,G5331),E5331)),E5331)</f>
        <v>0</v>
      </c>
      <c r="I5331" s="1" t="str">
        <f>IFERROR(VLOOKUP(C5331,'Clients List'!A:F,6,FALSE),"")</f>
        <v/>
      </c>
    </row>
    <row r="5332" spans="4:9" x14ac:dyDescent="0.45">
      <c r="D5332" t="str">
        <f>IFERROR(VLOOKUP(C5332,'Clients List'!$A:$F,2,FALSE),"")</f>
        <v/>
      </c>
      <c r="F5332" s="1" t="str">
        <f>IF(OR(C5332="",NOT(ISNUMBER(SEARCH("Package",D5332)))),"",VLOOKUP(C5332,'Clients List'!$A:$F,4,FALSE)-SUMIFS($E$2:$E5332,$C$2:$C5332,C5332,$D$2:$D5332,"*Package*"))</f>
        <v/>
      </c>
      <c r="G5332" t="str">
        <f t="shared" si="116"/>
        <v/>
      </c>
      <c r="H5332" s="33">
        <f>IF(ISNUMBER(SEARCH("Group",D5332)),IF(G5332="",E5332,IFERROR(E5332/COUNTIF($G2:$G6000,G5332),E5332)),E5332)</f>
        <v>0</v>
      </c>
      <c r="I5332" s="1" t="str">
        <f>IFERROR(VLOOKUP(C5332,'Clients List'!A:F,6,FALSE),"")</f>
        <v/>
      </c>
    </row>
    <row r="5333" spans="4:9" x14ac:dyDescent="0.45">
      <c r="D5333" t="str">
        <f>IFERROR(VLOOKUP(C5333,'Clients List'!$A:$F,2,FALSE),"")</f>
        <v/>
      </c>
      <c r="F5333" s="1" t="str">
        <f>IF(OR(C5333="",NOT(ISNUMBER(SEARCH("Package",D5333)))),"",VLOOKUP(C5333,'Clients List'!$A:$F,4,FALSE)-SUMIFS($E$2:$E5333,$C$2:$C5333,C5333,$D$2:$D5333,"*Package*"))</f>
        <v/>
      </c>
      <c r="G5333" t="str">
        <f t="shared" si="116"/>
        <v/>
      </c>
      <c r="H5333" s="33">
        <f>IF(ISNUMBER(SEARCH("Group",D5333)),IF(G5333="",E5333,IFERROR(E5333/COUNTIF($G2:$G6000,G5333),E5333)),E5333)</f>
        <v>0</v>
      </c>
      <c r="I5333" s="1" t="str">
        <f>IFERROR(VLOOKUP(C5333,'Clients List'!A:F,6,FALSE),"")</f>
        <v/>
      </c>
    </row>
    <row r="5334" spans="4:9" x14ac:dyDescent="0.45">
      <c r="D5334" t="str">
        <f>IFERROR(VLOOKUP(C5334,'Clients List'!$A:$F,2,FALSE),"")</f>
        <v/>
      </c>
      <c r="F5334" s="1" t="str">
        <f>IF(OR(C5334="",NOT(ISNUMBER(SEARCH("Package",D5334)))),"",VLOOKUP(C5334,'Clients List'!$A:$F,4,FALSE)-SUMIFS($E$2:$E5334,$C$2:$C5334,C5334,$D$2:$D5334,"*Package*"))</f>
        <v/>
      </c>
      <c r="G5334" t="str">
        <f t="shared" si="116"/>
        <v/>
      </c>
      <c r="H5334" s="33">
        <f>IF(ISNUMBER(SEARCH("Group",D5334)),IF(G5334="",E5334,IFERROR(E5334/COUNTIF($G2:$G6000,G5334),E5334)),E5334)</f>
        <v>0</v>
      </c>
      <c r="I5334" s="1" t="str">
        <f>IFERROR(VLOOKUP(C5334,'Clients List'!A:F,6,FALSE),"")</f>
        <v/>
      </c>
    </row>
    <row r="5335" spans="4:9" x14ac:dyDescent="0.45">
      <c r="D5335" t="str">
        <f>IFERROR(VLOOKUP(C5335,'Clients List'!$A:$F,2,FALSE),"")</f>
        <v/>
      </c>
      <c r="F5335" s="1" t="str">
        <f>IF(OR(C5335="",NOT(ISNUMBER(SEARCH("Package",D5335)))),"",VLOOKUP(C5335,'Clients List'!$A:$F,4,FALSE)-SUMIFS($E$2:$E5335,$C$2:$C5335,C5335,$D$2:$D5335,"*Package*"))</f>
        <v/>
      </c>
      <c r="G5335" t="str">
        <f t="shared" si="116"/>
        <v/>
      </c>
      <c r="H5335" s="33">
        <f>IF(ISNUMBER(SEARCH("Group",D5335)),IF(G5335="",E5335,IFERROR(E5335/COUNTIF($G2:$G6000,G5335),E5335)),E5335)</f>
        <v>0</v>
      </c>
      <c r="I5335" s="1" t="str">
        <f>IFERROR(VLOOKUP(C5335,'Clients List'!A:F,6,FALSE),"")</f>
        <v/>
      </c>
    </row>
    <row r="5336" spans="4:9" x14ac:dyDescent="0.45">
      <c r="D5336" t="str">
        <f>IFERROR(VLOOKUP(C5336,'Clients List'!$A:$F,2,FALSE),"")</f>
        <v/>
      </c>
      <c r="F5336" s="1" t="str">
        <f>IF(OR(C5336="",NOT(ISNUMBER(SEARCH("Package",D5336)))),"",VLOOKUP(C5336,'Clients List'!$A:$F,4,FALSE)-SUMIFS($E$2:$E5336,$C$2:$C5336,C5336,$D$2:$D5336,"*Package*"))</f>
        <v/>
      </c>
      <c r="G5336" t="str">
        <f t="shared" si="116"/>
        <v/>
      </c>
      <c r="H5336" s="33">
        <f>IF(ISNUMBER(SEARCH("Group",D5336)),IF(G5336="",E5336,IFERROR(E5336/COUNTIF($G2:$G6000,G5336),E5336)),E5336)</f>
        <v>0</v>
      </c>
      <c r="I5336" s="1" t="str">
        <f>IFERROR(VLOOKUP(C5336,'Clients List'!A:F,6,FALSE),"")</f>
        <v/>
      </c>
    </row>
    <row r="5337" spans="4:9" x14ac:dyDescent="0.45">
      <c r="D5337" t="str">
        <f>IFERROR(VLOOKUP(C5337,'Clients List'!$A:$F,2,FALSE),"")</f>
        <v/>
      </c>
      <c r="F5337" s="1" t="str">
        <f>IF(OR(C5337="",NOT(ISNUMBER(SEARCH("Package",D5337)))),"",VLOOKUP(C5337,'Clients List'!$A:$F,4,FALSE)-SUMIFS($E$2:$E5337,$C$2:$C5337,C5337,$D$2:$D5337,"*Package*"))</f>
        <v/>
      </c>
      <c r="G5337" t="str">
        <f t="shared" si="116"/>
        <v/>
      </c>
      <c r="H5337" s="33">
        <f>IF(ISNUMBER(SEARCH("Group",D5337)),IF(G5337="",E5337,IFERROR(E5337/COUNTIF($G2:$G6000,G5337),E5337)),E5337)</f>
        <v>0</v>
      </c>
      <c r="I5337" s="1" t="str">
        <f>IFERROR(VLOOKUP(C5337,'Clients List'!A:F,6,FALSE),"")</f>
        <v/>
      </c>
    </row>
    <row r="5338" spans="4:9" x14ac:dyDescent="0.45">
      <c r="D5338" t="str">
        <f>IFERROR(VLOOKUP(C5338,'Clients List'!$A:$F,2,FALSE),"")</f>
        <v/>
      </c>
      <c r="F5338" s="1" t="str">
        <f>IF(OR(C5338="",NOT(ISNUMBER(SEARCH("Package",D5338)))),"",VLOOKUP(C5338,'Clients List'!$A:$F,4,FALSE)-SUMIFS($E$2:$E5338,$C$2:$C5338,C5338,$D$2:$D5338,"*Package*"))</f>
        <v/>
      </c>
      <c r="G5338" t="str">
        <f t="shared" si="116"/>
        <v/>
      </c>
      <c r="H5338" s="33">
        <f>IF(ISNUMBER(SEARCH("Group",D5338)),IF(G5338="",E5338,IFERROR(E5338/COUNTIF($G2:$G6000,G5338),E5338)),E5338)</f>
        <v>0</v>
      </c>
      <c r="I5338" s="1" t="str">
        <f>IFERROR(VLOOKUP(C5338,'Clients List'!A:F,6,FALSE),"")</f>
        <v/>
      </c>
    </row>
    <row r="5339" spans="4:9" x14ac:dyDescent="0.45">
      <c r="D5339" t="str">
        <f>IFERROR(VLOOKUP(C5339,'Clients List'!$A:$F,2,FALSE),"")</f>
        <v/>
      </c>
      <c r="F5339" s="1" t="str">
        <f>IF(OR(C5339="",NOT(ISNUMBER(SEARCH("Package",D5339)))),"",VLOOKUP(C5339,'Clients List'!$A:$F,4,FALSE)-SUMIFS($E$2:$E5339,$C$2:$C5339,C5339,$D$2:$D5339,"*Package*"))</f>
        <v/>
      </c>
      <c r="G5339" t="str">
        <f t="shared" si="116"/>
        <v/>
      </c>
      <c r="H5339" s="33">
        <f>IF(ISNUMBER(SEARCH("Group",D5339)),IF(G5339="",E5339,IFERROR(E5339/COUNTIF($G2:$G6000,G5339),E5339)),E5339)</f>
        <v>0</v>
      </c>
      <c r="I5339" s="1" t="str">
        <f>IFERROR(VLOOKUP(C5339,'Clients List'!A:F,6,FALSE),"")</f>
        <v/>
      </c>
    </row>
    <row r="5340" spans="4:9" x14ac:dyDescent="0.45">
      <c r="D5340" t="str">
        <f>IFERROR(VLOOKUP(C5340,'Clients List'!$A:$F,2,FALSE),"")</f>
        <v/>
      </c>
      <c r="F5340" s="1" t="str">
        <f>IF(OR(C5340="",NOT(ISNUMBER(SEARCH("Package",D5340)))),"",VLOOKUP(C5340,'Clients List'!$A:$F,4,FALSE)-SUMIFS($E$2:$E5340,$C$2:$C5340,C5340,$D$2:$D5340,"*Package*"))</f>
        <v/>
      </c>
      <c r="G5340" t="str">
        <f t="shared" si="116"/>
        <v/>
      </c>
      <c r="H5340" s="33">
        <f>IF(ISNUMBER(SEARCH("Group",D5340)),IF(G5340="",E5340,IFERROR(E5340/COUNTIF($G2:$G6000,G5340),E5340)),E5340)</f>
        <v>0</v>
      </c>
      <c r="I5340" s="1" t="str">
        <f>IFERROR(VLOOKUP(C5340,'Clients List'!A:F,6,FALSE),"")</f>
        <v/>
      </c>
    </row>
    <row r="5341" spans="4:9" x14ac:dyDescent="0.45">
      <c r="D5341" t="str">
        <f>IFERROR(VLOOKUP(C5341,'Clients List'!$A:$F,2,FALSE),"")</f>
        <v/>
      </c>
      <c r="F5341" s="1" t="str">
        <f>IF(OR(C5341="",NOT(ISNUMBER(SEARCH("Package",D5341)))),"",VLOOKUP(C5341,'Clients List'!$A:$F,4,FALSE)-SUMIFS($E$2:$E5341,$C$2:$C5341,C5341,$D$2:$D5341,"*Package*"))</f>
        <v/>
      </c>
      <c r="G5341" t="str">
        <f t="shared" si="116"/>
        <v/>
      </c>
      <c r="H5341" s="33">
        <f>IF(ISNUMBER(SEARCH("Group",D5341)),IF(G5341="",E5341,IFERROR(E5341/COUNTIF($G2:$G6000,G5341),E5341)),E5341)</f>
        <v>0</v>
      </c>
      <c r="I5341" s="1" t="str">
        <f>IFERROR(VLOOKUP(C5341,'Clients List'!A:F,6,FALSE),"")</f>
        <v/>
      </c>
    </row>
    <row r="5342" spans="4:9" x14ac:dyDescent="0.45">
      <c r="D5342" t="str">
        <f>IFERROR(VLOOKUP(C5342,'Clients List'!$A:$F,2,FALSE),"")</f>
        <v/>
      </c>
      <c r="F5342" s="1" t="str">
        <f>IF(OR(C5342="",NOT(ISNUMBER(SEARCH("Package",D5342)))),"",VLOOKUP(C5342,'Clients List'!$A:$F,4,FALSE)-SUMIFS($E$2:$E5342,$C$2:$C5342,C5342,$D$2:$D5342,"*Package*"))</f>
        <v/>
      </c>
      <c r="G5342" t="str">
        <f t="shared" si="116"/>
        <v/>
      </c>
      <c r="H5342" s="33">
        <f>IF(ISNUMBER(SEARCH("Group",D5342)),IF(G5342="",E5342,IFERROR(E5342/COUNTIF($G2:$G6000,G5342),E5342)),E5342)</f>
        <v>0</v>
      </c>
      <c r="I5342" s="1" t="str">
        <f>IFERROR(VLOOKUP(C5342,'Clients List'!A:F,6,FALSE),"")</f>
        <v/>
      </c>
    </row>
    <row r="5343" spans="4:9" x14ac:dyDescent="0.45">
      <c r="D5343" t="str">
        <f>IFERROR(VLOOKUP(C5343,'Clients List'!$A:$F,2,FALSE),"")</f>
        <v/>
      </c>
      <c r="F5343" s="1" t="str">
        <f>IF(OR(C5343="",NOT(ISNUMBER(SEARCH("Package",D5343)))),"",VLOOKUP(C5343,'Clients List'!$A:$F,4,FALSE)-SUMIFS($E$2:$E5343,$C$2:$C5343,C5343,$D$2:$D5343,"*Package*"))</f>
        <v/>
      </c>
      <c r="G5343" t="str">
        <f t="shared" si="116"/>
        <v/>
      </c>
      <c r="H5343" s="33">
        <f>IF(ISNUMBER(SEARCH("Group",D5343)),IF(G5343="",E5343,IFERROR(E5343/COUNTIF($G2:$G6000,G5343),E5343)),E5343)</f>
        <v>0</v>
      </c>
      <c r="I5343" s="1" t="str">
        <f>IFERROR(VLOOKUP(C5343,'Clients List'!A:F,6,FALSE),"")</f>
        <v/>
      </c>
    </row>
    <row r="5344" spans="4:9" x14ac:dyDescent="0.45">
      <c r="D5344" t="str">
        <f>IFERROR(VLOOKUP(C5344,'Clients List'!$A:$F,2,FALSE),"")</f>
        <v/>
      </c>
      <c r="F5344" s="1" t="str">
        <f>IF(OR(C5344="",NOT(ISNUMBER(SEARCH("Package",D5344)))),"",VLOOKUP(C5344,'Clients List'!$A:$F,4,FALSE)-SUMIFS($E$2:$E5344,$C$2:$C5344,C5344,$D$2:$D5344,"*Package*"))</f>
        <v/>
      </c>
      <c r="G5344" t="str">
        <f t="shared" si="116"/>
        <v/>
      </c>
      <c r="H5344" s="33">
        <f>IF(ISNUMBER(SEARCH("Group",D5344)),IF(G5344="",E5344,IFERROR(E5344/COUNTIF($G2:$G6000,G5344),E5344)),E5344)</f>
        <v>0</v>
      </c>
      <c r="I5344" s="1" t="str">
        <f>IFERROR(VLOOKUP(C5344,'Clients List'!A:F,6,FALSE),"")</f>
        <v/>
      </c>
    </row>
    <row r="5345" spans="4:9" x14ac:dyDescent="0.45">
      <c r="D5345" t="str">
        <f>IFERROR(VLOOKUP(C5345,'Clients List'!$A:$F,2,FALSE),"")</f>
        <v/>
      </c>
      <c r="F5345" s="1" t="str">
        <f>IF(OR(C5345="",NOT(ISNUMBER(SEARCH("Package",D5345)))),"",VLOOKUP(C5345,'Clients List'!$A:$F,4,FALSE)-SUMIFS($E$2:$E5345,$C$2:$C5345,C5345,$D$2:$D5345,"*Package*"))</f>
        <v/>
      </c>
      <c r="G5345" t="str">
        <f t="shared" si="116"/>
        <v/>
      </c>
      <c r="H5345" s="33">
        <f>IF(ISNUMBER(SEARCH("Group",D5345)),IF(G5345="",E5345,IFERROR(E5345/COUNTIF($G2:$G6000,G5345),E5345)),E5345)</f>
        <v>0</v>
      </c>
      <c r="I5345" s="1" t="str">
        <f>IFERROR(VLOOKUP(C5345,'Clients List'!A:F,6,FALSE),"")</f>
        <v/>
      </c>
    </row>
    <row r="5346" spans="4:9" x14ac:dyDescent="0.45">
      <c r="D5346" t="str">
        <f>IFERROR(VLOOKUP(C5346,'Clients List'!$A:$F,2,FALSE),"")</f>
        <v/>
      </c>
      <c r="F5346" s="1" t="str">
        <f>IF(OR(C5346="",NOT(ISNUMBER(SEARCH("Package",D5346)))),"",VLOOKUP(C5346,'Clients List'!$A:$F,4,FALSE)-SUMIFS($E$2:$E5346,$C$2:$C5346,C5346,$D$2:$D5346,"*Package*"))</f>
        <v/>
      </c>
      <c r="G5346" t="str">
        <f t="shared" si="116"/>
        <v/>
      </c>
      <c r="H5346" s="33">
        <f>IF(ISNUMBER(SEARCH("Group",D5346)),IF(G5346="",E5346,IFERROR(E5346/COUNTIF($G2:$G6000,G5346),E5346)),E5346)</f>
        <v>0</v>
      </c>
      <c r="I5346" s="1" t="str">
        <f>IFERROR(VLOOKUP(C5346,'Clients List'!A:F,6,FALSE),"")</f>
        <v/>
      </c>
    </row>
    <row r="5347" spans="4:9" x14ac:dyDescent="0.45">
      <c r="D5347" t="str">
        <f>IFERROR(VLOOKUP(C5347,'Clients List'!$A:$F,2,FALSE),"")</f>
        <v/>
      </c>
      <c r="F5347" s="1" t="str">
        <f>IF(OR(C5347="",NOT(ISNUMBER(SEARCH("Package",D5347)))),"",VLOOKUP(C5347,'Clients List'!$A:$F,4,FALSE)-SUMIFS($E$2:$E5347,$C$2:$C5347,C5347,$D$2:$D5347,"*Package*"))</f>
        <v/>
      </c>
      <c r="G5347" t="str">
        <f t="shared" si="116"/>
        <v/>
      </c>
      <c r="H5347" s="33">
        <f>IF(ISNUMBER(SEARCH("Group",D5347)),IF(G5347="",E5347,IFERROR(E5347/COUNTIF($G2:$G6000,G5347),E5347)),E5347)</f>
        <v>0</v>
      </c>
      <c r="I5347" s="1" t="str">
        <f>IFERROR(VLOOKUP(C5347,'Clients List'!A:F,6,FALSE),"")</f>
        <v/>
      </c>
    </row>
    <row r="5348" spans="4:9" x14ac:dyDescent="0.45">
      <c r="D5348" t="str">
        <f>IFERROR(VLOOKUP(C5348,'Clients List'!$A:$F,2,FALSE),"")</f>
        <v/>
      </c>
      <c r="F5348" s="1" t="str">
        <f>IF(OR(C5348="",NOT(ISNUMBER(SEARCH("Package",D5348)))),"",VLOOKUP(C5348,'Clients List'!$A:$F,4,FALSE)-SUMIFS($E$2:$E5348,$C$2:$C5348,C5348,$D$2:$D5348,"*Package*"))</f>
        <v/>
      </c>
      <c r="G5348" t="str">
        <f t="shared" si="116"/>
        <v/>
      </c>
      <c r="H5348" s="33">
        <f>IF(ISNUMBER(SEARCH("Group",D5348)),IF(G5348="",E5348,IFERROR(E5348/COUNTIF($G2:$G6000,G5348),E5348)),E5348)</f>
        <v>0</v>
      </c>
      <c r="I5348" s="1" t="str">
        <f>IFERROR(VLOOKUP(C5348,'Clients List'!A:F,6,FALSE),"")</f>
        <v/>
      </c>
    </row>
    <row r="5349" spans="4:9" x14ac:dyDescent="0.45">
      <c r="D5349" t="str">
        <f>IFERROR(VLOOKUP(C5349,'Clients List'!$A:$F,2,FALSE),"")</f>
        <v/>
      </c>
      <c r="F5349" s="1" t="str">
        <f>IF(OR(C5349="",NOT(ISNUMBER(SEARCH("Package",D5349)))),"",VLOOKUP(C5349,'Clients List'!$A:$F,4,FALSE)-SUMIFS($E$2:$E5349,$C$2:$C5349,C5349,$D$2:$D5349,"*Package*"))</f>
        <v/>
      </c>
      <c r="G5349" t="str">
        <f t="shared" si="116"/>
        <v/>
      </c>
      <c r="H5349" s="33">
        <f>IF(ISNUMBER(SEARCH("Group",D5349)),IF(G5349="",E5349,IFERROR(E5349/COUNTIF($G2:$G6000,G5349),E5349)),E5349)</f>
        <v>0</v>
      </c>
      <c r="I5349" s="1" t="str">
        <f>IFERROR(VLOOKUP(C5349,'Clients List'!A:F,6,FALSE),"")</f>
        <v/>
      </c>
    </row>
    <row r="5350" spans="4:9" x14ac:dyDescent="0.45">
      <c r="D5350" t="str">
        <f>IFERROR(VLOOKUP(C5350,'Clients List'!$A:$F,2,FALSE),"")</f>
        <v/>
      </c>
      <c r="F5350" s="1" t="str">
        <f>IF(OR(C5350="",NOT(ISNUMBER(SEARCH("Package",D5350)))),"",VLOOKUP(C5350,'Clients List'!$A:$F,4,FALSE)-SUMIFS($E$2:$E5350,$C$2:$C5350,C5350,$D$2:$D5350,"*Package*"))</f>
        <v/>
      </c>
      <c r="G5350" t="str">
        <f t="shared" si="116"/>
        <v/>
      </c>
      <c r="H5350" s="33">
        <f>IF(ISNUMBER(SEARCH("Group",D5350)),IF(G5350="",E5350,IFERROR(E5350/COUNTIF($G2:$G6000,G5350),E5350)),E5350)</f>
        <v>0</v>
      </c>
      <c r="I5350" s="1" t="str">
        <f>IFERROR(VLOOKUP(C5350,'Clients List'!A:F,6,FALSE),"")</f>
        <v/>
      </c>
    </row>
    <row r="5351" spans="4:9" x14ac:dyDescent="0.45">
      <c r="D5351" t="str">
        <f>IFERROR(VLOOKUP(C5351,'Clients List'!$A:$F,2,FALSE),"")</f>
        <v/>
      </c>
      <c r="F5351" s="1" t="str">
        <f>IF(OR(C5351="",NOT(ISNUMBER(SEARCH("Package",D5351)))),"",VLOOKUP(C5351,'Clients List'!$A:$F,4,FALSE)-SUMIFS($E$2:$E5351,$C$2:$C5351,C5351,$D$2:$D5351,"*Package*"))</f>
        <v/>
      </c>
      <c r="G5351" t="str">
        <f t="shared" si="116"/>
        <v/>
      </c>
      <c r="H5351" s="33">
        <f>IF(ISNUMBER(SEARCH("Group",D5351)),IF(G5351="",E5351,IFERROR(E5351/COUNTIF($G2:$G6000,G5351),E5351)),E5351)</f>
        <v>0</v>
      </c>
      <c r="I5351" s="1" t="str">
        <f>IFERROR(VLOOKUP(C5351,'Clients List'!A:F,6,FALSE),"")</f>
        <v/>
      </c>
    </row>
    <row r="5352" spans="4:9" x14ac:dyDescent="0.45">
      <c r="D5352" t="str">
        <f>IFERROR(VLOOKUP(C5352,'Clients List'!$A:$F,2,FALSE),"")</f>
        <v/>
      </c>
      <c r="F5352" s="1" t="str">
        <f>IF(OR(C5352="",NOT(ISNUMBER(SEARCH("Package",D5352)))),"",VLOOKUP(C5352,'Clients List'!$A:$F,4,FALSE)-SUMIFS($E$2:$E5352,$C$2:$C5352,C5352,$D$2:$D5352,"*Package*"))</f>
        <v/>
      </c>
      <c r="G5352" t="str">
        <f t="shared" si="116"/>
        <v/>
      </c>
      <c r="H5352" s="33">
        <f>IF(ISNUMBER(SEARCH("Group",D5352)),IF(G5352="",E5352,IFERROR(E5352/COUNTIF($G2:$G6000,G5352),E5352)),E5352)</f>
        <v>0</v>
      </c>
      <c r="I5352" s="1" t="str">
        <f>IFERROR(VLOOKUP(C5352,'Clients List'!A:F,6,FALSE),"")</f>
        <v/>
      </c>
    </row>
    <row r="5353" spans="4:9" x14ac:dyDescent="0.45">
      <c r="D5353" t="str">
        <f>IFERROR(VLOOKUP(C5353,'Clients List'!$A:$F,2,FALSE),"")</f>
        <v/>
      </c>
      <c r="F5353" s="1" t="str">
        <f>IF(OR(C5353="",NOT(ISNUMBER(SEARCH("Package",D5353)))),"",VLOOKUP(C5353,'Clients List'!$A:$F,4,FALSE)-SUMIFS($E$2:$E5353,$C$2:$C5353,C5353,$D$2:$D5353,"*Package*"))</f>
        <v/>
      </c>
      <c r="G5353" t="str">
        <f t="shared" si="116"/>
        <v/>
      </c>
      <c r="H5353" s="33">
        <f>IF(ISNUMBER(SEARCH("Group",D5353)),IF(G5353="",E5353,IFERROR(E5353/COUNTIF($G2:$G6000,G5353),E5353)),E5353)</f>
        <v>0</v>
      </c>
      <c r="I5353" s="1" t="str">
        <f>IFERROR(VLOOKUP(C5353,'Clients List'!A:F,6,FALSE),"")</f>
        <v/>
      </c>
    </row>
    <row r="5354" spans="4:9" x14ac:dyDescent="0.45">
      <c r="D5354" t="str">
        <f>IFERROR(VLOOKUP(C5354,'Clients List'!$A:$F,2,FALSE),"")</f>
        <v/>
      </c>
      <c r="F5354" s="1" t="str">
        <f>IF(OR(C5354="",NOT(ISNUMBER(SEARCH("Package",D5354)))),"",VLOOKUP(C5354,'Clients List'!$A:$F,4,FALSE)-SUMIFS($E$2:$E5354,$C$2:$C5354,C5354,$D$2:$D5354,"*Package*"))</f>
        <v/>
      </c>
      <c r="G5354" t="str">
        <f t="shared" si="116"/>
        <v/>
      </c>
      <c r="H5354" s="33">
        <f>IF(ISNUMBER(SEARCH("Group",D5354)),IF(G5354="",E5354,IFERROR(E5354/COUNTIF($G2:$G6000,G5354),E5354)),E5354)</f>
        <v>0</v>
      </c>
      <c r="I5354" s="1" t="str">
        <f>IFERROR(VLOOKUP(C5354,'Clients List'!A:F,6,FALSE),"")</f>
        <v/>
      </c>
    </row>
    <row r="5355" spans="4:9" x14ac:dyDescent="0.45">
      <c r="D5355" t="str">
        <f>IFERROR(VLOOKUP(C5355,'Clients List'!$A:$F,2,FALSE),"")</f>
        <v/>
      </c>
      <c r="F5355" s="1" t="str">
        <f>IF(OR(C5355="",NOT(ISNUMBER(SEARCH("Package",D5355)))),"",VLOOKUP(C5355,'Clients List'!$A:$F,4,FALSE)-SUMIFS($E$2:$E5355,$C$2:$C5355,C5355,$D$2:$D5355,"*Package*"))</f>
        <v/>
      </c>
      <c r="G5355" t="str">
        <f t="shared" si="116"/>
        <v/>
      </c>
      <c r="H5355" s="33">
        <f>IF(ISNUMBER(SEARCH("Group",D5355)),IF(G5355="",E5355,IFERROR(E5355/COUNTIF($G2:$G6000,G5355),E5355)),E5355)</f>
        <v>0</v>
      </c>
      <c r="I5355" s="1" t="str">
        <f>IFERROR(VLOOKUP(C5355,'Clients List'!A:F,6,FALSE),"")</f>
        <v/>
      </c>
    </row>
    <row r="5356" spans="4:9" x14ac:dyDescent="0.45">
      <c r="D5356" t="str">
        <f>IFERROR(VLOOKUP(C5356,'Clients List'!$A:$F,2,FALSE),"")</f>
        <v/>
      </c>
      <c r="F5356" s="1" t="str">
        <f>IF(OR(C5356="",NOT(ISNUMBER(SEARCH("Package",D5356)))),"",VLOOKUP(C5356,'Clients List'!$A:$F,4,FALSE)-SUMIFS($E$2:$E5356,$C$2:$C5356,C5356,$D$2:$D5356,"*Package*"))</f>
        <v/>
      </c>
      <c r="G5356" t="str">
        <f t="shared" si="116"/>
        <v/>
      </c>
      <c r="H5356" s="33">
        <f>IF(ISNUMBER(SEARCH("Group",D5356)),IF(G5356="",E5356,IFERROR(E5356/COUNTIF($G2:$G6000,G5356),E5356)),E5356)</f>
        <v>0</v>
      </c>
      <c r="I5356" s="1" t="str">
        <f>IFERROR(VLOOKUP(C5356,'Clients List'!A:F,6,FALSE),"")</f>
        <v/>
      </c>
    </row>
    <row r="5357" spans="4:9" x14ac:dyDescent="0.45">
      <c r="D5357" t="str">
        <f>IFERROR(VLOOKUP(C5357,'Clients List'!$A:$F,2,FALSE),"")</f>
        <v/>
      </c>
      <c r="F5357" s="1" t="str">
        <f>IF(OR(C5357="",NOT(ISNUMBER(SEARCH("Package",D5357)))),"",VLOOKUP(C5357,'Clients List'!$A:$F,4,FALSE)-SUMIFS($E$2:$E5357,$C$2:$C5357,C5357,$D$2:$D5357,"*Package*"))</f>
        <v/>
      </c>
      <c r="G5357" t="str">
        <f t="shared" si="116"/>
        <v/>
      </c>
      <c r="H5357" s="33">
        <f>IF(ISNUMBER(SEARCH("Group",D5357)),IF(G5357="",E5357,IFERROR(E5357/COUNTIF($G2:$G6000,G5357),E5357)),E5357)</f>
        <v>0</v>
      </c>
      <c r="I5357" s="1" t="str">
        <f>IFERROR(VLOOKUP(C5357,'Clients List'!A:F,6,FALSE),"")</f>
        <v/>
      </c>
    </row>
    <row r="5358" spans="4:9" x14ac:dyDescent="0.45">
      <c r="D5358" t="str">
        <f>IFERROR(VLOOKUP(C5358,'Clients List'!$A:$F,2,FALSE),"")</f>
        <v/>
      </c>
      <c r="F5358" s="1" t="str">
        <f>IF(OR(C5358="",NOT(ISNUMBER(SEARCH("Package",D5358)))),"",VLOOKUP(C5358,'Clients List'!$A:$F,4,FALSE)-SUMIFS($E$2:$E5358,$C$2:$C5358,C5358,$D$2:$D5358,"*Package*"))</f>
        <v/>
      </c>
      <c r="G5358" t="str">
        <f t="shared" si="116"/>
        <v/>
      </c>
      <c r="H5358" s="33">
        <f>IF(ISNUMBER(SEARCH("Group",D5358)),IF(G5358="",E5358,IFERROR(E5358/COUNTIF($G2:$G6000,G5358),E5358)),E5358)</f>
        <v>0</v>
      </c>
      <c r="I5358" s="1" t="str">
        <f>IFERROR(VLOOKUP(C5358,'Clients List'!A:F,6,FALSE),"")</f>
        <v/>
      </c>
    </row>
    <row r="5359" spans="4:9" x14ac:dyDescent="0.45">
      <c r="D5359" t="str">
        <f>IFERROR(VLOOKUP(C5359,'Clients List'!$A:$F,2,FALSE),"")</f>
        <v/>
      </c>
      <c r="F5359" s="1" t="str">
        <f>IF(OR(C5359="",NOT(ISNUMBER(SEARCH("Package",D5359)))),"",VLOOKUP(C5359,'Clients List'!$A:$F,4,FALSE)-SUMIFS($E$2:$E5359,$C$2:$C5359,C5359,$D$2:$D5359,"*Package*"))</f>
        <v/>
      </c>
      <c r="G5359" t="str">
        <f t="shared" si="116"/>
        <v/>
      </c>
      <c r="H5359" s="33">
        <f>IF(ISNUMBER(SEARCH("Group",D5359)),IF(G5359="",E5359,IFERROR(E5359/COUNTIF($G2:$G6000,G5359),E5359)),E5359)</f>
        <v>0</v>
      </c>
      <c r="I5359" s="1" t="str">
        <f>IFERROR(VLOOKUP(C5359,'Clients List'!A:F,6,FALSE),"")</f>
        <v/>
      </c>
    </row>
    <row r="5360" spans="4:9" x14ac:dyDescent="0.45">
      <c r="D5360" t="str">
        <f>IFERROR(VLOOKUP(C5360,'Clients List'!$A:$F,2,FALSE),"")</f>
        <v/>
      </c>
      <c r="F5360" s="1" t="str">
        <f>IF(OR(C5360="",NOT(ISNUMBER(SEARCH("Package",D5360)))),"",VLOOKUP(C5360,'Clients List'!$A:$F,4,FALSE)-SUMIFS($E$2:$E5360,$C$2:$C5360,C5360,$D$2:$D5360,"*Package*"))</f>
        <v/>
      </c>
      <c r="G5360" t="str">
        <f t="shared" si="116"/>
        <v/>
      </c>
      <c r="H5360" s="33">
        <f>IF(ISNUMBER(SEARCH("Group",D5360)),IF(G5360="",E5360,IFERROR(E5360/COUNTIF($G2:$G6000,G5360),E5360)),E5360)</f>
        <v>0</v>
      </c>
      <c r="I5360" s="1" t="str">
        <f>IFERROR(VLOOKUP(C5360,'Clients List'!A:F,6,FALSE),"")</f>
        <v/>
      </c>
    </row>
    <row r="5361" spans="4:9" x14ac:dyDescent="0.45">
      <c r="D5361" t="str">
        <f>IFERROR(VLOOKUP(C5361,'Clients List'!$A:$F,2,FALSE),"")</f>
        <v/>
      </c>
      <c r="F5361" s="1" t="str">
        <f>IF(OR(C5361="",NOT(ISNUMBER(SEARCH("Package",D5361)))),"",VLOOKUP(C5361,'Clients List'!$A:$F,4,FALSE)-SUMIFS($E$2:$E5361,$C$2:$C5361,C5361,$D$2:$D5361,"*Package*"))</f>
        <v/>
      </c>
      <c r="G5361" t="str">
        <f t="shared" si="116"/>
        <v/>
      </c>
      <c r="H5361" s="33">
        <f>IF(ISNUMBER(SEARCH("Group",D5361)),IF(G5361="",E5361,IFERROR(E5361/COUNTIF($G2:$G6000,G5361),E5361)),E5361)</f>
        <v>0</v>
      </c>
      <c r="I5361" s="1" t="str">
        <f>IFERROR(VLOOKUP(C5361,'Clients List'!A:F,6,FALSE),"")</f>
        <v/>
      </c>
    </row>
    <row r="5362" spans="4:9" x14ac:dyDescent="0.45">
      <c r="D5362" t="str">
        <f>IFERROR(VLOOKUP(C5362,'Clients List'!$A:$F,2,FALSE),"")</f>
        <v/>
      </c>
      <c r="F5362" s="1" t="str">
        <f>IF(OR(C5362="",NOT(ISNUMBER(SEARCH("Package",D5362)))),"",VLOOKUP(C5362,'Clients List'!$A:$F,4,FALSE)-SUMIFS($E$2:$E5362,$C$2:$C5362,C5362,$D$2:$D5362,"*Package*"))</f>
        <v/>
      </c>
      <c r="G5362" t="str">
        <f t="shared" si="116"/>
        <v/>
      </c>
      <c r="H5362" s="33">
        <f>IF(ISNUMBER(SEARCH("Group",D5362)),IF(G5362="",E5362,IFERROR(E5362/COUNTIF($G2:$G6000,G5362),E5362)),E5362)</f>
        <v>0</v>
      </c>
      <c r="I5362" s="1" t="str">
        <f>IFERROR(VLOOKUP(C5362,'Clients List'!A:F,6,FALSE),"")</f>
        <v/>
      </c>
    </row>
    <row r="5363" spans="4:9" x14ac:dyDescent="0.45">
      <c r="D5363" t="str">
        <f>IFERROR(VLOOKUP(C5363,'Clients List'!$A:$F,2,FALSE),"")</f>
        <v/>
      </c>
      <c r="F5363" s="1" t="str">
        <f>IF(OR(C5363="",NOT(ISNUMBER(SEARCH("Package",D5363)))),"",VLOOKUP(C5363,'Clients List'!$A:$F,4,FALSE)-SUMIFS($E$2:$E5363,$C$2:$C5363,C5363,$D$2:$D5363,"*Package*"))</f>
        <v/>
      </c>
      <c r="G5363" t="str">
        <f t="shared" si="116"/>
        <v/>
      </c>
      <c r="H5363" s="33">
        <f>IF(ISNUMBER(SEARCH("Group",D5363)),IF(G5363="",E5363,IFERROR(E5363/COUNTIF($G2:$G6000,G5363),E5363)),E5363)</f>
        <v>0</v>
      </c>
      <c r="I5363" s="1" t="str">
        <f>IFERROR(VLOOKUP(C5363,'Clients List'!A:F,6,FALSE),"")</f>
        <v/>
      </c>
    </row>
    <row r="5364" spans="4:9" x14ac:dyDescent="0.45">
      <c r="D5364" t="str">
        <f>IFERROR(VLOOKUP(C5364,'Clients List'!$A:$F,2,FALSE),"")</f>
        <v/>
      </c>
      <c r="F5364" s="1" t="str">
        <f>IF(OR(C5364="",NOT(ISNUMBER(SEARCH("Package",D5364)))),"",VLOOKUP(C5364,'Clients List'!$A:$F,4,FALSE)-SUMIFS($E$2:$E5364,$C$2:$C5364,C5364,$D$2:$D5364,"*Package*"))</f>
        <v/>
      </c>
      <c r="G5364" t="str">
        <f t="shared" si="116"/>
        <v/>
      </c>
      <c r="H5364" s="33">
        <f>IF(ISNUMBER(SEARCH("Group",D5364)),IF(G5364="",E5364,IFERROR(E5364/COUNTIF($G2:$G6000,G5364),E5364)),E5364)</f>
        <v>0</v>
      </c>
      <c r="I5364" s="1" t="str">
        <f>IFERROR(VLOOKUP(C5364,'Clients List'!A:F,6,FALSE),"")</f>
        <v/>
      </c>
    </row>
    <row r="5365" spans="4:9" x14ac:dyDescent="0.45">
      <c r="D5365" t="str">
        <f>IFERROR(VLOOKUP(C5365,'Clients List'!$A:$F,2,FALSE),"")</f>
        <v/>
      </c>
      <c r="F5365" s="1" t="str">
        <f>IF(OR(C5365="",NOT(ISNUMBER(SEARCH("Package",D5365)))),"",VLOOKUP(C5365,'Clients List'!$A:$F,4,FALSE)-SUMIFS($E$2:$E5365,$C$2:$C5365,C5365,$D$2:$D5365,"*Package*"))</f>
        <v/>
      </c>
      <c r="G5365" t="str">
        <f t="shared" ref="G5365:G5428" si="117">IF(ISNUMBER(SEARCH("Group",D5365)),IFERROR("GRP-"&amp;TEXT(IF(ISNUMBER(A5365),A5365,DATEVALUE(A5365)),"yyyymmdd"),""),"" )</f>
        <v/>
      </c>
      <c r="H5365" s="33">
        <f>IF(ISNUMBER(SEARCH("Group",D5365)),IF(G5365="",E5365,IFERROR(E5365/COUNTIF($G2:$G6000,G5365),E5365)),E5365)</f>
        <v>0</v>
      </c>
      <c r="I5365" s="1" t="str">
        <f>IFERROR(VLOOKUP(C5365,'Clients List'!A:F,6,FALSE),"")</f>
        <v/>
      </c>
    </row>
    <row r="5366" spans="4:9" x14ac:dyDescent="0.45">
      <c r="D5366" t="str">
        <f>IFERROR(VLOOKUP(C5366,'Clients List'!$A:$F,2,FALSE),"")</f>
        <v/>
      </c>
      <c r="F5366" s="1" t="str">
        <f>IF(OR(C5366="",NOT(ISNUMBER(SEARCH("Package",D5366)))),"",VLOOKUP(C5366,'Clients List'!$A:$F,4,FALSE)-SUMIFS($E$2:$E5366,$C$2:$C5366,C5366,$D$2:$D5366,"*Package*"))</f>
        <v/>
      </c>
      <c r="G5366" t="str">
        <f t="shared" si="117"/>
        <v/>
      </c>
      <c r="H5366" s="33">
        <f>IF(ISNUMBER(SEARCH("Group",D5366)),IF(G5366="",E5366,IFERROR(E5366/COUNTIF($G2:$G6000,G5366),E5366)),E5366)</f>
        <v>0</v>
      </c>
      <c r="I5366" s="1" t="str">
        <f>IFERROR(VLOOKUP(C5366,'Clients List'!A:F,6,FALSE),"")</f>
        <v/>
      </c>
    </row>
    <row r="5367" spans="4:9" x14ac:dyDescent="0.45">
      <c r="D5367" t="str">
        <f>IFERROR(VLOOKUP(C5367,'Clients List'!$A:$F,2,FALSE),"")</f>
        <v/>
      </c>
      <c r="F5367" s="1" t="str">
        <f>IF(OR(C5367="",NOT(ISNUMBER(SEARCH("Package",D5367)))),"",VLOOKUP(C5367,'Clients List'!$A:$F,4,FALSE)-SUMIFS($E$2:$E5367,$C$2:$C5367,C5367,$D$2:$D5367,"*Package*"))</f>
        <v/>
      </c>
      <c r="G5367" t="str">
        <f t="shared" si="117"/>
        <v/>
      </c>
      <c r="H5367" s="33">
        <f>IF(ISNUMBER(SEARCH("Group",D5367)),IF(G5367="",E5367,IFERROR(E5367/COUNTIF($G2:$G6000,G5367),E5367)),E5367)</f>
        <v>0</v>
      </c>
      <c r="I5367" s="1" t="str">
        <f>IFERROR(VLOOKUP(C5367,'Clients List'!A:F,6,FALSE),"")</f>
        <v/>
      </c>
    </row>
    <row r="5368" spans="4:9" x14ac:dyDescent="0.45">
      <c r="D5368" t="str">
        <f>IFERROR(VLOOKUP(C5368,'Clients List'!$A:$F,2,FALSE),"")</f>
        <v/>
      </c>
      <c r="F5368" s="1" t="str">
        <f>IF(OR(C5368="",NOT(ISNUMBER(SEARCH("Package",D5368)))),"",VLOOKUP(C5368,'Clients List'!$A:$F,4,FALSE)-SUMIFS($E$2:$E5368,$C$2:$C5368,C5368,$D$2:$D5368,"*Package*"))</f>
        <v/>
      </c>
      <c r="G5368" t="str">
        <f t="shared" si="117"/>
        <v/>
      </c>
      <c r="H5368" s="33">
        <f>IF(ISNUMBER(SEARCH("Group",D5368)),IF(G5368="",E5368,IFERROR(E5368/COUNTIF($G2:$G6000,G5368),E5368)),E5368)</f>
        <v>0</v>
      </c>
      <c r="I5368" s="1" t="str">
        <f>IFERROR(VLOOKUP(C5368,'Clients List'!A:F,6,FALSE),"")</f>
        <v/>
      </c>
    </row>
    <row r="5369" spans="4:9" x14ac:dyDescent="0.45">
      <c r="D5369" t="str">
        <f>IFERROR(VLOOKUP(C5369,'Clients List'!$A:$F,2,FALSE),"")</f>
        <v/>
      </c>
      <c r="F5369" s="1" t="str">
        <f>IF(OR(C5369="",NOT(ISNUMBER(SEARCH("Package",D5369)))),"",VLOOKUP(C5369,'Clients List'!$A:$F,4,FALSE)-SUMIFS($E$2:$E5369,$C$2:$C5369,C5369,$D$2:$D5369,"*Package*"))</f>
        <v/>
      </c>
      <c r="G5369" t="str">
        <f t="shared" si="117"/>
        <v/>
      </c>
      <c r="H5369" s="33">
        <f>IF(ISNUMBER(SEARCH("Group",D5369)),IF(G5369="",E5369,IFERROR(E5369/COUNTIF($G2:$G6000,G5369),E5369)),E5369)</f>
        <v>0</v>
      </c>
      <c r="I5369" s="1" t="str">
        <f>IFERROR(VLOOKUP(C5369,'Clients List'!A:F,6,FALSE),"")</f>
        <v/>
      </c>
    </row>
    <row r="5370" spans="4:9" x14ac:dyDescent="0.45">
      <c r="D5370" t="str">
        <f>IFERROR(VLOOKUP(C5370,'Clients List'!$A:$F,2,FALSE),"")</f>
        <v/>
      </c>
      <c r="F5370" s="1" t="str">
        <f>IF(OR(C5370="",NOT(ISNUMBER(SEARCH("Package",D5370)))),"",VLOOKUP(C5370,'Clients List'!$A:$F,4,FALSE)-SUMIFS($E$2:$E5370,$C$2:$C5370,C5370,$D$2:$D5370,"*Package*"))</f>
        <v/>
      </c>
      <c r="G5370" t="str">
        <f t="shared" si="117"/>
        <v/>
      </c>
      <c r="H5370" s="33">
        <f>IF(ISNUMBER(SEARCH("Group",D5370)),IF(G5370="",E5370,IFERROR(E5370/COUNTIF($G2:$G6000,G5370),E5370)),E5370)</f>
        <v>0</v>
      </c>
      <c r="I5370" s="1" t="str">
        <f>IFERROR(VLOOKUP(C5370,'Clients List'!A:F,6,FALSE),"")</f>
        <v/>
      </c>
    </row>
    <row r="5371" spans="4:9" x14ac:dyDescent="0.45">
      <c r="D5371" t="str">
        <f>IFERROR(VLOOKUP(C5371,'Clients List'!$A:$F,2,FALSE),"")</f>
        <v/>
      </c>
      <c r="F5371" s="1" t="str">
        <f>IF(OR(C5371="",NOT(ISNUMBER(SEARCH("Package",D5371)))),"",VLOOKUP(C5371,'Clients List'!$A:$F,4,FALSE)-SUMIFS($E$2:$E5371,$C$2:$C5371,C5371,$D$2:$D5371,"*Package*"))</f>
        <v/>
      </c>
      <c r="G5371" t="str">
        <f t="shared" si="117"/>
        <v/>
      </c>
      <c r="H5371" s="33">
        <f>IF(ISNUMBER(SEARCH("Group",D5371)),IF(G5371="",E5371,IFERROR(E5371/COUNTIF($G2:$G6000,G5371),E5371)),E5371)</f>
        <v>0</v>
      </c>
      <c r="I5371" s="1" t="str">
        <f>IFERROR(VLOOKUP(C5371,'Clients List'!A:F,6,FALSE),"")</f>
        <v/>
      </c>
    </row>
    <row r="5372" spans="4:9" x14ac:dyDescent="0.45">
      <c r="D5372" t="str">
        <f>IFERROR(VLOOKUP(C5372,'Clients List'!$A:$F,2,FALSE),"")</f>
        <v/>
      </c>
      <c r="F5372" s="1" t="str">
        <f>IF(OR(C5372="",NOT(ISNUMBER(SEARCH("Package",D5372)))),"",VLOOKUP(C5372,'Clients List'!$A:$F,4,FALSE)-SUMIFS($E$2:$E5372,$C$2:$C5372,C5372,$D$2:$D5372,"*Package*"))</f>
        <v/>
      </c>
      <c r="G5372" t="str">
        <f t="shared" si="117"/>
        <v/>
      </c>
      <c r="H5372" s="33">
        <f>IF(ISNUMBER(SEARCH("Group",D5372)),IF(G5372="",E5372,IFERROR(E5372/COUNTIF($G2:$G6000,G5372),E5372)),E5372)</f>
        <v>0</v>
      </c>
      <c r="I5372" s="1" t="str">
        <f>IFERROR(VLOOKUP(C5372,'Clients List'!A:F,6,FALSE),"")</f>
        <v/>
      </c>
    </row>
    <row r="5373" spans="4:9" x14ac:dyDescent="0.45">
      <c r="D5373" t="str">
        <f>IFERROR(VLOOKUP(C5373,'Clients List'!$A:$F,2,FALSE),"")</f>
        <v/>
      </c>
      <c r="F5373" s="1" t="str">
        <f>IF(OR(C5373="",NOT(ISNUMBER(SEARCH("Package",D5373)))),"",VLOOKUP(C5373,'Clients List'!$A:$F,4,FALSE)-SUMIFS($E$2:$E5373,$C$2:$C5373,C5373,$D$2:$D5373,"*Package*"))</f>
        <v/>
      </c>
      <c r="G5373" t="str">
        <f t="shared" si="117"/>
        <v/>
      </c>
      <c r="H5373" s="33">
        <f>IF(ISNUMBER(SEARCH("Group",D5373)),IF(G5373="",E5373,IFERROR(E5373/COUNTIF($G2:$G6000,G5373),E5373)),E5373)</f>
        <v>0</v>
      </c>
      <c r="I5373" s="1" t="str">
        <f>IFERROR(VLOOKUP(C5373,'Clients List'!A:F,6,FALSE),"")</f>
        <v/>
      </c>
    </row>
    <row r="5374" spans="4:9" x14ac:dyDescent="0.45">
      <c r="D5374" t="str">
        <f>IFERROR(VLOOKUP(C5374,'Clients List'!$A:$F,2,FALSE),"")</f>
        <v/>
      </c>
      <c r="F5374" s="1" t="str">
        <f>IF(OR(C5374="",NOT(ISNUMBER(SEARCH("Package",D5374)))),"",VLOOKUP(C5374,'Clients List'!$A:$F,4,FALSE)-SUMIFS($E$2:$E5374,$C$2:$C5374,C5374,$D$2:$D5374,"*Package*"))</f>
        <v/>
      </c>
      <c r="G5374" t="str">
        <f t="shared" si="117"/>
        <v/>
      </c>
      <c r="H5374" s="33">
        <f>IF(ISNUMBER(SEARCH("Group",D5374)),IF(G5374="",E5374,IFERROR(E5374/COUNTIF($G2:$G6000,G5374),E5374)),E5374)</f>
        <v>0</v>
      </c>
      <c r="I5374" s="1" t="str">
        <f>IFERROR(VLOOKUP(C5374,'Clients List'!A:F,6,FALSE),"")</f>
        <v/>
      </c>
    </row>
    <row r="5375" spans="4:9" x14ac:dyDescent="0.45">
      <c r="D5375" t="str">
        <f>IFERROR(VLOOKUP(C5375,'Clients List'!$A:$F,2,FALSE),"")</f>
        <v/>
      </c>
      <c r="F5375" s="1" t="str">
        <f>IF(OR(C5375="",NOT(ISNUMBER(SEARCH("Package",D5375)))),"",VLOOKUP(C5375,'Clients List'!$A:$F,4,FALSE)-SUMIFS($E$2:$E5375,$C$2:$C5375,C5375,$D$2:$D5375,"*Package*"))</f>
        <v/>
      </c>
      <c r="G5375" t="str">
        <f t="shared" si="117"/>
        <v/>
      </c>
      <c r="H5375" s="33">
        <f>IF(ISNUMBER(SEARCH("Group",D5375)),IF(G5375="",E5375,IFERROR(E5375/COUNTIF($G2:$G6000,G5375),E5375)),E5375)</f>
        <v>0</v>
      </c>
      <c r="I5375" s="1" t="str">
        <f>IFERROR(VLOOKUP(C5375,'Clients List'!A:F,6,FALSE),"")</f>
        <v/>
      </c>
    </row>
    <row r="5376" spans="4:9" x14ac:dyDescent="0.45">
      <c r="D5376" t="str">
        <f>IFERROR(VLOOKUP(C5376,'Clients List'!$A:$F,2,FALSE),"")</f>
        <v/>
      </c>
      <c r="F5376" s="1" t="str">
        <f>IF(OR(C5376="",NOT(ISNUMBER(SEARCH("Package",D5376)))),"",VLOOKUP(C5376,'Clients List'!$A:$F,4,FALSE)-SUMIFS($E$2:$E5376,$C$2:$C5376,C5376,$D$2:$D5376,"*Package*"))</f>
        <v/>
      </c>
      <c r="G5376" t="str">
        <f t="shared" si="117"/>
        <v/>
      </c>
      <c r="H5376" s="33">
        <f>IF(ISNUMBER(SEARCH("Group",D5376)),IF(G5376="",E5376,IFERROR(E5376/COUNTIF($G2:$G6000,G5376),E5376)),E5376)</f>
        <v>0</v>
      </c>
      <c r="I5376" s="1" t="str">
        <f>IFERROR(VLOOKUP(C5376,'Clients List'!A:F,6,FALSE),"")</f>
        <v/>
      </c>
    </row>
    <row r="5377" spans="4:9" x14ac:dyDescent="0.45">
      <c r="D5377" t="str">
        <f>IFERROR(VLOOKUP(C5377,'Clients List'!$A:$F,2,FALSE),"")</f>
        <v/>
      </c>
      <c r="F5377" s="1" t="str">
        <f>IF(OR(C5377="",NOT(ISNUMBER(SEARCH("Package",D5377)))),"",VLOOKUP(C5377,'Clients List'!$A:$F,4,FALSE)-SUMIFS($E$2:$E5377,$C$2:$C5377,C5377,$D$2:$D5377,"*Package*"))</f>
        <v/>
      </c>
      <c r="G5377" t="str">
        <f t="shared" si="117"/>
        <v/>
      </c>
      <c r="H5377" s="33">
        <f>IF(ISNUMBER(SEARCH("Group",D5377)),IF(G5377="",E5377,IFERROR(E5377/COUNTIF($G2:$G6000,G5377),E5377)),E5377)</f>
        <v>0</v>
      </c>
      <c r="I5377" s="1" t="str">
        <f>IFERROR(VLOOKUP(C5377,'Clients List'!A:F,6,FALSE),"")</f>
        <v/>
      </c>
    </row>
    <row r="5378" spans="4:9" x14ac:dyDescent="0.45">
      <c r="D5378" t="str">
        <f>IFERROR(VLOOKUP(C5378,'Clients List'!$A:$F,2,FALSE),"")</f>
        <v/>
      </c>
      <c r="F5378" s="1" t="str">
        <f>IF(OR(C5378="",NOT(ISNUMBER(SEARCH("Package",D5378)))),"",VLOOKUP(C5378,'Clients List'!$A:$F,4,FALSE)-SUMIFS($E$2:$E5378,$C$2:$C5378,C5378,$D$2:$D5378,"*Package*"))</f>
        <v/>
      </c>
      <c r="G5378" t="str">
        <f t="shared" si="117"/>
        <v/>
      </c>
      <c r="H5378" s="33">
        <f>IF(ISNUMBER(SEARCH("Group",D5378)),IF(G5378="",E5378,IFERROR(E5378/COUNTIF($G2:$G6000,G5378),E5378)),E5378)</f>
        <v>0</v>
      </c>
      <c r="I5378" s="1" t="str">
        <f>IFERROR(VLOOKUP(C5378,'Clients List'!A:F,6,FALSE),"")</f>
        <v/>
      </c>
    </row>
    <row r="5379" spans="4:9" x14ac:dyDescent="0.45">
      <c r="D5379" t="str">
        <f>IFERROR(VLOOKUP(C5379,'Clients List'!$A:$F,2,FALSE),"")</f>
        <v/>
      </c>
      <c r="F5379" s="1" t="str">
        <f>IF(OR(C5379="",NOT(ISNUMBER(SEARCH("Package",D5379)))),"",VLOOKUP(C5379,'Clients List'!$A:$F,4,FALSE)-SUMIFS($E$2:$E5379,$C$2:$C5379,C5379,$D$2:$D5379,"*Package*"))</f>
        <v/>
      </c>
      <c r="G5379" t="str">
        <f t="shared" si="117"/>
        <v/>
      </c>
      <c r="H5379" s="33">
        <f>IF(ISNUMBER(SEARCH("Group",D5379)),IF(G5379="",E5379,IFERROR(E5379/COUNTIF($G2:$G6000,G5379),E5379)),E5379)</f>
        <v>0</v>
      </c>
      <c r="I5379" s="1" t="str">
        <f>IFERROR(VLOOKUP(C5379,'Clients List'!A:F,6,FALSE),"")</f>
        <v/>
      </c>
    </row>
    <row r="5380" spans="4:9" x14ac:dyDescent="0.45">
      <c r="D5380" t="str">
        <f>IFERROR(VLOOKUP(C5380,'Clients List'!$A:$F,2,FALSE),"")</f>
        <v/>
      </c>
      <c r="F5380" s="1" t="str">
        <f>IF(OR(C5380="",NOT(ISNUMBER(SEARCH("Package",D5380)))),"",VLOOKUP(C5380,'Clients List'!$A:$F,4,FALSE)-SUMIFS($E$2:$E5380,$C$2:$C5380,C5380,$D$2:$D5380,"*Package*"))</f>
        <v/>
      </c>
      <c r="G5380" t="str">
        <f t="shared" si="117"/>
        <v/>
      </c>
      <c r="H5380" s="33">
        <f>IF(ISNUMBER(SEARCH("Group",D5380)),IF(G5380="",E5380,IFERROR(E5380/COUNTIF($G2:$G6000,G5380),E5380)),E5380)</f>
        <v>0</v>
      </c>
      <c r="I5380" s="1" t="str">
        <f>IFERROR(VLOOKUP(C5380,'Clients List'!A:F,6,FALSE),"")</f>
        <v/>
      </c>
    </row>
    <row r="5381" spans="4:9" x14ac:dyDescent="0.45">
      <c r="D5381" t="str">
        <f>IFERROR(VLOOKUP(C5381,'Clients List'!$A:$F,2,FALSE),"")</f>
        <v/>
      </c>
      <c r="F5381" s="1" t="str">
        <f>IF(OR(C5381="",NOT(ISNUMBER(SEARCH("Package",D5381)))),"",VLOOKUP(C5381,'Clients List'!$A:$F,4,FALSE)-SUMIFS($E$2:$E5381,$C$2:$C5381,C5381,$D$2:$D5381,"*Package*"))</f>
        <v/>
      </c>
      <c r="G5381" t="str">
        <f t="shared" si="117"/>
        <v/>
      </c>
      <c r="H5381" s="33">
        <f>IF(ISNUMBER(SEARCH("Group",D5381)),IF(G5381="",E5381,IFERROR(E5381/COUNTIF($G2:$G6000,G5381),E5381)),E5381)</f>
        <v>0</v>
      </c>
      <c r="I5381" s="1" t="str">
        <f>IFERROR(VLOOKUP(C5381,'Clients List'!A:F,6,FALSE),"")</f>
        <v/>
      </c>
    </row>
    <row r="5382" spans="4:9" x14ac:dyDescent="0.45">
      <c r="D5382" t="str">
        <f>IFERROR(VLOOKUP(C5382,'Clients List'!$A:$F,2,FALSE),"")</f>
        <v/>
      </c>
      <c r="F5382" s="1" t="str">
        <f>IF(OR(C5382="",NOT(ISNUMBER(SEARCH("Package",D5382)))),"",VLOOKUP(C5382,'Clients List'!$A:$F,4,FALSE)-SUMIFS($E$2:$E5382,$C$2:$C5382,C5382,$D$2:$D5382,"*Package*"))</f>
        <v/>
      </c>
      <c r="G5382" t="str">
        <f t="shared" si="117"/>
        <v/>
      </c>
      <c r="H5382" s="33">
        <f>IF(ISNUMBER(SEARCH("Group",D5382)),IF(G5382="",E5382,IFERROR(E5382/COUNTIF($G2:$G6000,G5382),E5382)),E5382)</f>
        <v>0</v>
      </c>
      <c r="I5382" s="1" t="str">
        <f>IFERROR(VLOOKUP(C5382,'Clients List'!A:F,6,FALSE),"")</f>
        <v/>
      </c>
    </row>
    <row r="5383" spans="4:9" x14ac:dyDescent="0.45">
      <c r="D5383" t="str">
        <f>IFERROR(VLOOKUP(C5383,'Clients List'!$A:$F,2,FALSE),"")</f>
        <v/>
      </c>
      <c r="F5383" s="1" t="str">
        <f>IF(OR(C5383="",NOT(ISNUMBER(SEARCH("Package",D5383)))),"",VLOOKUP(C5383,'Clients List'!$A:$F,4,FALSE)-SUMIFS($E$2:$E5383,$C$2:$C5383,C5383,$D$2:$D5383,"*Package*"))</f>
        <v/>
      </c>
      <c r="G5383" t="str">
        <f t="shared" si="117"/>
        <v/>
      </c>
      <c r="H5383" s="33">
        <f>IF(ISNUMBER(SEARCH("Group",D5383)),IF(G5383="",E5383,IFERROR(E5383/COUNTIF($G2:$G6000,G5383),E5383)),E5383)</f>
        <v>0</v>
      </c>
      <c r="I5383" s="1" t="str">
        <f>IFERROR(VLOOKUP(C5383,'Clients List'!A:F,6,FALSE),"")</f>
        <v/>
      </c>
    </row>
    <row r="5384" spans="4:9" x14ac:dyDescent="0.45">
      <c r="D5384" t="str">
        <f>IFERROR(VLOOKUP(C5384,'Clients List'!$A:$F,2,FALSE),"")</f>
        <v/>
      </c>
      <c r="F5384" s="1" t="str">
        <f>IF(OR(C5384="",NOT(ISNUMBER(SEARCH("Package",D5384)))),"",VLOOKUP(C5384,'Clients List'!$A:$F,4,FALSE)-SUMIFS($E$2:$E5384,$C$2:$C5384,C5384,$D$2:$D5384,"*Package*"))</f>
        <v/>
      </c>
      <c r="G5384" t="str">
        <f t="shared" si="117"/>
        <v/>
      </c>
      <c r="H5384" s="33">
        <f>IF(ISNUMBER(SEARCH("Group",D5384)),IF(G5384="",E5384,IFERROR(E5384/COUNTIF($G2:$G6000,G5384),E5384)),E5384)</f>
        <v>0</v>
      </c>
      <c r="I5384" s="1" t="str">
        <f>IFERROR(VLOOKUP(C5384,'Clients List'!A:F,6,FALSE),"")</f>
        <v/>
      </c>
    </row>
    <row r="5385" spans="4:9" x14ac:dyDescent="0.45">
      <c r="D5385" t="str">
        <f>IFERROR(VLOOKUP(C5385,'Clients List'!$A:$F,2,FALSE),"")</f>
        <v/>
      </c>
      <c r="F5385" s="1" t="str">
        <f>IF(OR(C5385="",NOT(ISNUMBER(SEARCH("Package",D5385)))),"",VLOOKUP(C5385,'Clients List'!$A:$F,4,FALSE)-SUMIFS($E$2:$E5385,$C$2:$C5385,C5385,$D$2:$D5385,"*Package*"))</f>
        <v/>
      </c>
      <c r="G5385" t="str">
        <f t="shared" si="117"/>
        <v/>
      </c>
      <c r="H5385" s="33">
        <f>IF(ISNUMBER(SEARCH("Group",D5385)),IF(G5385="",E5385,IFERROR(E5385/COUNTIF($G2:$G6000,G5385),E5385)),E5385)</f>
        <v>0</v>
      </c>
      <c r="I5385" s="1" t="str">
        <f>IFERROR(VLOOKUP(C5385,'Clients List'!A:F,6,FALSE),"")</f>
        <v/>
      </c>
    </row>
    <row r="5386" spans="4:9" x14ac:dyDescent="0.45">
      <c r="D5386" t="str">
        <f>IFERROR(VLOOKUP(C5386,'Clients List'!$A:$F,2,FALSE),"")</f>
        <v/>
      </c>
      <c r="F5386" s="1" t="str">
        <f>IF(OR(C5386="",NOT(ISNUMBER(SEARCH("Package",D5386)))),"",VLOOKUP(C5386,'Clients List'!$A:$F,4,FALSE)-SUMIFS($E$2:$E5386,$C$2:$C5386,C5386,$D$2:$D5386,"*Package*"))</f>
        <v/>
      </c>
      <c r="G5386" t="str">
        <f t="shared" si="117"/>
        <v/>
      </c>
      <c r="H5386" s="33">
        <f>IF(ISNUMBER(SEARCH("Group",D5386)),IF(G5386="",E5386,IFERROR(E5386/COUNTIF($G2:$G6000,G5386),E5386)),E5386)</f>
        <v>0</v>
      </c>
      <c r="I5386" s="1" t="str">
        <f>IFERROR(VLOOKUP(C5386,'Clients List'!A:F,6,FALSE),"")</f>
        <v/>
      </c>
    </row>
    <row r="5387" spans="4:9" x14ac:dyDescent="0.45">
      <c r="D5387" t="str">
        <f>IFERROR(VLOOKUP(C5387,'Clients List'!$A:$F,2,FALSE),"")</f>
        <v/>
      </c>
      <c r="F5387" s="1" t="str">
        <f>IF(OR(C5387="",NOT(ISNUMBER(SEARCH("Package",D5387)))),"",VLOOKUP(C5387,'Clients List'!$A:$F,4,FALSE)-SUMIFS($E$2:$E5387,$C$2:$C5387,C5387,$D$2:$D5387,"*Package*"))</f>
        <v/>
      </c>
      <c r="G5387" t="str">
        <f t="shared" si="117"/>
        <v/>
      </c>
      <c r="H5387" s="33">
        <f>IF(ISNUMBER(SEARCH("Group",D5387)),IF(G5387="",E5387,IFERROR(E5387/COUNTIF($G2:$G6000,G5387),E5387)),E5387)</f>
        <v>0</v>
      </c>
      <c r="I5387" s="1" t="str">
        <f>IFERROR(VLOOKUP(C5387,'Clients List'!A:F,6,FALSE),"")</f>
        <v/>
      </c>
    </row>
    <row r="5388" spans="4:9" x14ac:dyDescent="0.45">
      <c r="D5388" t="str">
        <f>IFERROR(VLOOKUP(C5388,'Clients List'!$A:$F,2,FALSE),"")</f>
        <v/>
      </c>
      <c r="F5388" s="1" t="str">
        <f>IF(OR(C5388="",NOT(ISNUMBER(SEARCH("Package",D5388)))),"",VLOOKUP(C5388,'Clients List'!$A:$F,4,FALSE)-SUMIFS($E$2:$E5388,$C$2:$C5388,C5388,$D$2:$D5388,"*Package*"))</f>
        <v/>
      </c>
      <c r="G5388" t="str">
        <f t="shared" si="117"/>
        <v/>
      </c>
      <c r="H5388" s="33">
        <f>IF(ISNUMBER(SEARCH("Group",D5388)),IF(G5388="",E5388,IFERROR(E5388/COUNTIF($G2:$G6000,G5388),E5388)),E5388)</f>
        <v>0</v>
      </c>
      <c r="I5388" s="1" t="str">
        <f>IFERROR(VLOOKUP(C5388,'Clients List'!A:F,6,FALSE),"")</f>
        <v/>
      </c>
    </row>
    <row r="5389" spans="4:9" x14ac:dyDescent="0.45">
      <c r="D5389" t="str">
        <f>IFERROR(VLOOKUP(C5389,'Clients List'!$A:$F,2,FALSE),"")</f>
        <v/>
      </c>
      <c r="F5389" s="1" t="str">
        <f>IF(OR(C5389="",NOT(ISNUMBER(SEARCH("Package",D5389)))),"",VLOOKUP(C5389,'Clients List'!$A:$F,4,FALSE)-SUMIFS($E$2:$E5389,$C$2:$C5389,C5389,$D$2:$D5389,"*Package*"))</f>
        <v/>
      </c>
      <c r="G5389" t="str">
        <f t="shared" si="117"/>
        <v/>
      </c>
      <c r="H5389" s="33">
        <f>IF(ISNUMBER(SEARCH("Group",D5389)),IF(G5389="",E5389,IFERROR(E5389/COUNTIF($G2:$G6000,G5389),E5389)),E5389)</f>
        <v>0</v>
      </c>
      <c r="I5389" s="1" t="str">
        <f>IFERROR(VLOOKUP(C5389,'Clients List'!A:F,6,FALSE),"")</f>
        <v/>
      </c>
    </row>
    <row r="5390" spans="4:9" x14ac:dyDescent="0.45">
      <c r="D5390" t="str">
        <f>IFERROR(VLOOKUP(C5390,'Clients List'!$A:$F,2,FALSE),"")</f>
        <v/>
      </c>
      <c r="F5390" s="1" t="str">
        <f>IF(OR(C5390="",NOT(ISNUMBER(SEARCH("Package",D5390)))),"",VLOOKUP(C5390,'Clients List'!$A:$F,4,FALSE)-SUMIFS($E$2:$E5390,$C$2:$C5390,C5390,$D$2:$D5390,"*Package*"))</f>
        <v/>
      </c>
      <c r="G5390" t="str">
        <f t="shared" si="117"/>
        <v/>
      </c>
      <c r="H5390" s="33">
        <f>IF(ISNUMBER(SEARCH("Group",D5390)),IF(G5390="",E5390,IFERROR(E5390/COUNTIF($G2:$G6000,G5390),E5390)),E5390)</f>
        <v>0</v>
      </c>
      <c r="I5390" s="1" t="str">
        <f>IFERROR(VLOOKUP(C5390,'Clients List'!A:F,6,FALSE),"")</f>
        <v/>
      </c>
    </row>
    <row r="5391" spans="4:9" x14ac:dyDescent="0.45">
      <c r="D5391" t="str">
        <f>IFERROR(VLOOKUP(C5391,'Clients List'!$A:$F,2,FALSE),"")</f>
        <v/>
      </c>
      <c r="F5391" s="1" t="str">
        <f>IF(OR(C5391="",NOT(ISNUMBER(SEARCH("Package",D5391)))),"",VLOOKUP(C5391,'Clients List'!$A:$F,4,FALSE)-SUMIFS($E$2:$E5391,$C$2:$C5391,C5391,$D$2:$D5391,"*Package*"))</f>
        <v/>
      </c>
      <c r="G5391" t="str">
        <f t="shared" si="117"/>
        <v/>
      </c>
      <c r="H5391" s="33">
        <f>IF(ISNUMBER(SEARCH("Group",D5391)),IF(G5391="",E5391,IFERROR(E5391/COUNTIF($G2:$G6000,G5391),E5391)),E5391)</f>
        <v>0</v>
      </c>
      <c r="I5391" s="1" t="str">
        <f>IFERROR(VLOOKUP(C5391,'Clients List'!A:F,6,FALSE),"")</f>
        <v/>
      </c>
    </row>
    <row r="5392" spans="4:9" x14ac:dyDescent="0.45">
      <c r="D5392" t="str">
        <f>IFERROR(VLOOKUP(C5392,'Clients List'!$A:$F,2,FALSE),"")</f>
        <v/>
      </c>
      <c r="F5392" s="1" t="str">
        <f>IF(OR(C5392="",NOT(ISNUMBER(SEARCH("Package",D5392)))),"",VLOOKUP(C5392,'Clients List'!$A:$F,4,FALSE)-SUMIFS($E$2:$E5392,$C$2:$C5392,C5392,$D$2:$D5392,"*Package*"))</f>
        <v/>
      </c>
      <c r="G5392" t="str">
        <f t="shared" si="117"/>
        <v/>
      </c>
      <c r="H5392" s="33">
        <f>IF(ISNUMBER(SEARCH("Group",D5392)),IF(G5392="",E5392,IFERROR(E5392/COUNTIF($G2:$G6000,G5392),E5392)),E5392)</f>
        <v>0</v>
      </c>
      <c r="I5392" s="1" t="str">
        <f>IFERROR(VLOOKUP(C5392,'Clients List'!A:F,6,FALSE),"")</f>
        <v/>
      </c>
    </row>
    <row r="5393" spans="4:9" x14ac:dyDescent="0.45">
      <c r="D5393" t="str">
        <f>IFERROR(VLOOKUP(C5393,'Clients List'!$A:$F,2,FALSE),"")</f>
        <v/>
      </c>
      <c r="F5393" s="1" t="str">
        <f>IF(OR(C5393="",NOT(ISNUMBER(SEARCH("Package",D5393)))),"",VLOOKUP(C5393,'Clients List'!$A:$F,4,FALSE)-SUMIFS($E$2:$E5393,$C$2:$C5393,C5393,$D$2:$D5393,"*Package*"))</f>
        <v/>
      </c>
      <c r="G5393" t="str">
        <f t="shared" si="117"/>
        <v/>
      </c>
      <c r="H5393" s="33">
        <f>IF(ISNUMBER(SEARCH("Group",D5393)),IF(G5393="",E5393,IFERROR(E5393/COUNTIF($G2:$G6000,G5393),E5393)),E5393)</f>
        <v>0</v>
      </c>
      <c r="I5393" s="1" t="str">
        <f>IFERROR(VLOOKUP(C5393,'Clients List'!A:F,6,FALSE),"")</f>
        <v/>
      </c>
    </row>
    <row r="5394" spans="4:9" x14ac:dyDescent="0.45">
      <c r="D5394" t="str">
        <f>IFERROR(VLOOKUP(C5394,'Clients List'!$A:$F,2,FALSE),"")</f>
        <v/>
      </c>
      <c r="F5394" s="1" t="str">
        <f>IF(OR(C5394="",NOT(ISNUMBER(SEARCH("Package",D5394)))),"",VLOOKUP(C5394,'Clients List'!$A:$F,4,FALSE)-SUMIFS($E$2:$E5394,$C$2:$C5394,C5394,$D$2:$D5394,"*Package*"))</f>
        <v/>
      </c>
      <c r="G5394" t="str">
        <f t="shared" si="117"/>
        <v/>
      </c>
      <c r="H5394" s="33">
        <f>IF(ISNUMBER(SEARCH("Group",D5394)),IF(G5394="",E5394,IFERROR(E5394/COUNTIF($G2:$G6000,G5394),E5394)),E5394)</f>
        <v>0</v>
      </c>
      <c r="I5394" s="1" t="str">
        <f>IFERROR(VLOOKUP(C5394,'Clients List'!A:F,6,FALSE),"")</f>
        <v/>
      </c>
    </row>
    <row r="5395" spans="4:9" x14ac:dyDescent="0.45">
      <c r="D5395" t="str">
        <f>IFERROR(VLOOKUP(C5395,'Clients List'!$A:$F,2,FALSE),"")</f>
        <v/>
      </c>
      <c r="F5395" s="1" t="str">
        <f>IF(OR(C5395="",NOT(ISNUMBER(SEARCH("Package",D5395)))),"",VLOOKUP(C5395,'Clients List'!$A:$F,4,FALSE)-SUMIFS($E$2:$E5395,$C$2:$C5395,C5395,$D$2:$D5395,"*Package*"))</f>
        <v/>
      </c>
      <c r="G5395" t="str">
        <f t="shared" si="117"/>
        <v/>
      </c>
      <c r="H5395" s="33">
        <f>IF(ISNUMBER(SEARCH("Group",D5395)),IF(G5395="",E5395,IFERROR(E5395/COUNTIF($G2:$G6000,G5395),E5395)),E5395)</f>
        <v>0</v>
      </c>
      <c r="I5395" s="1" t="str">
        <f>IFERROR(VLOOKUP(C5395,'Clients List'!A:F,6,FALSE),"")</f>
        <v/>
      </c>
    </row>
    <row r="5396" spans="4:9" x14ac:dyDescent="0.45">
      <c r="D5396" t="str">
        <f>IFERROR(VLOOKUP(C5396,'Clients List'!$A:$F,2,FALSE),"")</f>
        <v/>
      </c>
      <c r="F5396" s="1" t="str">
        <f>IF(OR(C5396="",NOT(ISNUMBER(SEARCH("Package",D5396)))),"",VLOOKUP(C5396,'Clients List'!$A:$F,4,FALSE)-SUMIFS($E$2:$E5396,$C$2:$C5396,C5396,$D$2:$D5396,"*Package*"))</f>
        <v/>
      </c>
      <c r="G5396" t="str">
        <f t="shared" si="117"/>
        <v/>
      </c>
      <c r="H5396" s="33">
        <f>IF(ISNUMBER(SEARCH("Group",D5396)),IF(G5396="",E5396,IFERROR(E5396/COUNTIF($G2:$G6000,G5396),E5396)),E5396)</f>
        <v>0</v>
      </c>
      <c r="I5396" s="1" t="str">
        <f>IFERROR(VLOOKUP(C5396,'Clients List'!A:F,6,FALSE),"")</f>
        <v/>
      </c>
    </row>
    <row r="5397" spans="4:9" x14ac:dyDescent="0.45">
      <c r="D5397" t="str">
        <f>IFERROR(VLOOKUP(C5397,'Clients List'!$A:$F,2,FALSE),"")</f>
        <v/>
      </c>
      <c r="F5397" s="1" t="str">
        <f>IF(OR(C5397="",NOT(ISNUMBER(SEARCH("Package",D5397)))),"",VLOOKUP(C5397,'Clients List'!$A:$F,4,FALSE)-SUMIFS($E$2:$E5397,$C$2:$C5397,C5397,$D$2:$D5397,"*Package*"))</f>
        <v/>
      </c>
      <c r="G5397" t="str">
        <f t="shared" si="117"/>
        <v/>
      </c>
      <c r="H5397" s="33">
        <f>IF(ISNUMBER(SEARCH("Group",D5397)),IF(G5397="",E5397,IFERROR(E5397/COUNTIF($G2:$G6000,G5397),E5397)),E5397)</f>
        <v>0</v>
      </c>
      <c r="I5397" s="1" t="str">
        <f>IFERROR(VLOOKUP(C5397,'Clients List'!A:F,6,FALSE),"")</f>
        <v/>
      </c>
    </row>
    <row r="5398" spans="4:9" x14ac:dyDescent="0.45">
      <c r="D5398" t="str">
        <f>IFERROR(VLOOKUP(C5398,'Clients List'!$A:$F,2,FALSE),"")</f>
        <v/>
      </c>
      <c r="F5398" s="1" t="str">
        <f>IF(OR(C5398="",NOT(ISNUMBER(SEARCH("Package",D5398)))),"",VLOOKUP(C5398,'Clients List'!$A:$F,4,FALSE)-SUMIFS($E$2:$E5398,$C$2:$C5398,C5398,$D$2:$D5398,"*Package*"))</f>
        <v/>
      </c>
      <c r="G5398" t="str">
        <f t="shared" si="117"/>
        <v/>
      </c>
      <c r="H5398" s="33">
        <f>IF(ISNUMBER(SEARCH("Group",D5398)),IF(G5398="",E5398,IFERROR(E5398/COUNTIF($G2:$G6000,G5398),E5398)),E5398)</f>
        <v>0</v>
      </c>
      <c r="I5398" s="1" t="str">
        <f>IFERROR(VLOOKUP(C5398,'Clients List'!A:F,6,FALSE),"")</f>
        <v/>
      </c>
    </row>
    <row r="5399" spans="4:9" x14ac:dyDescent="0.45">
      <c r="D5399" t="str">
        <f>IFERROR(VLOOKUP(C5399,'Clients List'!$A:$F,2,FALSE),"")</f>
        <v/>
      </c>
      <c r="F5399" s="1" t="str">
        <f>IF(OR(C5399="",NOT(ISNUMBER(SEARCH("Package",D5399)))),"",VLOOKUP(C5399,'Clients List'!$A:$F,4,FALSE)-SUMIFS($E$2:$E5399,$C$2:$C5399,C5399,$D$2:$D5399,"*Package*"))</f>
        <v/>
      </c>
      <c r="G5399" t="str">
        <f t="shared" si="117"/>
        <v/>
      </c>
      <c r="H5399" s="33">
        <f>IF(ISNUMBER(SEARCH("Group",D5399)),IF(G5399="",E5399,IFERROR(E5399/COUNTIF($G2:$G6000,G5399),E5399)),E5399)</f>
        <v>0</v>
      </c>
      <c r="I5399" s="1" t="str">
        <f>IFERROR(VLOOKUP(C5399,'Clients List'!A:F,6,FALSE),"")</f>
        <v/>
      </c>
    </row>
    <row r="5400" spans="4:9" x14ac:dyDescent="0.45">
      <c r="D5400" t="str">
        <f>IFERROR(VLOOKUP(C5400,'Clients List'!$A:$F,2,FALSE),"")</f>
        <v/>
      </c>
      <c r="F5400" s="1" t="str">
        <f>IF(OR(C5400="",NOT(ISNUMBER(SEARCH("Package",D5400)))),"",VLOOKUP(C5400,'Clients List'!$A:$F,4,FALSE)-SUMIFS($E$2:$E5400,$C$2:$C5400,C5400,$D$2:$D5400,"*Package*"))</f>
        <v/>
      </c>
      <c r="G5400" t="str">
        <f t="shared" si="117"/>
        <v/>
      </c>
      <c r="H5400" s="33">
        <f>IF(ISNUMBER(SEARCH("Group",D5400)),IF(G5400="",E5400,IFERROR(E5400/COUNTIF($G2:$G6000,G5400),E5400)),E5400)</f>
        <v>0</v>
      </c>
      <c r="I5400" s="1" t="str">
        <f>IFERROR(VLOOKUP(C5400,'Clients List'!A:F,6,FALSE),"")</f>
        <v/>
      </c>
    </row>
    <row r="5401" spans="4:9" x14ac:dyDescent="0.45">
      <c r="D5401" t="str">
        <f>IFERROR(VLOOKUP(C5401,'Clients List'!$A:$F,2,FALSE),"")</f>
        <v/>
      </c>
      <c r="F5401" s="1" t="str">
        <f>IF(OR(C5401="",NOT(ISNUMBER(SEARCH("Package",D5401)))),"",VLOOKUP(C5401,'Clients List'!$A:$F,4,FALSE)-SUMIFS($E$2:$E5401,$C$2:$C5401,C5401,$D$2:$D5401,"*Package*"))</f>
        <v/>
      </c>
      <c r="G5401" t="str">
        <f t="shared" si="117"/>
        <v/>
      </c>
      <c r="H5401" s="33">
        <f>IF(ISNUMBER(SEARCH("Group",D5401)),IF(G5401="",E5401,IFERROR(E5401/COUNTIF($G2:$G6000,G5401),E5401)),E5401)</f>
        <v>0</v>
      </c>
      <c r="I5401" s="1" t="str">
        <f>IFERROR(VLOOKUP(C5401,'Clients List'!A:F,6,FALSE),"")</f>
        <v/>
      </c>
    </row>
    <row r="5402" spans="4:9" x14ac:dyDescent="0.45">
      <c r="D5402" t="str">
        <f>IFERROR(VLOOKUP(C5402,'Clients List'!$A:$F,2,FALSE),"")</f>
        <v/>
      </c>
      <c r="F5402" s="1" t="str">
        <f>IF(OR(C5402="",NOT(ISNUMBER(SEARCH("Package",D5402)))),"",VLOOKUP(C5402,'Clients List'!$A:$F,4,FALSE)-SUMIFS($E$2:$E5402,$C$2:$C5402,C5402,$D$2:$D5402,"*Package*"))</f>
        <v/>
      </c>
      <c r="G5402" t="str">
        <f t="shared" si="117"/>
        <v/>
      </c>
      <c r="H5402" s="33">
        <f>IF(ISNUMBER(SEARCH("Group",D5402)),IF(G5402="",E5402,IFERROR(E5402/COUNTIF($G2:$G6000,G5402),E5402)),E5402)</f>
        <v>0</v>
      </c>
      <c r="I5402" s="1" t="str">
        <f>IFERROR(VLOOKUP(C5402,'Clients List'!A:F,6,FALSE),"")</f>
        <v/>
      </c>
    </row>
    <row r="5403" spans="4:9" x14ac:dyDescent="0.45">
      <c r="D5403" t="str">
        <f>IFERROR(VLOOKUP(C5403,'Clients List'!$A:$F,2,FALSE),"")</f>
        <v/>
      </c>
      <c r="F5403" s="1" t="str">
        <f>IF(OR(C5403="",NOT(ISNUMBER(SEARCH("Package",D5403)))),"",VLOOKUP(C5403,'Clients List'!$A:$F,4,FALSE)-SUMIFS($E$2:$E5403,$C$2:$C5403,C5403,$D$2:$D5403,"*Package*"))</f>
        <v/>
      </c>
      <c r="G5403" t="str">
        <f t="shared" si="117"/>
        <v/>
      </c>
      <c r="H5403" s="33">
        <f>IF(ISNUMBER(SEARCH("Group",D5403)),IF(G5403="",E5403,IFERROR(E5403/COUNTIF($G2:$G6000,G5403),E5403)),E5403)</f>
        <v>0</v>
      </c>
      <c r="I5403" s="1" t="str">
        <f>IFERROR(VLOOKUP(C5403,'Clients List'!A:F,6,FALSE),"")</f>
        <v/>
      </c>
    </row>
    <row r="5404" spans="4:9" x14ac:dyDescent="0.45">
      <c r="D5404" t="str">
        <f>IFERROR(VLOOKUP(C5404,'Clients List'!$A:$F,2,FALSE),"")</f>
        <v/>
      </c>
      <c r="F5404" s="1" t="str">
        <f>IF(OR(C5404="",NOT(ISNUMBER(SEARCH("Package",D5404)))),"",VLOOKUP(C5404,'Clients List'!$A:$F,4,FALSE)-SUMIFS($E$2:$E5404,$C$2:$C5404,C5404,$D$2:$D5404,"*Package*"))</f>
        <v/>
      </c>
      <c r="G5404" t="str">
        <f t="shared" si="117"/>
        <v/>
      </c>
      <c r="H5404" s="33">
        <f>IF(ISNUMBER(SEARCH("Group",D5404)),IF(G5404="",E5404,IFERROR(E5404/COUNTIF($G2:$G6000,G5404),E5404)),E5404)</f>
        <v>0</v>
      </c>
      <c r="I5404" s="1" t="str">
        <f>IFERROR(VLOOKUP(C5404,'Clients List'!A:F,6,FALSE),"")</f>
        <v/>
      </c>
    </row>
    <row r="5405" spans="4:9" x14ac:dyDescent="0.45">
      <c r="D5405" t="str">
        <f>IFERROR(VLOOKUP(C5405,'Clients List'!$A:$F,2,FALSE),"")</f>
        <v/>
      </c>
      <c r="F5405" s="1" t="str">
        <f>IF(OR(C5405="",NOT(ISNUMBER(SEARCH("Package",D5405)))),"",VLOOKUP(C5405,'Clients List'!$A:$F,4,FALSE)-SUMIFS($E$2:$E5405,$C$2:$C5405,C5405,$D$2:$D5405,"*Package*"))</f>
        <v/>
      </c>
      <c r="G5405" t="str">
        <f t="shared" si="117"/>
        <v/>
      </c>
      <c r="H5405" s="33">
        <f>IF(ISNUMBER(SEARCH("Group",D5405)),IF(G5405="",E5405,IFERROR(E5405/COUNTIF($G2:$G6000,G5405),E5405)),E5405)</f>
        <v>0</v>
      </c>
      <c r="I5405" s="1" t="str">
        <f>IFERROR(VLOOKUP(C5405,'Clients List'!A:F,6,FALSE),"")</f>
        <v/>
      </c>
    </row>
    <row r="5406" spans="4:9" x14ac:dyDescent="0.45">
      <c r="D5406" t="str">
        <f>IFERROR(VLOOKUP(C5406,'Clients List'!$A:$F,2,FALSE),"")</f>
        <v/>
      </c>
      <c r="F5406" s="1" t="str">
        <f>IF(OR(C5406="",NOT(ISNUMBER(SEARCH("Package",D5406)))),"",VLOOKUP(C5406,'Clients List'!$A:$F,4,FALSE)-SUMIFS($E$2:$E5406,$C$2:$C5406,C5406,$D$2:$D5406,"*Package*"))</f>
        <v/>
      </c>
      <c r="G5406" t="str">
        <f t="shared" si="117"/>
        <v/>
      </c>
      <c r="H5406" s="33">
        <f>IF(ISNUMBER(SEARCH("Group",D5406)),IF(G5406="",E5406,IFERROR(E5406/COUNTIF($G2:$G6000,G5406),E5406)),E5406)</f>
        <v>0</v>
      </c>
      <c r="I5406" s="1" t="str">
        <f>IFERROR(VLOOKUP(C5406,'Clients List'!A:F,6,FALSE),"")</f>
        <v/>
      </c>
    </row>
    <row r="5407" spans="4:9" x14ac:dyDescent="0.45">
      <c r="D5407" t="str">
        <f>IFERROR(VLOOKUP(C5407,'Clients List'!$A:$F,2,FALSE),"")</f>
        <v/>
      </c>
      <c r="F5407" s="1" t="str">
        <f>IF(OR(C5407="",NOT(ISNUMBER(SEARCH("Package",D5407)))),"",VLOOKUP(C5407,'Clients List'!$A:$F,4,FALSE)-SUMIFS($E$2:$E5407,$C$2:$C5407,C5407,$D$2:$D5407,"*Package*"))</f>
        <v/>
      </c>
      <c r="G5407" t="str">
        <f t="shared" si="117"/>
        <v/>
      </c>
      <c r="H5407" s="33">
        <f>IF(ISNUMBER(SEARCH("Group",D5407)),IF(G5407="",E5407,IFERROR(E5407/COUNTIF($G2:$G6000,G5407),E5407)),E5407)</f>
        <v>0</v>
      </c>
      <c r="I5407" s="1" t="str">
        <f>IFERROR(VLOOKUP(C5407,'Clients List'!A:F,6,FALSE),"")</f>
        <v/>
      </c>
    </row>
    <row r="5408" spans="4:9" x14ac:dyDescent="0.45">
      <c r="D5408" t="str">
        <f>IFERROR(VLOOKUP(C5408,'Clients List'!$A:$F,2,FALSE),"")</f>
        <v/>
      </c>
      <c r="F5408" s="1" t="str">
        <f>IF(OR(C5408="",NOT(ISNUMBER(SEARCH("Package",D5408)))),"",VLOOKUP(C5408,'Clients List'!$A:$F,4,FALSE)-SUMIFS($E$2:$E5408,$C$2:$C5408,C5408,$D$2:$D5408,"*Package*"))</f>
        <v/>
      </c>
      <c r="G5408" t="str">
        <f t="shared" si="117"/>
        <v/>
      </c>
      <c r="H5408" s="33">
        <f>IF(ISNUMBER(SEARCH("Group",D5408)),IF(G5408="",E5408,IFERROR(E5408/COUNTIF($G2:$G6000,G5408),E5408)),E5408)</f>
        <v>0</v>
      </c>
      <c r="I5408" s="1" t="str">
        <f>IFERROR(VLOOKUP(C5408,'Clients List'!A:F,6,FALSE),"")</f>
        <v/>
      </c>
    </row>
    <row r="5409" spans="4:9" x14ac:dyDescent="0.45">
      <c r="D5409" t="str">
        <f>IFERROR(VLOOKUP(C5409,'Clients List'!$A:$F,2,FALSE),"")</f>
        <v/>
      </c>
      <c r="F5409" s="1" t="str">
        <f>IF(OR(C5409="",NOT(ISNUMBER(SEARCH("Package",D5409)))),"",VLOOKUP(C5409,'Clients List'!$A:$F,4,FALSE)-SUMIFS($E$2:$E5409,$C$2:$C5409,C5409,$D$2:$D5409,"*Package*"))</f>
        <v/>
      </c>
      <c r="G5409" t="str">
        <f t="shared" si="117"/>
        <v/>
      </c>
      <c r="H5409" s="33">
        <f>IF(ISNUMBER(SEARCH("Group",D5409)),IF(G5409="",E5409,IFERROR(E5409/COUNTIF($G2:$G6000,G5409),E5409)),E5409)</f>
        <v>0</v>
      </c>
      <c r="I5409" s="1" t="str">
        <f>IFERROR(VLOOKUP(C5409,'Clients List'!A:F,6,FALSE),"")</f>
        <v/>
      </c>
    </row>
    <row r="5410" spans="4:9" x14ac:dyDescent="0.45">
      <c r="D5410" t="str">
        <f>IFERROR(VLOOKUP(C5410,'Clients List'!$A:$F,2,FALSE),"")</f>
        <v/>
      </c>
      <c r="F5410" s="1" t="str">
        <f>IF(OR(C5410="",NOT(ISNUMBER(SEARCH("Package",D5410)))),"",VLOOKUP(C5410,'Clients List'!$A:$F,4,FALSE)-SUMIFS($E$2:$E5410,$C$2:$C5410,C5410,$D$2:$D5410,"*Package*"))</f>
        <v/>
      </c>
      <c r="G5410" t="str">
        <f t="shared" si="117"/>
        <v/>
      </c>
      <c r="H5410" s="33">
        <f>IF(ISNUMBER(SEARCH("Group",D5410)),IF(G5410="",E5410,IFERROR(E5410/COUNTIF($G2:$G6000,G5410),E5410)),E5410)</f>
        <v>0</v>
      </c>
      <c r="I5410" s="1" t="str">
        <f>IFERROR(VLOOKUP(C5410,'Clients List'!A:F,6,FALSE),"")</f>
        <v/>
      </c>
    </row>
    <row r="5411" spans="4:9" x14ac:dyDescent="0.45">
      <c r="D5411" t="str">
        <f>IFERROR(VLOOKUP(C5411,'Clients List'!$A:$F,2,FALSE),"")</f>
        <v/>
      </c>
      <c r="F5411" s="1" t="str">
        <f>IF(OR(C5411="",NOT(ISNUMBER(SEARCH("Package",D5411)))),"",VLOOKUP(C5411,'Clients List'!$A:$F,4,FALSE)-SUMIFS($E$2:$E5411,$C$2:$C5411,C5411,$D$2:$D5411,"*Package*"))</f>
        <v/>
      </c>
      <c r="G5411" t="str">
        <f t="shared" si="117"/>
        <v/>
      </c>
      <c r="H5411" s="33">
        <f>IF(ISNUMBER(SEARCH("Group",D5411)),IF(G5411="",E5411,IFERROR(E5411/COUNTIF($G2:$G6000,G5411),E5411)),E5411)</f>
        <v>0</v>
      </c>
      <c r="I5411" s="1" t="str">
        <f>IFERROR(VLOOKUP(C5411,'Clients List'!A:F,6,FALSE),"")</f>
        <v/>
      </c>
    </row>
    <row r="5412" spans="4:9" x14ac:dyDescent="0.45">
      <c r="D5412" t="str">
        <f>IFERROR(VLOOKUP(C5412,'Clients List'!$A:$F,2,FALSE),"")</f>
        <v/>
      </c>
      <c r="F5412" s="1" t="str">
        <f>IF(OR(C5412="",NOT(ISNUMBER(SEARCH("Package",D5412)))),"",VLOOKUP(C5412,'Clients List'!$A:$F,4,FALSE)-SUMIFS($E$2:$E5412,$C$2:$C5412,C5412,$D$2:$D5412,"*Package*"))</f>
        <v/>
      </c>
      <c r="G5412" t="str">
        <f t="shared" si="117"/>
        <v/>
      </c>
      <c r="H5412" s="33">
        <f>IF(ISNUMBER(SEARCH("Group",D5412)),IF(G5412="",E5412,IFERROR(E5412/COUNTIF($G2:$G6000,G5412),E5412)),E5412)</f>
        <v>0</v>
      </c>
      <c r="I5412" s="1" t="str">
        <f>IFERROR(VLOOKUP(C5412,'Clients List'!A:F,6,FALSE),"")</f>
        <v/>
      </c>
    </row>
    <row r="5413" spans="4:9" x14ac:dyDescent="0.45">
      <c r="D5413" t="str">
        <f>IFERROR(VLOOKUP(C5413,'Clients List'!$A:$F,2,FALSE),"")</f>
        <v/>
      </c>
      <c r="F5413" s="1" t="str">
        <f>IF(OR(C5413="",NOT(ISNUMBER(SEARCH("Package",D5413)))),"",VLOOKUP(C5413,'Clients List'!$A:$F,4,FALSE)-SUMIFS($E$2:$E5413,$C$2:$C5413,C5413,$D$2:$D5413,"*Package*"))</f>
        <v/>
      </c>
      <c r="G5413" t="str">
        <f t="shared" si="117"/>
        <v/>
      </c>
      <c r="H5413" s="33">
        <f>IF(ISNUMBER(SEARCH("Group",D5413)),IF(G5413="",E5413,IFERROR(E5413/COUNTIF($G2:$G6000,G5413),E5413)),E5413)</f>
        <v>0</v>
      </c>
      <c r="I5413" s="1" t="str">
        <f>IFERROR(VLOOKUP(C5413,'Clients List'!A:F,6,FALSE),"")</f>
        <v/>
      </c>
    </row>
    <row r="5414" spans="4:9" x14ac:dyDescent="0.45">
      <c r="D5414" t="str">
        <f>IFERROR(VLOOKUP(C5414,'Clients List'!$A:$F,2,FALSE),"")</f>
        <v/>
      </c>
      <c r="F5414" s="1" t="str">
        <f>IF(OR(C5414="",NOT(ISNUMBER(SEARCH("Package",D5414)))),"",VLOOKUP(C5414,'Clients List'!$A:$F,4,FALSE)-SUMIFS($E$2:$E5414,$C$2:$C5414,C5414,$D$2:$D5414,"*Package*"))</f>
        <v/>
      </c>
      <c r="G5414" t="str">
        <f t="shared" si="117"/>
        <v/>
      </c>
      <c r="H5414" s="33">
        <f>IF(ISNUMBER(SEARCH("Group",D5414)),IF(G5414="",E5414,IFERROR(E5414/COUNTIF($G2:$G6000,G5414),E5414)),E5414)</f>
        <v>0</v>
      </c>
      <c r="I5414" s="1" t="str">
        <f>IFERROR(VLOOKUP(C5414,'Clients List'!A:F,6,FALSE),"")</f>
        <v/>
      </c>
    </row>
    <row r="5415" spans="4:9" x14ac:dyDescent="0.45">
      <c r="D5415" t="str">
        <f>IFERROR(VLOOKUP(C5415,'Clients List'!$A:$F,2,FALSE),"")</f>
        <v/>
      </c>
      <c r="F5415" s="1" t="str">
        <f>IF(OR(C5415="",NOT(ISNUMBER(SEARCH("Package",D5415)))),"",VLOOKUP(C5415,'Clients List'!$A:$F,4,FALSE)-SUMIFS($E$2:$E5415,$C$2:$C5415,C5415,$D$2:$D5415,"*Package*"))</f>
        <v/>
      </c>
      <c r="G5415" t="str">
        <f t="shared" si="117"/>
        <v/>
      </c>
      <c r="H5415" s="33">
        <f>IF(ISNUMBER(SEARCH("Group",D5415)),IF(G5415="",E5415,IFERROR(E5415/COUNTIF($G2:$G6000,G5415),E5415)),E5415)</f>
        <v>0</v>
      </c>
      <c r="I5415" s="1" t="str">
        <f>IFERROR(VLOOKUP(C5415,'Clients List'!A:F,6,FALSE),"")</f>
        <v/>
      </c>
    </row>
    <row r="5416" spans="4:9" x14ac:dyDescent="0.45">
      <c r="D5416" t="str">
        <f>IFERROR(VLOOKUP(C5416,'Clients List'!$A:$F,2,FALSE),"")</f>
        <v/>
      </c>
      <c r="F5416" s="1" t="str">
        <f>IF(OR(C5416="",NOT(ISNUMBER(SEARCH("Package",D5416)))),"",VLOOKUP(C5416,'Clients List'!$A:$F,4,FALSE)-SUMIFS($E$2:$E5416,$C$2:$C5416,C5416,$D$2:$D5416,"*Package*"))</f>
        <v/>
      </c>
      <c r="G5416" t="str">
        <f t="shared" si="117"/>
        <v/>
      </c>
      <c r="H5416" s="33">
        <f>IF(ISNUMBER(SEARCH("Group",D5416)),IF(G5416="",E5416,IFERROR(E5416/COUNTIF($G2:$G6000,G5416),E5416)),E5416)</f>
        <v>0</v>
      </c>
      <c r="I5416" s="1" t="str">
        <f>IFERROR(VLOOKUP(C5416,'Clients List'!A:F,6,FALSE),"")</f>
        <v/>
      </c>
    </row>
    <row r="5417" spans="4:9" x14ac:dyDescent="0.45">
      <c r="D5417" t="str">
        <f>IFERROR(VLOOKUP(C5417,'Clients List'!$A:$F,2,FALSE),"")</f>
        <v/>
      </c>
      <c r="F5417" s="1" t="str">
        <f>IF(OR(C5417="",NOT(ISNUMBER(SEARCH("Package",D5417)))),"",VLOOKUP(C5417,'Clients List'!$A:$F,4,FALSE)-SUMIFS($E$2:$E5417,$C$2:$C5417,C5417,$D$2:$D5417,"*Package*"))</f>
        <v/>
      </c>
      <c r="G5417" t="str">
        <f t="shared" si="117"/>
        <v/>
      </c>
      <c r="H5417" s="33">
        <f>IF(ISNUMBER(SEARCH("Group",D5417)),IF(G5417="",E5417,IFERROR(E5417/COUNTIF($G2:$G6000,G5417),E5417)),E5417)</f>
        <v>0</v>
      </c>
      <c r="I5417" s="1" t="str">
        <f>IFERROR(VLOOKUP(C5417,'Clients List'!A:F,6,FALSE),"")</f>
        <v/>
      </c>
    </row>
    <row r="5418" spans="4:9" x14ac:dyDescent="0.45">
      <c r="D5418" t="str">
        <f>IFERROR(VLOOKUP(C5418,'Clients List'!$A:$F,2,FALSE),"")</f>
        <v/>
      </c>
      <c r="F5418" s="1" t="str">
        <f>IF(OR(C5418="",NOT(ISNUMBER(SEARCH("Package",D5418)))),"",VLOOKUP(C5418,'Clients List'!$A:$F,4,FALSE)-SUMIFS($E$2:$E5418,$C$2:$C5418,C5418,$D$2:$D5418,"*Package*"))</f>
        <v/>
      </c>
      <c r="G5418" t="str">
        <f t="shared" si="117"/>
        <v/>
      </c>
      <c r="H5418" s="33">
        <f>IF(ISNUMBER(SEARCH("Group",D5418)),IF(G5418="",E5418,IFERROR(E5418/COUNTIF($G2:$G6000,G5418),E5418)),E5418)</f>
        <v>0</v>
      </c>
      <c r="I5418" s="1" t="str">
        <f>IFERROR(VLOOKUP(C5418,'Clients List'!A:F,6,FALSE),"")</f>
        <v/>
      </c>
    </row>
    <row r="5419" spans="4:9" x14ac:dyDescent="0.45">
      <c r="D5419" t="str">
        <f>IFERROR(VLOOKUP(C5419,'Clients List'!$A:$F,2,FALSE),"")</f>
        <v/>
      </c>
      <c r="F5419" s="1" t="str">
        <f>IF(OR(C5419="",NOT(ISNUMBER(SEARCH("Package",D5419)))),"",VLOOKUP(C5419,'Clients List'!$A:$F,4,FALSE)-SUMIFS($E$2:$E5419,$C$2:$C5419,C5419,$D$2:$D5419,"*Package*"))</f>
        <v/>
      </c>
      <c r="G5419" t="str">
        <f t="shared" si="117"/>
        <v/>
      </c>
      <c r="H5419" s="33">
        <f>IF(ISNUMBER(SEARCH("Group",D5419)),IF(G5419="",E5419,IFERROR(E5419/COUNTIF($G2:$G6000,G5419),E5419)),E5419)</f>
        <v>0</v>
      </c>
      <c r="I5419" s="1" t="str">
        <f>IFERROR(VLOOKUP(C5419,'Clients List'!A:F,6,FALSE),"")</f>
        <v/>
      </c>
    </row>
    <row r="5420" spans="4:9" x14ac:dyDescent="0.45">
      <c r="D5420" t="str">
        <f>IFERROR(VLOOKUP(C5420,'Clients List'!$A:$F,2,FALSE),"")</f>
        <v/>
      </c>
      <c r="F5420" s="1" t="str">
        <f>IF(OR(C5420="",NOT(ISNUMBER(SEARCH("Package",D5420)))),"",VLOOKUP(C5420,'Clients List'!$A:$F,4,FALSE)-SUMIFS($E$2:$E5420,$C$2:$C5420,C5420,$D$2:$D5420,"*Package*"))</f>
        <v/>
      </c>
      <c r="G5420" t="str">
        <f t="shared" si="117"/>
        <v/>
      </c>
      <c r="H5420" s="33">
        <f>IF(ISNUMBER(SEARCH("Group",D5420)),IF(G5420="",E5420,IFERROR(E5420/COUNTIF($G2:$G6000,G5420),E5420)),E5420)</f>
        <v>0</v>
      </c>
      <c r="I5420" s="1" t="str">
        <f>IFERROR(VLOOKUP(C5420,'Clients List'!A:F,6,FALSE),"")</f>
        <v/>
      </c>
    </row>
    <row r="5421" spans="4:9" x14ac:dyDescent="0.45">
      <c r="D5421" t="str">
        <f>IFERROR(VLOOKUP(C5421,'Clients List'!$A:$F,2,FALSE),"")</f>
        <v/>
      </c>
      <c r="F5421" s="1" t="str">
        <f>IF(OR(C5421="",NOT(ISNUMBER(SEARCH("Package",D5421)))),"",VLOOKUP(C5421,'Clients List'!$A:$F,4,FALSE)-SUMIFS($E$2:$E5421,$C$2:$C5421,C5421,$D$2:$D5421,"*Package*"))</f>
        <v/>
      </c>
      <c r="G5421" t="str">
        <f t="shared" si="117"/>
        <v/>
      </c>
      <c r="H5421" s="33">
        <f>IF(ISNUMBER(SEARCH("Group",D5421)),IF(G5421="",E5421,IFERROR(E5421/COUNTIF($G2:$G6000,G5421),E5421)),E5421)</f>
        <v>0</v>
      </c>
      <c r="I5421" s="1" t="str">
        <f>IFERROR(VLOOKUP(C5421,'Clients List'!A:F,6,FALSE),"")</f>
        <v/>
      </c>
    </row>
    <row r="5422" spans="4:9" x14ac:dyDescent="0.45">
      <c r="D5422" t="str">
        <f>IFERROR(VLOOKUP(C5422,'Clients List'!$A:$F,2,FALSE),"")</f>
        <v/>
      </c>
      <c r="F5422" s="1" t="str">
        <f>IF(OR(C5422="",NOT(ISNUMBER(SEARCH("Package",D5422)))),"",VLOOKUP(C5422,'Clients List'!$A:$F,4,FALSE)-SUMIFS($E$2:$E5422,$C$2:$C5422,C5422,$D$2:$D5422,"*Package*"))</f>
        <v/>
      </c>
      <c r="G5422" t="str">
        <f t="shared" si="117"/>
        <v/>
      </c>
      <c r="H5422" s="33">
        <f>IF(ISNUMBER(SEARCH("Group",D5422)),IF(G5422="",E5422,IFERROR(E5422/COUNTIF($G2:$G6000,G5422),E5422)),E5422)</f>
        <v>0</v>
      </c>
      <c r="I5422" s="1" t="str">
        <f>IFERROR(VLOOKUP(C5422,'Clients List'!A:F,6,FALSE),"")</f>
        <v/>
      </c>
    </row>
    <row r="5423" spans="4:9" x14ac:dyDescent="0.45">
      <c r="D5423" t="str">
        <f>IFERROR(VLOOKUP(C5423,'Clients List'!$A:$F,2,FALSE),"")</f>
        <v/>
      </c>
      <c r="F5423" s="1" t="str">
        <f>IF(OR(C5423="",NOT(ISNUMBER(SEARCH("Package",D5423)))),"",VLOOKUP(C5423,'Clients List'!$A:$F,4,FALSE)-SUMIFS($E$2:$E5423,$C$2:$C5423,C5423,$D$2:$D5423,"*Package*"))</f>
        <v/>
      </c>
      <c r="G5423" t="str">
        <f t="shared" si="117"/>
        <v/>
      </c>
      <c r="H5423" s="33">
        <f>IF(ISNUMBER(SEARCH("Group",D5423)),IF(G5423="",E5423,IFERROR(E5423/COUNTIF($G2:$G6000,G5423),E5423)),E5423)</f>
        <v>0</v>
      </c>
      <c r="I5423" s="1" t="str">
        <f>IFERROR(VLOOKUP(C5423,'Clients List'!A:F,6,FALSE),"")</f>
        <v/>
      </c>
    </row>
    <row r="5424" spans="4:9" x14ac:dyDescent="0.45">
      <c r="D5424" t="str">
        <f>IFERROR(VLOOKUP(C5424,'Clients List'!$A:$F,2,FALSE),"")</f>
        <v/>
      </c>
      <c r="F5424" s="1" t="str">
        <f>IF(OR(C5424="",NOT(ISNUMBER(SEARCH("Package",D5424)))),"",VLOOKUP(C5424,'Clients List'!$A:$F,4,FALSE)-SUMIFS($E$2:$E5424,$C$2:$C5424,C5424,$D$2:$D5424,"*Package*"))</f>
        <v/>
      </c>
      <c r="G5424" t="str">
        <f t="shared" si="117"/>
        <v/>
      </c>
      <c r="H5424" s="33">
        <f>IF(ISNUMBER(SEARCH("Group",D5424)),IF(G5424="",E5424,IFERROR(E5424/COUNTIF($G2:$G6000,G5424),E5424)),E5424)</f>
        <v>0</v>
      </c>
      <c r="I5424" s="1" t="str">
        <f>IFERROR(VLOOKUP(C5424,'Clients List'!A:F,6,FALSE),"")</f>
        <v/>
      </c>
    </row>
    <row r="5425" spans="4:9" x14ac:dyDescent="0.45">
      <c r="D5425" t="str">
        <f>IFERROR(VLOOKUP(C5425,'Clients List'!$A:$F,2,FALSE),"")</f>
        <v/>
      </c>
      <c r="F5425" s="1" t="str">
        <f>IF(OR(C5425="",NOT(ISNUMBER(SEARCH("Package",D5425)))),"",VLOOKUP(C5425,'Clients List'!$A:$F,4,FALSE)-SUMIFS($E$2:$E5425,$C$2:$C5425,C5425,$D$2:$D5425,"*Package*"))</f>
        <v/>
      </c>
      <c r="G5425" t="str">
        <f t="shared" si="117"/>
        <v/>
      </c>
      <c r="H5425" s="33">
        <f>IF(ISNUMBER(SEARCH("Group",D5425)),IF(G5425="",E5425,IFERROR(E5425/COUNTIF($G2:$G6000,G5425),E5425)),E5425)</f>
        <v>0</v>
      </c>
      <c r="I5425" s="1" t="str">
        <f>IFERROR(VLOOKUP(C5425,'Clients List'!A:F,6,FALSE),"")</f>
        <v/>
      </c>
    </row>
    <row r="5426" spans="4:9" x14ac:dyDescent="0.45">
      <c r="D5426" t="str">
        <f>IFERROR(VLOOKUP(C5426,'Clients List'!$A:$F,2,FALSE),"")</f>
        <v/>
      </c>
      <c r="F5426" s="1" t="str">
        <f>IF(OR(C5426="",NOT(ISNUMBER(SEARCH("Package",D5426)))),"",VLOOKUP(C5426,'Clients List'!$A:$F,4,FALSE)-SUMIFS($E$2:$E5426,$C$2:$C5426,C5426,$D$2:$D5426,"*Package*"))</f>
        <v/>
      </c>
      <c r="G5426" t="str">
        <f t="shared" si="117"/>
        <v/>
      </c>
      <c r="H5426" s="33">
        <f>IF(ISNUMBER(SEARCH("Group",D5426)),IF(G5426="",E5426,IFERROR(E5426/COUNTIF($G2:$G6000,G5426),E5426)),E5426)</f>
        <v>0</v>
      </c>
      <c r="I5426" s="1" t="str">
        <f>IFERROR(VLOOKUP(C5426,'Clients List'!A:F,6,FALSE),"")</f>
        <v/>
      </c>
    </row>
    <row r="5427" spans="4:9" x14ac:dyDescent="0.45">
      <c r="D5427" t="str">
        <f>IFERROR(VLOOKUP(C5427,'Clients List'!$A:$F,2,FALSE),"")</f>
        <v/>
      </c>
      <c r="F5427" s="1" t="str">
        <f>IF(OR(C5427="",NOT(ISNUMBER(SEARCH("Package",D5427)))),"",VLOOKUP(C5427,'Clients List'!$A:$F,4,FALSE)-SUMIFS($E$2:$E5427,$C$2:$C5427,C5427,$D$2:$D5427,"*Package*"))</f>
        <v/>
      </c>
      <c r="G5427" t="str">
        <f t="shared" si="117"/>
        <v/>
      </c>
      <c r="H5427" s="33">
        <f>IF(ISNUMBER(SEARCH("Group",D5427)),IF(G5427="",E5427,IFERROR(E5427/COUNTIF($G2:$G6000,G5427),E5427)),E5427)</f>
        <v>0</v>
      </c>
      <c r="I5427" s="1" t="str">
        <f>IFERROR(VLOOKUP(C5427,'Clients List'!A:F,6,FALSE),"")</f>
        <v/>
      </c>
    </row>
    <row r="5428" spans="4:9" x14ac:dyDescent="0.45">
      <c r="D5428" t="str">
        <f>IFERROR(VLOOKUP(C5428,'Clients List'!$A:$F,2,FALSE),"")</f>
        <v/>
      </c>
      <c r="F5428" s="1" t="str">
        <f>IF(OR(C5428="",NOT(ISNUMBER(SEARCH("Package",D5428)))),"",VLOOKUP(C5428,'Clients List'!$A:$F,4,FALSE)-SUMIFS($E$2:$E5428,$C$2:$C5428,C5428,$D$2:$D5428,"*Package*"))</f>
        <v/>
      </c>
      <c r="G5428" t="str">
        <f t="shared" si="117"/>
        <v/>
      </c>
      <c r="H5428" s="33">
        <f>IF(ISNUMBER(SEARCH("Group",D5428)),IF(G5428="",E5428,IFERROR(E5428/COUNTIF($G2:$G6000,G5428),E5428)),E5428)</f>
        <v>0</v>
      </c>
      <c r="I5428" s="1" t="str">
        <f>IFERROR(VLOOKUP(C5428,'Clients List'!A:F,6,FALSE),"")</f>
        <v/>
      </c>
    </row>
    <row r="5429" spans="4:9" x14ac:dyDescent="0.45">
      <c r="D5429" t="str">
        <f>IFERROR(VLOOKUP(C5429,'Clients List'!$A:$F,2,FALSE),"")</f>
        <v/>
      </c>
      <c r="F5429" s="1" t="str">
        <f>IF(OR(C5429="",NOT(ISNUMBER(SEARCH("Package",D5429)))),"",VLOOKUP(C5429,'Clients List'!$A:$F,4,FALSE)-SUMIFS($E$2:$E5429,$C$2:$C5429,C5429,$D$2:$D5429,"*Package*"))</f>
        <v/>
      </c>
      <c r="G5429" t="str">
        <f t="shared" ref="G5429:G5492" si="118">IF(ISNUMBER(SEARCH("Group",D5429)),IFERROR("GRP-"&amp;TEXT(IF(ISNUMBER(A5429),A5429,DATEVALUE(A5429)),"yyyymmdd"),""),"" )</f>
        <v/>
      </c>
      <c r="H5429" s="33">
        <f>IF(ISNUMBER(SEARCH("Group",D5429)),IF(G5429="",E5429,IFERROR(E5429/COUNTIF($G2:$G6000,G5429),E5429)),E5429)</f>
        <v>0</v>
      </c>
      <c r="I5429" s="1" t="str">
        <f>IFERROR(VLOOKUP(C5429,'Clients List'!A:F,6,FALSE),"")</f>
        <v/>
      </c>
    </row>
    <row r="5430" spans="4:9" x14ac:dyDescent="0.45">
      <c r="D5430" t="str">
        <f>IFERROR(VLOOKUP(C5430,'Clients List'!$A:$F,2,FALSE),"")</f>
        <v/>
      </c>
      <c r="F5430" s="1" t="str">
        <f>IF(OR(C5430="",NOT(ISNUMBER(SEARCH("Package",D5430)))),"",VLOOKUP(C5430,'Clients List'!$A:$F,4,FALSE)-SUMIFS($E$2:$E5430,$C$2:$C5430,C5430,$D$2:$D5430,"*Package*"))</f>
        <v/>
      </c>
      <c r="G5430" t="str">
        <f t="shared" si="118"/>
        <v/>
      </c>
      <c r="H5430" s="33">
        <f>IF(ISNUMBER(SEARCH("Group",D5430)),IF(G5430="",E5430,IFERROR(E5430/COUNTIF($G2:$G6000,G5430),E5430)),E5430)</f>
        <v>0</v>
      </c>
      <c r="I5430" s="1" t="str">
        <f>IFERROR(VLOOKUP(C5430,'Clients List'!A:F,6,FALSE),"")</f>
        <v/>
      </c>
    </row>
    <row r="5431" spans="4:9" x14ac:dyDescent="0.45">
      <c r="D5431" t="str">
        <f>IFERROR(VLOOKUP(C5431,'Clients List'!$A:$F,2,FALSE),"")</f>
        <v/>
      </c>
      <c r="F5431" s="1" t="str">
        <f>IF(OR(C5431="",NOT(ISNUMBER(SEARCH("Package",D5431)))),"",VLOOKUP(C5431,'Clients List'!$A:$F,4,FALSE)-SUMIFS($E$2:$E5431,$C$2:$C5431,C5431,$D$2:$D5431,"*Package*"))</f>
        <v/>
      </c>
      <c r="G5431" t="str">
        <f t="shared" si="118"/>
        <v/>
      </c>
      <c r="H5431" s="33">
        <f>IF(ISNUMBER(SEARCH("Group",D5431)),IF(G5431="",E5431,IFERROR(E5431/COUNTIF($G2:$G6000,G5431),E5431)),E5431)</f>
        <v>0</v>
      </c>
      <c r="I5431" s="1" t="str">
        <f>IFERROR(VLOOKUP(C5431,'Clients List'!A:F,6,FALSE),"")</f>
        <v/>
      </c>
    </row>
    <row r="5432" spans="4:9" x14ac:dyDescent="0.45">
      <c r="D5432" t="str">
        <f>IFERROR(VLOOKUP(C5432,'Clients List'!$A:$F,2,FALSE),"")</f>
        <v/>
      </c>
      <c r="F5432" s="1" t="str">
        <f>IF(OR(C5432="",NOT(ISNUMBER(SEARCH("Package",D5432)))),"",VLOOKUP(C5432,'Clients List'!$A:$F,4,FALSE)-SUMIFS($E$2:$E5432,$C$2:$C5432,C5432,$D$2:$D5432,"*Package*"))</f>
        <v/>
      </c>
      <c r="G5432" t="str">
        <f t="shared" si="118"/>
        <v/>
      </c>
      <c r="H5432" s="33">
        <f>IF(ISNUMBER(SEARCH("Group",D5432)),IF(G5432="",E5432,IFERROR(E5432/COUNTIF($G2:$G6000,G5432),E5432)),E5432)</f>
        <v>0</v>
      </c>
      <c r="I5432" s="1" t="str">
        <f>IFERROR(VLOOKUP(C5432,'Clients List'!A:F,6,FALSE),"")</f>
        <v/>
      </c>
    </row>
    <row r="5433" spans="4:9" x14ac:dyDescent="0.45">
      <c r="D5433" t="str">
        <f>IFERROR(VLOOKUP(C5433,'Clients List'!$A:$F,2,FALSE),"")</f>
        <v/>
      </c>
      <c r="F5433" s="1" t="str">
        <f>IF(OR(C5433="",NOT(ISNUMBER(SEARCH("Package",D5433)))),"",VLOOKUP(C5433,'Clients List'!$A:$F,4,FALSE)-SUMIFS($E$2:$E5433,$C$2:$C5433,C5433,$D$2:$D5433,"*Package*"))</f>
        <v/>
      </c>
      <c r="G5433" t="str">
        <f t="shared" si="118"/>
        <v/>
      </c>
      <c r="H5433" s="33">
        <f>IF(ISNUMBER(SEARCH("Group",D5433)),IF(G5433="",E5433,IFERROR(E5433/COUNTIF($G2:$G6000,G5433),E5433)),E5433)</f>
        <v>0</v>
      </c>
      <c r="I5433" s="1" t="str">
        <f>IFERROR(VLOOKUP(C5433,'Clients List'!A:F,6,FALSE),"")</f>
        <v/>
      </c>
    </row>
    <row r="5434" spans="4:9" x14ac:dyDescent="0.45">
      <c r="D5434" t="str">
        <f>IFERROR(VLOOKUP(C5434,'Clients List'!$A:$F,2,FALSE),"")</f>
        <v/>
      </c>
      <c r="F5434" s="1" t="str">
        <f>IF(OR(C5434="",NOT(ISNUMBER(SEARCH("Package",D5434)))),"",VLOOKUP(C5434,'Clients List'!$A:$F,4,FALSE)-SUMIFS($E$2:$E5434,$C$2:$C5434,C5434,$D$2:$D5434,"*Package*"))</f>
        <v/>
      </c>
      <c r="G5434" t="str">
        <f t="shared" si="118"/>
        <v/>
      </c>
      <c r="H5434" s="33">
        <f>IF(ISNUMBER(SEARCH("Group",D5434)),IF(G5434="",E5434,IFERROR(E5434/COUNTIF($G2:$G6000,G5434),E5434)),E5434)</f>
        <v>0</v>
      </c>
      <c r="I5434" s="1" t="str">
        <f>IFERROR(VLOOKUP(C5434,'Clients List'!A:F,6,FALSE),"")</f>
        <v/>
      </c>
    </row>
    <row r="5435" spans="4:9" x14ac:dyDescent="0.45">
      <c r="D5435" t="str">
        <f>IFERROR(VLOOKUP(C5435,'Clients List'!$A:$F,2,FALSE),"")</f>
        <v/>
      </c>
      <c r="F5435" s="1" t="str">
        <f>IF(OR(C5435="",NOT(ISNUMBER(SEARCH("Package",D5435)))),"",VLOOKUP(C5435,'Clients List'!$A:$F,4,FALSE)-SUMIFS($E$2:$E5435,$C$2:$C5435,C5435,$D$2:$D5435,"*Package*"))</f>
        <v/>
      </c>
      <c r="G5435" t="str">
        <f t="shared" si="118"/>
        <v/>
      </c>
      <c r="H5435" s="33">
        <f>IF(ISNUMBER(SEARCH("Group",D5435)),IF(G5435="",E5435,IFERROR(E5435/COUNTIF($G2:$G6000,G5435),E5435)),E5435)</f>
        <v>0</v>
      </c>
      <c r="I5435" s="1" t="str">
        <f>IFERROR(VLOOKUP(C5435,'Clients List'!A:F,6,FALSE),"")</f>
        <v/>
      </c>
    </row>
    <row r="5436" spans="4:9" x14ac:dyDescent="0.45">
      <c r="D5436" t="str">
        <f>IFERROR(VLOOKUP(C5436,'Clients List'!$A:$F,2,FALSE),"")</f>
        <v/>
      </c>
      <c r="F5436" s="1" t="str">
        <f>IF(OR(C5436="",NOT(ISNUMBER(SEARCH("Package",D5436)))),"",VLOOKUP(C5436,'Clients List'!$A:$F,4,FALSE)-SUMIFS($E$2:$E5436,$C$2:$C5436,C5436,$D$2:$D5436,"*Package*"))</f>
        <v/>
      </c>
      <c r="G5436" t="str">
        <f t="shared" si="118"/>
        <v/>
      </c>
      <c r="H5436" s="33">
        <f>IF(ISNUMBER(SEARCH("Group",D5436)),IF(G5436="",E5436,IFERROR(E5436/COUNTIF($G2:$G6000,G5436),E5436)),E5436)</f>
        <v>0</v>
      </c>
      <c r="I5436" s="1" t="str">
        <f>IFERROR(VLOOKUP(C5436,'Clients List'!A:F,6,FALSE),"")</f>
        <v/>
      </c>
    </row>
    <row r="5437" spans="4:9" x14ac:dyDescent="0.45">
      <c r="D5437" t="str">
        <f>IFERROR(VLOOKUP(C5437,'Clients List'!$A:$F,2,FALSE),"")</f>
        <v/>
      </c>
      <c r="F5437" s="1" t="str">
        <f>IF(OR(C5437="",NOT(ISNUMBER(SEARCH("Package",D5437)))),"",VLOOKUP(C5437,'Clients List'!$A:$F,4,FALSE)-SUMIFS($E$2:$E5437,$C$2:$C5437,C5437,$D$2:$D5437,"*Package*"))</f>
        <v/>
      </c>
      <c r="G5437" t="str">
        <f t="shared" si="118"/>
        <v/>
      </c>
      <c r="H5437" s="33">
        <f>IF(ISNUMBER(SEARCH("Group",D5437)),IF(G5437="",E5437,IFERROR(E5437/COUNTIF($G2:$G6000,G5437),E5437)),E5437)</f>
        <v>0</v>
      </c>
      <c r="I5437" s="1" t="str">
        <f>IFERROR(VLOOKUP(C5437,'Clients List'!A:F,6,FALSE),"")</f>
        <v/>
      </c>
    </row>
    <row r="5438" spans="4:9" x14ac:dyDescent="0.45">
      <c r="D5438" t="str">
        <f>IFERROR(VLOOKUP(C5438,'Clients List'!$A:$F,2,FALSE),"")</f>
        <v/>
      </c>
      <c r="F5438" s="1" t="str">
        <f>IF(OR(C5438="",NOT(ISNUMBER(SEARCH("Package",D5438)))),"",VLOOKUP(C5438,'Clients List'!$A:$F,4,FALSE)-SUMIFS($E$2:$E5438,$C$2:$C5438,C5438,$D$2:$D5438,"*Package*"))</f>
        <v/>
      </c>
      <c r="G5438" t="str">
        <f t="shared" si="118"/>
        <v/>
      </c>
      <c r="H5438" s="33">
        <f>IF(ISNUMBER(SEARCH("Group",D5438)),IF(G5438="",E5438,IFERROR(E5438/COUNTIF($G2:$G6000,G5438),E5438)),E5438)</f>
        <v>0</v>
      </c>
      <c r="I5438" s="1" t="str">
        <f>IFERROR(VLOOKUP(C5438,'Clients List'!A:F,6,FALSE),"")</f>
        <v/>
      </c>
    </row>
    <row r="5439" spans="4:9" x14ac:dyDescent="0.45">
      <c r="D5439" t="str">
        <f>IFERROR(VLOOKUP(C5439,'Clients List'!$A:$F,2,FALSE),"")</f>
        <v/>
      </c>
      <c r="F5439" s="1" t="str">
        <f>IF(OR(C5439="",NOT(ISNUMBER(SEARCH("Package",D5439)))),"",VLOOKUP(C5439,'Clients List'!$A:$F,4,FALSE)-SUMIFS($E$2:$E5439,$C$2:$C5439,C5439,$D$2:$D5439,"*Package*"))</f>
        <v/>
      </c>
      <c r="G5439" t="str">
        <f t="shared" si="118"/>
        <v/>
      </c>
      <c r="H5439" s="33">
        <f>IF(ISNUMBER(SEARCH("Group",D5439)),IF(G5439="",E5439,IFERROR(E5439/COUNTIF($G2:$G6000,G5439),E5439)),E5439)</f>
        <v>0</v>
      </c>
      <c r="I5439" s="1" t="str">
        <f>IFERROR(VLOOKUP(C5439,'Clients List'!A:F,6,FALSE),"")</f>
        <v/>
      </c>
    </row>
    <row r="5440" spans="4:9" x14ac:dyDescent="0.45">
      <c r="D5440" t="str">
        <f>IFERROR(VLOOKUP(C5440,'Clients List'!$A:$F,2,FALSE),"")</f>
        <v/>
      </c>
      <c r="F5440" s="1" t="str">
        <f>IF(OR(C5440="",NOT(ISNUMBER(SEARCH("Package",D5440)))),"",VLOOKUP(C5440,'Clients List'!$A:$F,4,FALSE)-SUMIFS($E$2:$E5440,$C$2:$C5440,C5440,$D$2:$D5440,"*Package*"))</f>
        <v/>
      </c>
      <c r="G5440" t="str">
        <f t="shared" si="118"/>
        <v/>
      </c>
      <c r="H5440" s="33">
        <f>IF(ISNUMBER(SEARCH("Group",D5440)),IF(G5440="",E5440,IFERROR(E5440/COUNTIF($G2:$G6000,G5440),E5440)),E5440)</f>
        <v>0</v>
      </c>
      <c r="I5440" s="1" t="str">
        <f>IFERROR(VLOOKUP(C5440,'Clients List'!A:F,6,FALSE),"")</f>
        <v/>
      </c>
    </row>
    <row r="5441" spans="4:9" x14ac:dyDescent="0.45">
      <c r="D5441" t="str">
        <f>IFERROR(VLOOKUP(C5441,'Clients List'!$A:$F,2,FALSE),"")</f>
        <v/>
      </c>
      <c r="F5441" s="1" t="str">
        <f>IF(OR(C5441="",NOT(ISNUMBER(SEARCH("Package",D5441)))),"",VLOOKUP(C5441,'Clients List'!$A:$F,4,FALSE)-SUMIFS($E$2:$E5441,$C$2:$C5441,C5441,$D$2:$D5441,"*Package*"))</f>
        <v/>
      </c>
      <c r="G5441" t="str">
        <f t="shared" si="118"/>
        <v/>
      </c>
      <c r="H5441" s="33">
        <f>IF(ISNUMBER(SEARCH("Group",D5441)),IF(G5441="",E5441,IFERROR(E5441/COUNTIF($G2:$G6000,G5441),E5441)),E5441)</f>
        <v>0</v>
      </c>
      <c r="I5441" s="1" t="str">
        <f>IFERROR(VLOOKUP(C5441,'Clients List'!A:F,6,FALSE),"")</f>
        <v/>
      </c>
    </row>
    <row r="5442" spans="4:9" x14ac:dyDescent="0.45">
      <c r="D5442" t="str">
        <f>IFERROR(VLOOKUP(C5442,'Clients List'!$A:$F,2,FALSE),"")</f>
        <v/>
      </c>
      <c r="F5442" s="1" t="str">
        <f>IF(OR(C5442="",NOT(ISNUMBER(SEARCH("Package",D5442)))),"",VLOOKUP(C5442,'Clients List'!$A:$F,4,FALSE)-SUMIFS($E$2:$E5442,$C$2:$C5442,C5442,$D$2:$D5442,"*Package*"))</f>
        <v/>
      </c>
      <c r="G5442" t="str">
        <f t="shared" si="118"/>
        <v/>
      </c>
      <c r="H5442" s="33">
        <f>IF(ISNUMBER(SEARCH("Group",D5442)),IF(G5442="",E5442,IFERROR(E5442/COUNTIF($G2:$G6000,G5442),E5442)),E5442)</f>
        <v>0</v>
      </c>
      <c r="I5442" s="1" t="str">
        <f>IFERROR(VLOOKUP(C5442,'Clients List'!A:F,6,FALSE),"")</f>
        <v/>
      </c>
    </row>
    <row r="5443" spans="4:9" x14ac:dyDescent="0.45">
      <c r="D5443" t="str">
        <f>IFERROR(VLOOKUP(C5443,'Clients List'!$A:$F,2,FALSE),"")</f>
        <v/>
      </c>
      <c r="F5443" s="1" t="str">
        <f>IF(OR(C5443="",NOT(ISNUMBER(SEARCH("Package",D5443)))),"",VLOOKUP(C5443,'Clients List'!$A:$F,4,FALSE)-SUMIFS($E$2:$E5443,$C$2:$C5443,C5443,$D$2:$D5443,"*Package*"))</f>
        <v/>
      </c>
      <c r="G5443" t="str">
        <f t="shared" si="118"/>
        <v/>
      </c>
      <c r="H5443" s="33">
        <f>IF(ISNUMBER(SEARCH("Group",D5443)),IF(G5443="",E5443,IFERROR(E5443/COUNTIF($G2:$G6000,G5443),E5443)),E5443)</f>
        <v>0</v>
      </c>
      <c r="I5443" s="1" t="str">
        <f>IFERROR(VLOOKUP(C5443,'Clients List'!A:F,6,FALSE),"")</f>
        <v/>
      </c>
    </row>
    <row r="5444" spans="4:9" x14ac:dyDescent="0.45">
      <c r="D5444" t="str">
        <f>IFERROR(VLOOKUP(C5444,'Clients List'!$A:$F,2,FALSE),"")</f>
        <v/>
      </c>
      <c r="F5444" s="1" t="str">
        <f>IF(OR(C5444="",NOT(ISNUMBER(SEARCH("Package",D5444)))),"",VLOOKUP(C5444,'Clients List'!$A:$F,4,FALSE)-SUMIFS($E$2:$E5444,$C$2:$C5444,C5444,$D$2:$D5444,"*Package*"))</f>
        <v/>
      </c>
      <c r="G5444" t="str">
        <f t="shared" si="118"/>
        <v/>
      </c>
      <c r="H5444" s="33">
        <f>IF(ISNUMBER(SEARCH("Group",D5444)),IF(G5444="",E5444,IFERROR(E5444/COUNTIF($G2:$G6000,G5444),E5444)),E5444)</f>
        <v>0</v>
      </c>
      <c r="I5444" s="1" t="str">
        <f>IFERROR(VLOOKUP(C5444,'Clients List'!A:F,6,FALSE),"")</f>
        <v/>
      </c>
    </row>
    <row r="5445" spans="4:9" x14ac:dyDescent="0.45">
      <c r="D5445" t="str">
        <f>IFERROR(VLOOKUP(C5445,'Clients List'!$A:$F,2,FALSE),"")</f>
        <v/>
      </c>
      <c r="F5445" s="1" t="str">
        <f>IF(OR(C5445="",NOT(ISNUMBER(SEARCH("Package",D5445)))),"",VLOOKUP(C5445,'Clients List'!$A:$F,4,FALSE)-SUMIFS($E$2:$E5445,$C$2:$C5445,C5445,$D$2:$D5445,"*Package*"))</f>
        <v/>
      </c>
      <c r="G5445" t="str">
        <f t="shared" si="118"/>
        <v/>
      </c>
      <c r="H5445" s="33">
        <f>IF(ISNUMBER(SEARCH("Group",D5445)),IF(G5445="",E5445,IFERROR(E5445/COUNTIF($G2:$G6000,G5445),E5445)),E5445)</f>
        <v>0</v>
      </c>
      <c r="I5445" s="1" t="str">
        <f>IFERROR(VLOOKUP(C5445,'Clients List'!A:F,6,FALSE),"")</f>
        <v/>
      </c>
    </row>
    <row r="5446" spans="4:9" x14ac:dyDescent="0.45">
      <c r="D5446" t="str">
        <f>IFERROR(VLOOKUP(C5446,'Clients List'!$A:$F,2,FALSE),"")</f>
        <v/>
      </c>
      <c r="F5446" s="1" t="str">
        <f>IF(OR(C5446="",NOT(ISNUMBER(SEARCH("Package",D5446)))),"",VLOOKUP(C5446,'Clients List'!$A:$F,4,FALSE)-SUMIFS($E$2:$E5446,$C$2:$C5446,C5446,$D$2:$D5446,"*Package*"))</f>
        <v/>
      </c>
      <c r="G5446" t="str">
        <f t="shared" si="118"/>
        <v/>
      </c>
      <c r="H5446" s="33">
        <f>IF(ISNUMBER(SEARCH("Group",D5446)),IF(G5446="",E5446,IFERROR(E5446/COUNTIF($G2:$G6000,G5446),E5446)),E5446)</f>
        <v>0</v>
      </c>
      <c r="I5446" s="1" t="str">
        <f>IFERROR(VLOOKUP(C5446,'Clients List'!A:F,6,FALSE),"")</f>
        <v/>
      </c>
    </row>
    <row r="5447" spans="4:9" x14ac:dyDescent="0.45">
      <c r="D5447" t="str">
        <f>IFERROR(VLOOKUP(C5447,'Clients List'!$A:$F,2,FALSE),"")</f>
        <v/>
      </c>
      <c r="F5447" s="1" t="str">
        <f>IF(OR(C5447="",NOT(ISNUMBER(SEARCH("Package",D5447)))),"",VLOOKUP(C5447,'Clients List'!$A:$F,4,FALSE)-SUMIFS($E$2:$E5447,$C$2:$C5447,C5447,$D$2:$D5447,"*Package*"))</f>
        <v/>
      </c>
      <c r="G5447" t="str">
        <f t="shared" si="118"/>
        <v/>
      </c>
      <c r="H5447" s="33">
        <f>IF(ISNUMBER(SEARCH("Group",D5447)),IF(G5447="",E5447,IFERROR(E5447/COUNTIF($G2:$G6000,G5447),E5447)),E5447)</f>
        <v>0</v>
      </c>
      <c r="I5447" s="1" t="str">
        <f>IFERROR(VLOOKUP(C5447,'Clients List'!A:F,6,FALSE),"")</f>
        <v/>
      </c>
    </row>
    <row r="5448" spans="4:9" x14ac:dyDescent="0.45">
      <c r="D5448" t="str">
        <f>IFERROR(VLOOKUP(C5448,'Clients List'!$A:$F,2,FALSE),"")</f>
        <v/>
      </c>
      <c r="F5448" s="1" t="str">
        <f>IF(OR(C5448="",NOT(ISNUMBER(SEARCH("Package",D5448)))),"",VLOOKUP(C5448,'Clients List'!$A:$F,4,FALSE)-SUMIFS($E$2:$E5448,$C$2:$C5448,C5448,$D$2:$D5448,"*Package*"))</f>
        <v/>
      </c>
      <c r="G5448" t="str">
        <f t="shared" si="118"/>
        <v/>
      </c>
      <c r="H5448" s="33">
        <f>IF(ISNUMBER(SEARCH("Group",D5448)),IF(G5448="",E5448,IFERROR(E5448/COUNTIF($G2:$G6000,G5448),E5448)),E5448)</f>
        <v>0</v>
      </c>
      <c r="I5448" s="1" t="str">
        <f>IFERROR(VLOOKUP(C5448,'Clients List'!A:F,6,FALSE),"")</f>
        <v/>
      </c>
    </row>
    <row r="5449" spans="4:9" x14ac:dyDescent="0.45">
      <c r="D5449" t="str">
        <f>IFERROR(VLOOKUP(C5449,'Clients List'!$A:$F,2,FALSE),"")</f>
        <v/>
      </c>
      <c r="F5449" s="1" t="str">
        <f>IF(OR(C5449="",NOT(ISNUMBER(SEARCH("Package",D5449)))),"",VLOOKUP(C5449,'Clients List'!$A:$F,4,FALSE)-SUMIFS($E$2:$E5449,$C$2:$C5449,C5449,$D$2:$D5449,"*Package*"))</f>
        <v/>
      </c>
      <c r="G5449" t="str">
        <f t="shared" si="118"/>
        <v/>
      </c>
      <c r="H5449" s="33">
        <f>IF(ISNUMBER(SEARCH("Group",D5449)),IF(G5449="",E5449,IFERROR(E5449/COUNTIF($G2:$G6000,G5449),E5449)),E5449)</f>
        <v>0</v>
      </c>
      <c r="I5449" s="1" t="str">
        <f>IFERROR(VLOOKUP(C5449,'Clients List'!A:F,6,FALSE),"")</f>
        <v/>
      </c>
    </row>
    <row r="5450" spans="4:9" x14ac:dyDescent="0.45">
      <c r="D5450" t="str">
        <f>IFERROR(VLOOKUP(C5450,'Clients List'!$A:$F,2,FALSE),"")</f>
        <v/>
      </c>
      <c r="F5450" s="1" t="str">
        <f>IF(OR(C5450="",NOT(ISNUMBER(SEARCH("Package",D5450)))),"",VLOOKUP(C5450,'Clients List'!$A:$F,4,FALSE)-SUMIFS($E$2:$E5450,$C$2:$C5450,C5450,$D$2:$D5450,"*Package*"))</f>
        <v/>
      </c>
      <c r="G5450" t="str">
        <f t="shared" si="118"/>
        <v/>
      </c>
      <c r="H5450" s="33">
        <f>IF(ISNUMBER(SEARCH("Group",D5450)),IF(G5450="",E5450,IFERROR(E5450/COUNTIF($G2:$G6000,G5450),E5450)),E5450)</f>
        <v>0</v>
      </c>
      <c r="I5450" s="1" t="str">
        <f>IFERROR(VLOOKUP(C5450,'Clients List'!A:F,6,FALSE),"")</f>
        <v/>
      </c>
    </row>
    <row r="5451" spans="4:9" x14ac:dyDescent="0.45">
      <c r="D5451" t="str">
        <f>IFERROR(VLOOKUP(C5451,'Clients List'!$A:$F,2,FALSE),"")</f>
        <v/>
      </c>
      <c r="F5451" s="1" t="str">
        <f>IF(OR(C5451="",NOT(ISNUMBER(SEARCH("Package",D5451)))),"",VLOOKUP(C5451,'Clients List'!$A:$F,4,FALSE)-SUMIFS($E$2:$E5451,$C$2:$C5451,C5451,$D$2:$D5451,"*Package*"))</f>
        <v/>
      </c>
      <c r="G5451" t="str">
        <f t="shared" si="118"/>
        <v/>
      </c>
      <c r="H5451" s="33">
        <f>IF(ISNUMBER(SEARCH("Group",D5451)),IF(G5451="",E5451,IFERROR(E5451/COUNTIF($G2:$G6000,G5451),E5451)),E5451)</f>
        <v>0</v>
      </c>
      <c r="I5451" s="1" t="str">
        <f>IFERROR(VLOOKUP(C5451,'Clients List'!A:F,6,FALSE),"")</f>
        <v/>
      </c>
    </row>
    <row r="5452" spans="4:9" x14ac:dyDescent="0.45">
      <c r="D5452" t="str">
        <f>IFERROR(VLOOKUP(C5452,'Clients List'!$A:$F,2,FALSE),"")</f>
        <v/>
      </c>
      <c r="F5452" s="1" t="str">
        <f>IF(OR(C5452="",NOT(ISNUMBER(SEARCH("Package",D5452)))),"",VLOOKUP(C5452,'Clients List'!$A:$F,4,FALSE)-SUMIFS($E$2:$E5452,$C$2:$C5452,C5452,$D$2:$D5452,"*Package*"))</f>
        <v/>
      </c>
      <c r="G5452" t="str">
        <f t="shared" si="118"/>
        <v/>
      </c>
      <c r="H5452" s="33">
        <f>IF(ISNUMBER(SEARCH("Group",D5452)),IF(G5452="",E5452,IFERROR(E5452/COUNTIF($G2:$G6000,G5452),E5452)),E5452)</f>
        <v>0</v>
      </c>
      <c r="I5452" s="1" t="str">
        <f>IFERROR(VLOOKUP(C5452,'Clients List'!A:F,6,FALSE),"")</f>
        <v/>
      </c>
    </row>
    <row r="5453" spans="4:9" x14ac:dyDescent="0.45">
      <c r="D5453" t="str">
        <f>IFERROR(VLOOKUP(C5453,'Clients List'!$A:$F,2,FALSE),"")</f>
        <v/>
      </c>
      <c r="F5453" s="1" t="str">
        <f>IF(OR(C5453="",NOT(ISNUMBER(SEARCH("Package",D5453)))),"",VLOOKUP(C5453,'Clients List'!$A:$F,4,FALSE)-SUMIFS($E$2:$E5453,$C$2:$C5453,C5453,$D$2:$D5453,"*Package*"))</f>
        <v/>
      </c>
      <c r="G5453" t="str">
        <f t="shared" si="118"/>
        <v/>
      </c>
      <c r="H5453" s="33">
        <f>IF(ISNUMBER(SEARCH("Group",D5453)),IF(G5453="",E5453,IFERROR(E5453/COUNTIF($G2:$G6000,G5453),E5453)),E5453)</f>
        <v>0</v>
      </c>
      <c r="I5453" s="1" t="str">
        <f>IFERROR(VLOOKUP(C5453,'Clients List'!A:F,6,FALSE),"")</f>
        <v/>
      </c>
    </row>
    <row r="5454" spans="4:9" x14ac:dyDescent="0.45">
      <c r="D5454" t="str">
        <f>IFERROR(VLOOKUP(C5454,'Clients List'!$A:$F,2,FALSE),"")</f>
        <v/>
      </c>
      <c r="F5454" s="1" t="str">
        <f>IF(OR(C5454="",NOT(ISNUMBER(SEARCH("Package",D5454)))),"",VLOOKUP(C5454,'Clients List'!$A:$F,4,FALSE)-SUMIFS($E$2:$E5454,$C$2:$C5454,C5454,$D$2:$D5454,"*Package*"))</f>
        <v/>
      </c>
      <c r="G5454" t="str">
        <f t="shared" si="118"/>
        <v/>
      </c>
      <c r="H5454" s="33">
        <f>IF(ISNUMBER(SEARCH("Group",D5454)),IF(G5454="",E5454,IFERROR(E5454/COUNTIF($G2:$G6000,G5454),E5454)),E5454)</f>
        <v>0</v>
      </c>
      <c r="I5454" s="1" t="str">
        <f>IFERROR(VLOOKUP(C5454,'Clients List'!A:F,6,FALSE),"")</f>
        <v/>
      </c>
    </row>
    <row r="5455" spans="4:9" x14ac:dyDescent="0.45">
      <c r="D5455" t="str">
        <f>IFERROR(VLOOKUP(C5455,'Clients List'!$A:$F,2,FALSE),"")</f>
        <v/>
      </c>
      <c r="F5455" s="1" t="str">
        <f>IF(OR(C5455="",NOT(ISNUMBER(SEARCH("Package",D5455)))),"",VLOOKUP(C5455,'Clients List'!$A:$F,4,FALSE)-SUMIFS($E$2:$E5455,$C$2:$C5455,C5455,$D$2:$D5455,"*Package*"))</f>
        <v/>
      </c>
      <c r="G5455" t="str">
        <f t="shared" si="118"/>
        <v/>
      </c>
      <c r="H5455" s="33">
        <f>IF(ISNUMBER(SEARCH("Group",D5455)),IF(G5455="",E5455,IFERROR(E5455/COUNTIF($G2:$G6000,G5455),E5455)),E5455)</f>
        <v>0</v>
      </c>
      <c r="I5455" s="1" t="str">
        <f>IFERROR(VLOOKUP(C5455,'Clients List'!A:F,6,FALSE),"")</f>
        <v/>
      </c>
    </row>
    <row r="5456" spans="4:9" x14ac:dyDescent="0.45">
      <c r="D5456" t="str">
        <f>IFERROR(VLOOKUP(C5456,'Clients List'!$A:$F,2,FALSE),"")</f>
        <v/>
      </c>
      <c r="F5456" s="1" t="str">
        <f>IF(OR(C5456="",NOT(ISNUMBER(SEARCH("Package",D5456)))),"",VLOOKUP(C5456,'Clients List'!$A:$F,4,FALSE)-SUMIFS($E$2:$E5456,$C$2:$C5456,C5456,$D$2:$D5456,"*Package*"))</f>
        <v/>
      </c>
      <c r="G5456" t="str">
        <f t="shared" si="118"/>
        <v/>
      </c>
      <c r="H5456" s="33">
        <f>IF(ISNUMBER(SEARCH("Group",D5456)),IF(G5456="",E5456,IFERROR(E5456/COUNTIF($G2:$G6000,G5456),E5456)),E5456)</f>
        <v>0</v>
      </c>
      <c r="I5456" s="1" t="str">
        <f>IFERROR(VLOOKUP(C5456,'Clients List'!A:F,6,FALSE),"")</f>
        <v/>
      </c>
    </row>
    <row r="5457" spans="4:9" x14ac:dyDescent="0.45">
      <c r="D5457" t="str">
        <f>IFERROR(VLOOKUP(C5457,'Clients List'!$A:$F,2,FALSE),"")</f>
        <v/>
      </c>
      <c r="F5457" s="1" t="str">
        <f>IF(OR(C5457="",NOT(ISNUMBER(SEARCH("Package",D5457)))),"",VLOOKUP(C5457,'Clients List'!$A:$F,4,FALSE)-SUMIFS($E$2:$E5457,$C$2:$C5457,C5457,$D$2:$D5457,"*Package*"))</f>
        <v/>
      </c>
      <c r="G5457" t="str">
        <f t="shared" si="118"/>
        <v/>
      </c>
      <c r="H5457" s="33">
        <f>IF(ISNUMBER(SEARCH("Group",D5457)),IF(G5457="",E5457,IFERROR(E5457/COUNTIF($G2:$G6000,G5457),E5457)),E5457)</f>
        <v>0</v>
      </c>
      <c r="I5457" s="1" t="str">
        <f>IFERROR(VLOOKUP(C5457,'Clients List'!A:F,6,FALSE),"")</f>
        <v/>
      </c>
    </row>
    <row r="5458" spans="4:9" x14ac:dyDescent="0.45">
      <c r="D5458" t="str">
        <f>IFERROR(VLOOKUP(C5458,'Clients List'!$A:$F,2,FALSE),"")</f>
        <v/>
      </c>
      <c r="F5458" s="1" t="str">
        <f>IF(OR(C5458="",NOT(ISNUMBER(SEARCH("Package",D5458)))),"",VLOOKUP(C5458,'Clients List'!$A:$F,4,FALSE)-SUMIFS($E$2:$E5458,$C$2:$C5458,C5458,$D$2:$D5458,"*Package*"))</f>
        <v/>
      </c>
      <c r="G5458" t="str">
        <f t="shared" si="118"/>
        <v/>
      </c>
      <c r="H5458" s="33">
        <f>IF(ISNUMBER(SEARCH("Group",D5458)),IF(G5458="",E5458,IFERROR(E5458/COUNTIF($G2:$G6000,G5458),E5458)),E5458)</f>
        <v>0</v>
      </c>
      <c r="I5458" s="1" t="str">
        <f>IFERROR(VLOOKUP(C5458,'Clients List'!A:F,6,FALSE),"")</f>
        <v/>
      </c>
    </row>
    <row r="5459" spans="4:9" x14ac:dyDescent="0.45">
      <c r="D5459" t="str">
        <f>IFERROR(VLOOKUP(C5459,'Clients List'!$A:$F,2,FALSE),"")</f>
        <v/>
      </c>
      <c r="F5459" s="1" t="str">
        <f>IF(OR(C5459="",NOT(ISNUMBER(SEARCH("Package",D5459)))),"",VLOOKUP(C5459,'Clients List'!$A:$F,4,FALSE)-SUMIFS($E$2:$E5459,$C$2:$C5459,C5459,$D$2:$D5459,"*Package*"))</f>
        <v/>
      </c>
      <c r="G5459" t="str">
        <f t="shared" si="118"/>
        <v/>
      </c>
      <c r="H5459" s="33">
        <f>IF(ISNUMBER(SEARCH("Group",D5459)),IF(G5459="",E5459,IFERROR(E5459/COUNTIF($G2:$G6000,G5459),E5459)),E5459)</f>
        <v>0</v>
      </c>
      <c r="I5459" s="1" t="str">
        <f>IFERROR(VLOOKUP(C5459,'Clients List'!A:F,6,FALSE),"")</f>
        <v/>
      </c>
    </row>
    <row r="5460" spans="4:9" x14ac:dyDescent="0.45">
      <c r="D5460" t="str">
        <f>IFERROR(VLOOKUP(C5460,'Clients List'!$A:$F,2,FALSE),"")</f>
        <v/>
      </c>
      <c r="F5460" s="1" t="str">
        <f>IF(OR(C5460="",NOT(ISNUMBER(SEARCH("Package",D5460)))),"",VLOOKUP(C5460,'Clients List'!$A:$F,4,FALSE)-SUMIFS($E$2:$E5460,$C$2:$C5460,C5460,$D$2:$D5460,"*Package*"))</f>
        <v/>
      </c>
      <c r="G5460" t="str">
        <f t="shared" si="118"/>
        <v/>
      </c>
      <c r="H5460" s="33">
        <f>IF(ISNUMBER(SEARCH("Group",D5460)),IF(G5460="",E5460,IFERROR(E5460/COUNTIF($G2:$G6000,G5460),E5460)),E5460)</f>
        <v>0</v>
      </c>
      <c r="I5460" s="1" t="str">
        <f>IFERROR(VLOOKUP(C5460,'Clients List'!A:F,6,FALSE),"")</f>
        <v/>
      </c>
    </row>
    <row r="5461" spans="4:9" x14ac:dyDescent="0.45">
      <c r="D5461" t="str">
        <f>IFERROR(VLOOKUP(C5461,'Clients List'!$A:$F,2,FALSE),"")</f>
        <v/>
      </c>
      <c r="F5461" s="1" t="str">
        <f>IF(OR(C5461="",NOT(ISNUMBER(SEARCH("Package",D5461)))),"",VLOOKUP(C5461,'Clients List'!$A:$F,4,FALSE)-SUMIFS($E$2:$E5461,$C$2:$C5461,C5461,$D$2:$D5461,"*Package*"))</f>
        <v/>
      </c>
      <c r="G5461" t="str">
        <f t="shared" si="118"/>
        <v/>
      </c>
      <c r="H5461" s="33">
        <f>IF(ISNUMBER(SEARCH("Group",D5461)),IF(G5461="",E5461,IFERROR(E5461/COUNTIF($G2:$G6000,G5461),E5461)),E5461)</f>
        <v>0</v>
      </c>
      <c r="I5461" s="1" t="str">
        <f>IFERROR(VLOOKUP(C5461,'Clients List'!A:F,6,FALSE),"")</f>
        <v/>
      </c>
    </row>
    <row r="5462" spans="4:9" x14ac:dyDescent="0.45">
      <c r="D5462" t="str">
        <f>IFERROR(VLOOKUP(C5462,'Clients List'!$A:$F,2,FALSE),"")</f>
        <v/>
      </c>
      <c r="F5462" s="1" t="str">
        <f>IF(OR(C5462="",NOT(ISNUMBER(SEARCH("Package",D5462)))),"",VLOOKUP(C5462,'Clients List'!$A:$F,4,FALSE)-SUMIFS($E$2:$E5462,$C$2:$C5462,C5462,$D$2:$D5462,"*Package*"))</f>
        <v/>
      </c>
      <c r="G5462" t="str">
        <f t="shared" si="118"/>
        <v/>
      </c>
      <c r="H5462" s="33">
        <f>IF(ISNUMBER(SEARCH("Group",D5462)),IF(G5462="",E5462,IFERROR(E5462/COUNTIF($G2:$G6000,G5462),E5462)),E5462)</f>
        <v>0</v>
      </c>
      <c r="I5462" s="1" t="str">
        <f>IFERROR(VLOOKUP(C5462,'Clients List'!A:F,6,FALSE),"")</f>
        <v/>
      </c>
    </row>
    <row r="5463" spans="4:9" x14ac:dyDescent="0.45">
      <c r="D5463" t="str">
        <f>IFERROR(VLOOKUP(C5463,'Clients List'!$A:$F,2,FALSE),"")</f>
        <v/>
      </c>
      <c r="F5463" s="1" t="str">
        <f>IF(OR(C5463="",NOT(ISNUMBER(SEARCH("Package",D5463)))),"",VLOOKUP(C5463,'Clients List'!$A:$F,4,FALSE)-SUMIFS($E$2:$E5463,$C$2:$C5463,C5463,$D$2:$D5463,"*Package*"))</f>
        <v/>
      </c>
      <c r="G5463" t="str">
        <f t="shared" si="118"/>
        <v/>
      </c>
      <c r="H5463" s="33">
        <f>IF(ISNUMBER(SEARCH("Group",D5463)),IF(G5463="",E5463,IFERROR(E5463/COUNTIF($G2:$G6000,G5463),E5463)),E5463)</f>
        <v>0</v>
      </c>
      <c r="I5463" s="1" t="str">
        <f>IFERROR(VLOOKUP(C5463,'Clients List'!A:F,6,FALSE),"")</f>
        <v/>
      </c>
    </row>
    <row r="5464" spans="4:9" x14ac:dyDescent="0.45">
      <c r="D5464" t="str">
        <f>IFERROR(VLOOKUP(C5464,'Clients List'!$A:$F,2,FALSE),"")</f>
        <v/>
      </c>
      <c r="F5464" s="1" t="str">
        <f>IF(OR(C5464="",NOT(ISNUMBER(SEARCH("Package",D5464)))),"",VLOOKUP(C5464,'Clients List'!$A:$F,4,FALSE)-SUMIFS($E$2:$E5464,$C$2:$C5464,C5464,$D$2:$D5464,"*Package*"))</f>
        <v/>
      </c>
      <c r="G5464" t="str">
        <f t="shared" si="118"/>
        <v/>
      </c>
      <c r="H5464" s="33">
        <f>IF(ISNUMBER(SEARCH("Group",D5464)),IF(G5464="",E5464,IFERROR(E5464/COUNTIF($G2:$G6000,G5464),E5464)),E5464)</f>
        <v>0</v>
      </c>
      <c r="I5464" s="1" t="str">
        <f>IFERROR(VLOOKUP(C5464,'Clients List'!A:F,6,FALSE),"")</f>
        <v/>
      </c>
    </row>
    <row r="5465" spans="4:9" x14ac:dyDescent="0.45">
      <c r="D5465" t="str">
        <f>IFERROR(VLOOKUP(C5465,'Clients List'!$A:$F,2,FALSE),"")</f>
        <v/>
      </c>
      <c r="F5465" s="1" t="str">
        <f>IF(OR(C5465="",NOT(ISNUMBER(SEARCH("Package",D5465)))),"",VLOOKUP(C5465,'Clients List'!$A:$F,4,FALSE)-SUMIFS($E$2:$E5465,$C$2:$C5465,C5465,$D$2:$D5465,"*Package*"))</f>
        <v/>
      </c>
      <c r="G5465" t="str">
        <f t="shared" si="118"/>
        <v/>
      </c>
      <c r="H5465" s="33">
        <f>IF(ISNUMBER(SEARCH("Group",D5465)),IF(G5465="",E5465,IFERROR(E5465/COUNTIF($G2:$G6000,G5465),E5465)),E5465)</f>
        <v>0</v>
      </c>
      <c r="I5465" s="1" t="str">
        <f>IFERROR(VLOOKUP(C5465,'Clients List'!A:F,6,FALSE),"")</f>
        <v/>
      </c>
    </row>
    <row r="5466" spans="4:9" x14ac:dyDescent="0.45">
      <c r="D5466" t="str">
        <f>IFERROR(VLOOKUP(C5466,'Clients List'!$A:$F,2,FALSE),"")</f>
        <v/>
      </c>
      <c r="F5466" s="1" t="str">
        <f>IF(OR(C5466="",NOT(ISNUMBER(SEARCH("Package",D5466)))),"",VLOOKUP(C5466,'Clients List'!$A:$F,4,FALSE)-SUMIFS($E$2:$E5466,$C$2:$C5466,C5466,$D$2:$D5466,"*Package*"))</f>
        <v/>
      </c>
      <c r="G5466" t="str">
        <f t="shared" si="118"/>
        <v/>
      </c>
      <c r="H5466" s="33">
        <f>IF(ISNUMBER(SEARCH("Group",D5466)),IF(G5466="",E5466,IFERROR(E5466/COUNTIF($G2:$G6000,G5466),E5466)),E5466)</f>
        <v>0</v>
      </c>
      <c r="I5466" s="1" t="str">
        <f>IFERROR(VLOOKUP(C5466,'Clients List'!A:F,6,FALSE),"")</f>
        <v/>
      </c>
    </row>
    <row r="5467" spans="4:9" x14ac:dyDescent="0.45">
      <c r="D5467" t="str">
        <f>IFERROR(VLOOKUP(C5467,'Clients List'!$A:$F,2,FALSE),"")</f>
        <v/>
      </c>
      <c r="F5467" s="1" t="str">
        <f>IF(OR(C5467="",NOT(ISNUMBER(SEARCH("Package",D5467)))),"",VLOOKUP(C5467,'Clients List'!$A:$F,4,FALSE)-SUMIFS($E$2:$E5467,$C$2:$C5467,C5467,$D$2:$D5467,"*Package*"))</f>
        <v/>
      </c>
      <c r="G5467" t="str">
        <f t="shared" si="118"/>
        <v/>
      </c>
      <c r="H5467" s="33">
        <f>IF(ISNUMBER(SEARCH("Group",D5467)),IF(G5467="",E5467,IFERROR(E5467/COUNTIF($G2:$G6000,G5467),E5467)),E5467)</f>
        <v>0</v>
      </c>
      <c r="I5467" s="1" t="str">
        <f>IFERROR(VLOOKUP(C5467,'Clients List'!A:F,6,FALSE),"")</f>
        <v/>
      </c>
    </row>
    <row r="5468" spans="4:9" x14ac:dyDescent="0.45">
      <c r="D5468" t="str">
        <f>IFERROR(VLOOKUP(C5468,'Clients List'!$A:$F,2,FALSE),"")</f>
        <v/>
      </c>
      <c r="F5468" s="1" t="str">
        <f>IF(OR(C5468="",NOT(ISNUMBER(SEARCH("Package",D5468)))),"",VLOOKUP(C5468,'Clients List'!$A:$F,4,FALSE)-SUMIFS($E$2:$E5468,$C$2:$C5468,C5468,$D$2:$D5468,"*Package*"))</f>
        <v/>
      </c>
      <c r="G5468" t="str">
        <f t="shared" si="118"/>
        <v/>
      </c>
      <c r="H5468" s="33">
        <f>IF(ISNUMBER(SEARCH("Group",D5468)),IF(G5468="",E5468,IFERROR(E5468/COUNTIF($G2:$G6000,G5468),E5468)),E5468)</f>
        <v>0</v>
      </c>
      <c r="I5468" s="1" t="str">
        <f>IFERROR(VLOOKUP(C5468,'Clients List'!A:F,6,FALSE),"")</f>
        <v/>
      </c>
    </row>
    <row r="5469" spans="4:9" x14ac:dyDescent="0.45">
      <c r="D5469" t="str">
        <f>IFERROR(VLOOKUP(C5469,'Clients List'!$A:$F,2,FALSE),"")</f>
        <v/>
      </c>
      <c r="F5469" s="1" t="str">
        <f>IF(OR(C5469="",NOT(ISNUMBER(SEARCH("Package",D5469)))),"",VLOOKUP(C5469,'Clients List'!$A:$F,4,FALSE)-SUMIFS($E$2:$E5469,$C$2:$C5469,C5469,$D$2:$D5469,"*Package*"))</f>
        <v/>
      </c>
      <c r="G5469" t="str">
        <f t="shared" si="118"/>
        <v/>
      </c>
      <c r="H5469" s="33">
        <f>IF(ISNUMBER(SEARCH("Group",D5469)),IF(G5469="",E5469,IFERROR(E5469/COUNTIF($G2:$G6000,G5469),E5469)),E5469)</f>
        <v>0</v>
      </c>
      <c r="I5469" s="1" t="str">
        <f>IFERROR(VLOOKUP(C5469,'Clients List'!A:F,6,FALSE),"")</f>
        <v/>
      </c>
    </row>
    <row r="5470" spans="4:9" x14ac:dyDescent="0.45">
      <c r="D5470" t="str">
        <f>IFERROR(VLOOKUP(C5470,'Clients List'!$A:$F,2,FALSE),"")</f>
        <v/>
      </c>
      <c r="F5470" s="1" t="str">
        <f>IF(OR(C5470="",NOT(ISNUMBER(SEARCH("Package",D5470)))),"",VLOOKUP(C5470,'Clients List'!$A:$F,4,FALSE)-SUMIFS($E$2:$E5470,$C$2:$C5470,C5470,$D$2:$D5470,"*Package*"))</f>
        <v/>
      </c>
      <c r="G5470" t="str">
        <f t="shared" si="118"/>
        <v/>
      </c>
      <c r="H5470" s="33">
        <f>IF(ISNUMBER(SEARCH("Group",D5470)),IF(G5470="",E5470,IFERROR(E5470/COUNTIF($G2:$G6000,G5470),E5470)),E5470)</f>
        <v>0</v>
      </c>
      <c r="I5470" s="1" t="str">
        <f>IFERROR(VLOOKUP(C5470,'Clients List'!A:F,6,FALSE),"")</f>
        <v/>
      </c>
    </row>
    <row r="5471" spans="4:9" x14ac:dyDescent="0.45">
      <c r="D5471" t="str">
        <f>IFERROR(VLOOKUP(C5471,'Clients List'!$A:$F,2,FALSE),"")</f>
        <v/>
      </c>
      <c r="F5471" s="1" t="str">
        <f>IF(OR(C5471="",NOT(ISNUMBER(SEARCH("Package",D5471)))),"",VLOOKUP(C5471,'Clients List'!$A:$F,4,FALSE)-SUMIFS($E$2:$E5471,$C$2:$C5471,C5471,$D$2:$D5471,"*Package*"))</f>
        <v/>
      </c>
      <c r="G5471" t="str">
        <f t="shared" si="118"/>
        <v/>
      </c>
      <c r="H5471" s="33">
        <f>IF(ISNUMBER(SEARCH("Group",D5471)),IF(G5471="",E5471,IFERROR(E5471/COUNTIF($G2:$G6000,G5471),E5471)),E5471)</f>
        <v>0</v>
      </c>
      <c r="I5471" s="1" t="str">
        <f>IFERROR(VLOOKUP(C5471,'Clients List'!A:F,6,FALSE),"")</f>
        <v/>
      </c>
    </row>
    <row r="5472" spans="4:9" x14ac:dyDescent="0.45">
      <c r="D5472" t="str">
        <f>IFERROR(VLOOKUP(C5472,'Clients List'!$A:$F,2,FALSE),"")</f>
        <v/>
      </c>
      <c r="F5472" s="1" t="str">
        <f>IF(OR(C5472="",NOT(ISNUMBER(SEARCH("Package",D5472)))),"",VLOOKUP(C5472,'Clients List'!$A:$F,4,FALSE)-SUMIFS($E$2:$E5472,$C$2:$C5472,C5472,$D$2:$D5472,"*Package*"))</f>
        <v/>
      </c>
      <c r="G5472" t="str">
        <f t="shared" si="118"/>
        <v/>
      </c>
      <c r="H5472" s="33">
        <f>IF(ISNUMBER(SEARCH("Group",D5472)),IF(G5472="",E5472,IFERROR(E5472/COUNTIF($G2:$G6000,G5472),E5472)),E5472)</f>
        <v>0</v>
      </c>
      <c r="I5472" s="1" t="str">
        <f>IFERROR(VLOOKUP(C5472,'Clients List'!A:F,6,FALSE),"")</f>
        <v/>
      </c>
    </row>
    <row r="5473" spans="4:9" x14ac:dyDescent="0.45">
      <c r="D5473" t="str">
        <f>IFERROR(VLOOKUP(C5473,'Clients List'!$A:$F,2,FALSE),"")</f>
        <v/>
      </c>
      <c r="F5473" s="1" t="str">
        <f>IF(OR(C5473="",NOT(ISNUMBER(SEARCH("Package",D5473)))),"",VLOOKUP(C5473,'Clients List'!$A:$F,4,FALSE)-SUMIFS($E$2:$E5473,$C$2:$C5473,C5473,$D$2:$D5473,"*Package*"))</f>
        <v/>
      </c>
      <c r="G5473" t="str">
        <f t="shared" si="118"/>
        <v/>
      </c>
      <c r="H5473" s="33">
        <f>IF(ISNUMBER(SEARCH("Group",D5473)),IF(G5473="",E5473,IFERROR(E5473/COUNTIF($G2:$G6000,G5473),E5473)),E5473)</f>
        <v>0</v>
      </c>
      <c r="I5473" s="1" t="str">
        <f>IFERROR(VLOOKUP(C5473,'Clients List'!A:F,6,FALSE),"")</f>
        <v/>
      </c>
    </row>
    <row r="5474" spans="4:9" x14ac:dyDescent="0.45">
      <c r="D5474" t="str">
        <f>IFERROR(VLOOKUP(C5474,'Clients List'!$A:$F,2,FALSE),"")</f>
        <v/>
      </c>
      <c r="F5474" s="1" t="str">
        <f>IF(OR(C5474="",NOT(ISNUMBER(SEARCH("Package",D5474)))),"",VLOOKUP(C5474,'Clients List'!$A:$F,4,FALSE)-SUMIFS($E$2:$E5474,$C$2:$C5474,C5474,$D$2:$D5474,"*Package*"))</f>
        <v/>
      </c>
      <c r="G5474" t="str">
        <f t="shared" si="118"/>
        <v/>
      </c>
      <c r="H5474" s="33">
        <f>IF(ISNUMBER(SEARCH("Group",D5474)),IF(G5474="",E5474,IFERROR(E5474/COUNTIF($G2:$G6000,G5474),E5474)),E5474)</f>
        <v>0</v>
      </c>
      <c r="I5474" s="1" t="str">
        <f>IFERROR(VLOOKUP(C5474,'Clients List'!A:F,6,FALSE),"")</f>
        <v/>
      </c>
    </row>
    <row r="5475" spans="4:9" x14ac:dyDescent="0.45">
      <c r="D5475" t="str">
        <f>IFERROR(VLOOKUP(C5475,'Clients List'!$A:$F,2,FALSE),"")</f>
        <v/>
      </c>
      <c r="F5475" s="1" t="str">
        <f>IF(OR(C5475="",NOT(ISNUMBER(SEARCH("Package",D5475)))),"",VLOOKUP(C5475,'Clients List'!$A:$F,4,FALSE)-SUMIFS($E$2:$E5475,$C$2:$C5475,C5475,$D$2:$D5475,"*Package*"))</f>
        <v/>
      </c>
      <c r="G5475" t="str">
        <f t="shared" si="118"/>
        <v/>
      </c>
      <c r="H5475" s="33">
        <f>IF(ISNUMBER(SEARCH("Group",D5475)),IF(G5475="",E5475,IFERROR(E5475/COUNTIF($G2:$G6000,G5475),E5475)),E5475)</f>
        <v>0</v>
      </c>
      <c r="I5475" s="1" t="str">
        <f>IFERROR(VLOOKUP(C5475,'Clients List'!A:F,6,FALSE),"")</f>
        <v/>
      </c>
    </row>
    <row r="5476" spans="4:9" x14ac:dyDescent="0.45">
      <c r="D5476" t="str">
        <f>IFERROR(VLOOKUP(C5476,'Clients List'!$A:$F,2,FALSE),"")</f>
        <v/>
      </c>
      <c r="F5476" s="1" t="str">
        <f>IF(OR(C5476="",NOT(ISNUMBER(SEARCH("Package",D5476)))),"",VLOOKUP(C5476,'Clients List'!$A:$F,4,FALSE)-SUMIFS($E$2:$E5476,$C$2:$C5476,C5476,$D$2:$D5476,"*Package*"))</f>
        <v/>
      </c>
      <c r="G5476" t="str">
        <f t="shared" si="118"/>
        <v/>
      </c>
      <c r="H5476" s="33">
        <f>IF(ISNUMBER(SEARCH("Group",D5476)),IF(G5476="",E5476,IFERROR(E5476/COUNTIF($G2:$G6000,G5476),E5476)),E5476)</f>
        <v>0</v>
      </c>
      <c r="I5476" s="1" t="str">
        <f>IFERROR(VLOOKUP(C5476,'Clients List'!A:F,6,FALSE),"")</f>
        <v/>
      </c>
    </row>
    <row r="5477" spans="4:9" x14ac:dyDescent="0.45">
      <c r="D5477" t="str">
        <f>IFERROR(VLOOKUP(C5477,'Clients List'!$A:$F,2,FALSE),"")</f>
        <v/>
      </c>
      <c r="F5477" s="1" t="str">
        <f>IF(OR(C5477="",NOT(ISNUMBER(SEARCH("Package",D5477)))),"",VLOOKUP(C5477,'Clients List'!$A:$F,4,FALSE)-SUMIFS($E$2:$E5477,$C$2:$C5477,C5477,$D$2:$D5477,"*Package*"))</f>
        <v/>
      </c>
      <c r="G5477" t="str">
        <f t="shared" si="118"/>
        <v/>
      </c>
      <c r="H5477" s="33">
        <f>IF(ISNUMBER(SEARCH("Group",D5477)),IF(G5477="",E5477,IFERROR(E5477/COUNTIF($G2:$G6000,G5477),E5477)),E5477)</f>
        <v>0</v>
      </c>
      <c r="I5477" s="1" t="str">
        <f>IFERROR(VLOOKUP(C5477,'Clients List'!A:F,6,FALSE),"")</f>
        <v/>
      </c>
    </row>
    <row r="5478" spans="4:9" x14ac:dyDescent="0.45">
      <c r="D5478" t="str">
        <f>IFERROR(VLOOKUP(C5478,'Clients List'!$A:$F,2,FALSE),"")</f>
        <v/>
      </c>
      <c r="F5478" s="1" t="str">
        <f>IF(OR(C5478="",NOT(ISNUMBER(SEARCH("Package",D5478)))),"",VLOOKUP(C5478,'Clients List'!$A:$F,4,FALSE)-SUMIFS($E$2:$E5478,$C$2:$C5478,C5478,$D$2:$D5478,"*Package*"))</f>
        <v/>
      </c>
      <c r="G5478" t="str">
        <f t="shared" si="118"/>
        <v/>
      </c>
      <c r="H5478" s="33">
        <f>IF(ISNUMBER(SEARCH("Group",D5478)),IF(G5478="",E5478,IFERROR(E5478/COUNTIF($G2:$G6000,G5478),E5478)),E5478)</f>
        <v>0</v>
      </c>
      <c r="I5478" s="1" t="str">
        <f>IFERROR(VLOOKUP(C5478,'Clients List'!A:F,6,FALSE),"")</f>
        <v/>
      </c>
    </row>
    <row r="5479" spans="4:9" x14ac:dyDescent="0.45">
      <c r="D5479" t="str">
        <f>IFERROR(VLOOKUP(C5479,'Clients List'!$A:$F,2,FALSE),"")</f>
        <v/>
      </c>
      <c r="F5479" s="1" t="str">
        <f>IF(OR(C5479="",NOT(ISNUMBER(SEARCH("Package",D5479)))),"",VLOOKUP(C5479,'Clients List'!$A:$F,4,FALSE)-SUMIFS($E$2:$E5479,$C$2:$C5479,C5479,$D$2:$D5479,"*Package*"))</f>
        <v/>
      </c>
      <c r="G5479" t="str">
        <f t="shared" si="118"/>
        <v/>
      </c>
      <c r="H5479" s="33">
        <f>IF(ISNUMBER(SEARCH("Group",D5479)),IF(G5479="",E5479,IFERROR(E5479/COUNTIF($G2:$G6000,G5479),E5479)),E5479)</f>
        <v>0</v>
      </c>
      <c r="I5479" s="1" t="str">
        <f>IFERROR(VLOOKUP(C5479,'Clients List'!A:F,6,FALSE),"")</f>
        <v/>
      </c>
    </row>
    <row r="5480" spans="4:9" x14ac:dyDescent="0.45">
      <c r="D5480" t="str">
        <f>IFERROR(VLOOKUP(C5480,'Clients List'!$A:$F,2,FALSE),"")</f>
        <v/>
      </c>
      <c r="F5480" s="1" t="str">
        <f>IF(OR(C5480="",NOT(ISNUMBER(SEARCH("Package",D5480)))),"",VLOOKUP(C5480,'Clients List'!$A:$F,4,FALSE)-SUMIFS($E$2:$E5480,$C$2:$C5480,C5480,$D$2:$D5480,"*Package*"))</f>
        <v/>
      </c>
      <c r="G5480" t="str">
        <f t="shared" si="118"/>
        <v/>
      </c>
      <c r="H5480" s="33">
        <f>IF(ISNUMBER(SEARCH("Group",D5480)),IF(G5480="",E5480,IFERROR(E5480/COUNTIF($G2:$G6000,G5480),E5480)),E5480)</f>
        <v>0</v>
      </c>
      <c r="I5480" s="1" t="str">
        <f>IFERROR(VLOOKUP(C5480,'Clients List'!A:F,6,FALSE),"")</f>
        <v/>
      </c>
    </row>
    <row r="5481" spans="4:9" x14ac:dyDescent="0.45">
      <c r="D5481" t="str">
        <f>IFERROR(VLOOKUP(C5481,'Clients List'!$A:$F,2,FALSE),"")</f>
        <v/>
      </c>
      <c r="F5481" s="1" t="str">
        <f>IF(OR(C5481="",NOT(ISNUMBER(SEARCH("Package",D5481)))),"",VLOOKUP(C5481,'Clients List'!$A:$F,4,FALSE)-SUMIFS($E$2:$E5481,$C$2:$C5481,C5481,$D$2:$D5481,"*Package*"))</f>
        <v/>
      </c>
      <c r="G5481" t="str">
        <f t="shared" si="118"/>
        <v/>
      </c>
      <c r="H5481" s="33">
        <f>IF(ISNUMBER(SEARCH("Group",D5481)),IF(G5481="",E5481,IFERROR(E5481/COUNTIF($G2:$G6000,G5481),E5481)),E5481)</f>
        <v>0</v>
      </c>
      <c r="I5481" s="1" t="str">
        <f>IFERROR(VLOOKUP(C5481,'Clients List'!A:F,6,FALSE),"")</f>
        <v/>
      </c>
    </row>
    <row r="5482" spans="4:9" x14ac:dyDescent="0.45">
      <c r="D5482" t="str">
        <f>IFERROR(VLOOKUP(C5482,'Clients List'!$A:$F,2,FALSE),"")</f>
        <v/>
      </c>
      <c r="F5482" s="1" t="str">
        <f>IF(OR(C5482="",NOT(ISNUMBER(SEARCH("Package",D5482)))),"",VLOOKUP(C5482,'Clients List'!$A:$F,4,FALSE)-SUMIFS($E$2:$E5482,$C$2:$C5482,C5482,$D$2:$D5482,"*Package*"))</f>
        <v/>
      </c>
      <c r="G5482" t="str">
        <f t="shared" si="118"/>
        <v/>
      </c>
      <c r="H5482" s="33">
        <f>IF(ISNUMBER(SEARCH("Group",D5482)),IF(G5482="",E5482,IFERROR(E5482/COUNTIF($G2:$G6000,G5482),E5482)),E5482)</f>
        <v>0</v>
      </c>
      <c r="I5482" s="1" t="str">
        <f>IFERROR(VLOOKUP(C5482,'Clients List'!A:F,6,FALSE),"")</f>
        <v/>
      </c>
    </row>
    <row r="5483" spans="4:9" x14ac:dyDescent="0.45">
      <c r="D5483" t="str">
        <f>IFERROR(VLOOKUP(C5483,'Clients List'!$A:$F,2,FALSE),"")</f>
        <v/>
      </c>
      <c r="F5483" s="1" t="str">
        <f>IF(OR(C5483="",NOT(ISNUMBER(SEARCH("Package",D5483)))),"",VLOOKUP(C5483,'Clients List'!$A:$F,4,FALSE)-SUMIFS($E$2:$E5483,$C$2:$C5483,C5483,$D$2:$D5483,"*Package*"))</f>
        <v/>
      </c>
      <c r="G5483" t="str">
        <f t="shared" si="118"/>
        <v/>
      </c>
      <c r="H5483" s="33">
        <f>IF(ISNUMBER(SEARCH("Group",D5483)),IF(G5483="",E5483,IFERROR(E5483/COUNTIF($G2:$G6000,G5483),E5483)),E5483)</f>
        <v>0</v>
      </c>
      <c r="I5483" s="1" t="str">
        <f>IFERROR(VLOOKUP(C5483,'Clients List'!A:F,6,FALSE),"")</f>
        <v/>
      </c>
    </row>
    <row r="5484" spans="4:9" x14ac:dyDescent="0.45">
      <c r="D5484" t="str">
        <f>IFERROR(VLOOKUP(C5484,'Clients List'!$A:$F,2,FALSE),"")</f>
        <v/>
      </c>
      <c r="F5484" s="1" t="str">
        <f>IF(OR(C5484="",NOT(ISNUMBER(SEARCH("Package",D5484)))),"",VLOOKUP(C5484,'Clients List'!$A:$F,4,FALSE)-SUMIFS($E$2:$E5484,$C$2:$C5484,C5484,$D$2:$D5484,"*Package*"))</f>
        <v/>
      </c>
      <c r="G5484" t="str">
        <f t="shared" si="118"/>
        <v/>
      </c>
      <c r="H5484" s="33">
        <f>IF(ISNUMBER(SEARCH("Group",D5484)),IF(G5484="",E5484,IFERROR(E5484/COUNTIF($G2:$G6000,G5484),E5484)),E5484)</f>
        <v>0</v>
      </c>
      <c r="I5484" s="1" t="str">
        <f>IFERROR(VLOOKUP(C5484,'Clients List'!A:F,6,FALSE),"")</f>
        <v/>
      </c>
    </row>
    <row r="5485" spans="4:9" x14ac:dyDescent="0.45">
      <c r="D5485" t="str">
        <f>IFERROR(VLOOKUP(C5485,'Clients List'!$A:$F,2,FALSE),"")</f>
        <v/>
      </c>
      <c r="F5485" s="1" t="str">
        <f>IF(OR(C5485="",NOT(ISNUMBER(SEARCH("Package",D5485)))),"",VLOOKUP(C5485,'Clients List'!$A:$F,4,FALSE)-SUMIFS($E$2:$E5485,$C$2:$C5485,C5485,$D$2:$D5485,"*Package*"))</f>
        <v/>
      </c>
      <c r="G5485" t="str">
        <f t="shared" si="118"/>
        <v/>
      </c>
      <c r="H5485" s="33">
        <f>IF(ISNUMBER(SEARCH("Group",D5485)),IF(G5485="",E5485,IFERROR(E5485/COUNTIF($G2:$G6000,G5485),E5485)),E5485)</f>
        <v>0</v>
      </c>
      <c r="I5485" s="1" t="str">
        <f>IFERROR(VLOOKUP(C5485,'Clients List'!A:F,6,FALSE),"")</f>
        <v/>
      </c>
    </row>
    <row r="5486" spans="4:9" x14ac:dyDescent="0.45">
      <c r="D5486" t="str">
        <f>IFERROR(VLOOKUP(C5486,'Clients List'!$A:$F,2,FALSE),"")</f>
        <v/>
      </c>
      <c r="F5486" s="1" t="str">
        <f>IF(OR(C5486="",NOT(ISNUMBER(SEARCH("Package",D5486)))),"",VLOOKUP(C5486,'Clients List'!$A:$F,4,FALSE)-SUMIFS($E$2:$E5486,$C$2:$C5486,C5486,$D$2:$D5486,"*Package*"))</f>
        <v/>
      </c>
      <c r="G5486" t="str">
        <f t="shared" si="118"/>
        <v/>
      </c>
      <c r="H5486" s="33">
        <f>IF(ISNUMBER(SEARCH("Group",D5486)),IF(G5486="",E5486,IFERROR(E5486/COUNTIF($G2:$G6000,G5486),E5486)),E5486)</f>
        <v>0</v>
      </c>
      <c r="I5486" s="1" t="str">
        <f>IFERROR(VLOOKUP(C5486,'Clients List'!A:F,6,FALSE),"")</f>
        <v/>
      </c>
    </row>
    <row r="5487" spans="4:9" x14ac:dyDescent="0.45">
      <c r="D5487" t="str">
        <f>IFERROR(VLOOKUP(C5487,'Clients List'!$A:$F,2,FALSE),"")</f>
        <v/>
      </c>
      <c r="F5487" s="1" t="str">
        <f>IF(OR(C5487="",NOT(ISNUMBER(SEARCH("Package",D5487)))),"",VLOOKUP(C5487,'Clients List'!$A:$F,4,FALSE)-SUMIFS($E$2:$E5487,$C$2:$C5487,C5487,$D$2:$D5487,"*Package*"))</f>
        <v/>
      </c>
      <c r="G5487" t="str">
        <f t="shared" si="118"/>
        <v/>
      </c>
      <c r="H5487" s="33">
        <f>IF(ISNUMBER(SEARCH("Group",D5487)),IF(G5487="",E5487,IFERROR(E5487/COUNTIF($G2:$G6000,G5487),E5487)),E5487)</f>
        <v>0</v>
      </c>
      <c r="I5487" s="1" t="str">
        <f>IFERROR(VLOOKUP(C5487,'Clients List'!A:F,6,FALSE),"")</f>
        <v/>
      </c>
    </row>
    <row r="5488" spans="4:9" x14ac:dyDescent="0.45">
      <c r="D5488" t="str">
        <f>IFERROR(VLOOKUP(C5488,'Clients List'!$A:$F,2,FALSE),"")</f>
        <v/>
      </c>
      <c r="F5488" s="1" t="str">
        <f>IF(OR(C5488="",NOT(ISNUMBER(SEARCH("Package",D5488)))),"",VLOOKUP(C5488,'Clients List'!$A:$F,4,FALSE)-SUMIFS($E$2:$E5488,$C$2:$C5488,C5488,$D$2:$D5488,"*Package*"))</f>
        <v/>
      </c>
      <c r="G5488" t="str">
        <f t="shared" si="118"/>
        <v/>
      </c>
      <c r="H5488" s="33">
        <f>IF(ISNUMBER(SEARCH("Group",D5488)),IF(G5488="",E5488,IFERROR(E5488/COUNTIF($G2:$G6000,G5488),E5488)),E5488)</f>
        <v>0</v>
      </c>
      <c r="I5488" s="1" t="str">
        <f>IFERROR(VLOOKUP(C5488,'Clients List'!A:F,6,FALSE),"")</f>
        <v/>
      </c>
    </row>
    <row r="5489" spans="4:9" x14ac:dyDescent="0.45">
      <c r="D5489" t="str">
        <f>IFERROR(VLOOKUP(C5489,'Clients List'!$A:$F,2,FALSE),"")</f>
        <v/>
      </c>
      <c r="F5489" s="1" t="str">
        <f>IF(OR(C5489="",NOT(ISNUMBER(SEARCH("Package",D5489)))),"",VLOOKUP(C5489,'Clients List'!$A:$F,4,FALSE)-SUMIFS($E$2:$E5489,$C$2:$C5489,C5489,$D$2:$D5489,"*Package*"))</f>
        <v/>
      </c>
      <c r="G5489" t="str">
        <f t="shared" si="118"/>
        <v/>
      </c>
      <c r="H5489" s="33">
        <f>IF(ISNUMBER(SEARCH("Group",D5489)),IF(G5489="",E5489,IFERROR(E5489/COUNTIF($G2:$G6000,G5489),E5489)),E5489)</f>
        <v>0</v>
      </c>
      <c r="I5489" s="1" t="str">
        <f>IFERROR(VLOOKUP(C5489,'Clients List'!A:F,6,FALSE),"")</f>
        <v/>
      </c>
    </row>
    <row r="5490" spans="4:9" x14ac:dyDescent="0.45">
      <c r="D5490" t="str">
        <f>IFERROR(VLOOKUP(C5490,'Clients List'!$A:$F,2,FALSE),"")</f>
        <v/>
      </c>
      <c r="F5490" s="1" t="str">
        <f>IF(OR(C5490="",NOT(ISNUMBER(SEARCH("Package",D5490)))),"",VLOOKUP(C5490,'Clients List'!$A:$F,4,FALSE)-SUMIFS($E$2:$E5490,$C$2:$C5490,C5490,$D$2:$D5490,"*Package*"))</f>
        <v/>
      </c>
      <c r="G5490" t="str">
        <f t="shared" si="118"/>
        <v/>
      </c>
      <c r="H5490" s="33">
        <f>IF(ISNUMBER(SEARCH("Group",D5490)),IF(G5490="",E5490,IFERROR(E5490/COUNTIF($G2:$G6000,G5490),E5490)),E5490)</f>
        <v>0</v>
      </c>
      <c r="I5490" s="1" t="str">
        <f>IFERROR(VLOOKUP(C5490,'Clients List'!A:F,6,FALSE),"")</f>
        <v/>
      </c>
    </row>
    <row r="5491" spans="4:9" x14ac:dyDescent="0.45">
      <c r="D5491" t="str">
        <f>IFERROR(VLOOKUP(C5491,'Clients List'!$A:$F,2,FALSE),"")</f>
        <v/>
      </c>
      <c r="F5491" s="1" t="str">
        <f>IF(OR(C5491="",NOT(ISNUMBER(SEARCH("Package",D5491)))),"",VLOOKUP(C5491,'Clients List'!$A:$F,4,FALSE)-SUMIFS($E$2:$E5491,$C$2:$C5491,C5491,$D$2:$D5491,"*Package*"))</f>
        <v/>
      </c>
      <c r="G5491" t="str">
        <f t="shared" si="118"/>
        <v/>
      </c>
      <c r="H5491" s="33">
        <f>IF(ISNUMBER(SEARCH("Group",D5491)),IF(G5491="",E5491,IFERROR(E5491/COUNTIF($G2:$G6000,G5491),E5491)),E5491)</f>
        <v>0</v>
      </c>
      <c r="I5491" s="1" t="str">
        <f>IFERROR(VLOOKUP(C5491,'Clients List'!A:F,6,FALSE),"")</f>
        <v/>
      </c>
    </row>
    <row r="5492" spans="4:9" x14ac:dyDescent="0.45">
      <c r="D5492" t="str">
        <f>IFERROR(VLOOKUP(C5492,'Clients List'!$A:$F,2,FALSE),"")</f>
        <v/>
      </c>
      <c r="F5492" s="1" t="str">
        <f>IF(OR(C5492="",NOT(ISNUMBER(SEARCH("Package",D5492)))),"",VLOOKUP(C5492,'Clients List'!$A:$F,4,FALSE)-SUMIFS($E$2:$E5492,$C$2:$C5492,C5492,$D$2:$D5492,"*Package*"))</f>
        <v/>
      </c>
      <c r="G5492" t="str">
        <f t="shared" si="118"/>
        <v/>
      </c>
      <c r="H5492" s="33">
        <f>IF(ISNUMBER(SEARCH("Group",D5492)),IF(G5492="",E5492,IFERROR(E5492/COUNTIF($G2:$G6000,G5492),E5492)),E5492)</f>
        <v>0</v>
      </c>
      <c r="I5492" s="1" t="str">
        <f>IFERROR(VLOOKUP(C5492,'Clients List'!A:F,6,FALSE),"")</f>
        <v/>
      </c>
    </row>
    <row r="5493" spans="4:9" x14ac:dyDescent="0.45">
      <c r="D5493" t="str">
        <f>IFERROR(VLOOKUP(C5493,'Clients List'!$A:$F,2,FALSE),"")</f>
        <v/>
      </c>
      <c r="F5493" s="1" t="str">
        <f>IF(OR(C5493="",NOT(ISNUMBER(SEARCH("Package",D5493)))),"",VLOOKUP(C5493,'Clients List'!$A:$F,4,FALSE)-SUMIFS($E$2:$E5493,$C$2:$C5493,C5493,$D$2:$D5493,"*Package*"))</f>
        <v/>
      </c>
      <c r="G5493" t="str">
        <f t="shared" ref="G5493:G5556" si="119">IF(ISNUMBER(SEARCH("Group",D5493)),IFERROR("GRP-"&amp;TEXT(IF(ISNUMBER(A5493),A5493,DATEVALUE(A5493)),"yyyymmdd"),""),"" )</f>
        <v/>
      </c>
      <c r="H5493" s="33">
        <f>IF(ISNUMBER(SEARCH("Group",D5493)),IF(G5493="",E5493,IFERROR(E5493/COUNTIF($G2:$G6000,G5493),E5493)),E5493)</f>
        <v>0</v>
      </c>
      <c r="I5493" s="1" t="str">
        <f>IFERROR(VLOOKUP(C5493,'Clients List'!A:F,6,FALSE),"")</f>
        <v/>
      </c>
    </row>
    <row r="5494" spans="4:9" x14ac:dyDescent="0.45">
      <c r="D5494" t="str">
        <f>IFERROR(VLOOKUP(C5494,'Clients List'!$A:$F,2,FALSE),"")</f>
        <v/>
      </c>
      <c r="F5494" s="1" t="str">
        <f>IF(OR(C5494="",NOT(ISNUMBER(SEARCH("Package",D5494)))),"",VLOOKUP(C5494,'Clients List'!$A:$F,4,FALSE)-SUMIFS($E$2:$E5494,$C$2:$C5494,C5494,$D$2:$D5494,"*Package*"))</f>
        <v/>
      </c>
      <c r="G5494" t="str">
        <f t="shared" si="119"/>
        <v/>
      </c>
      <c r="H5494" s="33">
        <f>IF(ISNUMBER(SEARCH("Group",D5494)),IF(G5494="",E5494,IFERROR(E5494/COUNTIF($G2:$G6000,G5494),E5494)),E5494)</f>
        <v>0</v>
      </c>
      <c r="I5494" s="1" t="str">
        <f>IFERROR(VLOOKUP(C5494,'Clients List'!A:F,6,FALSE),"")</f>
        <v/>
      </c>
    </row>
    <row r="5495" spans="4:9" x14ac:dyDescent="0.45">
      <c r="D5495" t="str">
        <f>IFERROR(VLOOKUP(C5495,'Clients List'!$A:$F,2,FALSE),"")</f>
        <v/>
      </c>
      <c r="F5495" s="1" t="str">
        <f>IF(OR(C5495="",NOT(ISNUMBER(SEARCH("Package",D5495)))),"",VLOOKUP(C5495,'Clients List'!$A:$F,4,FALSE)-SUMIFS($E$2:$E5495,$C$2:$C5495,C5495,$D$2:$D5495,"*Package*"))</f>
        <v/>
      </c>
      <c r="G5495" t="str">
        <f t="shared" si="119"/>
        <v/>
      </c>
      <c r="H5495" s="33">
        <f>IF(ISNUMBER(SEARCH("Group",D5495)),IF(G5495="",E5495,IFERROR(E5495/COUNTIF($G2:$G6000,G5495),E5495)),E5495)</f>
        <v>0</v>
      </c>
      <c r="I5495" s="1" t="str">
        <f>IFERROR(VLOOKUP(C5495,'Clients List'!A:F,6,FALSE),"")</f>
        <v/>
      </c>
    </row>
    <row r="5496" spans="4:9" x14ac:dyDescent="0.45">
      <c r="D5496" t="str">
        <f>IFERROR(VLOOKUP(C5496,'Clients List'!$A:$F,2,FALSE),"")</f>
        <v/>
      </c>
      <c r="F5496" s="1" t="str">
        <f>IF(OR(C5496="",NOT(ISNUMBER(SEARCH("Package",D5496)))),"",VLOOKUP(C5496,'Clients List'!$A:$F,4,FALSE)-SUMIFS($E$2:$E5496,$C$2:$C5496,C5496,$D$2:$D5496,"*Package*"))</f>
        <v/>
      </c>
      <c r="G5496" t="str">
        <f t="shared" si="119"/>
        <v/>
      </c>
      <c r="H5496" s="33">
        <f>IF(ISNUMBER(SEARCH("Group",D5496)),IF(G5496="",E5496,IFERROR(E5496/COUNTIF($G2:$G6000,G5496),E5496)),E5496)</f>
        <v>0</v>
      </c>
      <c r="I5496" s="1" t="str">
        <f>IFERROR(VLOOKUP(C5496,'Clients List'!A:F,6,FALSE),"")</f>
        <v/>
      </c>
    </row>
    <row r="5497" spans="4:9" x14ac:dyDescent="0.45">
      <c r="D5497" t="str">
        <f>IFERROR(VLOOKUP(C5497,'Clients List'!$A:$F,2,FALSE),"")</f>
        <v/>
      </c>
      <c r="F5497" s="1" t="str">
        <f>IF(OR(C5497="",NOT(ISNUMBER(SEARCH("Package",D5497)))),"",VLOOKUP(C5497,'Clients List'!$A:$F,4,FALSE)-SUMIFS($E$2:$E5497,$C$2:$C5497,C5497,$D$2:$D5497,"*Package*"))</f>
        <v/>
      </c>
      <c r="G5497" t="str">
        <f t="shared" si="119"/>
        <v/>
      </c>
      <c r="H5497" s="33">
        <f>IF(ISNUMBER(SEARCH("Group",D5497)),IF(G5497="",E5497,IFERROR(E5497/COUNTIF($G2:$G6000,G5497),E5497)),E5497)</f>
        <v>0</v>
      </c>
      <c r="I5497" s="1" t="str">
        <f>IFERROR(VLOOKUP(C5497,'Clients List'!A:F,6,FALSE),"")</f>
        <v/>
      </c>
    </row>
    <row r="5498" spans="4:9" x14ac:dyDescent="0.45">
      <c r="D5498" t="str">
        <f>IFERROR(VLOOKUP(C5498,'Clients List'!$A:$F,2,FALSE),"")</f>
        <v/>
      </c>
      <c r="F5498" s="1" t="str">
        <f>IF(OR(C5498="",NOT(ISNUMBER(SEARCH("Package",D5498)))),"",VLOOKUP(C5498,'Clients List'!$A:$F,4,FALSE)-SUMIFS($E$2:$E5498,$C$2:$C5498,C5498,$D$2:$D5498,"*Package*"))</f>
        <v/>
      </c>
      <c r="G5498" t="str">
        <f t="shared" si="119"/>
        <v/>
      </c>
      <c r="H5498" s="33">
        <f>IF(ISNUMBER(SEARCH("Group",D5498)),IF(G5498="",E5498,IFERROR(E5498/COUNTIF($G2:$G6000,G5498),E5498)),E5498)</f>
        <v>0</v>
      </c>
      <c r="I5498" s="1" t="str">
        <f>IFERROR(VLOOKUP(C5498,'Clients List'!A:F,6,FALSE),"")</f>
        <v/>
      </c>
    </row>
    <row r="5499" spans="4:9" x14ac:dyDescent="0.45">
      <c r="D5499" t="str">
        <f>IFERROR(VLOOKUP(C5499,'Clients List'!$A:$F,2,FALSE),"")</f>
        <v/>
      </c>
      <c r="F5499" s="1" t="str">
        <f>IF(OR(C5499="",NOT(ISNUMBER(SEARCH("Package",D5499)))),"",VLOOKUP(C5499,'Clients List'!$A:$F,4,FALSE)-SUMIFS($E$2:$E5499,$C$2:$C5499,C5499,$D$2:$D5499,"*Package*"))</f>
        <v/>
      </c>
      <c r="G5499" t="str">
        <f t="shared" si="119"/>
        <v/>
      </c>
      <c r="H5499" s="33">
        <f>IF(ISNUMBER(SEARCH("Group",D5499)),IF(G5499="",E5499,IFERROR(E5499/COUNTIF($G2:$G6000,G5499),E5499)),E5499)</f>
        <v>0</v>
      </c>
      <c r="I5499" s="1" t="str">
        <f>IFERROR(VLOOKUP(C5499,'Clients List'!A:F,6,FALSE),"")</f>
        <v/>
      </c>
    </row>
    <row r="5500" spans="4:9" x14ac:dyDescent="0.45">
      <c r="D5500" t="str">
        <f>IFERROR(VLOOKUP(C5500,'Clients List'!$A:$F,2,FALSE),"")</f>
        <v/>
      </c>
      <c r="F5500" s="1" t="str">
        <f>IF(OR(C5500="",NOT(ISNUMBER(SEARCH("Package",D5500)))),"",VLOOKUP(C5500,'Clients List'!$A:$F,4,FALSE)-SUMIFS($E$2:$E5500,$C$2:$C5500,C5500,$D$2:$D5500,"*Package*"))</f>
        <v/>
      </c>
      <c r="G5500" t="str">
        <f t="shared" si="119"/>
        <v/>
      </c>
      <c r="H5500" s="33">
        <f>IF(ISNUMBER(SEARCH("Group",D5500)),IF(G5500="",E5500,IFERROR(E5500/COUNTIF($G2:$G6000,G5500),E5500)),E5500)</f>
        <v>0</v>
      </c>
      <c r="I5500" s="1" t="str">
        <f>IFERROR(VLOOKUP(C5500,'Clients List'!A:F,6,FALSE),"")</f>
        <v/>
      </c>
    </row>
    <row r="5501" spans="4:9" x14ac:dyDescent="0.45">
      <c r="D5501" t="str">
        <f>IFERROR(VLOOKUP(C5501,'Clients List'!$A:$F,2,FALSE),"")</f>
        <v/>
      </c>
      <c r="F5501" s="1" t="str">
        <f>IF(OR(C5501="",NOT(ISNUMBER(SEARCH("Package",D5501)))),"",VLOOKUP(C5501,'Clients List'!$A:$F,4,FALSE)-SUMIFS($E$2:$E5501,$C$2:$C5501,C5501,$D$2:$D5501,"*Package*"))</f>
        <v/>
      </c>
      <c r="G5501" t="str">
        <f t="shared" si="119"/>
        <v/>
      </c>
      <c r="H5501" s="33">
        <f>IF(ISNUMBER(SEARCH("Group",D5501)),IF(G5501="",E5501,IFERROR(E5501/COUNTIF($G2:$G6000,G5501),E5501)),E5501)</f>
        <v>0</v>
      </c>
      <c r="I5501" s="1" t="str">
        <f>IFERROR(VLOOKUP(C5501,'Clients List'!A:F,6,FALSE),"")</f>
        <v/>
      </c>
    </row>
    <row r="5502" spans="4:9" x14ac:dyDescent="0.45">
      <c r="D5502" t="str">
        <f>IFERROR(VLOOKUP(C5502,'Clients List'!$A:$F,2,FALSE),"")</f>
        <v/>
      </c>
      <c r="F5502" s="1" t="str">
        <f>IF(OR(C5502="",NOT(ISNUMBER(SEARCH("Package",D5502)))),"",VLOOKUP(C5502,'Clients List'!$A:$F,4,FALSE)-SUMIFS($E$2:$E5502,$C$2:$C5502,C5502,$D$2:$D5502,"*Package*"))</f>
        <v/>
      </c>
      <c r="G5502" t="str">
        <f t="shared" si="119"/>
        <v/>
      </c>
      <c r="H5502" s="33">
        <f>IF(ISNUMBER(SEARCH("Group",D5502)),IF(G5502="",E5502,IFERROR(E5502/COUNTIF($G2:$G6000,G5502),E5502)),E5502)</f>
        <v>0</v>
      </c>
      <c r="I5502" s="1" t="str">
        <f>IFERROR(VLOOKUP(C5502,'Clients List'!A:F,6,FALSE),"")</f>
        <v/>
      </c>
    </row>
    <row r="5503" spans="4:9" x14ac:dyDescent="0.45">
      <c r="D5503" t="str">
        <f>IFERROR(VLOOKUP(C5503,'Clients List'!$A:$F,2,FALSE),"")</f>
        <v/>
      </c>
      <c r="F5503" s="1" t="str">
        <f>IF(OR(C5503="",NOT(ISNUMBER(SEARCH("Package",D5503)))),"",VLOOKUP(C5503,'Clients List'!$A:$F,4,FALSE)-SUMIFS($E$2:$E5503,$C$2:$C5503,C5503,$D$2:$D5503,"*Package*"))</f>
        <v/>
      </c>
      <c r="G5503" t="str">
        <f t="shared" si="119"/>
        <v/>
      </c>
      <c r="H5503" s="33">
        <f>IF(ISNUMBER(SEARCH("Group",D5503)),IF(G5503="",E5503,IFERROR(E5503/COUNTIF($G2:$G6000,G5503),E5503)),E5503)</f>
        <v>0</v>
      </c>
      <c r="I5503" s="1" t="str">
        <f>IFERROR(VLOOKUP(C5503,'Clients List'!A:F,6,FALSE),"")</f>
        <v/>
      </c>
    </row>
    <row r="5504" spans="4:9" x14ac:dyDescent="0.45">
      <c r="D5504" t="str">
        <f>IFERROR(VLOOKUP(C5504,'Clients List'!$A:$F,2,FALSE),"")</f>
        <v/>
      </c>
      <c r="F5504" s="1" t="str">
        <f>IF(OR(C5504="",NOT(ISNUMBER(SEARCH("Package",D5504)))),"",VLOOKUP(C5504,'Clients List'!$A:$F,4,FALSE)-SUMIFS($E$2:$E5504,$C$2:$C5504,C5504,$D$2:$D5504,"*Package*"))</f>
        <v/>
      </c>
      <c r="G5504" t="str">
        <f t="shared" si="119"/>
        <v/>
      </c>
      <c r="H5504" s="33">
        <f>IF(ISNUMBER(SEARCH("Group",D5504)),IF(G5504="",E5504,IFERROR(E5504/COUNTIF($G2:$G6000,G5504),E5504)),E5504)</f>
        <v>0</v>
      </c>
      <c r="I5504" s="1" t="str">
        <f>IFERROR(VLOOKUP(C5504,'Clients List'!A:F,6,FALSE),"")</f>
        <v/>
      </c>
    </row>
    <row r="5505" spans="4:9" x14ac:dyDescent="0.45">
      <c r="D5505" t="str">
        <f>IFERROR(VLOOKUP(C5505,'Clients List'!$A:$F,2,FALSE),"")</f>
        <v/>
      </c>
      <c r="F5505" s="1" t="str">
        <f>IF(OR(C5505="",NOT(ISNUMBER(SEARCH("Package",D5505)))),"",VLOOKUP(C5505,'Clients List'!$A:$F,4,FALSE)-SUMIFS($E$2:$E5505,$C$2:$C5505,C5505,$D$2:$D5505,"*Package*"))</f>
        <v/>
      </c>
      <c r="G5505" t="str">
        <f t="shared" si="119"/>
        <v/>
      </c>
      <c r="H5505" s="33">
        <f>IF(ISNUMBER(SEARCH("Group",D5505)),IF(G5505="",E5505,IFERROR(E5505/COUNTIF($G2:$G6000,G5505),E5505)),E5505)</f>
        <v>0</v>
      </c>
      <c r="I5505" s="1" t="str">
        <f>IFERROR(VLOOKUP(C5505,'Clients List'!A:F,6,FALSE),"")</f>
        <v/>
      </c>
    </row>
    <row r="5506" spans="4:9" x14ac:dyDescent="0.45">
      <c r="D5506" t="str">
        <f>IFERROR(VLOOKUP(C5506,'Clients List'!$A:$F,2,FALSE),"")</f>
        <v/>
      </c>
      <c r="F5506" s="1" t="str">
        <f>IF(OR(C5506="",NOT(ISNUMBER(SEARCH("Package",D5506)))),"",VLOOKUP(C5506,'Clients List'!$A:$F,4,FALSE)-SUMIFS($E$2:$E5506,$C$2:$C5506,C5506,$D$2:$D5506,"*Package*"))</f>
        <v/>
      </c>
      <c r="G5506" t="str">
        <f t="shared" si="119"/>
        <v/>
      </c>
      <c r="H5506" s="33">
        <f>IF(ISNUMBER(SEARCH("Group",D5506)),IF(G5506="",E5506,IFERROR(E5506/COUNTIF($G2:$G6000,G5506),E5506)),E5506)</f>
        <v>0</v>
      </c>
      <c r="I5506" s="1" t="str">
        <f>IFERROR(VLOOKUP(C5506,'Clients List'!A:F,6,FALSE),"")</f>
        <v/>
      </c>
    </row>
    <row r="5507" spans="4:9" x14ac:dyDescent="0.45">
      <c r="D5507" t="str">
        <f>IFERROR(VLOOKUP(C5507,'Clients List'!$A:$F,2,FALSE),"")</f>
        <v/>
      </c>
      <c r="F5507" s="1" t="str">
        <f>IF(OR(C5507="",NOT(ISNUMBER(SEARCH("Package",D5507)))),"",VLOOKUP(C5507,'Clients List'!$A:$F,4,FALSE)-SUMIFS($E$2:$E5507,$C$2:$C5507,C5507,$D$2:$D5507,"*Package*"))</f>
        <v/>
      </c>
      <c r="G5507" t="str">
        <f t="shared" si="119"/>
        <v/>
      </c>
      <c r="H5507" s="33">
        <f>IF(ISNUMBER(SEARCH("Group",D5507)),IF(G5507="",E5507,IFERROR(E5507/COUNTIF($G2:$G6000,G5507),E5507)),E5507)</f>
        <v>0</v>
      </c>
      <c r="I5507" s="1" t="str">
        <f>IFERROR(VLOOKUP(C5507,'Clients List'!A:F,6,FALSE),"")</f>
        <v/>
      </c>
    </row>
    <row r="5508" spans="4:9" x14ac:dyDescent="0.45">
      <c r="D5508" t="str">
        <f>IFERROR(VLOOKUP(C5508,'Clients List'!$A:$F,2,FALSE),"")</f>
        <v/>
      </c>
      <c r="F5508" s="1" t="str">
        <f>IF(OR(C5508="",NOT(ISNUMBER(SEARCH("Package",D5508)))),"",VLOOKUP(C5508,'Clients List'!$A:$F,4,FALSE)-SUMIFS($E$2:$E5508,$C$2:$C5508,C5508,$D$2:$D5508,"*Package*"))</f>
        <v/>
      </c>
      <c r="G5508" t="str">
        <f t="shared" si="119"/>
        <v/>
      </c>
      <c r="H5508" s="33">
        <f>IF(ISNUMBER(SEARCH("Group",D5508)),IF(G5508="",E5508,IFERROR(E5508/COUNTIF($G2:$G6000,G5508),E5508)),E5508)</f>
        <v>0</v>
      </c>
      <c r="I5508" s="1" t="str">
        <f>IFERROR(VLOOKUP(C5508,'Clients List'!A:F,6,FALSE),"")</f>
        <v/>
      </c>
    </row>
    <row r="5509" spans="4:9" x14ac:dyDescent="0.45">
      <c r="D5509" t="str">
        <f>IFERROR(VLOOKUP(C5509,'Clients List'!$A:$F,2,FALSE),"")</f>
        <v/>
      </c>
      <c r="F5509" s="1" t="str">
        <f>IF(OR(C5509="",NOT(ISNUMBER(SEARCH("Package",D5509)))),"",VLOOKUP(C5509,'Clients List'!$A:$F,4,FALSE)-SUMIFS($E$2:$E5509,$C$2:$C5509,C5509,$D$2:$D5509,"*Package*"))</f>
        <v/>
      </c>
      <c r="G5509" t="str">
        <f t="shared" si="119"/>
        <v/>
      </c>
      <c r="H5509" s="33">
        <f>IF(ISNUMBER(SEARCH("Group",D5509)),IF(G5509="",E5509,IFERROR(E5509/COUNTIF($G2:$G6000,G5509),E5509)),E5509)</f>
        <v>0</v>
      </c>
      <c r="I5509" s="1" t="str">
        <f>IFERROR(VLOOKUP(C5509,'Clients List'!A:F,6,FALSE),"")</f>
        <v/>
      </c>
    </row>
    <row r="5510" spans="4:9" x14ac:dyDescent="0.45">
      <c r="D5510" t="str">
        <f>IFERROR(VLOOKUP(C5510,'Clients List'!$A:$F,2,FALSE),"")</f>
        <v/>
      </c>
      <c r="F5510" s="1" t="str">
        <f>IF(OR(C5510="",NOT(ISNUMBER(SEARCH("Package",D5510)))),"",VLOOKUP(C5510,'Clients List'!$A:$F,4,FALSE)-SUMIFS($E$2:$E5510,$C$2:$C5510,C5510,$D$2:$D5510,"*Package*"))</f>
        <v/>
      </c>
      <c r="G5510" t="str">
        <f t="shared" si="119"/>
        <v/>
      </c>
      <c r="H5510" s="33">
        <f>IF(ISNUMBER(SEARCH("Group",D5510)),IF(G5510="",E5510,IFERROR(E5510/COUNTIF($G2:$G6000,G5510),E5510)),E5510)</f>
        <v>0</v>
      </c>
      <c r="I5510" s="1" t="str">
        <f>IFERROR(VLOOKUP(C5510,'Clients List'!A:F,6,FALSE),"")</f>
        <v/>
      </c>
    </row>
    <row r="5511" spans="4:9" x14ac:dyDescent="0.45">
      <c r="D5511" t="str">
        <f>IFERROR(VLOOKUP(C5511,'Clients List'!$A:$F,2,FALSE),"")</f>
        <v/>
      </c>
      <c r="F5511" s="1" t="str">
        <f>IF(OR(C5511="",NOT(ISNUMBER(SEARCH("Package",D5511)))),"",VLOOKUP(C5511,'Clients List'!$A:$F,4,FALSE)-SUMIFS($E$2:$E5511,$C$2:$C5511,C5511,$D$2:$D5511,"*Package*"))</f>
        <v/>
      </c>
      <c r="G5511" t="str">
        <f t="shared" si="119"/>
        <v/>
      </c>
      <c r="H5511" s="33">
        <f>IF(ISNUMBER(SEARCH("Group",D5511)),IF(G5511="",E5511,IFERROR(E5511/COUNTIF($G2:$G6000,G5511),E5511)),E5511)</f>
        <v>0</v>
      </c>
      <c r="I5511" s="1" t="str">
        <f>IFERROR(VLOOKUP(C5511,'Clients List'!A:F,6,FALSE),"")</f>
        <v/>
      </c>
    </row>
    <row r="5512" spans="4:9" x14ac:dyDescent="0.45">
      <c r="D5512" t="str">
        <f>IFERROR(VLOOKUP(C5512,'Clients List'!$A:$F,2,FALSE),"")</f>
        <v/>
      </c>
      <c r="F5512" s="1" t="str">
        <f>IF(OR(C5512="",NOT(ISNUMBER(SEARCH("Package",D5512)))),"",VLOOKUP(C5512,'Clients List'!$A:$F,4,FALSE)-SUMIFS($E$2:$E5512,$C$2:$C5512,C5512,$D$2:$D5512,"*Package*"))</f>
        <v/>
      </c>
      <c r="G5512" t="str">
        <f t="shared" si="119"/>
        <v/>
      </c>
      <c r="H5512" s="33">
        <f>IF(ISNUMBER(SEARCH("Group",D5512)),IF(G5512="",E5512,IFERROR(E5512/COUNTIF($G2:$G6000,G5512),E5512)),E5512)</f>
        <v>0</v>
      </c>
      <c r="I5512" s="1" t="str">
        <f>IFERROR(VLOOKUP(C5512,'Clients List'!A:F,6,FALSE),"")</f>
        <v/>
      </c>
    </row>
    <row r="5513" spans="4:9" x14ac:dyDescent="0.45">
      <c r="D5513" t="str">
        <f>IFERROR(VLOOKUP(C5513,'Clients List'!$A:$F,2,FALSE),"")</f>
        <v/>
      </c>
      <c r="F5513" s="1" t="str">
        <f>IF(OR(C5513="",NOT(ISNUMBER(SEARCH("Package",D5513)))),"",VLOOKUP(C5513,'Clients List'!$A:$F,4,FALSE)-SUMIFS($E$2:$E5513,$C$2:$C5513,C5513,$D$2:$D5513,"*Package*"))</f>
        <v/>
      </c>
      <c r="G5513" t="str">
        <f t="shared" si="119"/>
        <v/>
      </c>
      <c r="H5513" s="33">
        <f>IF(ISNUMBER(SEARCH("Group",D5513)),IF(G5513="",E5513,IFERROR(E5513/COUNTIF($G2:$G6000,G5513),E5513)),E5513)</f>
        <v>0</v>
      </c>
      <c r="I5513" s="1" t="str">
        <f>IFERROR(VLOOKUP(C5513,'Clients List'!A:F,6,FALSE),"")</f>
        <v/>
      </c>
    </row>
    <row r="5514" spans="4:9" x14ac:dyDescent="0.45">
      <c r="D5514" t="str">
        <f>IFERROR(VLOOKUP(C5514,'Clients List'!$A:$F,2,FALSE),"")</f>
        <v/>
      </c>
      <c r="F5514" s="1" t="str">
        <f>IF(OR(C5514="",NOT(ISNUMBER(SEARCH("Package",D5514)))),"",VLOOKUP(C5514,'Clients List'!$A:$F,4,FALSE)-SUMIFS($E$2:$E5514,$C$2:$C5514,C5514,$D$2:$D5514,"*Package*"))</f>
        <v/>
      </c>
      <c r="G5514" t="str">
        <f t="shared" si="119"/>
        <v/>
      </c>
      <c r="H5514" s="33">
        <f>IF(ISNUMBER(SEARCH("Group",D5514)),IF(G5514="",E5514,IFERROR(E5514/COUNTIF($G2:$G6000,G5514),E5514)),E5514)</f>
        <v>0</v>
      </c>
      <c r="I5514" s="1" t="str">
        <f>IFERROR(VLOOKUP(C5514,'Clients List'!A:F,6,FALSE),"")</f>
        <v/>
      </c>
    </row>
    <row r="5515" spans="4:9" x14ac:dyDescent="0.45">
      <c r="D5515" t="str">
        <f>IFERROR(VLOOKUP(C5515,'Clients List'!$A:$F,2,FALSE),"")</f>
        <v/>
      </c>
      <c r="F5515" s="1" t="str">
        <f>IF(OR(C5515="",NOT(ISNUMBER(SEARCH("Package",D5515)))),"",VLOOKUP(C5515,'Clients List'!$A:$F,4,FALSE)-SUMIFS($E$2:$E5515,$C$2:$C5515,C5515,$D$2:$D5515,"*Package*"))</f>
        <v/>
      </c>
      <c r="G5515" t="str">
        <f t="shared" si="119"/>
        <v/>
      </c>
      <c r="H5515" s="33">
        <f>IF(ISNUMBER(SEARCH("Group",D5515)),IF(G5515="",E5515,IFERROR(E5515/COUNTIF($G2:$G6000,G5515),E5515)),E5515)</f>
        <v>0</v>
      </c>
      <c r="I5515" s="1" t="str">
        <f>IFERROR(VLOOKUP(C5515,'Clients List'!A:F,6,FALSE),"")</f>
        <v/>
      </c>
    </row>
    <row r="5516" spans="4:9" x14ac:dyDescent="0.45">
      <c r="D5516" t="str">
        <f>IFERROR(VLOOKUP(C5516,'Clients List'!$A:$F,2,FALSE),"")</f>
        <v/>
      </c>
      <c r="F5516" s="1" t="str">
        <f>IF(OR(C5516="",NOT(ISNUMBER(SEARCH("Package",D5516)))),"",VLOOKUP(C5516,'Clients List'!$A:$F,4,FALSE)-SUMIFS($E$2:$E5516,$C$2:$C5516,C5516,$D$2:$D5516,"*Package*"))</f>
        <v/>
      </c>
      <c r="G5516" t="str">
        <f t="shared" si="119"/>
        <v/>
      </c>
      <c r="H5516" s="33">
        <f>IF(ISNUMBER(SEARCH("Group",D5516)),IF(G5516="",E5516,IFERROR(E5516/COUNTIF($G2:$G6000,G5516),E5516)),E5516)</f>
        <v>0</v>
      </c>
      <c r="I5516" s="1" t="str">
        <f>IFERROR(VLOOKUP(C5516,'Clients List'!A:F,6,FALSE),"")</f>
        <v/>
      </c>
    </row>
    <row r="5517" spans="4:9" x14ac:dyDescent="0.45">
      <c r="D5517" t="str">
        <f>IFERROR(VLOOKUP(C5517,'Clients List'!$A:$F,2,FALSE),"")</f>
        <v/>
      </c>
      <c r="F5517" s="1" t="str">
        <f>IF(OR(C5517="",NOT(ISNUMBER(SEARCH("Package",D5517)))),"",VLOOKUP(C5517,'Clients List'!$A:$F,4,FALSE)-SUMIFS($E$2:$E5517,$C$2:$C5517,C5517,$D$2:$D5517,"*Package*"))</f>
        <v/>
      </c>
      <c r="G5517" t="str">
        <f t="shared" si="119"/>
        <v/>
      </c>
      <c r="H5517" s="33">
        <f>IF(ISNUMBER(SEARCH("Group",D5517)),IF(G5517="",E5517,IFERROR(E5517/COUNTIF($G2:$G6000,G5517),E5517)),E5517)</f>
        <v>0</v>
      </c>
      <c r="I5517" s="1" t="str">
        <f>IFERROR(VLOOKUP(C5517,'Clients List'!A:F,6,FALSE),"")</f>
        <v/>
      </c>
    </row>
    <row r="5518" spans="4:9" x14ac:dyDescent="0.45">
      <c r="D5518" t="str">
        <f>IFERROR(VLOOKUP(C5518,'Clients List'!$A:$F,2,FALSE),"")</f>
        <v/>
      </c>
      <c r="F5518" s="1" t="str">
        <f>IF(OR(C5518="",NOT(ISNUMBER(SEARCH("Package",D5518)))),"",VLOOKUP(C5518,'Clients List'!$A:$F,4,FALSE)-SUMIFS($E$2:$E5518,$C$2:$C5518,C5518,$D$2:$D5518,"*Package*"))</f>
        <v/>
      </c>
      <c r="G5518" t="str">
        <f t="shared" si="119"/>
        <v/>
      </c>
      <c r="H5518" s="33">
        <f>IF(ISNUMBER(SEARCH("Group",D5518)),IF(G5518="",E5518,IFERROR(E5518/COUNTIF($G2:$G6000,G5518),E5518)),E5518)</f>
        <v>0</v>
      </c>
      <c r="I5518" s="1" t="str">
        <f>IFERROR(VLOOKUP(C5518,'Clients List'!A:F,6,FALSE),"")</f>
        <v/>
      </c>
    </row>
    <row r="5519" spans="4:9" x14ac:dyDescent="0.45">
      <c r="D5519" t="str">
        <f>IFERROR(VLOOKUP(C5519,'Clients List'!$A:$F,2,FALSE),"")</f>
        <v/>
      </c>
      <c r="F5519" s="1" t="str">
        <f>IF(OR(C5519="",NOT(ISNUMBER(SEARCH("Package",D5519)))),"",VLOOKUP(C5519,'Clients List'!$A:$F,4,FALSE)-SUMIFS($E$2:$E5519,$C$2:$C5519,C5519,$D$2:$D5519,"*Package*"))</f>
        <v/>
      </c>
      <c r="G5519" t="str">
        <f t="shared" si="119"/>
        <v/>
      </c>
      <c r="H5519" s="33">
        <f>IF(ISNUMBER(SEARCH("Group",D5519)),IF(G5519="",E5519,IFERROR(E5519/COUNTIF($G2:$G6000,G5519),E5519)),E5519)</f>
        <v>0</v>
      </c>
      <c r="I5519" s="1" t="str">
        <f>IFERROR(VLOOKUP(C5519,'Clients List'!A:F,6,FALSE),"")</f>
        <v/>
      </c>
    </row>
    <row r="5520" spans="4:9" x14ac:dyDescent="0.45">
      <c r="D5520" t="str">
        <f>IFERROR(VLOOKUP(C5520,'Clients List'!$A:$F,2,FALSE),"")</f>
        <v/>
      </c>
      <c r="F5520" s="1" t="str">
        <f>IF(OR(C5520="",NOT(ISNUMBER(SEARCH("Package",D5520)))),"",VLOOKUP(C5520,'Clients List'!$A:$F,4,FALSE)-SUMIFS($E$2:$E5520,$C$2:$C5520,C5520,$D$2:$D5520,"*Package*"))</f>
        <v/>
      </c>
      <c r="G5520" t="str">
        <f t="shared" si="119"/>
        <v/>
      </c>
      <c r="H5520" s="33">
        <f>IF(ISNUMBER(SEARCH("Group",D5520)),IF(G5520="",E5520,IFERROR(E5520/COUNTIF($G2:$G6000,G5520),E5520)),E5520)</f>
        <v>0</v>
      </c>
      <c r="I5520" s="1" t="str">
        <f>IFERROR(VLOOKUP(C5520,'Clients List'!A:F,6,FALSE),"")</f>
        <v/>
      </c>
    </row>
    <row r="5521" spans="4:9" x14ac:dyDescent="0.45">
      <c r="D5521" t="str">
        <f>IFERROR(VLOOKUP(C5521,'Clients List'!$A:$F,2,FALSE),"")</f>
        <v/>
      </c>
      <c r="F5521" s="1" t="str">
        <f>IF(OR(C5521="",NOT(ISNUMBER(SEARCH("Package",D5521)))),"",VLOOKUP(C5521,'Clients List'!$A:$F,4,FALSE)-SUMIFS($E$2:$E5521,$C$2:$C5521,C5521,$D$2:$D5521,"*Package*"))</f>
        <v/>
      </c>
      <c r="G5521" t="str">
        <f t="shared" si="119"/>
        <v/>
      </c>
      <c r="H5521" s="33">
        <f>IF(ISNUMBER(SEARCH("Group",D5521)),IF(G5521="",E5521,IFERROR(E5521/COUNTIF($G2:$G6000,G5521),E5521)),E5521)</f>
        <v>0</v>
      </c>
      <c r="I5521" s="1" t="str">
        <f>IFERROR(VLOOKUP(C5521,'Clients List'!A:F,6,FALSE),"")</f>
        <v/>
      </c>
    </row>
    <row r="5522" spans="4:9" x14ac:dyDescent="0.45">
      <c r="D5522" t="str">
        <f>IFERROR(VLOOKUP(C5522,'Clients List'!$A:$F,2,FALSE),"")</f>
        <v/>
      </c>
      <c r="F5522" s="1" t="str">
        <f>IF(OR(C5522="",NOT(ISNUMBER(SEARCH("Package",D5522)))),"",VLOOKUP(C5522,'Clients List'!$A:$F,4,FALSE)-SUMIFS($E$2:$E5522,$C$2:$C5522,C5522,$D$2:$D5522,"*Package*"))</f>
        <v/>
      </c>
      <c r="G5522" t="str">
        <f t="shared" si="119"/>
        <v/>
      </c>
      <c r="H5522" s="33">
        <f>IF(ISNUMBER(SEARCH("Group",D5522)),IF(G5522="",E5522,IFERROR(E5522/COUNTIF($G2:$G6000,G5522),E5522)),E5522)</f>
        <v>0</v>
      </c>
      <c r="I5522" s="1" t="str">
        <f>IFERROR(VLOOKUP(C5522,'Clients List'!A:F,6,FALSE),"")</f>
        <v/>
      </c>
    </row>
    <row r="5523" spans="4:9" x14ac:dyDescent="0.45">
      <c r="D5523" t="str">
        <f>IFERROR(VLOOKUP(C5523,'Clients List'!$A:$F,2,FALSE),"")</f>
        <v/>
      </c>
      <c r="F5523" s="1" t="str">
        <f>IF(OR(C5523="",NOT(ISNUMBER(SEARCH("Package",D5523)))),"",VLOOKUP(C5523,'Clients List'!$A:$F,4,FALSE)-SUMIFS($E$2:$E5523,$C$2:$C5523,C5523,$D$2:$D5523,"*Package*"))</f>
        <v/>
      </c>
      <c r="G5523" t="str">
        <f t="shared" si="119"/>
        <v/>
      </c>
      <c r="H5523" s="33">
        <f>IF(ISNUMBER(SEARCH("Group",D5523)),IF(G5523="",E5523,IFERROR(E5523/COUNTIF($G2:$G6000,G5523),E5523)),E5523)</f>
        <v>0</v>
      </c>
      <c r="I5523" s="1" t="str">
        <f>IFERROR(VLOOKUP(C5523,'Clients List'!A:F,6,FALSE),"")</f>
        <v/>
      </c>
    </row>
    <row r="5524" spans="4:9" x14ac:dyDescent="0.45">
      <c r="D5524" t="str">
        <f>IFERROR(VLOOKUP(C5524,'Clients List'!$A:$F,2,FALSE),"")</f>
        <v/>
      </c>
      <c r="F5524" s="1" t="str">
        <f>IF(OR(C5524="",NOT(ISNUMBER(SEARCH("Package",D5524)))),"",VLOOKUP(C5524,'Clients List'!$A:$F,4,FALSE)-SUMIFS($E$2:$E5524,$C$2:$C5524,C5524,$D$2:$D5524,"*Package*"))</f>
        <v/>
      </c>
      <c r="G5524" t="str">
        <f t="shared" si="119"/>
        <v/>
      </c>
      <c r="H5524" s="33">
        <f>IF(ISNUMBER(SEARCH("Group",D5524)),IF(G5524="",E5524,IFERROR(E5524/COUNTIF($G2:$G6000,G5524),E5524)),E5524)</f>
        <v>0</v>
      </c>
      <c r="I5524" s="1" t="str">
        <f>IFERROR(VLOOKUP(C5524,'Clients List'!A:F,6,FALSE),"")</f>
        <v/>
      </c>
    </row>
    <row r="5525" spans="4:9" x14ac:dyDescent="0.45">
      <c r="D5525" t="str">
        <f>IFERROR(VLOOKUP(C5525,'Clients List'!$A:$F,2,FALSE),"")</f>
        <v/>
      </c>
      <c r="F5525" s="1" t="str">
        <f>IF(OR(C5525="",NOT(ISNUMBER(SEARCH("Package",D5525)))),"",VLOOKUP(C5525,'Clients List'!$A:$F,4,FALSE)-SUMIFS($E$2:$E5525,$C$2:$C5525,C5525,$D$2:$D5525,"*Package*"))</f>
        <v/>
      </c>
      <c r="G5525" t="str">
        <f t="shared" si="119"/>
        <v/>
      </c>
      <c r="H5525" s="33">
        <f>IF(ISNUMBER(SEARCH("Group",D5525)),IF(G5525="",E5525,IFERROR(E5525/COUNTIF($G2:$G6000,G5525),E5525)),E5525)</f>
        <v>0</v>
      </c>
      <c r="I5525" s="1" t="str">
        <f>IFERROR(VLOOKUP(C5525,'Clients List'!A:F,6,FALSE),"")</f>
        <v/>
      </c>
    </row>
    <row r="5526" spans="4:9" x14ac:dyDescent="0.45">
      <c r="D5526" t="str">
        <f>IFERROR(VLOOKUP(C5526,'Clients List'!$A:$F,2,FALSE),"")</f>
        <v/>
      </c>
      <c r="F5526" s="1" t="str">
        <f>IF(OR(C5526="",NOT(ISNUMBER(SEARCH("Package",D5526)))),"",VLOOKUP(C5526,'Clients List'!$A:$F,4,FALSE)-SUMIFS($E$2:$E5526,$C$2:$C5526,C5526,$D$2:$D5526,"*Package*"))</f>
        <v/>
      </c>
      <c r="G5526" t="str">
        <f t="shared" si="119"/>
        <v/>
      </c>
      <c r="H5526" s="33">
        <f>IF(ISNUMBER(SEARCH("Group",D5526)),IF(G5526="",E5526,IFERROR(E5526/COUNTIF($G2:$G6000,G5526),E5526)),E5526)</f>
        <v>0</v>
      </c>
      <c r="I5526" s="1" t="str">
        <f>IFERROR(VLOOKUP(C5526,'Clients List'!A:F,6,FALSE),"")</f>
        <v/>
      </c>
    </row>
    <row r="5527" spans="4:9" x14ac:dyDescent="0.45">
      <c r="D5527" t="str">
        <f>IFERROR(VLOOKUP(C5527,'Clients List'!$A:$F,2,FALSE),"")</f>
        <v/>
      </c>
      <c r="F5527" s="1" t="str">
        <f>IF(OR(C5527="",NOT(ISNUMBER(SEARCH("Package",D5527)))),"",VLOOKUP(C5527,'Clients List'!$A:$F,4,FALSE)-SUMIFS($E$2:$E5527,$C$2:$C5527,C5527,$D$2:$D5527,"*Package*"))</f>
        <v/>
      </c>
      <c r="G5527" t="str">
        <f t="shared" si="119"/>
        <v/>
      </c>
      <c r="H5527" s="33">
        <f>IF(ISNUMBER(SEARCH("Group",D5527)),IF(G5527="",E5527,IFERROR(E5527/COUNTIF($G2:$G6000,G5527),E5527)),E5527)</f>
        <v>0</v>
      </c>
      <c r="I5527" s="1" t="str">
        <f>IFERROR(VLOOKUP(C5527,'Clients List'!A:F,6,FALSE),"")</f>
        <v/>
      </c>
    </row>
    <row r="5528" spans="4:9" x14ac:dyDescent="0.45">
      <c r="D5528" t="str">
        <f>IFERROR(VLOOKUP(C5528,'Clients List'!$A:$F,2,FALSE),"")</f>
        <v/>
      </c>
      <c r="F5528" s="1" t="str">
        <f>IF(OR(C5528="",NOT(ISNUMBER(SEARCH("Package",D5528)))),"",VLOOKUP(C5528,'Clients List'!$A:$F,4,FALSE)-SUMIFS($E$2:$E5528,$C$2:$C5528,C5528,$D$2:$D5528,"*Package*"))</f>
        <v/>
      </c>
      <c r="G5528" t="str">
        <f t="shared" si="119"/>
        <v/>
      </c>
      <c r="H5528" s="33">
        <f>IF(ISNUMBER(SEARCH("Group",D5528)),IF(G5528="",E5528,IFERROR(E5528/COUNTIF($G2:$G6000,G5528),E5528)),E5528)</f>
        <v>0</v>
      </c>
      <c r="I5528" s="1" t="str">
        <f>IFERROR(VLOOKUP(C5528,'Clients List'!A:F,6,FALSE),"")</f>
        <v/>
      </c>
    </row>
    <row r="5529" spans="4:9" x14ac:dyDescent="0.45">
      <c r="D5529" t="str">
        <f>IFERROR(VLOOKUP(C5529,'Clients List'!$A:$F,2,FALSE),"")</f>
        <v/>
      </c>
      <c r="F5529" s="1" t="str">
        <f>IF(OR(C5529="",NOT(ISNUMBER(SEARCH("Package",D5529)))),"",VLOOKUP(C5529,'Clients List'!$A:$F,4,FALSE)-SUMIFS($E$2:$E5529,$C$2:$C5529,C5529,$D$2:$D5529,"*Package*"))</f>
        <v/>
      </c>
      <c r="G5529" t="str">
        <f t="shared" si="119"/>
        <v/>
      </c>
      <c r="H5529" s="33">
        <f>IF(ISNUMBER(SEARCH("Group",D5529)),IF(G5529="",E5529,IFERROR(E5529/COUNTIF($G2:$G6000,G5529),E5529)),E5529)</f>
        <v>0</v>
      </c>
      <c r="I5529" s="1" t="str">
        <f>IFERROR(VLOOKUP(C5529,'Clients List'!A:F,6,FALSE),"")</f>
        <v/>
      </c>
    </row>
    <row r="5530" spans="4:9" x14ac:dyDescent="0.45">
      <c r="D5530" t="str">
        <f>IFERROR(VLOOKUP(C5530,'Clients List'!$A:$F,2,FALSE),"")</f>
        <v/>
      </c>
      <c r="F5530" s="1" t="str">
        <f>IF(OR(C5530="",NOT(ISNUMBER(SEARCH("Package",D5530)))),"",VLOOKUP(C5530,'Clients List'!$A:$F,4,FALSE)-SUMIFS($E$2:$E5530,$C$2:$C5530,C5530,$D$2:$D5530,"*Package*"))</f>
        <v/>
      </c>
      <c r="G5530" t="str">
        <f t="shared" si="119"/>
        <v/>
      </c>
      <c r="H5530" s="33">
        <f>IF(ISNUMBER(SEARCH("Group",D5530)),IF(G5530="",E5530,IFERROR(E5530/COUNTIF($G2:$G6000,G5530),E5530)),E5530)</f>
        <v>0</v>
      </c>
      <c r="I5530" s="1" t="str">
        <f>IFERROR(VLOOKUP(C5530,'Clients List'!A:F,6,FALSE),"")</f>
        <v/>
      </c>
    </row>
    <row r="5531" spans="4:9" x14ac:dyDescent="0.45">
      <c r="D5531" t="str">
        <f>IFERROR(VLOOKUP(C5531,'Clients List'!$A:$F,2,FALSE),"")</f>
        <v/>
      </c>
      <c r="F5531" s="1" t="str">
        <f>IF(OR(C5531="",NOT(ISNUMBER(SEARCH("Package",D5531)))),"",VLOOKUP(C5531,'Clients List'!$A:$F,4,FALSE)-SUMIFS($E$2:$E5531,$C$2:$C5531,C5531,$D$2:$D5531,"*Package*"))</f>
        <v/>
      </c>
      <c r="G5531" t="str">
        <f t="shared" si="119"/>
        <v/>
      </c>
      <c r="H5531" s="33">
        <f>IF(ISNUMBER(SEARCH("Group",D5531)),IF(G5531="",E5531,IFERROR(E5531/COUNTIF($G2:$G6000,G5531),E5531)),E5531)</f>
        <v>0</v>
      </c>
      <c r="I5531" s="1" t="str">
        <f>IFERROR(VLOOKUP(C5531,'Clients List'!A:F,6,FALSE),"")</f>
        <v/>
      </c>
    </row>
    <row r="5532" spans="4:9" x14ac:dyDescent="0.45">
      <c r="D5532" t="str">
        <f>IFERROR(VLOOKUP(C5532,'Clients List'!$A:$F,2,FALSE),"")</f>
        <v/>
      </c>
      <c r="F5532" s="1" t="str">
        <f>IF(OR(C5532="",NOT(ISNUMBER(SEARCH("Package",D5532)))),"",VLOOKUP(C5532,'Clients List'!$A:$F,4,FALSE)-SUMIFS($E$2:$E5532,$C$2:$C5532,C5532,$D$2:$D5532,"*Package*"))</f>
        <v/>
      </c>
      <c r="G5532" t="str">
        <f t="shared" si="119"/>
        <v/>
      </c>
      <c r="H5532" s="33">
        <f>IF(ISNUMBER(SEARCH("Group",D5532)),IF(G5532="",E5532,IFERROR(E5532/COUNTIF($G2:$G6000,G5532),E5532)),E5532)</f>
        <v>0</v>
      </c>
      <c r="I5532" s="1" t="str">
        <f>IFERROR(VLOOKUP(C5532,'Clients List'!A:F,6,FALSE),"")</f>
        <v/>
      </c>
    </row>
    <row r="5533" spans="4:9" x14ac:dyDescent="0.45">
      <c r="D5533" t="str">
        <f>IFERROR(VLOOKUP(C5533,'Clients List'!$A:$F,2,FALSE),"")</f>
        <v/>
      </c>
      <c r="F5533" s="1" t="str">
        <f>IF(OR(C5533="",NOT(ISNUMBER(SEARCH("Package",D5533)))),"",VLOOKUP(C5533,'Clients List'!$A:$F,4,FALSE)-SUMIFS($E$2:$E5533,$C$2:$C5533,C5533,$D$2:$D5533,"*Package*"))</f>
        <v/>
      </c>
      <c r="G5533" t="str">
        <f t="shared" si="119"/>
        <v/>
      </c>
      <c r="H5533" s="33">
        <f>IF(ISNUMBER(SEARCH("Group",D5533)),IF(G5533="",E5533,IFERROR(E5533/COUNTIF($G2:$G6000,G5533),E5533)),E5533)</f>
        <v>0</v>
      </c>
      <c r="I5533" s="1" t="str">
        <f>IFERROR(VLOOKUP(C5533,'Clients List'!A:F,6,FALSE),"")</f>
        <v/>
      </c>
    </row>
    <row r="5534" spans="4:9" x14ac:dyDescent="0.45">
      <c r="D5534" t="str">
        <f>IFERROR(VLOOKUP(C5534,'Clients List'!$A:$F,2,FALSE),"")</f>
        <v/>
      </c>
      <c r="F5534" s="1" t="str">
        <f>IF(OR(C5534="",NOT(ISNUMBER(SEARCH("Package",D5534)))),"",VLOOKUP(C5534,'Clients List'!$A:$F,4,FALSE)-SUMIFS($E$2:$E5534,$C$2:$C5534,C5534,$D$2:$D5534,"*Package*"))</f>
        <v/>
      </c>
      <c r="G5534" t="str">
        <f t="shared" si="119"/>
        <v/>
      </c>
      <c r="H5534" s="33">
        <f>IF(ISNUMBER(SEARCH("Group",D5534)),IF(G5534="",E5534,IFERROR(E5534/COUNTIF($G2:$G6000,G5534),E5534)),E5534)</f>
        <v>0</v>
      </c>
      <c r="I5534" s="1" t="str">
        <f>IFERROR(VLOOKUP(C5534,'Clients List'!A:F,6,FALSE),"")</f>
        <v/>
      </c>
    </row>
    <row r="5535" spans="4:9" x14ac:dyDescent="0.45">
      <c r="D5535" t="str">
        <f>IFERROR(VLOOKUP(C5535,'Clients List'!$A:$F,2,FALSE),"")</f>
        <v/>
      </c>
      <c r="F5535" s="1" t="str">
        <f>IF(OR(C5535="",NOT(ISNUMBER(SEARCH("Package",D5535)))),"",VLOOKUP(C5535,'Clients List'!$A:$F,4,FALSE)-SUMIFS($E$2:$E5535,$C$2:$C5535,C5535,$D$2:$D5535,"*Package*"))</f>
        <v/>
      </c>
      <c r="G5535" t="str">
        <f t="shared" si="119"/>
        <v/>
      </c>
      <c r="H5535" s="33">
        <f>IF(ISNUMBER(SEARCH("Group",D5535)),IF(G5535="",E5535,IFERROR(E5535/COUNTIF($G2:$G6000,G5535),E5535)),E5535)</f>
        <v>0</v>
      </c>
      <c r="I5535" s="1" t="str">
        <f>IFERROR(VLOOKUP(C5535,'Clients List'!A:F,6,FALSE),"")</f>
        <v/>
      </c>
    </row>
    <row r="5536" spans="4:9" x14ac:dyDescent="0.45">
      <c r="D5536" t="str">
        <f>IFERROR(VLOOKUP(C5536,'Clients List'!$A:$F,2,FALSE),"")</f>
        <v/>
      </c>
      <c r="F5536" s="1" t="str">
        <f>IF(OR(C5536="",NOT(ISNUMBER(SEARCH("Package",D5536)))),"",VLOOKUP(C5536,'Clients List'!$A:$F,4,FALSE)-SUMIFS($E$2:$E5536,$C$2:$C5536,C5536,$D$2:$D5536,"*Package*"))</f>
        <v/>
      </c>
      <c r="G5536" t="str">
        <f t="shared" si="119"/>
        <v/>
      </c>
      <c r="H5536" s="33">
        <f>IF(ISNUMBER(SEARCH("Group",D5536)),IF(G5536="",E5536,IFERROR(E5536/COUNTIF($G2:$G6000,G5536),E5536)),E5536)</f>
        <v>0</v>
      </c>
      <c r="I5536" s="1" t="str">
        <f>IFERROR(VLOOKUP(C5536,'Clients List'!A:F,6,FALSE),"")</f>
        <v/>
      </c>
    </row>
    <row r="5537" spans="4:9" x14ac:dyDescent="0.45">
      <c r="D5537" t="str">
        <f>IFERROR(VLOOKUP(C5537,'Clients List'!$A:$F,2,FALSE),"")</f>
        <v/>
      </c>
      <c r="F5537" s="1" t="str">
        <f>IF(OR(C5537="",NOT(ISNUMBER(SEARCH("Package",D5537)))),"",VLOOKUP(C5537,'Clients List'!$A:$F,4,FALSE)-SUMIFS($E$2:$E5537,$C$2:$C5537,C5537,$D$2:$D5537,"*Package*"))</f>
        <v/>
      </c>
      <c r="G5537" t="str">
        <f t="shared" si="119"/>
        <v/>
      </c>
      <c r="H5537" s="33">
        <f>IF(ISNUMBER(SEARCH("Group",D5537)),IF(G5537="",E5537,IFERROR(E5537/COUNTIF($G2:$G6000,G5537),E5537)),E5537)</f>
        <v>0</v>
      </c>
      <c r="I5537" s="1" t="str">
        <f>IFERROR(VLOOKUP(C5537,'Clients List'!A:F,6,FALSE),"")</f>
        <v/>
      </c>
    </row>
    <row r="5538" spans="4:9" x14ac:dyDescent="0.45">
      <c r="D5538" t="str">
        <f>IFERROR(VLOOKUP(C5538,'Clients List'!$A:$F,2,FALSE),"")</f>
        <v/>
      </c>
      <c r="F5538" s="1" t="str">
        <f>IF(OR(C5538="",NOT(ISNUMBER(SEARCH("Package",D5538)))),"",VLOOKUP(C5538,'Clients List'!$A:$F,4,FALSE)-SUMIFS($E$2:$E5538,$C$2:$C5538,C5538,$D$2:$D5538,"*Package*"))</f>
        <v/>
      </c>
      <c r="G5538" t="str">
        <f t="shared" si="119"/>
        <v/>
      </c>
      <c r="H5538" s="33">
        <f>IF(ISNUMBER(SEARCH("Group",D5538)),IF(G5538="",E5538,IFERROR(E5538/COUNTIF($G2:$G6000,G5538),E5538)),E5538)</f>
        <v>0</v>
      </c>
      <c r="I5538" s="1" t="str">
        <f>IFERROR(VLOOKUP(C5538,'Clients List'!A:F,6,FALSE),"")</f>
        <v/>
      </c>
    </row>
    <row r="5539" spans="4:9" x14ac:dyDescent="0.45">
      <c r="D5539" t="str">
        <f>IFERROR(VLOOKUP(C5539,'Clients List'!$A:$F,2,FALSE),"")</f>
        <v/>
      </c>
      <c r="F5539" s="1" t="str">
        <f>IF(OR(C5539="",NOT(ISNUMBER(SEARCH("Package",D5539)))),"",VLOOKUP(C5539,'Clients List'!$A:$F,4,FALSE)-SUMIFS($E$2:$E5539,$C$2:$C5539,C5539,$D$2:$D5539,"*Package*"))</f>
        <v/>
      </c>
      <c r="G5539" t="str">
        <f t="shared" si="119"/>
        <v/>
      </c>
      <c r="H5539" s="33">
        <f>IF(ISNUMBER(SEARCH("Group",D5539)),IF(G5539="",E5539,IFERROR(E5539/COUNTIF($G2:$G6000,G5539),E5539)),E5539)</f>
        <v>0</v>
      </c>
      <c r="I5539" s="1" t="str">
        <f>IFERROR(VLOOKUP(C5539,'Clients List'!A:F,6,FALSE),"")</f>
        <v/>
      </c>
    </row>
    <row r="5540" spans="4:9" x14ac:dyDescent="0.45">
      <c r="D5540" t="str">
        <f>IFERROR(VLOOKUP(C5540,'Clients List'!$A:$F,2,FALSE),"")</f>
        <v/>
      </c>
      <c r="F5540" s="1" t="str">
        <f>IF(OR(C5540="",NOT(ISNUMBER(SEARCH("Package",D5540)))),"",VLOOKUP(C5540,'Clients List'!$A:$F,4,FALSE)-SUMIFS($E$2:$E5540,$C$2:$C5540,C5540,$D$2:$D5540,"*Package*"))</f>
        <v/>
      </c>
      <c r="G5540" t="str">
        <f t="shared" si="119"/>
        <v/>
      </c>
      <c r="H5540" s="33">
        <f>IF(ISNUMBER(SEARCH("Group",D5540)),IF(G5540="",E5540,IFERROR(E5540/COUNTIF($G2:$G6000,G5540),E5540)),E5540)</f>
        <v>0</v>
      </c>
      <c r="I5540" s="1" t="str">
        <f>IFERROR(VLOOKUP(C5540,'Clients List'!A:F,6,FALSE),"")</f>
        <v/>
      </c>
    </row>
    <row r="5541" spans="4:9" x14ac:dyDescent="0.45">
      <c r="D5541" t="str">
        <f>IFERROR(VLOOKUP(C5541,'Clients List'!$A:$F,2,FALSE),"")</f>
        <v/>
      </c>
      <c r="F5541" s="1" t="str">
        <f>IF(OR(C5541="",NOT(ISNUMBER(SEARCH("Package",D5541)))),"",VLOOKUP(C5541,'Clients List'!$A:$F,4,FALSE)-SUMIFS($E$2:$E5541,$C$2:$C5541,C5541,$D$2:$D5541,"*Package*"))</f>
        <v/>
      </c>
      <c r="G5541" t="str">
        <f t="shared" si="119"/>
        <v/>
      </c>
      <c r="H5541" s="33">
        <f>IF(ISNUMBER(SEARCH("Group",D5541)),IF(G5541="",E5541,IFERROR(E5541/COUNTIF($G2:$G6000,G5541),E5541)),E5541)</f>
        <v>0</v>
      </c>
      <c r="I5541" s="1" t="str">
        <f>IFERROR(VLOOKUP(C5541,'Clients List'!A:F,6,FALSE),"")</f>
        <v/>
      </c>
    </row>
    <row r="5542" spans="4:9" x14ac:dyDescent="0.45">
      <c r="D5542" t="str">
        <f>IFERROR(VLOOKUP(C5542,'Clients List'!$A:$F,2,FALSE),"")</f>
        <v/>
      </c>
      <c r="F5542" s="1" t="str">
        <f>IF(OR(C5542="",NOT(ISNUMBER(SEARCH("Package",D5542)))),"",VLOOKUP(C5542,'Clients List'!$A:$F,4,FALSE)-SUMIFS($E$2:$E5542,$C$2:$C5542,C5542,$D$2:$D5542,"*Package*"))</f>
        <v/>
      </c>
      <c r="G5542" t="str">
        <f t="shared" si="119"/>
        <v/>
      </c>
      <c r="H5542" s="33">
        <f>IF(ISNUMBER(SEARCH("Group",D5542)),IF(G5542="",E5542,IFERROR(E5542/COUNTIF($G2:$G6000,G5542),E5542)),E5542)</f>
        <v>0</v>
      </c>
      <c r="I5542" s="1" t="str">
        <f>IFERROR(VLOOKUP(C5542,'Clients List'!A:F,6,FALSE),"")</f>
        <v/>
      </c>
    </row>
    <row r="5543" spans="4:9" x14ac:dyDescent="0.45">
      <c r="D5543" t="str">
        <f>IFERROR(VLOOKUP(C5543,'Clients List'!$A:$F,2,FALSE),"")</f>
        <v/>
      </c>
      <c r="F5543" s="1" t="str">
        <f>IF(OR(C5543="",NOT(ISNUMBER(SEARCH("Package",D5543)))),"",VLOOKUP(C5543,'Clients List'!$A:$F,4,FALSE)-SUMIFS($E$2:$E5543,$C$2:$C5543,C5543,$D$2:$D5543,"*Package*"))</f>
        <v/>
      </c>
      <c r="G5543" t="str">
        <f t="shared" si="119"/>
        <v/>
      </c>
      <c r="H5543" s="33">
        <f>IF(ISNUMBER(SEARCH("Group",D5543)),IF(G5543="",E5543,IFERROR(E5543/COUNTIF($G2:$G6000,G5543),E5543)),E5543)</f>
        <v>0</v>
      </c>
      <c r="I5543" s="1" t="str">
        <f>IFERROR(VLOOKUP(C5543,'Clients List'!A:F,6,FALSE),"")</f>
        <v/>
      </c>
    </row>
    <row r="5544" spans="4:9" x14ac:dyDescent="0.45">
      <c r="D5544" t="str">
        <f>IFERROR(VLOOKUP(C5544,'Clients List'!$A:$F,2,FALSE),"")</f>
        <v/>
      </c>
      <c r="F5544" s="1" t="str">
        <f>IF(OR(C5544="",NOT(ISNUMBER(SEARCH("Package",D5544)))),"",VLOOKUP(C5544,'Clients List'!$A:$F,4,FALSE)-SUMIFS($E$2:$E5544,$C$2:$C5544,C5544,$D$2:$D5544,"*Package*"))</f>
        <v/>
      </c>
      <c r="G5544" t="str">
        <f t="shared" si="119"/>
        <v/>
      </c>
      <c r="H5544" s="33">
        <f>IF(ISNUMBER(SEARCH("Group",D5544)),IF(G5544="",E5544,IFERROR(E5544/COUNTIF($G2:$G6000,G5544),E5544)),E5544)</f>
        <v>0</v>
      </c>
      <c r="I5544" s="1" t="str">
        <f>IFERROR(VLOOKUP(C5544,'Clients List'!A:F,6,FALSE),"")</f>
        <v/>
      </c>
    </row>
    <row r="5545" spans="4:9" x14ac:dyDescent="0.45">
      <c r="D5545" t="str">
        <f>IFERROR(VLOOKUP(C5545,'Clients List'!$A:$F,2,FALSE),"")</f>
        <v/>
      </c>
      <c r="F5545" s="1" t="str">
        <f>IF(OR(C5545="",NOT(ISNUMBER(SEARCH("Package",D5545)))),"",VLOOKUP(C5545,'Clients List'!$A:$F,4,FALSE)-SUMIFS($E$2:$E5545,$C$2:$C5545,C5545,$D$2:$D5545,"*Package*"))</f>
        <v/>
      </c>
      <c r="G5545" t="str">
        <f t="shared" si="119"/>
        <v/>
      </c>
      <c r="H5545" s="33">
        <f>IF(ISNUMBER(SEARCH("Group",D5545)),IF(G5545="",E5545,IFERROR(E5545/COUNTIF($G2:$G6000,G5545),E5545)),E5545)</f>
        <v>0</v>
      </c>
      <c r="I5545" s="1" t="str">
        <f>IFERROR(VLOOKUP(C5545,'Clients List'!A:F,6,FALSE),"")</f>
        <v/>
      </c>
    </row>
    <row r="5546" spans="4:9" x14ac:dyDescent="0.45">
      <c r="D5546" t="str">
        <f>IFERROR(VLOOKUP(C5546,'Clients List'!$A:$F,2,FALSE),"")</f>
        <v/>
      </c>
      <c r="F5546" s="1" t="str">
        <f>IF(OR(C5546="",NOT(ISNUMBER(SEARCH("Package",D5546)))),"",VLOOKUP(C5546,'Clients List'!$A:$F,4,FALSE)-SUMIFS($E$2:$E5546,$C$2:$C5546,C5546,$D$2:$D5546,"*Package*"))</f>
        <v/>
      </c>
      <c r="G5546" t="str">
        <f t="shared" si="119"/>
        <v/>
      </c>
      <c r="H5546" s="33">
        <f>IF(ISNUMBER(SEARCH("Group",D5546)),IF(G5546="",E5546,IFERROR(E5546/COUNTIF($G2:$G6000,G5546),E5546)),E5546)</f>
        <v>0</v>
      </c>
      <c r="I5546" s="1" t="str">
        <f>IFERROR(VLOOKUP(C5546,'Clients List'!A:F,6,FALSE),"")</f>
        <v/>
      </c>
    </row>
    <row r="5547" spans="4:9" x14ac:dyDescent="0.45">
      <c r="D5547" t="str">
        <f>IFERROR(VLOOKUP(C5547,'Clients List'!$A:$F,2,FALSE),"")</f>
        <v/>
      </c>
      <c r="F5547" s="1" t="str">
        <f>IF(OR(C5547="",NOT(ISNUMBER(SEARCH("Package",D5547)))),"",VLOOKUP(C5547,'Clients List'!$A:$F,4,FALSE)-SUMIFS($E$2:$E5547,$C$2:$C5547,C5547,$D$2:$D5547,"*Package*"))</f>
        <v/>
      </c>
      <c r="G5547" t="str">
        <f t="shared" si="119"/>
        <v/>
      </c>
      <c r="H5547" s="33">
        <f>IF(ISNUMBER(SEARCH("Group",D5547)),IF(G5547="",E5547,IFERROR(E5547/COUNTIF($G2:$G6000,G5547),E5547)),E5547)</f>
        <v>0</v>
      </c>
      <c r="I5547" s="1" t="str">
        <f>IFERROR(VLOOKUP(C5547,'Clients List'!A:F,6,FALSE),"")</f>
        <v/>
      </c>
    </row>
    <row r="5548" spans="4:9" x14ac:dyDescent="0.45">
      <c r="D5548" t="str">
        <f>IFERROR(VLOOKUP(C5548,'Clients List'!$A:$F,2,FALSE),"")</f>
        <v/>
      </c>
      <c r="F5548" s="1" t="str">
        <f>IF(OR(C5548="",NOT(ISNUMBER(SEARCH("Package",D5548)))),"",VLOOKUP(C5548,'Clients List'!$A:$F,4,FALSE)-SUMIFS($E$2:$E5548,$C$2:$C5548,C5548,$D$2:$D5548,"*Package*"))</f>
        <v/>
      </c>
      <c r="G5548" t="str">
        <f t="shared" si="119"/>
        <v/>
      </c>
      <c r="H5548" s="33">
        <f>IF(ISNUMBER(SEARCH("Group",D5548)),IF(G5548="",E5548,IFERROR(E5548/COUNTIF($G2:$G6000,G5548),E5548)),E5548)</f>
        <v>0</v>
      </c>
      <c r="I5548" s="1" t="str">
        <f>IFERROR(VLOOKUP(C5548,'Clients List'!A:F,6,FALSE),"")</f>
        <v/>
      </c>
    </row>
    <row r="5549" spans="4:9" x14ac:dyDescent="0.45">
      <c r="D5549" t="str">
        <f>IFERROR(VLOOKUP(C5549,'Clients List'!$A:$F,2,FALSE),"")</f>
        <v/>
      </c>
      <c r="F5549" s="1" t="str">
        <f>IF(OR(C5549="",NOT(ISNUMBER(SEARCH("Package",D5549)))),"",VLOOKUP(C5549,'Clients List'!$A:$F,4,FALSE)-SUMIFS($E$2:$E5549,$C$2:$C5549,C5549,$D$2:$D5549,"*Package*"))</f>
        <v/>
      </c>
      <c r="G5549" t="str">
        <f t="shared" si="119"/>
        <v/>
      </c>
      <c r="H5549" s="33">
        <f>IF(ISNUMBER(SEARCH("Group",D5549)),IF(G5549="",E5549,IFERROR(E5549/COUNTIF($G2:$G6000,G5549),E5549)),E5549)</f>
        <v>0</v>
      </c>
      <c r="I5549" s="1" t="str">
        <f>IFERROR(VLOOKUP(C5549,'Clients List'!A:F,6,FALSE),"")</f>
        <v/>
      </c>
    </row>
    <row r="5550" spans="4:9" x14ac:dyDescent="0.45">
      <c r="D5550" t="str">
        <f>IFERROR(VLOOKUP(C5550,'Clients List'!$A:$F,2,FALSE),"")</f>
        <v/>
      </c>
      <c r="F5550" s="1" t="str">
        <f>IF(OR(C5550="",NOT(ISNUMBER(SEARCH("Package",D5550)))),"",VLOOKUP(C5550,'Clients List'!$A:$F,4,FALSE)-SUMIFS($E$2:$E5550,$C$2:$C5550,C5550,$D$2:$D5550,"*Package*"))</f>
        <v/>
      </c>
      <c r="G5550" t="str">
        <f t="shared" si="119"/>
        <v/>
      </c>
      <c r="H5550" s="33">
        <f>IF(ISNUMBER(SEARCH("Group",D5550)),IF(G5550="",E5550,IFERROR(E5550/COUNTIF($G2:$G6000,G5550),E5550)),E5550)</f>
        <v>0</v>
      </c>
      <c r="I5550" s="1" t="str">
        <f>IFERROR(VLOOKUP(C5550,'Clients List'!A:F,6,FALSE),"")</f>
        <v/>
      </c>
    </row>
    <row r="5551" spans="4:9" x14ac:dyDescent="0.45">
      <c r="D5551" t="str">
        <f>IFERROR(VLOOKUP(C5551,'Clients List'!$A:$F,2,FALSE),"")</f>
        <v/>
      </c>
      <c r="F5551" s="1" t="str">
        <f>IF(OR(C5551="",NOT(ISNUMBER(SEARCH("Package",D5551)))),"",VLOOKUP(C5551,'Clients List'!$A:$F,4,FALSE)-SUMIFS($E$2:$E5551,$C$2:$C5551,C5551,$D$2:$D5551,"*Package*"))</f>
        <v/>
      </c>
      <c r="G5551" t="str">
        <f t="shared" si="119"/>
        <v/>
      </c>
      <c r="H5551" s="33">
        <f>IF(ISNUMBER(SEARCH("Group",D5551)),IF(G5551="",E5551,IFERROR(E5551/COUNTIF($G2:$G6000,G5551),E5551)),E5551)</f>
        <v>0</v>
      </c>
      <c r="I5551" s="1" t="str">
        <f>IFERROR(VLOOKUP(C5551,'Clients List'!A:F,6,FALSE),"")</f>
        <v/>
      </c>
    </row>
    <row r="5552" spans="4:9" x14ac:dyDescent="0.45">
      <c r="D5552" t="str">
        <f>IFERROR(VLOOKUP(C5552,'Clients List'!$A:$F,2,FALSE),"")</f>
        <v/>
      </c>
      <c r="F5552" s="1" t="str">
        <f>IF(OR(C5552="",NOT(ISNUMBER(SEARCH("Package",D5552)))),"",VLOOKUP(C5552,'Clients List'!$A:$F,4,FALSE)-SUMIFS($E$2:$E5552,$C$2:$C5552,C5552,$D$2:$D5552,"*Package*"))</f>
        <v/>
      </c>
      <c r="G5552" t="str">
        <f t="shared" si="119"/>
        <v/>
      </c>
      <c r="H5552" s="33">
        <f>IF(ISNUMBER(SEARCH("Group",D5552)),IF(G5552="",E5552,IFERROR(E5552/COUNTIF($G2:$G6000,G5552),E5552)),E5552)</f>
        <v>0</v>
      </c>
      <c r="I5552" s="1" t="str">
        <f>IFERROR(VLOOKUP(C5552,'Clients List'!A:F,6,FALSE),"")</f>
        <v/>
      </c>
    </row>
    <row r="5553" spans="4:9" x14ac:dyDescent="0.45">
      <c r="D5553" t="str">
        <f>IFERROR(VLOOKUP(C5553,'Clients List'!$A:$F,2,FALSE),"")</f>
        <v/>
      </c>
      <c r="F5553" s="1" t="str">
        <f>IF(OR(C5553="",NOT(ISNUMBER(SEARCH("Package",D5553)))),"",VLOOKUP(C5553,'Clients List'!$A:$F,4,FALSE)-SUMIFS($E$2:$E5553,$C$2:$C5553,C5553,$D$2:$D5553,"*Package*"))</f>
        <v/>
      </c>
      <c r="G5553" t="str">
        <f t="shared" si="119"/>
        <v/>
      </c>
      <c r="H5553" s="33">
        <f>IF(ISNUMBER(SEARCH("Group",D5553)),IF(G5553="",E5553,IFERROR(E5553/COUNTIF($G2:$G6000,G5553),E5553)),E5553)</f>
        <v>0</v>
      </c>
      <c r="I5553" s="1" t="str">
        <f>IFERROR(VLOOKUP(C5553,'Clients List'!A:F,6,FALSE),"")</f>
        <v/>
      </c>
    </row>
    <row r="5554" spans="4:9" x14ac:dyDescent="0.45">
      <c r="D5554" t="str">
        <f>IFERROR(VLOOKUP(C5554,'Clients List'!$A:$F,2,FALSE),"")</f>
        <v/>
      </c>
      <c r="F5554" s="1" t="str">
        <f>IF(OR(C5554="",NOT(ISNUMBER(SEARCH("Package",D5554)))),"",VLOOKUP(C5554,'Clients List'!$A:$F,4,FALSE)-SUMIFS($E$2:$E5554,$C$2:$C5554,C5554,$D$2:$D5554,"*Package*"))</f>
        <v/>
      </c>
      <c r="G5554" t="str">
        <f t="shared" si="119"/>
        <v/>
      </c>
      <c r="H5554" s="33">
        <f>IF(ISNUMBER(SEARCH("Group",D5554)),IF(G5554="",E5554,IFERROR(E5554/COUNTIF($G2:$G6000,G5554),E5554)),E5554)</f>
        <v>0</v>
      </c>
      <c r="I5554" s="1" t="str">
        <f>IFERROR(VLOOKUP(C5554,'Clients List'!A:F,6,FALSE),"")</f>
        <v/>
      </c>
    </row>
    <row r="5555" spans="4:9" x14ac:dyDescent="0.45">
      <c r="D5555" t="str">
        <f>IFERROR(VLOOKUP(C5555,'Clients List'!$A:$F,2,FALSE),"")</f>
        <v/>
      </c>
      <c r="F5555" s="1" t="str">
        <f>IF(OR(C5555="",NOT(ISNUMBER(SEARCH("Package",D5555)))),"",VLOOKUP(C5555,'Clients List'!$A:$F,4,FALSE)-SUMIFS($E$2:$E5555,$C$2:$C5555,C5555,$D$2:$D5555,"*Package*"))</f>
        <v/>
      </c>
      <c r="G5555" t="str">
        <f t="shared" si="119"/>
        <v/>
      </c>
      <c r="H5555" s="33">
        <f>IF(ISNUMBER(SEARCH("Group",D5555)),IF(G5555="",E5555,IFERROR(E5555/COUNTIF($G2:$G6000,G5555),E5555)),E5555)</f>
        <v>0</v>
      </c>
      <c r="I5555" s="1" t="str">
        <f>IFERROR(VLOOKUP(C5555,'Clients List'!A:F,6,FALSE),"")</f>
        <v/>
      </c>
    </row>
    <row r="5556" spans="4:9" x14ac:dyDescent="0.45">
      <c r="D5556" t="str">
        <f>IFERROR(VLOOKUP(C5556,'Clients List'!$A:$F,2,FALSE),"")</f>
        <v/>
      </c>
      <c r="F5556" s="1" t="str">
        <f>IF(OR(C5556="",NOT(ISNUMBER(SEARCH("Package",D5556)))),"",VLOOKUP(C5556,'Clients List'!$A:$F,4,FALSE)-SUMIFS($E$2:$E5556,$C$2:$C5556,C5556,$D$2:$D5556,"*Package*"))</f>
        <v/>
      </c>
      <c r="G5556" t="str">
        <f t="shared" si="119"/>
        <v/>
      </c>
      <c r="H5556" s="33">
        <f>IF(ISNUMBER(SEARCH("Group",D5556)),IF(G5556="",E5556,IFERROR(E5556/COUNTIF($G2:$G6000,G5556),E5556)),E5556)</f>
        <v>0</v>
      </c>
      <c r="I5556" s="1" t="str">
        <f>IFERROR(VLOOKUP(C5556,'Clients List'!A:F,6,FALSE),"")</f>
        <v/>
      </c>
    </row>
    <row r="5557" spans="4:9" x14ac:dyDescent="0.45">
      <c r="D5557" t="str">
        <f>IFERROR(VLOOKUP(C5557,'Clients List'!$A:$F,2,FALSE),"")</f>
        <v/>
      </c>
      <c r="F5557" s="1" t="str">
        <f>IF(OR(C5557="",NOT(ISNUMBER(SEARCH("Package",D5557)))),"",VLOOKUP(C5557,'Clients List'!$A:$F,4,FALSE)-SUMIFS($E$2:$E5557,$C$2:$C5557,C5557,$D$2:$D5557,"*Package*"))</f>
        <v/>
      </c>
      <c r="G5557" t="str">
        <f t="shared" ref="G5557:G5620" si="120">IF(ISNUMBER(SEARCH("Group",D5557)),IFERROR("GRP-"&amp;TEXT(IF(ISNUMBER(A5557),A5557,DATEVALUE(A5557)),"yyyymmdd"),""),"" )</f>
        <v/>
      </c>
      <c r="H5557" s="33">
        <f>IF(ISNUMBER(SEARCH("Group",D5557)),IF(G5557="",E5557,IFERROR(E5557/COUNTIF($G2:$G6000,G5557),E5557)),E5557)</f>
        <v>0</v>
      </c>
      <c r="I5557" s="1" t="str">
        <f>IFERROR(VLOOKUP(C5557,'Clients List'!A:F,6,FALSE),"")</f>
        <v/>
      </c>
    </row>
    <row r="5558" spans="4:9" x14ac:dyDescent="0.45">
      <c r="D5558" t="str">
        <f>IFERROR(VLOOKUP(C5558,'Clients List'!$A:$F,2,FALSE),"")</f>
        <v/>
      </c>
      <c r="F5558" s="1" t="str">
        <f>IF(OR(C5558="",NOT(ISNUMBER(SEARCH("Package",D5558)))),"",VLOOKUP(C5558,'Clients List'!$A:$F,4,FALSE)-SUMIFS($E$2:$E5558,$C$2:$C5558,C5558,$D$2:$D5558,"*Package*"))</f>
        <v/>
      </c>
      <c r="G5558" t="str">
        <f t="shared" si="120"/>
        <v/>
      </c>
      <c r="H5558" s="33">
        <f>IF(ISNUMBER(SEARCH("Group",D5558)),IF(G5558="",E5558,IFERROR(E5558/COUNTIF($G2:$G6000,G5558),E5558)),E5558)</f>
        <v>0</v>
      </c>
      <c r="I5558" s="1" t="str">
        <f>IFERROR(VLOOKUP(C5558,'Clients List'!A:F,6,FALSE),"")</f>
        <v/>
      </c>
    </row>
    <row r="5559" spans="4:9" x14ac:dyDescent="0.45">
      <c r="D5559" t="str">
        <f>IFERROR(VLOOKUP(C5559,'Clients List'!$A:$F,2,FALSE),"")</f>
        <v/>
      </c>
      <c r="F5559" s="1" t="str">
        <f>IF(OR(C5559="",NOT(ISNUMBER(SEARCH("Package",D5559)))),"",VLOOKUP(C5559,'Clients List'!$A:$F,4,FALSE)-SUMIFS($E$2:$E5559,$C$2:$C5559,C5559,$D$2:$D5559,"*Package*"))</f>
        <v/>
      </c>
      <c r="G5559" t="str">
        <f t="shared" si="120"/>
        <v/>
      </c>
      <c r="H5559" s="33">
        <f>IF(ISNUMBER(SEARCH("Group",D5559)),IF(G5559="",E5559,IFERROR(E5559/COUNTIF($G2:$G6000,G5559),E5559)),E5559)</f>
        <v>0</v>
      </c>
      <c r="I5559" s="1" t="str">
        <f>IFERROR(VLOOKUP(C5559,'Clients List'!A:F,6,FALSE),"")</f>
        <v/>
      </c>
    </row>
    <row r="5560" spans="4:9" x14ac:dyDescent="0.45">
      <c r="D5560" t="str">
        <f>IFERROR(VLOOKUP(C5560,'Clients List'!$A:$F,2,FALSE),"")</f>
        <v/>
      </c>
      <c r="F5560" s="1" t="str">
        <f>IF(OR(C5560="",NOT(ISNUMBER(SEARCH("Package",D5560)))),"",VLOOKUP(C5560,'Clients List'!$A:$F,4,FALSE)-SUMIFS($E$2:$E5560,$C$2:$C5560,C5560,$D$2:$D5560,"*Package*"))</f>
        <v/>
      </c>
      <c r="G5560" t="str">
        <f t="shared" si="120"/>
        <v/>
      </c>
      <c r="H5560" s="33">
        <f>IF(ISNUMBER(SEARCH("Group",D5560)),IF(G5560="",E5560,IFERROR(E5560/COUNTIF($G2:$G6000,G5560),E5560)),E5560)</f>
        <v>0</v>
      </c>
      <c r="I5560" s="1" t="str">
        <f>IFERROR(VLOOKUP(C5560,'Clients List'!A:F,6,FALSE),"")</f>
        <v/>
      </c>
    </row>
    <row r="5561" spans="4:9" x14ac:dyDescent="0.45">
      <c r="D5561" t="str">
        <f>IFERROR(VLOOKUP(C5561,'Clients List'!$A:$F,2,FALSE),"")</f>
        <v/>
      </c>
      <c r="F5561" s="1" t="str">
        <f>IF(OR(C5561="",NOT(ISNUMBER(SEARCH("Package",D5561)))),"",VLOOKUP(C5561,'Clients List'!$A:$F,4,FALSE)-SUMIFS($E$2:$E5561,$C$2:$C5561,C5561,$D$2:$D5561,"*Package*"))</f>
        <v/>
      </c>
      <c r="G5561" t="str">
        <f t="shared" si="120"/>
        <v/>
      </c>
      <c r="H5561" s="33">
        <f>IF(ISNUMBER(SEARCH("Group",D5561)),IF(G5561="",E5561,IFERROR(E5561/COUNTIF($G2:$G6000,G5561),E5561)),E5561)</f>
        <v>0</v>
      </c>
      <c r="I5561" s="1" t="str">
        <f>IFERROR(VLOOKUP(C5561,'Clients List'!A:F,6,FALSE),"")</f>
        <v/>
      </c>
    </row>
    <row r="5562" spans="4:9" x14ac:dyDescent="0.45">
      <c r="D5562" t="str">
        <f>IFERROR(VLOOKUP(C5562,'Clients List'!$A:$F,2,FALSE),"")</f>
        <v/>
      </c>
      <c r="F5562" s="1" t="str">
        <f>IF(OR(C5562="",NOT(ISNUMBER(SEARCH("Package",D5562)))),"",VLOOKUP(C5562,'Clients List'!$A:$F,4,FALSE)-SUMIFS($E$2:$E5562,$C$2:$C5562,C5562,$D$2:$D5562,"*Package*"))</f>
        <v/>
      </c>
      <c r="G5562" t="str">
        <f t="shared" si="120"/>
        <v/>
      </c>
      <c r="H5562" s="33">
        <f>IF(ISNUMBER(SEARCH("Group",D5562)),IF(G5562="",E5562,IFERROR(E5562/COUNTIF($G2:$G6000,G5562),E5562)),E5562)</f>
        <v>0</v>
      </c>
      <c r="I5562" s="1" t="str">
        <f>IFERROR(VLOOKUP(C5562,'Clients List'!A:F,6,FALSE),"")</f>
        <v/>
      </c>
    </row>
    <row r="5563" spans="4:9" x14ac:dyDescent="0.45">
      <c r="D5563" t="str">
        <f>IFERROR(VLOOKUP(C5563,'Clients List'!$A:$F,2,FALSE),"")</f>
        <v/>
      </c>
      <c r="F5563" s="1" t="str">
        <f>IF(OR(C5563="",NOT(ISNUMBER(SEARCH("Package",D5563)))),"",VLOOKUP(C5563,'Clients List'!$A:$F,4,FALSE)-SUMIFS($E$2:$E5563,$C$2:$C5563,C5563,$D$2:$D5563,"*Package*"))</f>
        <v/>
      </c>
      <c r="G5563" t="str">
        <f t="shared" si="120"/>
        <v/>
      </c>
      <c r="H5563" s="33">
        <f>IF(ISNUMBER(SEARCH("Group",D5563)),IF(G5563="",E5563,IFERROR(E5563/COUNTIF($G2:$G6000,G5563),E5563)),E5563)</f>
        <v>0</v>
      </c>
      <c r="I5563" s="1" t="str">
        <f>IFERROR(VLOOKUP(C5563,'Clients List'!A:F,6,FALSE),"")</f>
        <v/>
      </c>
    </row>
    <row r="5564" spans="4:9" x14ac:dyDescent="0.45">
      <c r="D5564" t="str">
        <f>IFERROR(VLOOKUP(C5564,'Clients List'!$A:$F,2,FALSE),"")</f>
        <v/>
      </c>
      <c r="F5564" s="1" t="str">
        <f>IF(OR(C5564="",NOT(ISNUMBER(SEARCH("Package",D5564)))),"",VLOOKUP(C5564,'Clients List'!$A:$F,4,FALSE)-SUMIFS($E$2:$E5564,$C$2:$C5564,C5564,$D$2:$D5564,"*Package*"))</f>
        <v/>
      </c>
      <c r="G5564" t="str">
        <f t="shared" si="120"/>
        <v/>
      </c>
      <c r="H5564" s="33">
        <f>IF(ISNUMBER(SEARCH("Group",D5564)),IF(G5564="",E5564,IFERROR(E5564/COUNTIF($G2:$G6000,G5564),E5564)),E5564)</f>
        <v>0</v>
      </c>
      <c r="I5564" s="1" t="str">
        <f>IFERROR(VLOOKUP(C5564,'Clients List'!A:F,6,FALSE),"")</f>
        <v/>
      </c>
    </row>
    <row r="5565" spans="4:9" x14ac:dyDescent="0.45">
      <c r="D5565" t="str">
        <f>IFERROR(VLOOKUP(C5565,'Clients List'!$A:$F,2,FALSE),"")</f>
        <v/>
      </c>
      <c r="F5565" s="1" t="str">
        <f>IF(OR(C5565="",NOT(ISNUMBER(SEARCH("Package",D5565)))),"",VLOOKUP(C5565,'Clients List'!$A:$F,4,FALSE)-SUMIFS($E$2:$E5565,$C$2:$C5565,C5565,$D$2:$D5565,"*Package*"))</f>
        <v/>
      </c>
      <c r="G5565" t="str">
        <f t="shared" si="120"/>
        <v/>
      </c>
      <c r="H5565" s="33">
        <f>IF(ISNUMBER(SEARCH("Group",D5565)),IF(G5565="",E5565,IFERROR(E5565/COUNTIF($G2:$G6000,G5565),E5565)),E5565)</f>
        <v>0</v>
      </c>
      <c r="I5565" s="1" t="str">
        <f>IFERROR(VLOOKUP(C5565,'Clients List'!A:F,6,FALSE),"")</f>
        <v/>
      </c>
    </row>
    <row r="5566" spans="4:9" x14ac:dyDescent="0.45">
      <c r="D5566" t="str">
        <f>IFERROR(VLOOKUP(C5566,'Clients List'!$A:$F,2,FALSE),"")</f>
        <v/>
      </c>
      <c r="F5566" s="1" t="str">
        <f>IF(OR(C5566="",NOT(ISNUMBER(SEARCH("Package",D5566)))),"",VLOOKUP(C5566,'Clients List'!$A:$F,4,FALSE)-SUMIFS($E$2:$E5566,$C$2:$C5566,C5566,$D$2:$D5566,"*Package*"))</f>
        <v/>
      </c>
      <c r="G5566" t="str">
        <f t="shared" si="120"/>
        <v/>
      </c>
      <c r="H5566" s="33">
        <f>IF(ISNUMBER(SEARCH("Group",D5566)),IF(G5566="",E5566,IFERROR(E5566/COUNTIF($G2:$G6000,G5566),E5566)),E5566)</f>
        <v>0</v>
      </c>
      <c r="I5566" s="1" t="str">
        <f>IFERROR(VLOOKUP(C5566,'Clients List'!A:F,6,FALSE),"")</f>
        <v/>
      </c>
    </row>
    <row r="5567" spans="4:9" x14ac:dyDescent="0.45">
      <c r="D5567" t="str">
        <f>IFERROR(VLOOKUP(C5567,'Clients List'!$A:$F,2,FALSE),"")</f>
        <v/>
      </c>
      <c r="F5567" s="1" t="str">
        <f>IF(OR(C5567="",NOT(ISNUMBER(SEARCH("Package",D5567)))),"",VLOOKUP(C5567,'Clients List'!$A:$F,4,FALSE)-SUMIFS($E$2:$E5567,$C$2:$C5567,C5567,$D$2:$D5567,"*Package*"))</f>
        <v/>
      </c>
      <c r="G5567" t="str">
        <f t="shared" si="120"/>
        <v/>
      </c>
      <c r="H5567" s="33">
        <f>IF(ISNUMBER(SEARCH("Group",D5567)),IF(G5567="",E5567,IFERROR(E5567/COUNTIF($G2:$G6000,G5567),E5567)),E5567)</f>
        <v>0</v>
      </c>
      <c r="I5567" s="1" t="str">
        <f>IFERROR(VLOOKUP(C5567,'Clients List'!A:F,6,FALSE),"")</f>
        <v/>
      </c>
    </row>
    <row r="5568" spans="4:9" x14ac:dyDescent="0.45">
      <c r="D5568" t="str">
        <f>IFERROR(VLOOKUP(C5568,'Clients List'!$A:$F,2,FALSE),"")</f>
        <v/>
      </c>
      <c r="F5568" s="1" t="str">
        <f>IF(OR(C5568="",NOT(ISNUMBER(SEARCH("Package",D5568)))),"",VLOOKUP(C5568,'Clients List'!$A:$F,4,FALSE)-SUMIFS($E$2:$E5568,$C$2:$C5568,C5568,$D$2:$D5568,"*Package*"))</f>
        <v/>
      </c>
      <c r="G5568" t="str">
        <f t="shared" si="120"/>
        <v/>
      </c>
      <c r="H5568" s="33">
        <f>IF(ISNUMBER(SEARCH("Group",D5568)),IF(G5568="",E5568,IFERROR(E5568/COUNTIF($G2:$G6000,G5568),E5568)),E5568)</f>
        <v>0</v>
      </c>
      <c r="I5568" s="1" t="str">
        <f>IFERROR(VLOOKUP(C5568,'Clients List'!A:F,6,FALSE),"")</f>
        <v/>
      </c>
    </row>
    <row r="5569" spans="4:9" x14ac:dyDescent="0.45">
      <c r="D5569" t="str">
        <f>IFERROR(VLOOKUP(C5569,'Clients List'!$A:$F,2,FALSE),"")</f>
        <v/>
      </c>
      <c r="F5569" s="1" t="str">
        <f>IF(OR(C5569="",NOT(ISNUMBER(SEARCH("Package",D5569)))),"",VLOOKUP(C5569,'Clients List'!$A:$F,4,FALSE)-SUMIFS($E$2:$E5569,$C$2:$C5569,C5569,$D$2:$D5569,"*Package*"))</f>
        <v/>
      </c>
      <c r="G5569" t="str">
        <f t="shared" si="120"/>
        <v/>
      </c>
      <c r="H5569" s="33">
        <f>IF(ISNUMBER(SEARCH("Group",D5569)),IF(G5569="",E5569,IFERROR(E5569/COUNTIF($G2:$G6000,G5569),E5569)),E5569)</f>
        <v>0</v>
      </c>
      <c r="I5569" s="1" t="str">
        <f>IFERROR(VLOOKUP(C5569,'Clients List'!A:F,6,FALSE),"")</f>
        <v/>
      </c>
    </row>
    <row r="5570" spans="4:9" x14ac:dyDescent="0.45">
      <c r="D5570" t="str">
        <f>IFERROR(VLOOKUP(C5570,'Clients List'!$A:$F,2,FALSE),"")</f>
        <v/>
      </c>
      <c r="F5570" s="1" t="str">
        <f>IF(OR(C5570="",NOT(ISNUMBER(SEARCH("Package",D5570)))),"",VLOOKUP(C5570,'Clients List'!$A:$F,4,FALSE)-SUMIFS($E$2:$E5570,$C$2:$C5570,C5570,$D$2:$D5570,"*Package*"))</f>
        <v/>
      </c>
      <c r="G5570" t="str">
        <f t="shared" si="120"/>
        <v/>
      </c>
      <c r="H5570" s="33">
        <f>IF(ISNUMBER(SEARCH("Group",D5570)),IF(G5570="",E5570,IFERROR(E5570/COUNTIF($G2:$G6000,G5570),E5570)),E5570)</f>
        <v>0</v>
      </c>
      <c r="I5570" s="1" t="str">
        <f>IFERROR(VLOOKUP(C5570,'Clients List'!A:F,6,FALSE),"")</f>
        <v/>
      </c>
    </row>
    <row r="5571" spans="4:9" x14ac:dyDescent="0.45">
      <c r="D5571" t="str">
        <f>IFERROR(VLOOKUP(C5571,'Clients List'!$A:$F,2,FALSE),"")</f>
        <v/>
      </c>
      <c r="F5571" s="1" t="str">
        <f>IF(OR(C5571="",NOT(ISNUMBER(SEARCH("Package",D5571)))),"",VLOOKUP(C5571,'Clients List'!$A:$F,4,FALSE)-SUMIFS($E$2:$E5571,$C$2:$C5571,C5571,$D$2:$D5571,"*Package*"))</f>
        <v/>
      </c>
      <c r="G5571" t="str">
        <f t="shared" si="120"/>
        <v/>
      </c>
      <c r="H5571" s="33">
        <f>IF(ISNUMBER(SEARCH("Group",D5571)),IF(G5571="",E5571,IFERROR(E5571/COUNTIF($G2:$G6000,G5571),E5571)),E5571)</f>
        <v>0</v>
      </c>
      <c r="I5571" s="1" t="str">
        <f>IFERROR(VLOOKUP(C5571,'Clients List'!A:F,6,FALSE),"")</f>
        <v/>
      </c>
    </row>
    <row r="5572" spans="4:9" x14ac:dyDescent="0.45">
      <c r="D5572" t="str">
        <f>IFERROR(VLOOKUP(C5572,'Clients List'!$A:$F,2,FALSE),"")</f>
        <v/>
      </c>
      <c r="F5572" s="1" t="str">
        <f>IF(OR(C5572="",NOT(ISNUMBER(SEARCH("Package",D5572)))),"",VLOOKUP(C5572,'Clients List'!$A:$F,4,FALSE)-SUMIFS($E$2:$E5572,$C$2:$C5572,C5572,$D$2:$D5572,"*Package*"))</f>
        <v/>
      </c>
      <c r="G5572" t="str">
        <f t="shared" si="120"/>
        <v/>
      </c>
      <c r="H5572" s="33">
        <f>IF(ISNUMBER(SEARCH("Group",D5572)),IF(G5572="",E5572,IFERROR(E5572/COUNTIF($G2:$G6000,G5572),E5572)),E5572)</f>
        <v>0</v>
      </c>
      <c r="I5572" s="1" t="str">
        <f>IFERROR(VLOOKUP(C5572,'Clients List'!A:F,6,FALSE),"")</f>
        <v/>
      </c>
    </row>
    <row r="5573" spans="4:9" x14ac:dyDescent="0.45">
      <c r="D5573" t="str">
        <f>IFERROR(VLOOKUP(C5573,'Clients List'!$A:$F,2,FALSE),"")</f>
        <v/>
      </c>
      <c r="F5573" s="1" t="str">
        <f>IF(OR(C5573="",NOT(ISNUMBER(SEARCH("Package",D5573)))),"",VLOOKUP(C5573,'Clients List'!$A:$F,4,FALSE)-SUMIFS($E$2:$E5573,$C$2:$C5573,C5573,$D$2:$D5573,"*Package*"))</f>
        <v/>
      </c>
      <c r="G5573" t="str">
        <f t="shared" si="120"/>
        <v/>
      </c>
      <c r="H5573" s="33">
        <f>IF(ISNUMBER(SEARCH("Group",D5573)),IF(G5573="",E5573,IFERROR(E5573/COUNTIF($G2:$G6000,G5573),E5573)),E5573)</f>
        <v>0</v>
      </c>
      <c r="I5573" s="1" t="str">
        <f>IFERROR(VLOOKUP(C5573,'Clients List'!A:F,6,FALSE),"")</f>
        <v/>
      </c>
    </row>
    <row r="5574" spans="4:9" x14ac:dyDescent="0.45">
      <c r="D5574" t="str">
        <f>IFERROR(VLOOKUP(C5574,'Clients List'!$A:$F,2,FALSE),"")</f>
        <v/>
      </c>
      <c r="F5574" s="1" t="str">
        <f>IF(OR(C5574="",NOT(ISNUMBER(SEARCH("Package",D5574)))),"",VLOOKUP(C5574,'Clients List'!$A:$F,4,FALSE)-SUMIFS($E$2:$E5574,$C$2:$C5574,C5574,$D$2:$D5574,"*Package*"))</f>
        <v/>
      </c>
      <c r="G5574" t="str">
        <f t="shared" si="120"/>
        <v/>
      </c>
      <c r="H5574" s="33">
        <f>IF(ISNUMBER(SEARCH("Group",D5574)),IF(G5574="",E5574,IFERROR(E5574/COUNTIF($G2:$G6000,G5574),E5574)),E5574)</f>
        <v>0</v>
      </c>
      <c r="I5574" s="1" t="str">
        <f>IFERROR(VLOOKUP(C5574,'Clients List'!A:F,6,FALSE),"")</f>
        <v/>
      </c>
    </row>
    <row r="5575" spans="4:9" x14ac:dyDescent="0.45">
      <c r="D5575" t="str">
        <f>IFERROR(VLOOKUP(C5575,'Clients List'!$A:$F,2,FALSE),"")</f>
        <v/>
      </c>
      <c r="F5575" s="1" t="str">
        <f>IF(OR(C5575="",NOT(ISNUMBER(SEARCH("Package",D5575)))),"",VLOOKUP(C5575,'Clients List'!$A:$F,4,FALSE)-SUMIFS($E$2:$E5575,$C$2:$C5575,C5575,$D$2:$D5575,"*Package*"))</f>
        <v/>
      </c>
      <c r="G5575" t="str">
        <f t="shared" si="120"/>
        <v/>
      </c>
      <c r="H5575" s="33">
        <f>IF(ISNUMBER(SEARCH("Group",D5575)),IF(G5575="",E5575,IFERROR(E5575/COUNTIF($G2:$G6000,G5575),E5575)),E5575)</f>
        <v>0</v>
      </c>
      <c r="I5575" s="1" t="str">
        <f>IFERROR(VLOOKUP(C5575,'Clients List'!A:F,6,FALSE),"")</f>
        <v/>
      </c>
    </row>
    <row r="5576" spans="4:9" x14ac:dyDescent="0.45">
      <c r="D5576" t="str">
        <f>IFERROR(VLOOKUP(C5576,'Clients List'!$A:$F,2,FALSE),"")</f>
        <v/>
      </c>
      <c r="F5576" s="1" t="str">
        <f>IF(OR(C5576="",NOT(ISNUMBER(SEARCH("Package",D5576)))),"",VLOOKUP(C5576,'Clients List'!$A:$F,4,FALSE)-SUMIFS($E$2:$E5576,$C$2:$C5576,C5576,$D$2:$D5576,"*Package*"))</f>
        <v/>
      </c>
      <c r="G5576" t="str">
        <f t="shared" si="120"/>
        <v/>
      </c>
      <c r="H5576" s="33">
        <f>IF(ISNUMBER(SEARCH("Group",D5576)),IF(G5576="",E5576,IFERROR(E5576/COUNTIF($G2:$G6000,G5576),E5576)),E5576)</f>
        <v>0</v>
      </c>
      <c r="I5576" s="1" t="str">
        <f>IFERROR(VLOOKUP(C5576,'Clients List'!A:F,6,FALSE),"")</f>
        <v/>
      </c>
    </row>
    <row r="5577" spans="4:9" x14ac:dyDescent="0.45">
      <c r="D5577" t="str">
        <f>IFERROR(VLOOKUP(C5577,'Clients List'!$A:$F,2,FALSE),"")</f>
        <v/>
      </c>
      <c r="F5577" s="1" t="str">
        <f>IF(OR(C5577="",NOT(ISNUMBER(SEARCH("Package",D5577)))),"",VLOOKUP(C5577,'Clients List'!$A:$F,4,FALSE)-SUMIFS($E$2:$E5577,$C$2:$C5577,C5577,$D$2:$D5577,"*Package*"))</f>
        <v/>
      </c>
      <c r="G5577" t="str">
        <f t="shared" si="120"/>
        <v/>
      </c>
      <c r="H5577" s="33">
        <f>IF(ISNUMBER(SEARCH("Group",D5577)),IF(G5577="",E5577,IFERROR(E5577/COUNTIF($G2:$G6000,G5577),E5577)),E5577)</f>
        <v>0</v>
      </c>
      <c r="I5577" s="1" t="str">
        <f>IFERROR(VLOOKUP(C5577,'Clients List'!A:F,6,FALSE),"")</f>
        <v/>
      </c>
    </row>
    <row r="5578" spans="4:9" x14ac:dyDescent="0.45">
      <c r="D5578" t="str">
        <f>IFERROR(VLOOKUP(C5578,'Clients List'!$A:$F,2,FALSE),"")</f>
        <v/>
      </c>
      <c r="F5578" s="1" t="str">
        <f>IF(OR(C5578="",NOT(ISNUMBER(SEARCH("Package",D5578)))),"",VLOOKUP(C5578,'Clients List'!$A:$F,4,FALSE)-SUMIFS($E$2:$E5578,$C$2:$C5578,C5578,$D$2:$D5578,"*Package*"))</f>
        <v/>
      </c>
      <c r="G5578" t="str">
        <f t="shared" si="120"/>
        <v/>
      </c>
      <c r="H5578" s="33">
        <f>IF(ISNUMBER(SEARCH("Group",D5578)),IF(G5578="",E5578,IFERROR(E5578/COUNTIF($G2:$G6000,G5578),E5578)),E5578)</f>
        <v>0</v>
      </c>
      <c r="I5578" s="1" t="str">
        <f>IFERROR(VLOOKUP(C5578,'Clients List'!A:F,6,FALSE),"")</f>
        <v/>
      </c>
    </row>
    <row r="5579" spans="4:9" x14ac:dyDescent="0.45">
      <c r="D5579" t="str">
        <f>IFERROR(VLOOKUP(C5579,'Clients List'!$A:$F,2,FALSE),"")</f>
        <v/>
      </c>
      <c r="F5579" s="1" t="str">
        <f>IF(OR(C5579="",NOT(ISNUMBER(SEARCH("Package",D5579)))),"",VLOOKUP(C5579,'Clients List'!$A:$F,4,FALSE)-SUMIFS($E$2:$E5579,$C$2:$C5579,C5579,$D$2:$D5579,"*Package*"))</f>
        <v/>
      </c>
      <c r="G5579" t="str">
        <f t="shared" si="120"/>
        <v/>
      </c>
      <c r="H5579" s="33">
        <f>IF(ISNUMBER(SEARCH("Group",D5579)),IF(G5579="",E5579,IFERROR(E5579/COUNTIF($G2:$G6000,G5579),E5579)),E5579)</f>
        <v>0</v>
      </c>
      <c r="I5579" s="1" t="str">
        <f>IFERROR(VLOOKUP(C5579,'Clients List'!A:F,6,FALSE),"")</f>
        <v/>
      </c>
    </row>
    <row r="5580" spans="4:9" x14ac:dyDescent="0.45">
      <c r="D5580" t="str">
        <f>IFERROR(VLOOKUP(C5580,'Clients List'!$A:$F,2,FALSE),"")</f>
        <v/>
      </c>
      <c r="F5580" s="1" t="str">
        <f>IF(OR(C5580="",NOT(ISNUMBER(SEARCH("Package",D5580)))),"",VLOOKUP(C5580,'Clients List'!$A:$F,4,FALSE)-SUMIFS($E$2:$E5580,$C$2:$C5580,C5580,$D$2:$D5580,"*Package*"))</f>
        <v/>
      </c>
      <c r="G5580" t="str">
        <f t="shared" si="120"/>
        <v/>
      </c>
      <c r="H5580" s="33">
        <f>IF(ISNUMBER(SEARCH("Group",D5580)),IF(G5580="",E5580,IFERROR(E5580/COUNTIF($G2:$G6000,G5580),E5580)),E5580)</f>
        <v>0</v>
      </c>
      <c r="I5580" s="1" t="str">
        <f>IFERROR(VLOOKUP(C5580,'Clients List'!A:F,6,FALSE),"")</f>
        <v/>
      </c>
    </row>
    <row r="5581" spans="4:9" x14ac:dyDescent="0.45">
      <c r="D5581" t="str">
        <f>IFERROR(VLOOKUP(C5581,'Clients List'!$A:$F,2,FALSE),"")</f>
        <v/>
      </c>
      <c r="F5581" s="1" t="str">
        <f>IF(OR(C5581="",NOT(ISNUMBER(SEARCH("Package",D5581)))),"",VLOOKUP(C5581,'Clients List'!$A:$F,4,FALSE)-SUMIFS($E$2:$E5581,$C$2:$C5581,C5581,$D$2:$D5581,"*Package*"))</f>
        <v/>
      </c>
      <c r="G5581" t="str">
        <f t="shared" si="120"/>
        <v/>
      </c>
      <c r="H5581" s="33">
        <f>IF(ISNUMBER(SEARCH("Group",D5581)),IF(G5581="",E5581,IFERROR(E5581/COUNTIF($G2:$G6000,G5581),E5581)),E5581)</f>
        <v>0</v>
      </c>
      <c r="I5581" s="1" t="str">
        <f>IFERROR(VLOOKUP(C5581,'Clients List'!A:F,6,FALSE),"")</f>
        <v/>
      </c>
    </row>
    <row r="5582" spans="4:9" x14ac:dyDescent="0.45">
      <c r="D5582" t="str">
        <f>IFERROR(VLOOKUP(C5582,'Clients List'!$A:$F,2,FALSE),"")</f>
        <v/>
      </c>
      <c r="F5582" s="1" t="str">
        <f>IF(OR(C5582="",NOT(ISNUMBER(SEARCH("Package",D5582)))),"",VLOOKUP(C5582,'Clients List'!$A:$F,4,FALSE)-SUMIFS($E$2:$E5582,$C$2:$C5582,C5582,$D$2:$D5582,"*Package*"))</f>
        <v/>
      </c>
      <c r="G5582" t="str">
        <f t="shared" si="120"/>
        <v/>
      </c>
      <c r="H5582" s="33">
        <f>IF(ISNUMBER(SEARCH("Group",D5582)),IF(G5582="",E5582,IFERROR(E5582/COUNTIF($G2:$G6000,G5582),E5582)),E5582)</f>
        <v>0</v>
      </c>
      <c r="I5582" s="1" t="str">
        <f>IFERROR(VLOOKUP(C5582,'Clients List'!A:F,6,FALSE),"")</f>
        <v/>
      </c>
    </row>
    <row r="5583" spans="4:9" x14ac:dyDescent="0.45">
      <c r="D5583" t="str">
        <f>IFERROR(VLOOKUP(C5583,'Clients List'!$A:$F,2,FALSE),"")</f>
        <v/>
      </c>
      <c r="F5583" s="1" t="str">
        <f>IF(OR(C5583="",NOT(ISNUMBER(SEARCH("Package",D5583)))),"",VLOOKUP(C5583,'Clients List'!$A:$F,4,FALSE)-SUMIFS($E$2:$E5583,$C$2:$C5583,C5583,$D$2:$D5583,"*Package*"))</f>
        <v/>
      </c>
      <c r="G5583" t="str">
        <f t="shared" si="120"/>
        <v/>
      </c>
      <c r="H5583" s="33">
        <f>IF(ISNUMBER(SEARCH("Group",D5583)),IF(G5583="",E5583,IFERROR(E5583/COUNTIF($G2:$G6000,G5583),E5583)),E5583)</f>
        <v>0</v>
      </c>
      <c r="I5583" s="1" t="str">
        <f>IFERROR(VLOOKUP(C5583,'Clients List'!A:F,6,FALSE),"")</f>
        <v/>
      </c>
    </row>
    <row r="5584" spans="4:9" x14ac:dyDescent="0.45">
      <c r="D5584" t="str">
        <f>IFERROR(VLOOKUP(C5584,'Clients List'!$A:$F,2,FALSE),"")</f>
        <v/>
      </c>
      <c r="F5584" s="1" t="str">
        <f>IF(OR(C5584="",NOT(ISNUMBER(SEARCH("Package",D5584)))),"",VLOOKUP(C5584,'Clients List'!$A:$F,4,FALSE)-SUMIFS($E$2:$E5584,$C$2:$C5584,C5584,$D$2:$D5584,"*Package*"))</f>
        <v/>
      </c>
      <c r="G5584" t="str">
        <f t="shared" si="120"/>
        <v/>
      </c>
      <c r="H5584" s="33">
        <f>IF(ISNUMBER(SEARCH("Group",D5584)),IF(G5584="",E5584,IFERROR(E5584/COUNTIF($G2:$G6000,G5584),E5584)),E5584)</f>
        <v>0</v>
      </c>
      <c r="I5584" s="1" t="str">
        <f>IFERROR(VLOOKUP(C5584,'Clients List'!A:F,6,FALSE),"")</f>
        <v/>
      </c>
    </row>
    <row r="5585" spans="4:9" x14ac:dyDescent="0.45">
      <c r="D5585" t="str">
        <f>IFERROR(VLOOKUP(C5585,'Clients List'!$A:$F,2,FALSE),"")</f>
        <v/>
      </c>
      <c r="F5585" s="1" t="str">
        <f>IF(OR(C5585="",NOT(ISNUMBER(SEARCH("Package",D5585)))),"",VLOOKUP(C5585,'Clients List'!$A:$F,4,FALSE)-SUMIFS($E$2:$E5585,$C$2:$C5585,C5585,$D$2:$D5585,"*Package*"))</f>
        <v/>
      </c>
      <c r="G5585" t="str">
        <f t="shared" si="120"/>
        <v/>
      </c>
      <c r="H5585" s="33">
        <f>IF(ISNUMBER(SEARCH("Group",D5585)),IF(G5585="",E5585,IFERROR(E5585/COUNTIF($G2:$G6000,G5585),E5585)),E5585)</f>
        <v>0</v>
      </c>
      <c r="I5585" s="1" t="str">
        <f>IFERROR(VLOOKUP(C5585,'Clients List'!A:F,6,FALSE),"")</f>
        <v/>
      </c>
    </row>
    <row r="5586" spans="4:9" x14ac:dyDescent="0.45">
      <c r="D5586" t="str">
        <f>IFERROR(VLOOKUP(C5586,'Clients List'!$A:$F,2,FALSE),"")</f>
        <v/>
      </c>
      <c r="F5586" s="1" t="str">
        <f>IF(OR(C5586="",NOT(ISNUMBER(SEARCH("Package",D5586)))),"",VLOOKUP(C5586,'Clients List'!$A:$F,4,FALSE)-SUMIFS($E$2:$E5586,$C$2:$C5586,C5586,$D$2:$D5586,"*Package*"))</f>
        <v/>
      </c>
      <c r="G5586" t="str">
        <f t="shared" si="120"/>
        <v/>
      </c>
      <c r="H5586" s="33">
        <f>IF(ISNUMBER(SEARCH("Group",D5586)),IF(G5586="",E5586,IFERROR(E5586/COUNTIF($G2:$G6000,G5586),E5586)),E5586)</f>
        <v>0</v>
      </c>
      <c r="I5586" s="1" t="str">
        <f>IFERROR(VLOOKUP(C5586,'Clients List'!A:F,6,FALSE),"")</f>
        <v/>
      </c>
    </row>
    <row r="5587" spans="4:9" x14ac:dyDescent="0.45">
      <c r="D5587" t="str">
        <f>IFERROR(VLOOKUP(C5587,'Clients List'!$A:$F,2,FALSE),"")</f>
        <v/>
      </c>
      <c r="F5587" s="1" t="str">
        <f>IF(OR(C5587="",NOT(ISNUMBER(SEARCH("Package",D5587)))),"",VLOOKUP(C5587,'Clients List'!$A:$F,4,FALSE)-SUMIFS($E$2:$E5587,$C$2:$C5587,C5587,$D$2:$D5587,"*Package*"))</f>
        <v/>
      </c>
      <c r="G5587" t="str">
        <f t="shared" si="120"/>
        <v/>
      </c>
      <c r="H5587" s="33">
        <f>IF(ISNUMBER(SEARCH("Group",D5587)),IF(G5587="",E5587,IFERROR(E5587/COUNTIF($G2:$G6000,G5587),E5587)),E5587)</f>
        <v>0</v>
      </c>
      <c r="I5587" s="1" t="str">
        <f>IFERROR(VLOOKUP(C5587,'Clients List'!A:F,6,FALSE),"")</f>
        <v/>
      </c>
    </row>
    <row r="5588" spans="4:9" x14ac:dyDescent="0.45">
      <c r="D5588" t="str">
        <f>IFERROR(VLOOKUP(C5588,'Clients List'!$A:$F,2,FALSE),"")</f>
        <v/>
      </c>
      <c r="F5588" s="1" t="str">
        <f>IF(OR(C5588="",NOT(ISNUMBER(SEARCH("Package",D5588)))),"",VLOOKUP(C5588,'Clients List'!$A:$F,4,FALSE)-SUMIFS($E$2:$E5588,$C$2:$C5588,C5588,$D$2:$D5588,"*Package*"))</f>
        <v/>
      </c>
      <c r="G5588" t="str">
        <f t="shared" si="120"/>
        <v/>
      </c>
      <c r="H5588" s="33">
        <f>IF(ISNUMBER(SEARCH("Group",D5588)),IF(G5588="",E5588,IFERROR(E5588/COUNTIF($G2:$G6000,G5588),E5588)),E5588)</f>
        <v>0</v>
      </c>
      <c r="I5588" s="1" t="str">
        <f>IFERROR(VLOOKUP(C5588,'Clients List'!A:F,6,FALSE),"")</f>
        <v/>
      </c>
    </row>
    <row r="5589" spans="4:9" x14ac:dyDescent="0.45">
      <c r="D5589" t="str">
        <f>IFERROR(VLOOKUP(C5589,'Clients List'!$A:$F,2,FALSE),"")</f>
        <v/>
      </c>
      <c r="F5589" s="1" t="str">
        <f>IF(OR(C5589="",NOT(ISNUMBER(SEARCH("Package",D5589)))),"",VLOOKUP(C5589,'Clients List'!$A:$F,4,FALSE)-SUMIFS($E$2:$E5589,$C$2:$C5589,C5589,$D$2:$D5589,"*Package*"))</f>
        <v/>
      </c>
      <c r="G5589" t="str">
        <f t="shared" si="120"/>
        <v/>
      </c>
      <c r="H5589" s="33">
        <f>IF(ISNUMBER(SEARCH("Group",D5589)),IF(G5589="",E5589,IFERROR(E5589/COUNTIF($G2:$G6000,G5589),E5589)),E5589)</f>
        <v>0</v>
      </c>
      <c r="I5589" s="1" t="str">
        <f>IFERROR(VLOOKUP(C5589,'Clients List'!A:F,6,FALSE),"")</f>
        <v/>
      </c>
    </row>
    <row r="5590" spans="4:9" x14ac:dyDescent="0.45">
      <c r="D5590" t="str">
        <f>IFERROR(VLOOKUP(C5590,'Clients List'!$A:$F,2,FALSE),"")</f>
        <v/>
      </c>
      <c r="F5590" s="1" t="str">
        <f>IF(OR(C5590="",NOT(ISNUMBER(SEARCH("Package",D5590)))),"",VLOOKUP(C5590,'Clients List'!$A:$F,4,FALSE)-SUMIFS($E$2:$E5590,$C$2:$C5590,C5590,$D$2:$D5590,"*Package*"))</f>
        <v/>
      </c>
      <c r="G5590" t="str">
        <f t="shared" si="120"/>
        <v/>
      </c>
      <c r="H5590" s="33">
        <f>IF(ISNUMBER(SEARCH("Group",D5590)),IF(G5590="",E5590,IFERROR(E5590/COUNTIF($G2:$G6000,G5590),E5590)),E5590)</f>
        <v>0</v>
      </c>
      <c r="I5590" s="1" t="str">
        <f>IFERROR(VLOOKUP(C5590,'Clients List'!A:F,6,FALSE),"")</f>
        <v/>
      </c>
    </row>
    <row r="5591" spans="4:9" x14ac:dyDescent="0.45">
      <c r="D5591" t="str">
        <f>IFERROR(VLOOKUP(C5591,'Clients List'!$A:$F,2,FALSE),"")</f>
        <v/>
      </c>
      <c r="F5591" s="1" t="str">
        <f>IF(OR(C5591="",NOT(ISNUMBER(SEARCH("Package",D5591)))),"",VLOOKUP(C5591,'Clients List'!$A:$F,4,FALSE)-SUMIFS($E$2:$E5591,$C$2:$C5591,C5591,$D$2:$D5591,"*Package*"))</f>
        <v/>
      </c>
      <c r="G5591" t="str">
        <f t="shared" si="120"/>
        <v/>
      </c>
      <c r="H5591" s="33">
        <f>IF(ISNUMBER(SEARCH("Group",D5591)),IF(G5591="",E5591,IFERROR(E5591/COUNTIF($G2:$G6000,G5591),E5591)),E5591)</f>
        <v>0</v>
      </c>
      <c r="I5591" s="1" t="str">
        <f>IFERROR(VLOOKUP(C5591,'Clients List'!A:F,6,FALSE),"")</f>
        <v/>
      </c>
    </row>
    <row r="5592" spans="4:9" x14ac:dyDescent="0.45">
      <c r="D5592" t="str">
        <f>IFERROR(VLOOKUP(C5592,'Clients List'!$A:$F,2,FALSE),"")</f>
        <v/>
      </c>
      <c r="F5592" s="1" t="str">
        <f>IF(OR(C5592="",NOT(ISNUMBER(SEARCH("Package",D5592)))),"",VLOOKUP(C5592,'Clients List'!$A:$F,4,FALSE)-SUMIFS($E$2:$E5592,$C$2:$C5592,C5592,$D$2:$D5592,"*Package*"))</f>
        <v/>
      </c>
      <c r="G5592" t="str">
        <f t="shared" si="120"/>
        <v/>
      </c>
      <c r="H5592" s="33">
        <f>IF(ISNUMBER(SEARCH("Group",D5592)),IF(G5592="",E5592,IFERROR(E5592/COUNTIF($G2:$G6000,G5592),E5592)),E5592)</f>
        <v>0</v>
      </c>
      <c r="I5592" s="1" t="str">
        <f>IFERROR(VLOOKUP(C5592,'Clients List'!A:F,6,FALSE),"")</f>
        <v/>
      </c>
    </row>
    <row r="5593" spans="4:9" x14ac:dyDescent="0.45">
      <c r="D5593" t="str">
        <f>IFERROR(VLOOKUP(C5593,'Clients List'!$A:$F,2,FALSE),"")</f>
        <v/>
      </c>
      <c r="F5593" s="1" t="str">
        <f>IF(OR(C5593="",NOT(ISNUMBER(SEARCH("Package",D5593)))),"",VLOOKUP(C5593,'Clients List'!$A:$F,4,FALSE)-SUMIFS($E$2:$E5593,$C$2:$C5593,C5593,$D$2:$D5593,"*Package*"))</f>
        <v/>
      </c>
      <c r="G5593" t="str">
        <f t="shared" si="120"/>
        <v/>
      </c>
      <c r="H5593" s="33">
        <f>IF(ISNUMBER(SEARCH("Group",D5593)),IF(G5593="",E5593,IFERROR(E5593/COUNTIF($G2:$G6000,G5593),E5593)),E5593)</f>
        <v>0</v>
      </c>
      <c r="I5593" s="1" t="str">
        <f>IFERROR(VLOOKUP(C5593,'Clients List'!A:F,6,FALSE),"")</f>
        <v/>
      </c>
    </row>
    <row r="5594" spans="4:9" x14ac:dyDescent="0.45">
      <c r="D5594" t="str">
        <f>IFERROR(VLOOKUP(C5594,'Clients List'!$A:$F,2,FALSE),"")</f>
        <v/>
      </c>
      <c r="F5594" s="1" t="str">
        <f>IF(OR(C5594="",NOT(ISNUMBER(SEARCH("Package",D5594)))),"",VLOOKUP(C5594,'Clients List'!$A:$F,4,FALSE)-SUMIFS($E$2:$E5594,$C$2:$C5594,C5594,$D$2:$D5594,"*Package*"))</f>
        <v/>
      </c>
      <c r="G5594" t="str">
        <f t="shared" si="120"/>
        <v/>
      </c>
      <c r="H5594" s="33">
        <f>IF(ISNUMBER(SEARCH("Group",D5594)),IF(G5594="",E5594,IFERROR(E5594/COUNTIF($G2:$G6000,G5594),E5594)),E5594)</f>
        <v>0</v>
      </c>
      <c r="I5594" s="1" t="str">
        <f>IFERROR(VLOOKUP(C5594,'Clients List'!A:F,6,FALSE),"")</f>
        <v/>
      </c>
    </row>
    <row r="5595" spans="4:9" x14ac:dyDescent="0.45">
      <c r="D5595" t="str">
        <f>IFERROR(VLOOKUP(C5595,'Clients List'!$A:$F,2,FALSE),"")</f>
        <v/>
      </c>
      <c r="F5595" s="1" t="str">
        <f>IF(OR(C5595="",NOT(ISNUMBER(SEARCH("Package",D5595)))),"",VLOOKUP(C5595,'Clients List'!$A:$F,4,FALSE)-SUMIFS($E$2:$E5595,$C$2:$C5595,C5595,$D$2:$D5595,"*Package*"))</f>
        <v/>
      </c>
      <c r="G5595" t="str">
        <f t="shared" si="120"/>
        <v/>
      </c>
      <c r="H5595" s="33">
        <f>IF(ISNUMBER(SEARCH("Group",D5595)),IF(G5595="",E5595,IFERROR(E5595/COUNTIF($G2:$G6000,G5595),E5595)),E5595)</f>
        <v>0</v>
      </c>
      <c r="I5595" s="1" t="str">
        <f>IFERROR(VLOOKUP(C5595,'Clients List'!A:F,6,FALSE),"")</f>
        <v/>
      </c>
    </row>
    <row r="5596" spans="4:9" x14ac:dyDescent="0.45">
      <c r="D5596" t="str">
        <f>IFERROR(VLOOKUP(C5596,'Clients List'!$A:$F,2,FALSE),"")</f>
        <v/>
      </c>
      <c r="F5596" s="1" t="str">
        <f>IF(OR(C5596="",NOT(ISNUMBER(SEARCH("Package",D5596)))),"",VLOOKUP(C5596,'Clients List'!$A:$F,4,FALSE)-SUMIFS($E$2:$E5596,$C$2:$C5596,C5596,$D$2:$D5596,"*Package*"))</f>
        <v/>
      </c>
      <c r="G5596" t="str">
        <f t="shared" si="120"/>
        <v/>
      </c>
      <c r="H5596" s="33">
        <f>IF(ISNUMBER(SEARCH("Group",D5596)),IF(G5596="",E5596,IFERROR(E5596/COUNTIF($G2:$G6000,G5596),E5596)),E5596)</f>
        <v>0</v>
      </c>
      <c r="I5596" s="1" t="str">
        <f>IFERROR(VLOOKUP(C5596,'Clients List'!A:F,6,FALSE),"")</f>
        <v/>
      </c>
    </row>
    <row r="5597" spans="4:9" x14ac:dyDescent="0.45">
      <c r="D5597" t="str">
        <f>IFERROR(VLOOKUP(C5597,'Clients List'!$A:$F,2,FALSE),"")</f>
        <v/>
      </c>
      <c r="F5597" s="1" t="str">
        <f>IF(OR(C5597="",NOT(ISNUMBER(SEARCH("Package",D5597)))),"",VLOOKUP(C5597,'Clients List'!$A:$F,4,FALSE)-SUMIFS($E$2:$E5597,$C$2:$C5597,C5597,$D$2:$D5597,"*Package*"))</f>
        <v/>
      </c>
      <c r="G5597" t="str">
        <f t="shared" si="120"/>
        <v/>
      </c>
      <c r="H5597" s="33">
        <f>IF(ISNUMBER(SEARCH("Group",D5597)),IF(G5597="",E5597,IFERROR(E5597/COUNTIF($G2:$G6000,G5597),E5597)),E5597)</f>
        <v>0</v>
      </c>
      <c r="I5597" s="1" t="str">
        <f>IFERROR(VLOOKUP(C5597,'Clients List'!A:F,6,FALSE),"")</f>
        <v/>
      </c>
    </row>
    <row r="5598" spans="4:9" x14ac:dyDescent="0.45">
      <c r="D5598" t="str">
        <f>IFERROR(VLOOKUP(C5598,'Clients List'!$A:$F,2,FALSE),"")</f>
        <v/>
      </c>
      <c r="F5598" s="1" t="str">
        <f>IF(OR(C5598="",NOT(ISNUMBER(SEARCH("Package",D5598)))),"",VLOOKUP(C5598,'Clients List'!$A:$F,4,FALSE)-SUMIFS($E$2:$E5598,$C$2:$C5598,C5598,$D$2:$D5598,"*Package*"))</f>
        <v/>
      </c>
      <c r="G5598" t="str">
        <f t="shared" si="120"/>
        <v/>
      </c>
      <c r="H5598" s="33">
        <f>IF(ISNUMBER(SEARCH("Group",D5598)),IF(G5598="",E5598,IFERROR(E5598/COUNTIF($G2:$G6000,G5598),E5598)),E5598)</f>
        <v>0</v>
      </c>
      <c r="I5598" s="1" t="str">
        <f>IFERROR(VLOOKUP(C5598,'Clients List'!A:F,6,FALSE),"")</f>
        <v/>
      </c>
    </row>
    <row r="5599" spans="4:9" x14ac:dyDescent="0.45">
      <c r="D5599" t="str">
        <f>IFERROR(VLOOKUP(C5599,'Clients List'!$A:$F,2,FALSE),"")</f>
        <v/>
      </c>
      <c r="F5599" s="1" t="str">
        <f>IF(OR(C5599="",NOT(ISNUMBER(SEARCH("Package",D5599)))),"",VLOOKUP(C5599,'Clients List'!$A:$F,4,FALSE)-SUMIFS($E$2:$E5599,$C$2:$C5599,C5599,$D$2:$D5599,"*Package*"))</f>
        <v/>
      </c>
      <c r="G5599" t="str">
        <f t="shared" si="120"/>
        <v/>
      </c>
      <c r="H5599" s="33">
        <f>IF(ISNUMBER(SEARCH("Group",D5599)),IF(G5599="",E5599,IFERROR(E5599/COUNTIF($G2:$G6000,G5599),E5599)),E5599)</f>
        <v>0</v>
      </c>
      <c r="I5599" s="1" t="str">
        <f>IFERROR(VLOOKUP(C5599,'Clients List'!A:F,6,FALSE),"")</f>
        <v/>
      </c>
    </row>
    <row r="5600" spans="4:9" x14ac:dyDescent="0.45">
      <c r="D5600" t="str">
        <f>IFERROR(VLOOKUP(C5600,'Clients List'!$A:$F,2,FALSE),"")</f>
        <v/>
      </c>
      <c r="F5600" s="1" t="str">
        <f>IF(OR(C5600="",NOT(ISNUMBER(SEARCH("Package",D5600)))),"",VLOOKUP(C5600,'Clients List'!$A:$F,4,FALSE)-SUMIFS($E$2:$E5600,$C$2:$C5600,C5600,$D$2:$D5600,"*Package*"))</f>
        <v/>
      </c>
      <c r="G5600" t="str">
        <f t="shared" si="120"/>
        <v/>
      </c>
      <c r="H5600" s="33">
        <f>IF(ISNUMBER(SEARCH("Group",D5600)),IF(G5600="",E5600,IFERROR(E5600/COUNTIF($G2:$G6000,G5600),E5600)),E5600)</f>
        <v>0</v>
      </c>
      <c r="I5600" s="1" t="str">
        <f>IFERROR(VLOOKUP(C5600,'Clients List'!A:F,6,FALSE),"")</f>
        <v/>
      </c>
    </row>
    <row r="5601" spans="4:9" x14ac:dyDescent="0.45">
      <c r="D5601" t="str">
        <f>IFERROR(VLOOKUP(C5601,'Clients List'!$A:$F,2,FALSE),"")</f>
        <v/>
      </c>
      <c r="F5601" s="1" t="str">
        <f>IF(OR(C5601="",NOT(ISNUMBER(SEARCH("Package",D5601)))),"",VLOOKUP(C5601,'Clients List'!$A:$F,4,FALSE)-SUMIFS($E$2:$E5601,$C$2:$C5601,C5601,$D$2:$D5601,"*Package*"))</f>
        <v/>
      </c>
      <c r="G5601" t="str">
        <f t="shared" si="120"/>
        <v/>
      </c>
      <c r="H5601" s="33">
        <f>IF(ISNUMBER(SEARCH("Group",D5601)),IF(G5601="",E5601,IFERROR(E5601/COUNTIF($G2:$G6000,G5601),E5601)),E5601)</f>
        <v>0</v>
      </c>
      <c r="I5601" s="1" t="str">
        <f>IFERROR(VLOOKUP(C5601,'Clients List'!A:F,6,FALSE),"")</f>
        <v/>
      </c>
    </row>
    <row r="5602" spans="4:9" x14ac:dyDescent="0.45">
      <c r="D5602" t="str">
        <f>IFERROR(VLOOKUP(C5602,'Clients List'!$A:$F,2,FALSE),"")</f>
        <v/>
      </c>
      <c r="F5602" s="1" t="str">
        <f>IF(OR(C5602="",NOT(ISNUMBER(SEARCH("Package",D5602)))),"",VLOOKUP(C5602,'Clients List'!$A:$F,4,FALSE)-SUMIFS($E$2:$E5602,$C$2:$C5602,C5602,$D$2:$D5602,"*Package*"))</f>
        <v/>
      </c>
      <c r="G5602" t="str">
        <f t="shared" si="120"/>
        <v/>
      </c>
      <c r="H5602" s="33">
        <f>IF(ISNUMBER(SEARCH("Group",D5602)),IF(G5602="",E5602,IFERROR(E5602/COUNTIF($G2:$G6000,G5602),E5602)),E5602)</f>
        <v>0</v>
      </c>
      <c r="I5602" s="1" t="str">
        <f>IFERROR(VLOOKUP(C5602,'Clients List'!A:F,6,FALSE),"")</f>
        <v/>
      </c>
    </row>
    <row r="5603" spans="4:9" x14ac:dyDescent="0.45">
      <c r="D5603" t="str">
        <f>IFERROR(VLOOKUP(C5603,'Clients List'!$A:$F,2,FALSE),"")</f>
        <v/>
      </c>
      <c r="F5603" s="1" t="str">
        <f>IF(OR(C5603="",NOT(ISNUMBER(SEARCH("Package",D5603)))),"",VLOOKUP(C5603,'Clients List'!$A:$F,4,FALSE)-SUMIFS($E$2:$E5603,$C$2:$C5603,C5603,$D$2:$D5603,"*Package*"))</f>
        <v/>
      </c>
      <c r="G5603" t="str">
        <f t="shared" si="120"/>
        <v/>
      </c>
      <c r="H5603" s="33">
        <f>IF(ISNUMBER(SEARCH("Group",D5603)),IF(G5603="",E5603,IFERROR(E5603/COUNTIF($G2:$G6000,G5603),E5603)),E5603)</f>
        <v>0</v>
      </c>
      <c r="I5603" s="1" t="str">
        <f>IFERROR(VLOOKUP(C5603,'Clients List'!A:F,6,FALSE),"")</f>
        <v/>
      </c>
    </row>
    <row r="5604" spans="4:9" x14ac:dyDescent="0.45">
      <c r="D5604" t="str">
        <f>IFERROR(VLOOKUP(C5604,'Clients List'!$A:$F,2,FALSE),"")</f>
        <v/>
      </c>
      <c r="F5604" s="1" t="str">
        <f>IF(OR(C5604="",NOT(ISNUMBER(SEARCH("Package",D5604)))),"",VLOOKUP(C5604,'Clients List'!$A:$F,4,FALSE)-SUMIFS($E$2:$E5604,$C$2:$C5604,C5604,$D$2:$D5604,"*Package*"))</f>
        <v/>
      </c>
      <c r="G5604" t="str">
        <f t="shared" si="120"/>
        <v/>
      </c>
      <c r="H5604" s="33">
        <f>IF(ISNUMBER(SEARCH("Group",D5604)),IF(G5604="",E5604,IFERROR(E5604/COUNTIF($G2:$G6000,G5604),E5604)),E5604)</f>
        <v>0</v>
      </c>
      <c r="I5604" s="1" t="str">
        <f>IFERROR(VLOOKUP(C5604,'Clients List'!A:F,6,FALSE),"")</f>
        <v/>
      </c>
    </row>
    <row r="5605" spans="4:9" x14ac:dyDescent="0.45">
      <c r="D5605" t="str">
        <f>IFERROR(VLOOKUP(C5605,'Clients List'!$A:$F,2,FALSE),"")</f>
        <v/>
      </c>
      <c r="F5605" s="1" t="str">
        <f>IF(OR(C5605="",NOT(ISNUMBER(SEARCH("Package",D5605)))),"",VLOOKUP(C5605,'Clients List'!$A:$F,4,FALSE)-SUMIFS($E$2:$E5605,$C$2:$C5605,C5605,$D$2:$D5605,"*Package*"))</f>
        <v/>
      </c>
      <c r="G5605" t="str">
        <f t="shared" si="120"/>
        <v/>
      </c>
      <c r="H5605" s="33">
        <f>IF(ISNUMBER(SEARCH("Group",D5605)),IF(G5605="",E5605,IFERROR(E5605/COUNTIF($G2:$G6000,G5605),E5605)),E5605)</f>
        <v>0</v>
      </c>
      <c r="I5605" s="1" t="str">
        <f>IFERROR(VLOOKUP(C5605,'Clients List'!A:F,6,FALSE),"")</f>
        <v/>
      </c>
    </row>
    <row r="5606" spans="4:9" x14ac:dyDescent="0.45">
      <c r="D5606" t="str">
        <f>IFERROR(VLOOKUP(C5606,'Clients List'!$A:$F,2,FALSE),"")</f>
        <v/>
      </c>
      <c r="F5606" s="1" t="str">
        <f>IF(OR(C5606="",NOT(ISNUMBER(SEARCH("Package",D5606)))),"",VLOOKUP(C5606,'Clients List'!$A:$F,4,FALSE)-SUMIFS($E$2:$E5606,$C$2:$C5606,C5606,$D$2:$D5606,"*Package*"))</f>
        <v/>
      </c>
      <c r="G5606" t="str">
        <f t="shared" si="120"/>
        <v/>
      </c>
      <c r="H5606" s="33">
        <f>IF(ISNUMBER(SEARCH("Group",D5606)),IF(G5606="",E5606,IFERROR(E5606/COUNTIF($G2:$G6000,G5606),E5606)),E5606)</f>
        <v>0</v>
      </c>
      <c r="I5606" s="1" t="str">
        <f>IFERROR(VLOOKUP(C5606,'Clients List'!A:F,6,FALSE),"")</f>
        <v/>
      </c>
    </row>
    <row r="5607" spans="4:9" x14ac:dyDescent="0.45">
      <c r="D5607" t="str">
        <f>IFERROR(VLOOKUP(C5607,'Clients List'!$A:$F,2,FALSE),"")</f>
        <v/>
      </c>
      <c r="F5607" s="1" t="str">
        <f>IF(OR(C5607="",NOT(ISNUMBER(SEARCH("Package",D5607)))),"",VLOOKUP(C5607,'Clients List'!$A:$F,4,FALSE)-SUMIFS($E$2:$E5607,$C$2:$C5607,C5607,$D$2:$D5607,"*Package*"))</f>
        <v/>
      </c>
      <c r="G5607" t="str">
        <f t="shared" si="120"/>
        <v/>
      </c>
      <c r="H5607" s="33">
        <f>IF(ISNUMBER(SEARCH("Group",D5607)),IF(G5607="",E5607,IFERROR(E5607/COUNTIF($G2:$G6000,G5607),E5607)),E5607)</f>
        <v>0</v>
      </c>
      <c r="I5607" s="1" t="str">
        <f>IFERROR(VLOOKUP(C5607,'Clients List'!A:F,6,FALSE),"")</f>
        <v/>
      </c>
    </row>
    <row r="5608" spans="4:9" x14ac:dyDescent="0.45">
      <c r="D5608" t="str">
        <f>IFERROR(VLOOKUP(C5608,'Clients List'!$A:$F,2,FALSE),"")</f>
        <v/>
      </c>
      <c r="F5608" s="1" t="str">
        <f>IF(OR(C5608="",NOT(ISNUMBER(SEARCH("Package",D5608)))),"",VLOOKUP(C5608,'Clients List'!$A:$F,4,FALSE)-SUMIFS($E$2:$E5608,$C$2:$C5608,C5608,$D$2:$D5608,"*Package*"))</f>
        <v/>
      </c>
      <c r="G5608" t="str">
        <f t="shared" si="120"/>
        <v/>
      </c>
      <c r="H5608" s="33">
        <f>IF(ISNUMBER(SEARCH("Group",D5608)),IF(G5608="",E5608,IFERROR(E5608/COUNTIF($G2:$G6000,G5608),E5608)),E5608)</f>
        <v>0</v>
      </c>
      <c r="I5608" s="1" t="str">
        <f>IFERROR(VLOOKUP(C5608,'Clients List'!A:F,6,FALSE),"")</f>
        <v/>
      </c>
    </row>
    <row r="5609" spans="4:9" x14ac:dyDescent="0.45">
      <c r="D5609" t="str">
        <f>IFERROR(VLOOKUP(C5609,'Clients List'!$A:$F,2,FALSE),"")</f>
        <v/>
      </c>
      <c r="F5609" s="1" t="str">
        <f>IF(OR(C5609="",NOT(ISNUMBER(SEARCH("Package",D5609)))),"",VLOOKUP(C5609,'Clients List'!$A:$F,4,FALSE)-SUMIFS($E$2:$E5609,$C$2:$C5609,C5609,$D$2:$D5609,"*Package*"))</f>
        <v/>
      </c>
      <c r="G5609" t="str">
        <f t="shared" si="120"/>
        <v/>
      </c>
      <c r="H5609" s="33">
        <f>IF(ISNUMBER(SEARCH("Group",D5609)),IF(G5609="",E5609,IFERROR(E5609/COUNTIF($G2:$G6000,G5609),E5609)),E5609)</f>
        <v>0</v>
      </c>
      <c r="I5609" s="1" t="str">
        <f>IFERROR(VLOOKUP(C5609,'Clients List'!A:F,6,FALSE),"")</f>
        <v/>
      </c>
    </row>
    <row r="5610" spans="4:9" x14ac:dyDescent="0.45">
      <c r="D5610" t="str">
        <f>IFERROR(VLOOKUP(C5610,'Clients List'!$A:$F,2,FALSE),"")</f>
        <v/>
      </c>
      <c r="F5610" s="1" t="str">
        <f>IF(OR(C5610="",NOT(ISNUMBER(SEARCH("Package",D5610)))),"",VLOOKUP(C5610,'Clients List'!$A:$F,4,FALSE)-SUMIFS($E$2:$E5610,$C$2:$C5610,C5610,$D$2:$D5610,"*Package*"))</f>
        <v/>
      </c>
      <c r="G5610" t="str">
        <f t="shared" si="120"/>
        <v/>
      </c>
      <c r="H5610" s="33">
        <f>IF(ISNUMBER(SEARCH("Group",D5610)),IF(G5610="",E5610,IFERROR(E5610/COUNTIF($G2:$G6000,G5610),E5610)),E5610)</f>
        <v>0</v>
      </c>
      <c r="I5610" s="1" t="str">
        <f>IFERROR(VLOOKUP(C5610,'Clients List'!A:F,6,FALSE),"")</f>
        <v/>
      </c>
    </row>
    <row r="5611" spans="4:9" x14ac:dyDescent="0.45">
      <c r="D5611" t="str">
        <f>IFERROR(VLOOKUP(C5611,'Clients List'!$A:$F,2,FALSE),"")</f>
        <v/>
      </c>
      <c r="F5611" s="1" t="str">
        <f>IF(OR(C5611="",NOT(ISNUMBER(SEARCH("Package",D5611)))),"",VLOOKUP(C5611,'Clients List'!$A:$F,4,FALSE)-SUMIFS($E$2:$E5611,$C$2:$C5611,C5611,$D$2:$D5611,"*Package*"))</f>
        <v/>
      </c>
      <c r="G5611" t="str">
        <f t="shared" si="120"/>
        <v/>
      </c>
      <c r="H5611" s="33">
        <f>IF(ISNUMBER(SEARCH("Group",D5611)),IF(G5611="",E5611,IFERROR(E5611/COUNTIF($G2:$G6000,G5611),E5611)),E5611)</f>
        <v>0</v>
      </c>
      <c r="I5611" s="1" t="str">
        <f>IFERROR(VLOOKUP(C5611,'Clients List'!A:F,6,FALSE),"")</f>
        <v/>
      </c>
    </row>
    <row r="5612" spans="4:9" x14ac:dyDescent="0.45">
      <c r="D5612" t="str">
        <f>IFERROR(VLOOKUP(C5612,'Clients List'!$A:$F,2,FALSE),"")</f>
        <v/>
      </c>
      <c r="F5612" s="1" t="str">
        <f>IF(OR(C5612="",NOT(ISNUMBER(SEARCH("Package",D5612)))),"",VLOOKUP(C5612,'Clients List'!$A:$F,4,FALSE)-SUMIFS($E$2:$E5612,$C$2:$C5612,C5612,$D$2:$D5612,"*Package*"))</f>
        <v/>
      </c>
      <c r="G5612" t="str">
        <f t="shared" si="120"/>
        <v/>
      </c>
      <c r="H5612" s="33">
        <f>IF(ISNUMBER(SEARCH("Group",D5612)),IF(G5612="",E5612,IFERROR(E5612/COUNTIF($G2:$G6000,G5612),E5612)),E5612)</f>
        <v>0</v>
      </c>
      <c r="I5612" s="1" t="str">
        <f>IFERROR(VLOOKUP(C5612,'Clients List'!A:F,6,FALSE),"")</f>
        <v/>
      </c>
    </row>
    <row r="5613" spans="4:9" x14ac:dyDescent="0.45">
      <c r="D5613" t="str">
        <f>IFERROR(VLOOKUP(C5613,'Clients List'!$A:$F,2,FALSE),"")</f>
        <v/>
      </c>
      <c r="F5613" s="1" t="str">
        <f>IF(OR(C5613="",NOT(ISNUMBER(SEARCH("Package",D5613)))),"",VLOOKUP(C5613,'Clients List'!$A:$F,4,FALSE)-SUMIFS($E$2:$E5613,$C$2:$C5613,C5613,$D$2:$D5613,"*Package*"))</f>
        <v/>
      </c>
      <c r="G5613" t="str">
        <f t="shared" si="120"/>
        <v/>
      </c>
      <c r="H5613" s="33">
        <f>IF(ISNUMBER(SEARCH("Group",D5613)),IF(G5613="",E5613,IFERROR(E5613/COUNTIF($G2:$G6000,G5613),E5613)),E5613)</f>
        <v>0</v>
      </c>
      <c r="I5613" s="1" t="str">
        <f>IFERROR(VLOOKUP(C5613,'Clients List'!A:F,6,FALSE),"")</f>
        <v/>
      </c>
    </row>
    <row r="5614" spans="4:9" x14ac:dyDescent="0.45">
      <c r="D5614" t="str">
        <f>IFERROR(VLOOKUP(C5614,'Clients List'!$A:$F,2,FALSE),"")</f>
        <v/>
      </c>
      <c r="F5614" s="1" t="str">
        <f>IF(OR(C5614="",NOT(ISNUMBER(SEARCH("Package",D5614)))),"",VLOOKUP(C5614,'Clients List'!$A:$F,4,FALSE)-SUMIFS($E$2:$E5614,$C$2:$C5614,C5614,$D$2:$D5614,"*Package*"))</f>
        <v/>
      </c>
      <c r="G5614" t="str">
        <f t="shared" si="120"/>
        <v/>
      </c>
      <c r="H5614" s="33">
        <f>IF(ISNUMBER(SEARCH("Group",D5614)),IF(G5614="",E5614,IFERROR(E5614/COUNTIF($G2:$G6000,G5614),E5614)),E5614)</f>
        <v>0</v>
      </c>
      <c r="I5614" s="1" t="str">
        <f>IFERROR(VLOOKUP(C5614,'Clients List'!A:F,6,FALSE),"")</f>
        <v/>
      </c>
    </row>
    <row r="5615" spans="4:9" x14ac:dyDescent="0.45">
      <c r="D5615" t="str">
        <f>IFERROR(VLOOKUP(C5615,'Clients List'!$A:$F,2,FALSE),"")</f>
        <v/>
      </c>
      <c r="F5615" s="1" t="str">
        <f>IF(OR(C5615="",NOT(ISNUMBER(SEARCH("Package",D5615)))),"",VLOOKUP(C5615,'Clients List'!$A:$F,4,FALSE)-SUMIFS($E$2:$E5615,$C$2:$C5615,C5615,$D$2:$D5615,"*Package*"))</f>
        <v/>
      </c>
      <c r="G5615" t="str">
        <f t="shared" si="120"/>
        <v/>
      </c>
      <c r="H5615" s="33">
        <f>IF(ISNUMBER(SEARCH("Group",D5615)),IF(G5615="",E5615,IFERROR(E5615/COUNTIF($G2:$G6000,G5615),E5615)),E5615)</f>
        <v>0</v>
      </c>
      <c r="I5615" s="1" t="str">
        <f>IFERROR(VLOOKUP(C5615,'Clients List'!A:F,6,FALSE),"")</f>
        <v/>
      </c>
    </row>
    <row r="5616" spans="4:9" x14ac:dyDescent="0.45">
      <c r="D5616" t="str">
        <f>IFERROR(VLOOKUP(C5616,'Clients List'!$A:$F,2,FALSE),"")</f>
        <v/>
      </c>
      <c r="F5616" s="1" t="str">
        <f>IF(OR(C5616="",NOT(ISNUMBER(SEARCH("Package",D5616)))),"",VLOOKUP(C5616,'Clients List'!$A:$F,4,FALSE)-SUMIFS($E$2:$E5616,$C$2:$C5616,C5616,$D$2:$D5616,"*Package*"))</f>
        <v/>
      </c>
      <c r="G5616" t="str">
        <f t="shared" si="120"/>
        <v/>
      </c>
      <c r="H5616" s="33">
        <f>IF(ISNUMBER(SEARCH("Group",D5616)),IF(G5616="",E5616,IFERROR(E5616/COUNTIF($G2:$G6000,G5616),E5616)),E5616)</f>
        <v>0</v>
      </c>
      <c r="I5616" s="1" t="str">
        <f>IFERROR(VLOOKUP(C5616,'Clients List'!A:F,6,FALSE),"")</f>
        <v/>
      </c>
    </row>
    <row r="5617" spans="4:9" x14ac:dyDescent="0.45">
      <c r="D5617" t="str">
        <f>IFERROR(VLOOKUP(C5617,'Clients List'!$A:$F,2,FALSE),"")</f>
        <v/>
      </c>
      <c r="F5617" s="1" t="str">
        <f>IF(OR(C5617="",NOT(ISNUMBER(SEARCH("Package",D5617)))),"",VLOOKUP(C5617,'Clients List'!$A:$F,4,FALSE)-SUMIFS($E$2:$E5617,$C$2:$C5617,C5617,$D$2:$D5617,"*Package*"))</f>
        <v/>
      </c>
      <c r="G5617" t="str">
        <f t="shared" si="120"/>
        <v/>
      </c>
      <c r="H5617" s="33">
        <f>IF(ISNUMBER(SEARCH("Group",D5617)),IF(G5617="",E5617,IFERROR(E5617/COUNTIF($G2:$G6000,G5617),E5617)),E5617)</f>
        <v>0</v>
      </c>
      <c r="I5617" s="1" t="str">
        <f>IFERROR(VLOOKUP(C5617,'Clients List'!A:F,6,FALSE),"")</f>
        <v/>
      </c>
    </row>
    <row r="5618" spans="4:9" x14ac:dyDescent="0.45">
      <c r="D5618" t="str">
        <f>IFERROR(VLOOKUP(C5618,'Clients List'!$A:$F,2,FALSE),"")</f>
        <v/>
      </c>
      <c r="F5618" s="1" t="str">
        <f>IF(OR(C5618="",NOT(ISNUMBER(SEARCH("Package",D5618)))),"",VLOOKUP(C5618,'Clients List'!$A:$F,4,FALSE)-SUMIFS($E$2:$E5618,$C$2:$C5618,C5618,$D$2:$D5618,"*Package*"))</f>
        <v/>
      </c>
      <c r="G5618" t="str">
        <f t="shared" si="120"/>
        <v/>
      </c>
      <c r="H5618" s="33">
        <f>IF(ISNUMBER(SEARCH("Group",D5618)),IF(G5618="",E5618,IFERROR(E5618/COUNTIF($G2:$G6000,G5618),E5618)),E5618)</f>
        <v>0</v>
      </c>
      <c r="I5618" s="1" t="str">
        <f>IFERROR(VLOOKUP(C5618,'Clients List'!A:F,6,FALSE),"")</f>
        <v/>
      </c>
    </row>
    <row r="5619" spans="4:9" x14ac:dyDescent="0.45">
      <c r="D5619" t="str">
        <f>IFERROR(VLOOKUP(C5619,'Clients List'!$A:$F,2,FALSE),"")</f>
        <v/>
      </c>
      <c r="F5619" s="1" t="str">
        <f>IF(OR(C5619="",NOT(ISNUMBER(SEARCH("Package",D5619)))),"",VLOOKUP(C5619,'Clients List'!$A:$F,4,FALSE)-SUMIFS($E$2:$E5619,$C$2:$C5619,C5619,$D$2:$D5619,"*Package*"))</f>
        <v/>
      </c>
      <c r="G5619" t="str">
        <f t="shared" si="120"/>
        <v/>
      </c>
      <c r="H5619" s="33">
        <f>IF(ISNUMBER(SEARCH("Group",D5619)),IF(G5619="",E5619,IFERROR(E5619/COUNTIF($G2:$G6000,G5619),E5619)),E5619)</f>
        <v>0</v>
      </c>
      <c r="I5619" s="1" t="str">
        <f>IFERROR(VLOOKUP(C5619,'Clients List'!A:F,6,FALSE),"")</f>
        <v/>
      </c>
    </row>
    <row r="5620" spans="4:9" x14ac:dyDescent="0.45">
      <c r="D5620" t="str">
        <f>IFERROR(VLOOKUP(C5620,'Clients List'!$A:$F,2,FALSE),"")</f>
        <v/>
      </c>
      <c r="F5620" s="1" t="str">
        <f>IF(OR(C5620="",NOT(ISNUMBER(SEARCH("Package",D5620)))),"",VLOOKUP(C5620,'Clients List'!$A:$F,4,FALSE)-SUMIFS($E$2:$E5620,$C$2:$C5620,C5620,$D$2:$D5620,"*Package*"))</f>
        <v/>
      </c>
      <c r="G5620" t="str">
        <f t="shared" si="120"/>
        <v/>
      </c>
      <c r="H5620" s="33">
        <f>IF(ISNUMBER(SEARCH("Group",D5620)),IF(G5620="",E5620,IFERROR(E5620/COUNTIF($G2:$G6000,G5620),E5620)),E5620)</f>
        <v>0</v>
      </c>
      <c r="I5620" s="1" t="str">
        <f>IFERROR(VLOOKUP(C5620,'Clients List'!A:F,6,FALSE),"")</f>
        <v/>
      </c>
    </row>
    <row r="5621" spans="4:9" x14ac:dyDescent="0.45">
      <c r="D5621" t="str">
        <f>IFERROR(VLOOKUP(C5621,'Clients List'!$A:$F,2,FALSE),"")</f>
        <v/>
      </c>
      <c r="F5621" s="1" t="str">
        <f>IF(OR(C5621="",NOT(ISNUMBER(SEARCH("Package",D5621)))),"",VLOOKUP(C5621,'Clients List'!$A:$F,4,FALSE)-SUMIFS($E$2:$E5621,$C$2:$C5621,C5621,$D$2:$D5621,"*Package*"))</f>
        <v/>
      </c>
      <c r="G5621" t="str">
        <f t="shared" ref="G5621:G5684" si="121">IF(ISNUMBER(SEARCH("Group",D5621)),IFERROR("GRP-"&amp;TEXT(IF(ISNUMBER(A5621),A5621,DATEVALUE(A5621)),"yyyymmdd"),""),"" )</f>
        <v/>
      </c>
      <c r="H5621" s="33">
        <f>IF(ISNUMBER(SEARCH("Group",D5621)),IF(G5621="",E5621,IFERROR(E5621/COUNTIF($G2:$G6000,G5621),E5621)),E5621)</f>
        <v>0</v>
      </c>
      <c r="I5621" s="1" t="str">
        <f>IFERROR(VLOOKUP(C5621,'Clients List'!A:F,6,FALSE),"")</f>
        <v/>
      </c>
    </row>
    <row r="5622" spans="4:9" x14ac:dyDescent="0.45">
      <c r="D5622" t="str">
        <f>IFERROR(VLOOKUP(C5622,'Clients List'!$A:$F,2,FALSE),"")</f>
        <v/>
      </c>
      <c r="F5622" s="1" t="str">
        <f>IF(OR(C5622="",NOT(ISNUMBER(SEARCH("Package",D5622)))),"",VLOOKUP(C5622,'Clients List'!$A:$F,4,FALSE)-SUMIFS($E$2:$E5622,$C$2:$C5622,C5622,$D$2:$D5622,"*Package*"))</f>
        <v/>
      </c>
      <c r="G5622" t="str">
        <f t="shared" si="121"/>
        <v/>
      </c>
      <c r="H5622" s="33">
        <f>IF(ISNUMBER(SEARCH("Group",D5622)),IF(G5622="",E5622,IFERROR(E5622/COUNTIF($G2:$G6000,G5622),E5622)),E5622)</f>
        <v>0</v>
      </c>
      <c r="I5622" s="1" t="str">
        <f>IFERROR(VLOOKUP(C5622,'Clients List'!A:F,6,FALSE),"")</f>
        <v/>
      </c>
    </row>
    <row r="5623" spans="4:9" x14ac:dyDescent="0.45">
      <c r="D5623" t="str">
        <f>IFERROR(VLOOKUP(C5623,'Clients List'!$A:$F,2,FALSE),"")</f>
        <v/>
      </c>
      <c r="F5623" s="1" t="str">
        <f>IF(OR(C5623="",NOT(ISNUMBER(SEARCH("Package",D5623)))),"",VLOOKUP(C5623,'Clients List'!$A:$F,4,FALSE)-SUMIFS($E$2:$E5623,$C$2:$C5623,C5623,$D$2:$D5623,"*Package*"))</f>
        <v/>
      </c>
      <c r="G5623" t="str">
        <f t="shared" si="121"/>
        <v/>
      </c>
      <c r="H5623" s="33">
        <f>IF(ISNUMBER(SEARCH("Group",D5623)),IF(G5623="",E5623,IFERROR(E5623/COUNTIF($G2:$G6000,G5623),E5623)),E5623)</f>
        <v>0</v>
      </c>
      <c r="I5623" s="1" t="str">
        <f>IFERROR(VLOOKUP(C5623,'Clients List'!A:F,6,FALSE),"")</f>
        <v/>
      </c>
    </row>
    <row r="5624" spans="4:9" x14ac:dyDescent="0.45">
      <c r="D5624" t="str">
        <f>IFERROR(VLOOKUP(C5624,'Clients List'!$A:$F,2,FALSE),"")</f>
        <v/>
      </c>
      <c r="F5624" s="1" t="str">
        <f>IF(OR(C5624="",NOT(ISNUMBER(SEARCH("Package",D5624)))),"",VLOOKUP(C5624,'Clients List'!$A:$F,4,FALSE)-SUMIFS($E$2:$E5624,$C$2:$C5624,C5624,$D$2:$D5624,"*Package*"))</f>
        <v/>
      </c>
      <c r="G5624" t="str">
        <f t="shared" si="121"/>
        <v/>
      </c>
      <c r="H5624" s="33">
        <f>IF(ISNUMBER(SEARCH("Group",D5624)),IF(G5624="",E5624,IFERROR(E5624/COUNTIF($G2:$G6000,G5624),E5624)),E5624)</f>
        <v>0</v>
      </c>
      <c r="I5624" s="1" t="str">
        <f>IFERROR(VLOOKUP(C5624,'Clients List'!A:F,6,FALSE),"")</f>
        <v/>
      </c>
    </row>
    <row r="5625" spans="4:9" x14ac:dyDescent="0.45">
      <c r="D5625" t="str">
        <f>IFERROR(VLOOKUP(C5625,'Clients List'!$A:$F,2,FALSE),"")</f>
        <v/>
      </c>
      <c r="F5625" s="1" t="str">
        <f>IF(OR(C5625="",NOT(ISNUMBER(SEARCH("Package",D5625)))),"",VLOOKUP(C5625,'Clients List'!$A:$F,4,FALSE)-SUMIFS($E$2:$E5625,$C$2:$C5625,C5625,$D$2:$D5625,"*Package*"))</f>
        <v/>
      </c>
      <c r="G5625" t="str">
        <f t="shared" si="121"/>
        <v/>
      </c>
      <c r="H5625" s="33">
        <f>IF(ISNUMBER(SEARCH("Group",D5625)),IF(G5625="",E5625,IFERROR(E5625/COUNTIF($G2:$G6000,G5625),E5625)),E5625)</f>
        <v>0</v>
      </c>
      <c r="I5625" s="1" t="str">
        <f>IFERROR(VLOOKUP(C5625,'Clients List'!A:F,6,FALSE),"")</f>
        <v/>
      </c>
    </row>
    <row r="5626" spans="4:9" x14ac:dyDescent="0.45">
      <c r="D5626" t="str">
        <f>IFERROR(VLOOKUP(C5626,'Clients List'!$A:$F,2,FALSE),"")</f>
        <v/>
      </c>
      <c r="F5626" s="1" t="str">
        <f>IF(OR(C5626="",NOT(ISNUMBER(SEARCH("Package",D5626)))),"",VLOOKUP(C5626,'Clients List'!$A:$F,4,FALSE)-SUMIFS($E$2:$E5626,$C$2:$C5626,C5626,$D$2:$D5626,"*Package*"))</f>
        <v/>
      </c>
      <c r="G5626" t="str">
        <f t="shared" si="121"/>
        <v/>
      </c>
      <c r="H5626" s="33">
        <f>IF(ISNUMBER(SEARCH("Group",D5626)),IF(G5626="",E5626,IFERROR(E5626/COUNTIF($G2:$G6000,G5626),E5626)),E5626)</f>
        <v>0</v>
      </c>
      <c r="I5626" s="1" t="str">
        <f>IFERROR(VLOOKUP(C5626,'Clients List'!A:F,6,FALSE),"")</f>
        <v/>
      </c>
    </row>
    <row r="5627" spans="4:9" x14ac:dyDescent="0.45">
      <c r="D5627" t="str">
        <f>IFERROR(VLOOKUP(C5627,'Clients List'!$A:$F,2,FALSE),"")</f>
        <v/>
      </c>
      <c r="F5627" s="1" t="str">
        <f>IF(OR(C5627="",NOT(ISNUMBER(SEARCH("Package",D5627)))),"",VLOOKUP(C5627,'Clients List'!$A:$F,4,FALSE)-SUMIFS($E$2:$E5627,$C$2:$C5627,C5627,$D$2:$D5627,"*Package*"))</f>
        <v/>
      </c>
      <c r="G5627" t="str">
        <f t="shared" si="121"/>
        <v/>
      </c>
      <c r="H5627" s="33">
        <f>IF(ISNUMBER(SEARCH("Group",D5627)),IF(G5627="",E5627,IFERROR(E5627/COUNTIF($G2:$G6000,G5627),E5627)),E5627)</f>
        <v>0</v>
      </c>
      <c r="I5627" s="1" t="str">
        <f>IFERROR(VLOOKUP(C5627,'Clients List'!A:F,6,FALSE),"")</f>
        <v/>
      </c>
    </row>
    <row r="5628" spans="4:9" x14ac:dyDescent="0.45">
      <c r="D5628" t="str">
        <f>IFERROR(VLOOKUP(C5628,'Clients List'!$A:$F,2,FALSE),"")</f>
        <v/>
      </c>
      <c r="F5628" s="1" t="str">
        <f>IF(OR(C5628="",NOT(ISNUMBER(SEARCH("Package",D5628)))),"",VLOOKUP(C5628,'Clients List'!$A:$F,4,FALSE)-SUMIFS($E$2:$E5628,$C$2:$C5628,C5628,$D$2:$D5628,"*Package*"))</f>
        <v/>
      </c>
      <c r="G5628" t="str">
        <f t="shared" si="121"/>
        <v/>
      </c>
      <c r="H5628" s="33">
        <f>IF(ISNUMBER(SEARCH("Group",D5628)),IF(G5628="",E5628,IFERROR(E5628/COUNTIF($G2:$G6000,G5628),E5628)),E5628)</f>
        <v>0</v>
      </c>
      <c r="I5628" s="1" t="str">
        <f>IFERROR(VLOOKUP(C5628,'Clients List'!A:F,6,FALSE),"")</f>
        <v/>
      </c>
    </row>
    <row r="5629" spans="4:9" x14ac:dyDescent="0.45">
      <c r="D5629" t="str">
        <f>IFERROR(VLOOKUP(C5629,'Clients List'!$A:$F,2,FALSE),"")</f>
        <v/>
      </c>
      <c r="F5629" s="1" t="str">
        <f>IF(OR(C5629="",NOT(ISNUMBER(SEARCH("Package",D5629)))),"",VLOOKUP(C5629,'Clients List'!$A:$F,4,FALSE)-SUMIFS($E$2:$E5629,$C$2:$C5629,C5629,$D$2:$D5629,"*Package*"))</f>
        <v/>
      </c>
      <c r="G5629" t="str">
        <f t="shared" si="121"/>
        <v/>
      </c>
      <c r="H5629" s="33">
        <f>IF(ISNUMBER(SEARCH("Group",D5629)),IF(G5629="",E5629,IFERROR(E5629/COUNTIF($G2:$G6000,G5629),E5629)),E5629)</f>
        <v>0</v>
      </c>
      <c r="I5629" s="1" t="str">
        <f>IFERROR(VLOOKUP(C5629,'Clients List'!A:F,6,FALSE),"")</f>
        <v/>
      </c>
    </row>
    <row r="5630" spans="4:9" x14ac:dyDescent="0.45">
      <c r="D5630" t="str">
        <f>IFERROR(VLOOKUP(C5630,'Clients List'!$A:$F,2,FALSE),"")</f>
        <v/>
      </c>
      <c r="F5630" s="1" t="str">
        <f>IF(OR(C5630="",NOT(ISNUMBER(SEARCH("Package",D5630)))),"",VLOOKUP(C5630,'Clients List'!$A:$F,4,FALSE)-SUMIFS($E$2:$E5630,$C$2:$C5630,C5630,$D$2:$D5630,"*Package*"))</f>
        <v/>
      </c>
      <c r="G5630" t="str">
        <f t="shared" si="121"/>
        <v/>
      </c>
      <c r="H5630" s="33">
        <f>IF(ISNUMBER(SEARCH("Group",D5630)),IF(G5630="",E5630,IFERROR(E5630/COUNTIF($G2:$G6000,G5630),E5630)),E5630)</f>
        <v>0</v>
      </c>
      <c r="I5630" s="1" t="str">
        <f>IFERROR(VLOOKUP(C5630,'Clients List'!A:F,6,FALSE),"")</f>
        <v/>
      </c>
    </row>
    <row r="5631" spans="4:9" x14ac:dyDescent="0.45">
      <c r="D5631" t="str">
        <f>IFERROR(VLOOKUP(C5631,'Clients List'!$A:$F,2,FALSE),"")</f>
        <v/>
      </c>
      <c r="F5631" s="1" t="str">
        <f>IF(OR(C5631="",NOT(ISNUMBER(SEARCH("Package",D5631)))),"",VLOOKUP(C5631,'Clients List'!$A:$F,4,FALSE)-SUMIFS($E$2:$E5631,$C$2:$C5631,C5631,$D$2:$D5631,"*Package*"))</f>
        <v/>
      </c>
      <c r="G5631" t="str">
        <f t="shared" si="121"/>
        <v/>
      </c>
      <c r="H5631" s="33">
        <f>IF(ISNUMBER(SEARCH("Group",D5631)),IF(G5631="",E5631,IFERROR(E5631/COUNTIF($G2:$G6000,G5631),E5631)),E5631)</f>
        <v>0</v>
      </c>
      <c r="I5631" s="1" t="str">
        <f>IFERROR(VLOOKUP(C5631,'Clients List'!A:F,6,FALSE),"")</f>
        <v/>
      </c>
    </row>
    <row r="5632" spans="4:9" x14ac:dyDescent="0.45">
      <c r="D5632" t="str">
        <f>IFERROR(VLOOKUP(C5632,'Clients List'!$A:$F,2,FALSE),"")</f>
        <v/>
      </c>
      <c r="F5632" s="1" t="str">
        <f>IF(OR(C5632="",NOT(ISNUMBER(SEARCH("Package",D5632)))),"",VLOOKUP(C5632,'Clients List'!$A:$F,4,FALSE)-SUMIFS($E$2:$E5632,$C$2:$C5632,C5632,$D$2:$D5632,"*Package*"))</f>
        <v/>
      </c>
      <c r="G5632" t="str">
        <f t="shared" si="121"/>
        <v/>
      </c>
      <c r="H5632" s="33">
        <f>IF(ISNUMBER(SEARCH("Group",D5632)),IF(G5632="",E5632,IFERROR(E5632/COUNTIF($G2:$G6000,G5632),E5632)),E5632)</f>
        <v>0</v>
      </c>
      <c r="I5632" s="1" t="str">
        <f>IFERROR(VLOOKUP(C5632,'Clients List'!A:F,6,FALSE),"")</f>
        <v/>
      </c>
    </row>
    <row r="5633" spans="4:9" x14ac:dyDescent="0.45">
      <c r="D5633" t="str">
        <f>IFERROR(VLOOKUP(C5633,'Clients List'!$A:$F,2,FALSE),"")</f>
        <v/>
      </c>
      <c r="F5633" s="1" t="str">
        <f>IF(OR(C5633="",NOT(ISNUMBER(SEARCH("Package",D5633)))),"",VLOOKUP(C5633,'Clients List'!$A:$F,4,FALSE)-SUMIFS($E$2:$E5633,$C$2:$C5633,C5633,$D$2:$D5633,"*Package*"))</f>
        <v/>
      </c>
      <c r="G5633" t="str">
        <f t="shared" si="121"/>
        <v/>
      </c>
      <c r="H5633" s="33">
        <f>IF(ISNUMBER(SEARCH("Group",D5633)),IF(G5633="",E5633,IFERROR(E5633/COUNTIF($G2:$G6000,G5633),E5633)),E5633)</f>
        <v>0</v>
      </c>
      <c r="I5633" s="1" t="str">
        <f>IFERROR(VLOOKUP(C5633,'Clients List'!A:F,6,FALSE),"")</f>
        <v/>
      </c>
    </row>
    <row r="5634" spans="4:9" x14ac:dyDescent="0.45">
      <c r="D5634" t="str">
        <f>IFERROR(VLOOKUP(C5634,'Clients List'!$A:$F,2,FALSE),"")</f>
        <v/>
      </c>
      <c r="F5634" s="1" t="str">
        <f>IF(OR(C5634="",NOT(ISNUMBER(SEARCH("Package",D5634)))),"",VLOOKUP(C5634,'Clients List'!$A:$F,4,FALSE)-SUMIFS($E$2:$E5634,$C$2:$C5634,C5634,$D$2:$D5634,"*Package*"))</f>
        <v/>
      </c>
      <c r="G5634" t="str">
        <f t="shared" si="121"/>
        <v/>
      </c>
      <c r="H5634" s="33">
        <f>IF(ISNUMBER(SEARCH("Group",D5634)),IF(G5634="",E5634,IFERROR(E5634/COUNTIF($G2:$G6000,G5634),E5634)),E5634)</f>
        <v>0</v>
      </c>
      <c r="I5634" s="1" t="str">
        <f>IFERROR(VLOOKUP(C5634,'Clients List'!A:F,6,FALSE),"")</f>
        <v/>
      </c>
    </row>
    <row r="5635" spans="4:9" x14ac:dyDescent="0.45">
      <c r="D5635" t="str">
        <f>IFERROR(VLOOKUP(C5635,'Clients List'!$A:$F,2,FALSE),"")</f>
        <v/>
      </c>
      <c r="F5635" s="1" t="str">
        <f>IF(OR(C5635="",NOT(ISNUMBER(SEARCH("Package",D5635)))),"",VLOOKUP(C5635,'Clients List'!$A:$F,4,FALSE)-SUMIFS($E$2:$E5635,$C$2:$C5635,C5635,$D$2:$D5635,"*Package*"))</f>
        <v/>
      </c>
      <c r="G5635" t="str">
        <f t="shared" si="121"/>
        <v/>
      </c>
      <c r="H5635" s="33">
        <f>IF(ISNUMBER(SEARCH("Group",D5635)),IF(G5635="",E5635,IFERROR(E5635/COUNTIF($G2:$G6000,G5635),E5635)),E5635)</f>
        <v>0</v>
      </c>
      <c r="I5635" s="1" t="str">
        <f>IFERROR(VLOOKUP(C5635,'Clients List'!A:F,6,FALSE),"")</f>
        <v/>
      </c>
    </row>
    <row r="5636" spans="4:9" x14ac:dyDescent="0.45">
      <c r="D5636" t="str">
        <f>IFERROR(VLOOKUP(C5636,'Clients List'!$A:$F,2,FALSE),"")</f>
        <v/>
      </c>
      <c r="F5636" s="1" t="str">
        <f>IF(OR(C5636="",NOT(ISNUMBER(SEARCH("Package",D5636)))),"",VLOOKUP(C5636,'Clients List'!$A:$F,4,FALSE)-SUMIFS($E$2:$E5636,$C$2:$C5636,C5636,$D$2:$D5636,"*Package*"))</f>
        <v/>
      </c>
      <c r="G5636" t="str">
        <f t="shared" si="121"/>
        <v/>
      </c>
      <c r="H5636" s="33">
        <f>IF(ISNUMBER(SEARCH("Group",D5636)),IF(G5636="",E5636,IFERROR(E5636/COUNTIF($G2:$G6000,G5636),E5636)),E5636)</f>
        <v>0</v>
      </c>
      <c r="I5636" s="1" t="str">
        <f>IFERROR(VLOOKUP(C5636,'Clients List'!A:F,6,FALSE),"")</f>
        <v/>
      </c>
    </row>
    <row r="5637" spans="4:9" x14ac:dyDescent="0.45">
      <c r="D5637" t="str">
        <f>IFERROR(VLOOKUP(C5637,'Clients List'!$A:$F,2,FALSE),"")</f>
        <v/>
      </c>
      <c r="F5637" s="1" t="str">
        <f>IF(OR(C5637="",NOT(ISNUMBER(SEARCH("Package",D5637)))),"",VLOOKUP(C5637,'Clients List'!$A:$F,4,FALSE)-SUMIFS($E$2:$E5637,$C$2:$C5637,C5637,$D$2:$D5637,"*Package*"))</f>
        <v/>
      </c>
      <c r="G5637" t="str">
        <f t="shared" si="121"/>
        <v/>
      </c>
      <c r="H5637" s="33">
        <f>IF(ISNUMBER(SEARCH("Group",D5637)),IF(G5637="",E5637,IFERROR(E5637/COUNTIF($G2:$G6000,G5637),E5637)),E5637)</f>
        <v>0</v>
      </c>
      <c r="I5637" s="1" t="str">
        <f>IFERROR(VLOOKUP(C5637,'Clients List'!A:F,6,FALSE),"")</f>
        <v/>
      </c>
    </row>
    <row r="5638" spans="4:9" x14ac:dyDescent="0.45">
      <c r="D5638" t="str">
        <f>IFERROR(VLOOKUP(C5638,'Clients List'!$A:$F,2,FALSE),"")</f>
        <v/>
      </c>
      <c r="F5638" s="1" t="str">
        <f>IF(OR(C5638="",NOT(ISNUMBER(SEARCH("Package",D5638)))),"",VLOOKUP(C5638,'Clients List'!$A:$F,4,FALSE)-SUMIFS($E$2:$E5638,$C$2:$C5638,C5638,$D$2:$D5638,"*Package*"))</f>
        <v/>
      </c>
      <c r="G5638" t="str">
        <f t="shared" si="121"/>
        <v/>
      </c>
      <c r="H5638" s="33">
        <f>IF(ISNUMBER(SEARCH("Group",D5638)),IF(G5638="",E5638,IFERROR(E5638/COUNTIF($G2:$G6000,G5638),E5638)),E5638)</f>
        <v>0</v>
      </c>
      <c r="I5638" s="1" t="str">
        <f>IFERROR(VLOOKUP(C5638,'Clients List'!A:F,6,FALSE),"")</f>
        <v/>
      </c>
    </row>
    <row r="5639" spans="4:9" x14ac:dyDescent="0.45">
      <c r="D5639" t="str">
        <f>IFERROR(VLOOKUP(C5639,'Clients List'!$A:$F,2,FALSE),"")</f>
        <v/>
      </c>
      <c r="F5639" s="1" t="str">
        <f>IF(OR(C5639="",NOT(ISNUMBER(SEARCH("Package",D5639)))),"",VLOOKUP(C5639,'Clients List'!$A:$F,4,FALSE)-SUMIFS($E$2:$E5639,$C$2:$C5639,C5639,$D$2:$D5639,"*Package*"))</f>
        <v/>
      </c>
      <c r="G5639" t="str">
        <f t="shared" si="121"/>
        <v/>
      </c>
      <c r="H5639" s="33">
        <f>IF(ISNUMBER(SEARCH("Group",D5639)),IF(G5639="",E5639,IFERROR(E5639/COUNTIF($G2:$G6000,G5639),E5639)),E5639)</f>
        <v>0</v>
      </c>
      <c r="I5639" s="1" t="str">
        <f>IFERROR(VLOOKUP(C5639,'Clients List'!A:F,6,FALSE),"")</f>
        <v/>
      </c>
    </row>
    <row r="5640" spans="4:9" x14ac:dyDescent="0.45">
      <c r="D5640" t="str">
        <f>IFERROR(VLOOKUP(C5640,'Clients List'!$A:$F,2,FALSE),"")</f>
        <v/>
      </c>
      <c r="F5640" s="1" t="str">
        <f>IF(OR(C5640="",NOT(ISNUMBER(SEARCH("Package",D5640)))),"",VLOOKUP(C5640,'Clients List'!$A:$F,4,FALSE)-SUMIFS($E$2:$E5640,$C$2:$C5640,C5640,$D$2:$D5640,"*Package*"))</f>
        <v/>
      </c>
      <c r="G5640" t="str">
        <f t="shared" si="121"/>
        <v/>
      </c>
      <c r="H5640" s="33">
        <f>IF(ISNUMBER(SEARCH("Group",D5640)),IF(G5640="",E5640,IFERROR(E5640/COUNTIF($G2:$G6000,G5640),E5640)),E5640)</f>
        <v>0</v>
      </c>
      <c r="I5640" s="1" t="str">
        <f>IFERROR(VLOOKUP(C5640,'Clients List'!A:F,6,FALSE),"")</f>
        <v/>
      </c>
    </row>
    <row r="5641" spans="4:9" x14ac:dyDescent="0.45">
      <c r="D5641" t="str">
        <f>IFERROR(VLOOKUP(C5641,'Clients List'!$A:$F,2,FALSE),"")</f>
        <v/>
      </c>
      <c r="F5641" s="1" t="str">
        <f>IF(OR(C5641="",NOT(ISNUMBER(SEARCH("Package",D5641)))),"",VLOOKUP(C5641,'Clients List'!$A:$F,4,FALSE)-SUMIFS($E$2:$E5641,$C$2:$C5641,C5641,$D$2:$D5641,"*Package*"))</f>
        <v/>
      </c>
      <c r="G5641" t="str">
        <f t="shared" si="121"/>
        <v/>
      </c>
      <c r="H5641" s="33">
        <f>IF(ISNUMBER(SEARCH("Group",D5641)),IF(G5641="",E5641,IFERROR(E5641/COUNTIF($G2:$G6000,G5641),E5641)),E5641)</f>
        <v>0</v>
      </c>
      <c r="I5641" s="1" t="str">
        <f>IFERROR(VLOOKUP(C5641,'Clients List'!A:F,6,FALSE),"")</f>
        <v/>
      </c>
    </row>
    <row r="5642" spans="4:9" x14ac:dyDescent="0.45">
      <c r="D5642" t="str">
        <f>IFERROR(VLOOKUP(C5642,'Clients List'!$A:$F,2,FALSE),"")</f>
        <v/>
      </c>
      <c r="F5642" s="1" t="str">
        <f>IF(OR(C5642="",NOT(ISNUMBER(SEARCH("Package",D5642)))),"",VLOOKUP(C5642,'Clients List'!$A:$F,4,FALSE)-SUMIFS($E$2:$E5642,$C$2:$C5642,C5642,$D$2:$D5642,"*Package*"))</f>
        <v/>
      </c>
      <c r="G5642" t="str">
        <f t="shared" si="121"/>
        <v/>
      </c>
      <c r="H5642" s="33">
        <f>IF(ISNUMBER(SEARCH("Group",D5642)),IF(G5642="",E5642,IFERROR(E5642/COUNTIF($G2:$G6000,G5642),E5642)),E5642)</f>
        <v>0</v>
      </c>
      <c r="I5642" s="1" t="str">
        <f>IFERROR(VLOOKUP(C5642,'Clients List'!A:F,6,FALSE),"")</f>
        <v/>
      </c>
    </row>
    <row r="5643" spans="4:9" x14ac:dyDescent="0.45">
      <c r="D5643" t="str">
        <f>IFERROR(VLOOKUP(C5643,'Clients List'!$A:$F,2,FALSE),"")</f>
        <v/>
      </c>
      <c r="F5643" s="1" t="str">
        <f>IF(OR(C5643="",NOT(ISNUMBER(SEARCH("Package",D5643)))),"",VLOOKUP(C5643,'Clients List'!$A:$F,4,FALSE)-SUMIFS($E$2:$E5643,$C$2:$C5643,C5643,$D$2:$D5643,"*Package*"))</f>
        <v/>
      </c>
      <c r="G5643" t="str">
        <f t="shared" si="121"/>
        <v/>
      </c>
      <c r="H5643" s="33">
        <f>IF(ISNUMBER(SEARCH("Group",D5643)),IF(G5643="",E5643,IFERROR(E5643/COUNTIF($G2:$G6000,G5643),E5643)),E5643)</f>
        <v>0</v>
      </c>
      <c r="I5643" s="1" t="str">
        <f>IFERROR(VLOOKUP(C5643,'Clients List'!A:F,6,FALSE),"")</f>
        <v/>
      </c>
    </row>
    <row r="5644" spans="4:9" x14ac:dyDescent="0.45">
      <c r="D5644" t="str">
        <f>IFERROR(VLOOKUP(C5644,'Clients List'!$A:$F,2,FALSE),"")</f>
        <v/>
      </c>
      <c r="F5644" s="1" t="str">
        <f>IF(OR(C5644="",NOT(ISNUMBER(SEARCH("Package",D5644)))),"",VLOOKUP(C5644,'Clients List'!$A:$F,4,FALSE)-SUMIFS($E$2:$E5644,$C$2:$C5644,C5644,$D$2:$D5644,"*Package*"))</f>
        <v/>
      </c>
      <c r="G5644" t="str">
        <f t="shared" si="121"/>
        <v/>
      </c>
      <c r="H5644" s="33">
        <f>IF(ISNUMBER(SEARCH("Group",D5644)),IF(G5644="",E5644,IFERROR(E5644/COUNTIF($G2:$G6000,G5644),E5644)),E5644)</f>
        <v>0</v>
      </c>
      <c r="I5644" s="1" t="str">
        <f>IFERROR(VLOOKUP(C5644,'Clients List'!A:F,6,FALSE),"")</f>
        <v/>
      </c>
    </row>
    <row r="5645" spans="4:9" x14ac:dyDescent="0.45">
      <c r="D5645" t="str">
        <f>IFERROR(VLOOKUP(C5645,'Clients List'!$A:$F,2,FALSE),"")</f>
        <v/>
      </c>
      <c r="F5645" s="1" t="str">
        <f>IF(OR(C5645="",NOT(ISNUMBER(SEARCH("Package",D5645)))),"",VLOOKUP(C5645,'Clients List'!$A:$F,4,FALSE)-SUMIFS($E$2:$E5645,$C$2:$C5645,C5645,$D$2:$D5645,"*Package*"))</f>
        <v/>
      </c>
      <c r="G5645" t="str">
        <f t="shared" si="121"/>
        <v/>
      </c>
      <c r="H5645" s="33">
        <f>IF(ISNUMBER(SEARCH("Group",D5645)),IF(G5645="",E5645,IFERROR(E5645/COUNTIF($G2:$G6000,G5645),E5645)),E5645)</f>
        <v>0</v>
      </c>
      <c r="I5645" s="1" t="str">
        <f>IFERROR(VLOOKUP(C5645,'Clients List'!A:F,6,FALSE),"")</f>
        <v/>
      </c>
    </row>
    <row r="5646" spans="4:9" x14ac:dyDescent="0.45">
      <c r="D5646" t="str">
        <f>IFERROR(VLOOKUP(C5646,'Clients List'!$A:$F,2,FALSE),"")</f>
        <v/>
      </c>
      <c r="F5646" s="1" t="str">
        <f>IF(OR(C5646="",NOT(ISNUMBER(SEARCH("Package",D5646)))),"",VLOOKUP(C5646,'Clients List'!$A:$F,4,FALSE)-SUMIFS($E$2:$E5646,$C$2:$C5646,C5646,$D$2:$D5646,"*Package*"))</f>
        <v/>
      </c>
      <c r="G5646" t="str">
        <f t="shared" si="121"/>
        <v/>
      </c>
      <c r="H5646" s="33">
        <f>IF(ISNUMBER(SEARCH("Group",D5646)),IF(G5646="",E5646,IFERROR(E5646/COUNTIF($G2:$G6000,G5646),E5646)),E5646)</f>
        <v>0</v>
      </c>
      <c r="I5646" s="1" t="str">
        <f>IFERROR(VLOOKUP(C5646,'Clients List'!A:F,6,FALSE),"")</f>
        <v/>
      </c>
    </row>
    <row r="5647" spans="4:9" x14ac:dyDescent="0.45">
      <c r="D5647" t="str">
        <f>IFERROR(VLOOKUP(C5647,'Clients List'!$A:$F,2,FALSE),"")</f>
        <v/>
      </c>
      <c r="F5647" s="1" t="str">
        <f>IF(OR(C5647="",NOT(ISNUMBER(SEARCH("Package",D5647)))),"",VLOOKUP(C5647,'Clients List'!$A:$F,4,FALSE)-SUMIFS($E$2:$E5647,$C$2:$C5647,C5647,$D$2:$D5647,"*Package*"))</f>
        <v/>
      </c>
      <c r="G5647" t="str">
        <f t="shared" si="121"/>
        <v/>
      </c>
      <c r="H5647" s="33">
        <f>IF(ISNUMBER(SEARCH("Group",D5647)),IF(G5647="",E5647,IFERROR(E5647/COUNTIF($G2:$G6000,G5647),E5647)),E5647)</f>
        <v>0</v>
      </c>
      <c r="I5647" s="1" t="str">
        <f>IFERROR(VLOOKUP(C5647,'Clients List'!A:F,6,FALSE),"")</f>
        <v/>
      </c>
    </row>
    <row r="5648" spans="4:9" x14ac:dyDescent="0.45">
      <c r="D5648" t="str">
        <f>IFERROR(VLOOKUP(C5648,'Clients List'!$A:$F,2,FALSE),"")</f>
        <v/>
      </c>
      <c r="F5648" s="1" t="str">
        <f>IF(OR(C5648="",NOT(ISNUMBER(SEARCH("Package",D5648)))),"",VLOOKUP(C5648,'Clients List'!$A:$F,4,FALSE)-SUMIFS($E$2:$E5648,$C$2:$C5648,C5648,$D$2:$D5648,"*Package*"))</f>
        <v/>
      </c>
      <c r="G5648" t="str">
        <f t="shared" si="121"/>
        <v/>
      </c>
      <c r="H5648" s="33">
        <f>IF(ISNUMBER(SEARCH("Group",D5648)),IF(G5648="",E5648,IFERROR(E5648/COUNTIF($G2:$G6000,G5648),E5648)),E5648)</f>
        <v>0</v>
      </c>
      <c r="I5648" s="1" t="str">
        <f>IFERROR(VLOOKUP(C5648,'Clients List'!A:F,6,FALSE),"")</f>
        <v/>
      </c>
    </row>
    <row r="5649" spans="4:9" x14ac:dyDescent="0.45">
      <c r="D5649" t="str">
        <f>IFERROR(VLOOKUP(C5649,'Clients List'!$A:$F,2,FALSE),"")</f>
        <v/>
      </c>
      <c r="F5649" s="1" t="str">
        <f>IF(OR(C5649="",NOT(ISNUMBER(SEARCH("Package",D5649)))),"",VLOOKUP(C5649,'Clients List'!$A:$F,4,FALSE)-SUMIFS($E$2:$E5649,$C$2:$C5649,C5649,$D$2:$D5649,"*Package*"))</f>
        <v/>
      </c>
      <c r="G5649" t="str">
        <f t="shared" si="121"/>
        <v/>
      </c>
      <c r="H5649" s="33">
        <f>IF(ISNUMBER(SEARCH("Group",D5649)),IF(G5649="",E5649,IFERROR(E5649/COUNTIF($G2:$G6000,G5649),E5649)),E5649)</f>
        <v>0</v>
      </c>
      <c r="I5649" s="1" t="str">
        <f>IFERROR(VLOOKUP(C5649,'Clients List'!A:F,6,FALSE),"")</f>
        <v/>
      </c>
    </row>
    <row r="5650" spans="4:9" x14ac:dyDescent="0.45">
      <c r="D5650" t="str">
        <f>IFERROR(VLOOKUP(C5650,'Clients List'!$A:$F,2,FALSE),"")</f>
        <v/>
      </c>
      <c r="F5650" s="1" t="str">
        <f>IF(OR(C5650="",NOT(ISNUMBER(SEARCH("Package",D5650)))),"",VLOOKUP(C5650,'Clients List'!$A:$F,4,FALSE)-SUMIFS($E$2:$E5650,$C$2:$C5650,C5650,$D$2:$D5650,"*Package*"))</f>
        <v/>
      </c>
      <c r="G5650" t="str">
        <f t="shared" si="121"/>
        <v/>
      </c>
      <c r="H5650" s="33">
        <f>IF(ISNUMBER(SEARCH("Group",D5650)),IF(G5650="",E5650,IFERROR(E5650/COUNTIF($G2:$G6000,G5650),E5650)),E5650)</f>
        <v>0</v>
      </c>
      <c r="I5650" s="1" t="str">
        <f>IFERROR(VLOOKUP(C5650,'Clients List'!A:F,6,FALSE),"")</f>
        <v/>
      </c>
    </row>
    <row r="5651" spans="4:9" x14ac:dyDescent="0.45">
      <c r="D5651" t="str">
        <f>IFERROR(VLOOKUP(C5651,'Clients List'!$A:$F,2,FALSE),"")</f>
        <v/>
      </c>
      <c r="F5651" s="1" t="str">
        <f>IF(OR(C5651="",NOT(ISNUMBER(SEARCH("Package",D5651)))),"",VLOOKUP(C5651,'Clients List'!$A:$F,4,FALSE)-SUMIFS($E$2:$E5651,$C$2:$C5651,C5651,$D$2:$D5651,"*Package*"))</f>
        <v/>
      </c>
      <c r="G5651" t="str">
        <f t="shared" si="121"/>
        <v/>
      </c>
      <c r="H5651" s="33">
        <f>IF(ISNUMBER(SEARCH("Group",D5651)),IF(G5651="",E5651,IFERROR(E5651/COUNTIF($G2:$G6000,G5651),E5651)),E5651)</f>
        <v>0</v>
      </c>
      <c r="I5651" s="1" t="str">
        <f>IFERROR(VLOOKUP(C5651,'Clients List'!A:F,6,FALSE),"")</f>
        <v/>
      </c>
    </row>
    <row r="5652" spans="4:9" x14ac:dyDescent="0.45">
      <c r="D5652" t="str">
        <f>IFERROR(VLOOKUP(C5652,'Clients List'!$A:$F,2,FALSE),"")</f>
        <v/>
      </c>
      <c r="F5652" s="1" t="str">
        <f>IF(OR(C5652="",NOT(ISNUMBER(SEARCH("Package",D5652)))),"",VLOOKUP(C5652,'Clients List'!$A:$F,4,FALSE)-SUMIFS($E$2:$E5652,$C$2:$C5652,C5652,$D$2:$D5652,"*Package*"))</f>
        <v/>
      </c>
      <c r="G5652" t="str">
        <f t="shared" si="121"/>
        <v/>
      </c>
      <c r="H5652" s="33">
        <f>IF(ISNUMBER(SEARCH("Group",D5652)),IF(G5652="",E5652,IFERROR(E5652/COUNTIF($G2:$G6000,G5652),E5652)),E5652)</f>
        <v>0</v>
      </c>
      <c r="I5652" s="1" t="str">
        <f>IFERROR(VLOOKUP(C5652,'Clients List'!A:F,6,FALSE),"")</f>
        <v/>
      </c>
    </row>
    <row r="5653" spans="4:9" x14ac:dyDescent="0.45">
      <c r="D5653" t="str">
        <f>IFERROR(VLOOKUP(C5653,'Clients List'!$A:$F,2,FALSE),"")</f>
        <v/>
      </c>
      <c r="F5653" s="1" t="str">
        <f>IF(OR(C5653="",NOT(ISNUMBER(SEARCH("Package",D5653)))),"",VLOOKUP(C5653,'Clients List'!$A:$F,4,FALSE)-SUMIFS($E$2:$E5653,$C$2:$C5653,C5653,$D$2:$D5653,"*Package*"))</f>
        <v/>
      </c>
      <c r="G5653" t="str">
        <f t="shared" si="121"/>
        <v/>
      </c>
      <c r="H5653" s="33">
        <f>IF(ISNUMBER(SEARCH("Group",D5653)),IF(G5653="",E5653,IFERROR(E5653/COUNTIF($G2:$G6000,G5653),E5653)),E5653)</f>
        <v>0</v>
      </c>
      <c r="I5653" s="1" t="str">
        <f>IFERROR(VLOOKUP(C5653,'Clients List'!A:F,6,FALSE),"")</f>
        <v/>
      </c>
    </row>
    <row r="5654" spans="4:9" x14ac:dyDescent="0.45">
      <c r="D5654" t="str">
        <f>IFERROR(VLOOKUP(C5654,'Clients List'!$A:$F,2,FALSE),"")</f>
        <v/>
      </c>
      <c r="F5654" s="1" t="str">
        <f>IF(OR(C5654="",NOT(ISNUMBER(SEARCH("Package",D5654)))),"",VLOOKUP(C5654,'Clients List'!$A:$F,4,FALSE)-SUMIFS($E$2:$E5654,$C$2:$C5654,C5654,$D$2:$D5654,"*Package*"))</f>
        <v/>
      </c>
      <c r="G5654" t="str">
        <f t="shared" si="121"/>
        <v/>
      </c>
      <c r="H5654" s="33">
        <f>IF(ISNUMBER(SEARCH("Group",D5654)),IF(G5654="",E5654,IFERROR(E5654/COUNTIF($G2:$G6000,G5654),E5654)),E5654)</f>
        <v>0</v>
      </c>
      <c r="I5654" s="1" t="str">
        <f>IFERROR(VLOOKUP(C5654,'Clients List'!A:F,6,FALSE),"")</f>
        <v/>
      </c>
    </row>
    <row r="5655" spans="4:9" x14ac:dyDescent="0.45">
      <c r="D5655" t="str">
        <f>IFERROR(VLOOKUP(C5655,'Clients List'!$A:$F,2,FALSE),"")</f>
        <v/>
      </c>
      <c r="F5655" s="1" t="str">
        <f>IF(OR(C5655="",NOT(ISNUMBER(SEARCH("Package",D5655)))),"",VLOOKUP(C5655,'Clients List'!$A:$F,4,FALSE)-SUMIFS($E$2:$E5655,$C$2:$C5655,C5655,$D$2:$D5655,"*Package*"))</f>
        <v/>
      </c>
      <c r="G5655" t="str">
        <f t="shared" si="121"/>
        <v/>
      </c>
      <c r="H5655" s="33">
        <f>IF(ISNUMBER(SEARCH("Group",D5655)),IF(G5655="",E5655,IFERROR(E5655/COUNTIF($G2:$G6000,G5655),E5655)),E5655)</f>
        <v>0</v>
      </c>
      <c r="I5655" s="1" t="str">
        <f>IFERROR(VLOOKUP(C5655,'Clients List'!A:F,6,FALSE),"")</f>
        <v/>
      </c>
    </row>
    <row r="5656" spans="4:9" x14ac:dyDescent="0.45">
      <c r="D5656" t="str">
        <f>IFERROR(VLOOKUP(C5656,'Clients List'!$A:$F,2,FALSE),"")</f>
        <v/>
      </c>
      <c r="F5656" s="1" t="str">
        <f>IF(OR(C5656="",NOT(ISNUMBER(SEARCH("Package",D5656)))),"",VLOOKUP(C5656,'Clients List'!$A:$F,4,FALSE)-SUMIFS($E$2:$E5656,$C$2:$C5656,C5656,$D$2:$D5656,"*Package*"))</f>
        <v/>
      </c>
      <c r="G5656" t="str">
        <f t="shared" si="121"/>
        <v/>
      </c>
      <c r="H5656" s="33">
        <f>IF(ISNUMBER(SEARCH("Group",D5656)),IF(G5656="",E5656,IFERROR(E5656/COUNTIF($G2:$G6000,G5656),E5656)),E5656)</f>
        <v>0</v>
      </c>
      <c r="I5656" s="1" t="str">
        <f>IFERROR(VLOOKUP(C5656,'Clients List'!A:F,6,FALSE),"")</f>
        <v/>
      </c>
    </row>
    <row r="5657" spans="4:9" x14ac:dyDescent="0.45">
      <c r="D5657" t="str">
        <f>IFERROR(VLOOKUP(C5657,'Clients List'!$A:$F,2,FALSE),"")</f>
        <v/>
      </c>
      <c r="F5657" s="1" t="str">
        <f>IF(OR(C5657="",NOT(ISNUMBER(SEARCH("Package",D5657)))),"",VLOOKUP(C5657,'Clients List'!$A:$F,4,FALSE)-SUMIFS($E$2:$E5657,$C$2:$C5657,C5657,$D$2:$D5657,"*Package*"))</f>
        <v/>
      </c>
      <c r="G5657" t="str">
        <f t="shared" si="121"/>
        <v/>
      </c>
      <c r="H5657" s="33">
        <f>IF(ISNUMBER(SEARCH("Group",D5657)),IF(G5657="",E5657,IFERROR(E5657/COUNTIF($G2:$G6000,G5657),E5657)),E5657)</f>
        <v>0</v>
      </c>
      <c r="I5657" s="1" t="str">
        <f>IFERROR(VLOOKUP(C5657,'Clients List'!A:F,6,FALSE),"")</f>
        <v/>
      </c>
    </row>
    <row r="5658" spans="4:9" x14ac:dyDescent="0.45">
      <c r="D5658" t="str">
        <f>IFERROR(VLOOKUP(C5658,'Clients List'!$A:$F,2,FALSE),"")</f>
        <v/>
      </c>
      <c r="F5658" s="1" t="str">
        <f>IF(OR(C5658="",NOT(ISNUMBER(SEARCH("Package",D5658)))),"",VLOOKUP(C5658,'Clients List'!$A:$F,4,FALSE)-SUMIFS($E$2:$E5658,$C$2:$C5658,C5658,$D$2:$D5658,"*Package*"))</f>
        <v/>
      </c>
      <c r="G5658" t="str">
        <f t="shared" si="121"/>
        <v/>
      </c>
      <c r="H5658" s="33">
        <f>IF(ISNUMBER(SEARCH("Group",D5658)),IF(G5658="",E5658,IFERROR(E5658/COUNTIF($G2:$G6000,G5658),E5658)),E5658)</f>
        <v>0</v>
      </c>
      <c r="I5658" s="1" t="str">
        <f>IFERROR(VLOOKUP(C5658,'Clients List'!A:F,6,FALSE),"")</f>
        <v/>
      </c>
    </row>
    <row r="5659" spans="4:9" x14ac:dyDescent="0.45">
      <c r="D5659" t="str">
        <f>IFERROR(VLOOKUP(C5659,'Clients List'!$A:$F,2,FALSE),"")</f>
        <v/>
      </c>
      <c r="F5659" s="1" t="str">
        <f>IF(OR(C5659="",NOT(ISNUMBER(SEARCH("Package",D5659)))),"",VLOOKUP(C5659,'Clients List'!$A:$F,4,FALSE)-SUMIFS($E$2:$E5659,$C$2:$C5659,C5659,$D$2:$D5659,"*Package*"))</f>
        <v/>
      </c>
      <c r="G5659" t="str">
        <f t="shared" si="121"/>
        <v/>
      </c>
      <c r="H5659" s="33">
        <f>IF(ISNUMBER(SEARCH("Group",D5659)),IF(G5659="",E5659,IFERROR(E5659/COUNTIF($G2:$G6000,G5659),E5659)),E5659)</f>
        <v>0</v>
      </c>
      <c r="I5659" s="1" t="str">
        <f>IFERROR(VLOOKUP(C5659,'Clients List'!A:F,6,FALSE),"")</f>
        <v/>
      </c>
    </row>
    <row r="5660" spans="4:9" x14ac:dyDescent="0.45">
      <c r="D5660" t="str">
        <f>IFERROR(VLOOKUP(C5660,'Clients List'!$A:$F,2,FALSE),"")</f>
        <v/>
      </c>
      <c r="F5660" s="1" t="str">
        <f>IF(OR(C5660="",NOT(ISNUMBER(SEARCH("Package",D5660)))),"",VLOOKUP(C5660,'Clients List'!$A:$F,4,FALSE)-SUMIFS($E$2:$E5660,$C$2:$C5660,C5660,$D$2:$D5660,"*Package*"))</f>
        <v/>
      </c>
      <c r="G5660" t="str">
        <f t="shared" si="121"/>
        <v/>
      </c>
      <c r="H5660" s="33">
        <f>IF(ISNUMBER(SEARCH("Group",D5660)),IF(G5660="",E5660,IFERROR(E5660/COUNTIF($G2:$G6000,G5660),E5660)),E5660)</f>
        <v>0</v>
      </c>
      <c r="I5660" s="1" t="str">
        <f>IFERROR(VLOOKUP(C5660,'Clients List'!A:F,6,FALSE),"")</f>
        <v/>
      </c>
    </row>
    <row r="5661" spans="4:9" x14ac:dyDescent="0.45">
      <c r="D5661" t="str">
        <f>IFERROR(VLOOKUP(C5661,'Clients List'!$A:$F,2,FALSE),"")</f>
        <v/>
      </c>
      <c r="F5661" s="1" t="str">
        <f>IF(OR(C5661="",NOT(ISNUMBER(SEARCH("Package",D5661)))),"",VLOOKUP(C5661,'Clients List'!$A:$F,4,FALSE)-SUMIFS($E$2:$E5661,$C$2:$C5661,C5661,$D$2:$D5661,"*Package*"))</f>
        <v/>
      </c>
      <c r="G5661" t="str">
        <f t="shared" si="121"/>
        <v/>
      </c>
      <c r="H5661" s="33">
        <f>IF(ISNUMBER(SEARCH("Group",D5661)),IF(G5661="",E5661,IFERROR(E5661/COUNTIF($G2:$G6000,G5661),E5661)),E5661)</f>
        <v>0</v>
      </c>
      <c r="I5661" s="1" t="str">
        <f>IFERROR(VLOOKUP(C5661,'Clients List'!A:F,6,FALSE),"")</f>
        <v/>
      </c>
    </row>
    <row r="5662" spans="4:9" x14ac:dyDescent="0.45">
      <c r="D5662" t="str">
        <f>IFERROR(VLOOKUP(C5662,'Clients List'!$A:$F,2,FALSE),"")</f>
        <v/>
      </c>
      <c r="F5662" s="1" t="str">
        <f>IF(OR(C5662="",NOT(ISNUMBER(SEARCH("Package",D5662)))),"",VLOOKUP(C5662,'Clients List'!$A:$F,4,FALSE)-SUMIFS($E$2:$E5662,$C$2:$C5662,C5662,$D$2:$D5662,"*Package*"))</f>
        <v/>
      </c>
      <c r="G5662" t="str">
        <f t="shared" si="121"/>
        <v/>
      </c>
      <c r="H5662" s="33">
        <f>IF(ISNUMBER(SEARCH("Group",D5662)),IF(G5662="",E5662,IFERROR(E5662/COUNTIF($G2:$G6000,G5662),E5662)),E5662)</f>
        <v>0</v>
      </c>
      <c r="I5662" s="1" t="str">
        <f>IFERROR(VLOOKUP(C5662,'Clients List'!A:F,6,FALSE),"")</f>
        <v/>
      </c>
    </row>
    <row r="5663" spans="4:9" x14ac:dyDescent="0.45">
      <c r="D5663" t="str">
        <f>IFERROR(VLOOKUP(C5663,'Clients List'!$A:$F,2,FALSE),"")</f>
        <v/>
      </c>
      <c r="F5663" s="1" t="str">
        <f>IF(OR(C5663="",NOT(ISNUMBER(SEARCH("Package",D5663)))),"",VLOOKUP(C5663,'Clients List'!$A:$F,4,FALSE)-SUMIFS($E$2:$E5663,$C$2:$C5663,C5663,$D$2:$D5663,"*Package*"))</f>
        <v/>
      </c>
      <c r="G5663" t="str">
        <f t="shared" si="121"/>
        <v/>
      </c>
      <c r="H5663" s="33">
        <f>IF(ISNUMBER(SEARCH("Group",D5663)),IF(G5663="",E5663,IFERROR(E5663/COUNTIF($G2:$G6000,G5663),E5663)),E5663)</f>
        <v>0</v>
      </c>
      <c r="I5663" s="1" t="str">
        <f>IFERROR(VLOOKUP(C5663,'Clients List'!A:F,6,FALSE),"")</f>
        <v/>
      </c>
    </row>
    <row r="5664" spans="4:9" x14ac:dyDescent="0.45">
      <c r="D5664" t="str">
        <f>IFERROR(VLOOKUP(C5664,'Clients List'!$A:$F,2,FALSE),"")</f>
        <v/>
      </c>
      <c r="F5664" s="1" t="str">
        <f>IF(OR(C5664="",NOT(ISNUMBER(SEARCH("Package",D5664)))),"",VLOOKUP(C5664,'Clients List'!$A:$F,4,FALSE)-SUMIFS($E$2:$E5664,$C$2:$C5664,C5664,$D$2:$D5664,"*Package*"))</f>
        <v/>
      </c>
      <c r="G5664" t="str">
        <f t="shared" si="121"/>
        <v/>
      </c>
      <c r="H5664" s="33">
        <f>IF(ISNUMBER(SEARCH("Group",D5664)),IF(G5664="",E5664,IFERROR(E5664/COUNTIF($G2:$G6000,G5664),E5664)),E5664)</f>
        <v>0</v>
      </c>
      <c r="I5664" s="1" t="str">
        <f>IFERROR(VLOOKUP(C5664,'Clients List'!A:F,6,FALSE),"")</f>
        <v/>
      </c>
    </row>
    <row r="5665" spans="4:9" x14ac:dyDescent="0.45">
      <c r="D5665" t="str">
        <f>IFERROR(VLOOKUP(C5665,'Clients List'!$A:$F,2,FALSE),"")</f>
        <v/>
      </c>
      <c r="F5665" s="1" t="str">
        <f>IF(OR(C5665="",NOT(ISNUMBER(SEARCH("Package",D5665)))),"",VLOOKUP(C5665,'Clients List'!$A:$F,4,FALSE)-SUMIFS($E$2:$E5665,$C$2:$C5665,C5665,$D$2:$D5665,"*Package*"))</f>
        <v/>
      </c>
      <c r="G5665" t="str">
        <f t="shared" si="121"/>
        <v/>
      </c>
      <c r="H5665" s="33">
        <f>IF(ISNUMBER(SEARCH("Group",D5665)),IF(G5665="",E5665,IFERROR(E5665/COUNTIF($G2:$G6000,G5665),E5665)),E5665)</f>
        <v>0</v>
      </c>
      <c r="I5665" s="1" t="str">
        <f>IFERROR(VLOOKUP(C5665,'Clients List'!A:F,6,FALSE),"")</f>
        <v/>
      </c>
    </row>
    <row r="5666" spans="4:9" x14ac:dyDescent="0.45">
      <c r="D5666" t="str">
        <f>IFERROR(VLOOKUP(C5666,'Clients List'!$A:$F,2,FALSE),"")</f>
        <v/>
      </c>
      <c r="F5666" s="1" t="str">
        <f>IF(OR(C5666="",NOT(ISNUMBER(SEARCH("Package",D5666)))),"",VLOOKUP(C5666,'Clients List'!$A:$F,4,FALSE)-SUMIFS($E$2:$E5666,$C$2:$C5666,C5666,$D$2:$D5666,"*Package*"))</f>
        <v/>
      </c>
      <c r="G5666" t="str">
        <f t="shared" si="121"/>
        <v/>
      </c>
      <c r="H5666" s="33">
        <f>IF(ISNUMBER(SEARCH("Group",D5666)),IF(G5666="",E5666,IFERROR(E5666/COUNTIF($G2:$G6000,G5666),E5666)),E5666)</f>
        <v>0</v>
      </c>
      <c r="I5666" s="1" t="str">
        <f>IFERROR(VLOOKUP(C5666,'Clients List'!A:F,6,FALSE),"")</f>
        <v/>
      </c>
    </row>
    <row r="5667" spans="4:9" x14ac:dyDescent="0.45">
      <c r="D5667" t="str">
        <f>IFERROR(VLOOKUP(C5667,'Clients List'!$A:$F,2,FALSE),"")</f>
        <v/>
      </c>
      <c r="F5667" s="1" t="str">
        <f>IF(OR(C5667="",NOT(ISNUMBER(SEARCH("Package",D5667)))),"",VLOOKUP(C5667,'Clients List'!$A:$F,4,FALSE)-SUMIFS($E$2:$E5667,$C$2:$C5667,C5667,$D$2:$D5667,"*Package*"))</f>
        <v/>
      </c>
      <c r="G5667" t="str">
        <f t="shared" si="121"/>
        <v/>
      </c>
      <c r="H5667" s="33">
        <f>IF(ISNUMBER(SEARCH("Group",D5667)),IF(G5667="",E5667,IFERROR(E5667/COUNTIF($G2:$G6000,G5667),E5667)),E5667)</f>
        <v>0</v>
      </c>
      <c r="I5667" s="1" t="str">
        <f>IFERROR(VLOOKUP(C5667,'Clients List'!A:F,6,FALSE),"")</f>
        <v/>
      </c>
    </row>
    <row r="5668" spans="4:9" x14ac:dyDescent="0.45">
      <c r="D5668" t="str">
        <f>IFERROR(VLOOKUP(C5668,'Clients List'!$A:$F,2,FALSE),"")</f>
        <v/>
      </c>
      <c r="F5668" s="1" t="str">
        <f>IF(OR(C5668="",NOT(ISNUMBER(SEARCH("Package",D5668)))),"",VLOOKUP(C5668,'Clients List'!$A:$F,4,FALSE)-SUMIFS($E$2:$E5668,$C$2:$C5668,C5668,$D$2:$D5668,"*Package*"))</f>
        <v/>
      </c>
      <c r="G5668" t="str">
        <f t="shared" si="121"/>
        <v/>
      </c>
      <c r="H5668" s="33">
        <f>IF(ISNUMBER(SEARCH("Group",D5668)),IF(G5668="",E5668,IFERROR(E5668/COUNTIF($G2:$G6000,G5668),E5668)),E5668)</f>
        <v>0</v>
      </c>
      <c r="I5668" s="1" t="str">
        <f>IFERROR(VLOOKUP(C5668,'Clients List'!A:F,6,FALSE),"")</f>
        <v/>
      </c>
    </row>
    <row r="5669" spans="4:9" x14ac:dyDescent="0.45">
      <c r="D5669" t="str">
        <f>IFERROR(VLOOKUP(C5669,'Clients List'!$A:$F,2,FALSE),"")</f>
        <v/>
      </c>
      <c r="F5669" s="1" t="str">
        <f>IF(OR(C5669="",NOT(ISNUMBER(SEARCH("Package",D5669)))),"",VLOOKUP(C5669,'Clients List'!$A:$F,4,FALSE)-SUMIFS($E$2:$E5669,$C$2:$C5669,C5669,$D$2:$D5669,"*Package*"))</f>
        <v/>
      </c>
      <c r="G5669" t="str">
        <f t="shared" si="121"/>
        <v/>
      </c>
      <c r="H5669" s="33">
        <f>IF(ISNUMBER(SEARCH("Group",D5669)),IF(G5669="",E5669,IFERROR(E5669/COUNTIF($G2:$G6000,G5669),E5669)),E5669)</f>
        <v>0</v>
      </c>
      <c r="I5669" s="1" t="str">
        <f>IFERROR(VLOOKUP(C5669,'Clients List'!A:F,6,FALSE),"")</f>
        <v/>
      </c>
    </row>
    <row r="5670" spans="4:9" x14ac:dyDescent="0.45">
      <c r="D5670" t="str">
        <f>IFERROR(VLOOKUP(C5670,'Clients List'!$A:$F,2,FALSE),"")</f>
        <v/>
      </c>
      <c r="F5670" s="1" t="str">
        <f>IF(OR(C5670="",NOT(ISNUMBER(SEARCH("Package",D5670)))),"",VLOOKUP(C5670,'Clients List'!$A:$F,4,FALSE)-SUMIFS($E$2:$E5670,$C$2:$C5670,C5670,$D$2:$D5670,"*Package*"))</f>
        <v/>
      </c>
      <c r="G5670" t="str">
        <f t="shared" si="121"/>
        <v/>
      </c>
      <c r="H5670" s="33">
        <f>IF(ISNUMBER(SEARCH("Group",D5670)),IF(G5670="",E5670,IFERROR(E5670/COUNTIF($G2:$G6000,G5670),E5670)),E5670)</f>
        <v>0</v>
      </c>
      <c r="I5670" s="1" t="str">
        <f>IFERROR(VLOOKUP(C5670,'Clients List'!A:F,6,FALSE),"")</f>
        <v/>
      </c>
    </row>
    <row r="5671" spans="4:9" x14ac:dyDescent="0.45">
      <c r="D5671" t="str">
        <f>IFERROR(VLOOKUP(C5671,'Clients List'!$A:$F,2,FALSE),"")</f>
        <v/>
      </c>
      <c r="F5671" s="1" t="str">
        <f>IF(OR(C5671="",NOT(ISNUMBER(SEARCH("Package",D5671)))),"",VLOOKUP(C5671,'Clients List'!$A:$F,4,FALSE)-SUMIFS($E$2:$E5671,$C$2:$C5671,C5671,$D$2:$D5671,"*Package*"))</f>
        <v/>
      </c>
      <c r="G5671" t="str">
        <f t="shared" si="121"/>
        <v/>
      </c>
      <c r="H5671" s="33">
        <f>IF(ISNUMBER(SEARCH("Group",D5671)),IF(G5671="",E5671,IFERROR(E5671/COUNTIF($G2:$G6000,G5671),E5671)),E5671)</f>
        <v>0</v>
      </c>
      <c r="I5671" s="1" t="str">
        <f>IFERROR(VLOOKUP(C5671,'Clients List'!A:F,6,FALSE),"")</f>
        <v/>
      </c>
    </row>
    <row r="5672" spans="4:9" x14ac:dyDescent="0.45">
      <c r="D5672" t="str">
        <f>IFERROR(VLOOKUP(C5672,'Clients List'!$A:$F,2,FALSE),"")</f>
        <v/>
      </c>
      <c r="F5672" s="1" t="str">
        <f>IF(OR(C5672="",NOT(ISNUMBER(SEARCH("Package",D5672)))),"",VLOOKUP(C5672,'Clients List'!$A:$F,4,FALSE)-SUMIFS($E$2:$E5672,$C$2:$C5672,C5672,$D$2:$D5672,"*Package*"))</f>
        <v/>
      </c>
      <c r="G5672" t="str">
        <f t="shared" si="121"/>
        <v/>
      </c>
      <c r="H5672" s="33">
        <f>IF(ISNUMBER(SEARCH("Group",D5672)),IF(G5672="",E5672,IFERROR(E5672/COUNTIF($G2:$G6000,G5672),E5672)),E5672)</f>
        <v>0</v>
      </c>
      <c r="I5672" s="1" t="str">
        <f>IFERROR(VLOOKUP(C5672,'Clients List'!A:F,6,FALSE),"")</f>
        <v/>
      </c>
    </row>
    <row r="5673" spans="4:9" x14ac:dyDescent="0.45">
      <c r="D5673" t="str">
        <f>IFERROR(VLOOKUP(C5673,'Clients List'!$A:$F,2,FALSE),"")</f>
        <v/>
      </c>
      <c r="F5673" s="1" t="str">
        <f>IF(OR(C5673="",NOT(ISNUMBER(SEARCH("Package",D5673)))),"",VLOOKUP(C5673,'Clients List'!$A:$F,4,FALSE)-SUMIFS($E$2:$E5673,$C$2:$C5673,C5673,$D$2:$D5673,"*Package*"))</f>
        <v/>
      </c>
      <c r="G5673" t="str">
        <f t="shared" si="121"/>
        <v/>
      </c>
      <c r="H5673" s="33">
        <f>IF(ISNUMBER(SEARCH("Group",D5673)),IF(G5673="",E5673,IFERROR(E5673/COUNTIF($G2:$G6000,G5673),E5673)),E5673)</f>
        <v>0</v>
      </c>
      <c r="I5673" s="1" t="str">
        <f>IFERROR(VLOOKUP(C5673,'Clients List'!A:F,6,FALSE),"")</f>
        <v/>
      </c>
    </row>
    <row r="5674" spans="4:9" x14ac:dyDescent="0.45">
      <c r="D5674" t="str">
        <f>IFERROR(VLOOKUP(C5674,'Clients List'!$A:$F,2,FALSE),"")</f>
        <v/>
      </c>
      <c r="F5674" s="1" t="str">
        <f>IF(OR(C5674="",NOT(ISNUMBER(SEARCH("Package",D5674)))),"",VLOOKUP(C5674,'Clients List'!$A:$F,4,FALSE)-SUMIFS($E$2:$E5674,$C$2:$C5674,C5674,$D$2:$D5674,"*Package*"))</f>
        <v/>
      </c>
      <c r="G5674" t="str">
        <f t="shared" si="121"/>
        <v/>
      </c>
      <c r="H5674" s="33">
        <f>IF(ISNUMBER(SEARCH("Group",D5674)),IF(G5674="",E5674,IFERROR(E5674/COUNTIF($G2:$G6000,G5674),E5674)),E5674)</f>
        <v>0</v>
      </c>
      <c r="I5674" s="1" t="str">
        <f>IFERROR(VLOOKUP(C5674,'Clients List'!A:F,6,FALSE),"")</f>
        <v/>
      </c>
    </row>
    <row r="5675" spans="4:9" x14ac:dyDescent="0.45">
      <c r="D5675" t="str">
        <f>IFERROR(VLOOKUP(C5675,'Clients List'!$A:$F,2,FALSE),"")</f>
        <v/>
      </c>
      <c r="F5675" s="1" t="str">
        <f>IF(OR(C5675="",NOT(ISNUMBER(SEARCH("Package",D5675)))),"",VLOOKUP(C5675,'Clients List'!$A:$F,4,FALSE)-SUMIFS($E$2:$E5675,$C$2:$C5675,C5675,$D$2:$D5675,"*Package*"))</f>
        <v/>
      </c>
      <c r="G5675" t="str">
        <f t="shared" si="121"/>
        <v/>
      </c>
      <c r="H5675" s="33">
        <f>IF(ISNUMBER(SEARCH("Group",D5675)),IF(G5675="",E5675,IFERROR(E5675/COUNTIF($G2:$G6000,G5675),E5675)),E5675)</f>
        <v>0</v>
      </c>
      <c r="I5675" s="1" t="str">
        <f>IFERROR(VLOOKUP(C5675,'Clients List'!A:F,6,FALSE),"")</f>
        <v/>
      </c>
    </row>
    <row r="5676" spans="4:9" x14ac:dyDescent="0.45">
      <c r="D5676" t="str">
        <f>IFERROR(VLOOKUP(C5676,'Clients List'!$A:$F,2,FALSE),"")</f>
        <v/>
      </c>
      <c r="F5676" s="1" t="str">
        <f>IF(OR(C5676="",NOT(ISNUMBER(SEARCH("Package",D5676)))),"",VLOOKUP(C5676,'Clients List'!$A:$F,4,FALSE)-SUMIFS($E$2:$E5676,$C$2:$C5676,C5676,$D$2:$D5676,"*Package*"))</f>
        <v/>
      </c>
      <c r="G5676" t="str">
        <f t="shared" si="121"/>
        <v/>
      </c>
      <c r="H5676" s="33">
        <f>IF(ISNUMBER(SEARCH("Group",D5676)),IF(G5676="",E5676,IFERROR(E5676/COUNTIF($G2:$G6000,G5676),E5676)),E5676)</f>
        <v>0</v>
      </c>
      <c r="I5676" s="1" t="str">
        <f>IFERROR(VLOOKUP(C5676,'Clients List'!A:F,6,FALSE),"")</f>
        <v/>
      </c>
    </row>
    <row r="5677" spans="4:9" x14ac:dyDescent="0.45">
      <c r="D5677" t="str">
        <f>IFERROR(VLOOKUP(C5677,'Clients List'!$A:$F,2,FALSE),"")</f>
        <v/>
      </c>
      <c r="F5677" s="1" t="str">
        <f>IF(OR(C5677="",NOT(ISNUMBER(SEARCH("Package",D5677)))),"",VLOOKUP(C5677,'Clients List'!$A:$F,4,FALSE)-SUMIFS($E$2:$E5677,$C$2:$C5677,C5677,$D$2:$D5677,"*Package*"))</f>
        <v/>
      </c>
      <c r="G5677" t="str">
        <f t="shared" si="121"/>
        <v/>
      </c>
      <c r="H5677" s="33">
        <f>IF(ISNUMBER(SEARCH("Group",D5677)),IF(G5677="",E5677,IFERROR(E5677/COUNTIF($G2:$G6000,G5677),E5677)),E5677)</f>
        <v>0</v>
      </c>
      <c r="I5677" s="1" t="str">
        <f>IFERROR(VLOOKUP(C5677,'Clients List'!A:F,6,FALSE),"")</f>
        <v/>
      </c>
    </row>
    <row r="5678" spans="4:9" x14ac:dyDescent="0.45">
      <c r="D5678" t="str">
        <f>IFERROR(VLOOKUP(C5678,'Clients List'!$A:$F,2,FALSE),"")</f>
        <v/>
      </c>
      <c r="F5678" s="1" t="str">
        <f>IF(OR(C5678="",NOT(ISNUMBER(SEARCH("Package",D5678)))),"",VLOOKUP(C5678,'Clients List'!$A:$F,4,FALSE)-SUMIFS($E$2:$E5678,$C$2:$C5678,C5678,$D$2:$D5678,"*Package*"))</f>
        <v/>
      </c>
      <c r="G5678" t="str">
        <f t="shared" si="121"/>
        <v/>
      </c>
      <c r="H5678" s="33">
        <f>IF(ISNUMBER(SEARCH("Group",D5678)),IF(G5678="",E5678,IFERROR(E5678/COUNTIF($G2:$G6000,G5678),E5678)),E5678)</f>
        <v>0</v>
      </c>
      <c r="I5678" s="1" t="str">
        <f>IFERROR(VLOOKUP(C5678,'Clients List'!A:F,6,FALSE),"")</f>
        <v/>
      </c>
    </row>
    <row r="5679" spans="4:9" x14ac:dyDescent="0.45">
      <c r="D5679" t="str">
        <f>IFERROR(VLOOKUP(C5679,'Clients List'!$A:$F,2,FALSE),"")</f>
        <v/>
      </c>
      <c r="F5679" s="1" t="str">
        <f>IF(OR(C5679="",NOT(ISNUMBER(SEARCH("Package",D5679)))),"",VLOOKUP(C5679,'Clients List'!$A:$F,4,FALSE)-SUMIFS($E$2:$E5679,$C$2:$C5679,C5679,$D$2:$D5679,"*Package*"))</f>
        <v/>
      </c>
      <c r="G5679" t="str">
        <f t="shared" si="121"/>
        <v/>
      </c>
      <c r="H5679" s="33">
        <f>IF(ISNUMBER(SEARCH("Group",D5679)),IF(G5679="",E5679,IFERROR(E5679/COUNTIF($G2:$G6000,G5679),E5679)),E5679)</f>
        <v>0</v>
      </c>
      <c r="I5679" s="1" t="str">
        <f>IFERROR(VLOOKUP(C5679,'Clients List'!A:F,6,FALSE),"")</f>
        <v/>
      </c>
    </row>
    <row r="5680" spans="4:9" x14ac:dyDescent="0.45">
      <c r="D5680" t="str">
        <f>IFERROR(VLOOKUP(C5680,'Clients List'!$A:$F,2,FALSE),"")</f>
        <v/>
      </c>
      <c r="F5680" s="1" t="str">
        <f>IF(OR(C5680="",NOT(ISNUMBER(SEARCH("Package",D5680)))),"",VLOOKUP(C5680,'Clients List'!$A:$F,4,FALSE)-SUMIFS($E$2:$E5680,$C$2:$C5680,C5680,$D$2:$D5680,"*Package*"))</f>
        <v/>
      </c>
      <c r="G5680" t="str">
        <f t="shared" si="121"/>
        <v/>
      </c>
      <c r="H5680" s="33">
        <f>IF(ISNUMBER(SEARCH("Group",D5680)),IF(G5680="",E5680,IFERROR(E5680/COUNTIF($G2:$G6000,G5680),E5680)),E5680)</f>
        <v>0</v>
      </c>
      <c r="I5680" s="1" t="str">
        <f>IFERROR(VLOOKUP(C5680,'Clients List'!A:F,6,FALSE),"")</f>
        <v/>
      </c>
    </row>
    <row r="5681" spans="4:9" x14ac:dyDescent="0.45">
      <c r="D5681" t="str">
        <f>IFERROR(VLOOKUP(C5681,'Clients List'!$A:$F,2,FALSE),"")</f>
        <v/>
      </c>
      <c r="F5681" s="1" t="str">
        <f>IF(OR(C5681="",NOT(ISNUMBER(SEARCH("Package",D5681)))),"",VLOOKUP(C5681,'Clients List'!$A:$F,4,FALSE)-SUMIFS($E$2:$E5681,$C$2:$C5681,C5681,$D$2:$D5681,"*Package*"))</f>
        <v/>
      </c>
      <c r="G5681" t="str">
        <f t="shared" si="121"/>
        <v/>
      </c>
      <c r="H5681" s="33">
        <f>IF(ISNUMBER(SEARCH("Group",D5681)),IF(G5681="",E5681,IFERROR(E5681/COUNTIF($G2:$G6000,G5681),E5681)),E5681)</f>
        <v>0</v>
      </c>
      <c r="I5681" s="1" t="str">
        <f>IFERROR(VLOOKUP(C5681,'Clients List'!A:F,6,FALSE),"")</f>
        <v/>
      </c>
    </row>
    <row r="5682" spans="4:9" x14ac:dyDescent="0.45">
      <c r="D5682" t="str">
        <f>IFERROR(VLOOKUP(C5682,'Clients List'!$A:$F,2,FALSE),"")</f>
        <v/>
      </c>
      <c r="F5682" s="1" t="str">
        <f>IF(OR(C5682="",NOT(ISNUMBER(SEARCH("Package",D5682)))),"",VLOOKUP(C5682,'Clients List'!$A:$F,4,FALSE)-SUMIFS($E$2:$E5682,$C$2:$C5682,C5682,$D$2:$D5682,"*Package*"))</f>
        <v/>
      </c>
      <c r="G5682" t="str">
        <f t="shared" si="121"/>
        <v/>
      </c>
      <c r="H5682" s="33">
        <f>IF(ISNUMBER(SEARCH("Group",D5682)),IF(G5682="",E5682,IFERROR(E5682/COUNTIF($G2:$G6000,G5682),E5682)),E5682)</f>
        <v>0</v>
      </c>
      <c r="I5682" s="1" t="str">
        <f>IFERROR(VLOOKUP(C5682,'Clients List'!A:F,6,FALSE),"")</f>
        <v/>
      </c>
    </row>
    <row r="5683" spans="4:9" x14ac:dyDescent="0.45">
      <c r="D5683" t="str">
        <f>IFERROR(VLOOKUP(C5683,'Clients List'!$A:$F,2,FALSE),"")</f>
        <v/>
      </c>
      <c r="F5683" s="1" t="str">
        <f>IF(OR(C5683="",NOT(ISNUMBER(SEARCH("Package",D5683)))),"",VLOOKUP(C5683,'Clients List'!$A:$F,4,FALSE)-SUMIFS($E$2:$E5683,$C$2:$C5683,C5683,$D$2:$D5683,"*Package*"))</f>
        <v/>
      </c>
      <c r="G5683" t="str">
        <f t="shared" si="121"/>
        <v/>
      </c>
      <c r="H5683" s="33">
        <f>IF(ISNUMBER(SEARCH("Group",D5683)),IF(G5683="",E5683,IFERROR(E5683/COUNTIF($G2:$G6000,G5683),E5683)),E5683)</f>
        <v>0</v>
      </c>
      <c r="I5683" s="1" t="str">
        <f>IFERROR(VLOOKUP(C5683,'Clients List'!A:F,6,FALSE),"")</f>
        <v/>
      </c>
    </row>
    <row r="5684" spans="4:9" x14ac:dyDescent="0.45">
      <c r="D5684" t="str">
        <f>IFERROR(VLOOKUP(C5684,'Clients List'!$A:$F,2,FALSE),"")</f>
        <v/>
      </c>
      <c r="F5684" s="1" t="str">
        <f>IF(OR(C5684="",NOT(ISNUMBER(SEARCH("Package",D5684)))),"",VLOOKUP(C5684,'Clients List'!$A:$F,4,FALSE)-SUMIFS($E$2:$E5684,$C$2:$C5684,C5684,$D$2:$D5684,"*Package*"))</f>
        <v/>
      </c>
      <c r="G5684" t="str">
        <f t="shared" si="121"/>
        <v/>
      </c>
      <c r="H5684" s="33">
        <f>IF(ISNUMBER(SEARCH("Group",D5684)),IF(G5684="",E5684,IFERROR(E5684/COUNTIF($G2:$G6000,G5684),E5684)),E5684)</f>
        <v>0</v>
      </c>
      <c r="I5684" s="1" t="str">
        <f>IFERROR(VLOOKUP(C5684,'Clients List'!A:F,6,FALSE),"")</f>
        <v/>
      </c>
    </row>
    <row r="5685" spans="4:9" x14ac:dyDescent="0.45">
      <c r="D5685" t="str">
        <f>IFERROR(VLOOKUP(C5685,'Clients List'!$A:$F,2,FALSE),"")</f>
        <v/>
      </c>
      <c r="F5685" s="1" t="str">
        <f>IF(OR(C5685="",NOT(ISNUMBER(SEARCH("Package",D5685)))),"",VLOOKUP(C5685,'Clients List'!$A:$F,4,FALSE)-SUMIFS($E$2:$E5685,$C$2:$C5685,C5685,$D$2:$D5685,"*Package*"))</f>
        <v/>
      </c>
      <c r="G5685" t="str">
        <f t="shared" ref="G5685:G5748" si="122">IF(ISNUMBER(SEARCH("Group",D5685)),IFERROR("GRP-"&amp;TEXT(IF(ISNUMBER(A5685),A5685,DATEVALUE(A5685)),"yyyymmdd"),""),"" )</f>
        <v/>
      </c>
      <c r="H5685" s="33">
        <f>IF(ISNUMBER(SEARCH("Group",D5685)),IF(G5685="",E5685,IFERROR(E5685/COUNTIF($G2:$G6000,G5685),E5685)),E5685)</f>
        <v>0</v>
      </c>
      <c r="I5685" s="1" t="str">
        <f>IFERROR(VLOOKUP(C5685,'Clients List'!A:F,6,FALSE),"")</f>
        <v/>
      </c>
    </row>
    <row r="5686" spans="4:9" x14ac:dyDescent="0.45">
      <c r="D5686" t="str">
        <f>IFERROR(VLOOKUP(C5686,'Clients List'!$A:$F,2,FALSE),"")</f>
        <v/>
      </c>
      <c r="F5686" s="1" t="str">
        <f>IF(OR(C5686="",NOT(ISNUMBER(SEARCH("Package",D5686)))),"",VLOOKUP(C5686,'Clients List'!$A:$F,4,FALSE)-SUMIFS($E$2:$E5686,$C$2:$C5686,C5686,$D$2:$D5686,"*Package*"))</f>
        <v/>
      </c>
      <c r="G5686" t="str">
        <f t="shared" si="122"/>
        <v/>
      </c>
      <c r="H5686" s="33">
        <f>IF(ISNUMBER(SEARCH("Group",D5686)),IF(G5686="",E5686,IFERROR(E5686/COUNTIF($G2:$G6000,G5686),E5686)),E5686)</f>
        <v>0</v>
      </c>
      <c r="I5686" s="1" t="str">
        <f>IFERROR(VLOOKUP(C5686,'Clients List'!A:F,6,FALSE),"")</f>
        <v/>
      </c>
    </row>
    <row r="5687" spans="4:9" x14ac:dyDescent="0.45">
      <c r="D5687" t="str">
        <f>IFERROR(VLOOKUP(C5687,'Clients List'!$A:$F,2,FALSE),"")</f>
        <v/>
      </c>
      <c r="F5687" s="1" t="str">
        <f>IF(OR(C5687="",NOT(ISNUMBER(SEARCH("Package",D5687)))),"",VLOOKUP(C5687,'Clients List'!$A:$F,4,FALSE)-SUMIFS($E$2:$E5687,$C$2:$C5687,C5687,$D$2:$D5687,"*Package*"))</f>
        <v/>
      </c>
      <c r="G5687" t="str">
        <f t="shared" si="122"/>
        <v/>
      </c>
      <c r="H5687" s="33">
        <f>IF(ISNUMBER(SEARCH("Group",D5687)),IF(G5687="",E5687,IFERROR(E5687/COUNTIF($G2:$G6000,G5687),E5687)),E5687)</f>
        <v>0</v>
      </c>
      <c r="I5687" s="1" t="str">
        <f>IFERROR(VLOOKUP(C5687,'Clients List'!A:F,6,FALSE),"")</f>
        <v/>
      </c>
    </row>
    <row r="5688" spans="4:9" x14ac:dyDescent="0.45">
      <c r="D5688" t="str">
        <f>IFERROR(VLOOKUP(C5688,'Clients List'!$A:$F,2,FALSE),"")</f>
        <v/>
      </c>
      <c r="F5688" s="1" t="str">
        <f>IF(OR(C5688="",NOT(ISNUMBER(SEARCH("Package",D5688)))),"",VLOOKUP(C5688,'Clients List'!$A:$F,4,FALSE)-SUMIFS($E$2:$E5688,$C$2:$C5688,C5688,$D$2:$D5688,"*Package*"))</f>
        <v/>
      </c>
      <c r="G5688" t="str">
        <f t="shared" si="122"/>
        <v/>
      </c>
      <c r="H5688" s="33">
        <f>IF(ISNUMBER(SEARCH("Group",D5688)),IF(G5688="",E5688,IFERROR(E5688/COUNTIF($G2:$G6000,G5688),E5688)),E5688)</f>
        <v>0</v>
      </c>
      <c r="I5688" s="1" t="str">
        <f>IFERROR(VLOOKUP(C5688,'Clients List'!A:F,6,FALSE),"")</f>
        <v/>
      </c>
    </row>
    <row r="5689" spans="4:9" x14ac:dyDescent="0.45">
      <c r="D5689" t="str">
        <f>IFERROR(VLOOKUP(C5689,'Clients List'!$A:$F,2,FALSE),"")</f>
        <v/>
      </c>
      <c r="F5689" s="1" t="str">
        <f>IF(OR(C5689="",NOT(ISNUMBER(SEARCH("Package",D5689)))),"",VLOOKUP(C5689,'Clients List'!$A:$F,4,FALSE)-SUMIFS($E$2:$E5689,$C$2:$C5689,C5689,$D$2:$D5689,"*Package*"))</f>
        <v/>
      </c>
      <c r="G5689" t="str">
        <f t="shared" si="122"/>
        <v/>
      </c>
      <c r="H5689" s="33">
        <f>IF(ISNUMBER(SEARCH("Group",D5689)),IF(G5689="",E5689,IFERROR(E5689/COUNTIF($G2:$G6000,G5689),E5689)),E5689)</f>
        <v>0</v>
      </c>
      <c r="I5689" s="1" t="str">
        <f>IFERROR(VLOOKUP(C5689,'Clients List'!A:F,6,FALSE),"")</f>
        <v/>
      </c>
    </row>
    <row r="5690" spans="4:9" x14ac:dyDescent="0.45">
      <c r="D5690" t="str">
        <f>IFERROR(VLOOKUP(C5690,'Clients List'!$A:$F,2,FALSE),"")</f>
        <v/>
      </c>
      <c r="F5690" s="1" t="str">
        <f>IF(OR(C5690="",NOT(ISNUMBER(SEARCH("Package",D5690)))),"",VLOOKUP(C5690,'Clients List'!$A:$F,4,FALSE)-SUMIFS($E$2:$E5690,$C$2:$C5690,C5690,$D$2:$D5690,"*Package*"))</f>
        <v/>
      </c>
      <c r="G5690" t="str">
        <f t="shared" si="122"/>
        <v/>
      </c>
      <c r="H5690" s="33">
        <f>IF(ISNUMBER(SEARCH("Group",D5690)),IF(G5690="",E5690,IFERROR(E5690/COUNTIF($G2:$G6000,G5690),E5690)),E5690)</f>
        <v>0</v>
      </c>
      <c r="I5690" s="1" t="str">
        <f>IFERROR(VLOOKUP(C5690,'Clients List'!A:F,6,FALSE),"")</f>
        <v/>
      </c>
    </row>
    <row r="5691" spans="4:9" x14ac:dyDescent="0.45">
      <c r="D5691" t="str">
        <f>IFERROR(VLOOKUP(C5691,'Clients List'!$A:$F,2,FALSE),"")</f>
        <v/>
      </c>
      <c r="F5691" s="1" t="str">
        <f>IF(OR(C5691="",NOT(ISNUMBER(SEARCH("Package",D5691)))),"",VLOOKUP(C5691,'Clients List'!$A:$F,4,FALSE)-SUMIFS($E$2:$E5691,$C$2:$C5691,C5691,$D$2:$D5691,"*Package*"))</f>
        <v/>
      </c>
      <c r="G5691" t="str">
        <f t="shared" si="122"/>
        <v/>
      </c>
      <c r="H5691" s="33">
        <f>IF(ISNUMBER(SEARCH("Group",D5691)),IF(G5691="",E5691,IFERROR(E5691/COUNTIF($G2:$G6000,G5691),E5691)),E5691)</f>
        <v>0</v>
      </c>
      <c r="I5691" s="1" t="str">
        <f>IFERROR(VLOOKUP(C5691,'Clients List'!A:F,6,FALSE),"")</f>
        <v/>
      </c>
    </row>
    <row r="5692" spans="4:9" x14ac:dyDescent="0.45">
      <c r="D5692" t="str">
        <f>IFERROR(VLOOKUP(C5692,'Clients List'!$A:$F,2,FALSE),"")</f>
        <v/>
      </c>
      <c r="F5692" s="1" t="str">
        <f>IF(OR(C5692="",NOT(ISNUMBER(SEARCH("Package",D5692)))),"",VLOOKUP(C5692,'Clients List'!$A:$F,4,FALSE)-SUMIFS($E$2:$E5692,$C$2:$C5692,C5692,$D$2:$D5692,"*Package*"))</f>
        <v/>
      </c>
      <c r="G5692" t="str">
        <f t="shared" si="122"/>
        <v/>
      </c>
      <c r="H5692" s="33">
        <f>IF(ISNUMBER(SEARCH("Group",D5692)),IF(G5692="",E5692,IFERROR(E5692/COUNTIF($G2:$G6000,G5692),E5692)),E5692)</f>
        <v>0</v>
      </c>
      <c r="I5692" s="1" t="str">
        <f>IFERROR(VLOOKUP(C5692,'Clients List'!A:F,6,FALSE),"")</f>
        <v/>
      </c>
    </row>
    <row r="5693" spans="4:9" x14ac:dyDescent="0.45">
      <c r="D5693" t="str">
        <f>IFERROR(VLOOKUP(C5693,'Clients List'!$A:$F,2,FALSE),"")</f>
        <v/>
      </c>
      <c r="F5693" s="1" t="str">
        <f>IF(OR(C5693="",NOT(ISNUMBER(SEARCH("Package",D5693)))),"",VLOOKUP(C5693,'Clients List'!$A:$F,4,FALSE)-SUMIFS($E$2:$E5693,$C$2:$C5693,C5693,$D$2:$D5693,"*Package*"))</f>
        <v/>
      </c>
      <c r="G5693" t="str">
        <f t="shared" si="122"/>
        <v/>
      </c>
      <c r="H5693" s="33">
        <f>IF(ISNUMBER(SEARCH("Group",D5693)),IF(G5693="",E5693,IFERROR(E5693/COUNTIF($G2:$G6000,G5693),E5693)),E5693)</f>
        <v>0</v>
      </c>
      <c r="I5693" s="1" t="str">
        <f>IFERROR(VLOOKUP(C5693,'Clients List'!A:F,6,FALSE),"")</f>
        <v/>
      </c>
    </row>
    <row r="5694" spans="4:9" x14ac:dyDescent="0.45">
      <c r="D5694" t="str">
        <f>IFERROR(VLOOKUP(C5694,'Clients List'!$A:$F,2,FALSE),"")</f>
        <v/>
      </c>
      <c r="F5694" s="1" t="str">
        <f>IF(OR(C5694="",NOT(ISNUMBER(SEARCH("Package",D5694)))),"",VLOOKUP(C5694,'Clients List'!$A:$F,4,FALSE)-SUMIFS($E$2:$E5694,$C$2:$C5694,C5694,$D$2:$D5694,"*Package*"))</f>
        <v/>
      </c>
      <c r="G5694" t="str">
        <f t="shared" si="122"/>
        <v/>
      </c>
      <c r="H5694" s="33">
        <f>IF(ISNUMBER(SEARCH("Group",D5694)),IF(G5694="",E5694,IFERROR(E5694/COUNTIF($G2:$G6000,G5694),E5694)),E5694)</f>
        <v>0</v>
      </c>
      <c r="I5694" s="1" t="str">
        <f>IFERROR(VLOOKUP(C5694,'Clients List'!A:F,6,FALSE),"")</f>
        <v/>
      </c>
    </row>
    <row r="5695" spans="4:9" x14ac:dyDescent="0.45">
      <c r="D5695" t="str">
        <f>IFERROR(VLOOKUP(C5695,'Clients List'!$A:$F,2,FALSE),"")</f>
        <v/>
      </c>
      <c r="F5695" s="1" t="str">
        <f>IF(OR(C5695="",NOT(ISNUMBER(SEARCH("Package",D5695)))),"",VLOOKUP(C5695,'Clients List'!$A:$F,4,FALSE)-SUMIFS($E$2:$E5695,$C$2:$C5695,C5695,$D$2:$D5695,"*Package*"))</f>
        <v/>
      </c>
      <c r="G5695" t="str">
        <f t="shared" si="122"/>
        <v/>
      </c>
      <c r="H5695" s="33">
        <f>IF(ISNUMBER(SEARCH("Group",D5695)),IF(G5695="",E5695,IFERROR(E5695/COUNTIF($G2:$G6000,G5695),E5695)),E5695)</f>
        <v>0</v>
      </c>
      <c r="I5695" s="1" t="str">
        <f>IFERROR(VLOOKUP(C5695,'Clients List'!A:F,6,FALSE),"")</f>
        <v/>
      </c>
    </row>
    <row r="5696" spans="4:9" x14ac:dyDescent="0.45">
      <c r="D5696" t="str">
        <f>IFERROR(VLOOKUP(C5696,'Clients List'!$A:$F,2,FALSE),"")</f>
        <v/>
      </c>
      <c r="F5696" s="1" t="str">
        <f>IF(OR(C5696="",NOT(ISNUMBER(SEARCH("Package",D5696)))),"",VLOOKUP(C5696,'Clients List'!$A:$F,4,FALSE)-SUMIFS($E$2:$E5696,$C$2:$C5696,C5696,$D$2:$D5696,"*Package*"))</f>
        <v/>
      </c>
      <c r="G5696" t="str">
        <f t="shared" si="122"/>
        <v/>
      </c>
      <c r="H5696" s="33">
        <f>IF(ISNUMBER(SEARCH("Group",D5696)),IF(G5696="",E5696,IFERROR(E5696/COUNTIF($G2:$G6000,G5696),E5696)),E5696)</f>
        <v>0</v>
      </c>
      <c r="I5696" s="1" t="str">
        <f>IFERROR(VLOOKUP(C5696,'Clients List'!A:F,6,FALSE),"")</f>
        <v/>
      </c>
    </row>
    <row r="5697" spans="4:9" x14ac:dyDescent="0.45">
      <c r="D5697" t="str">
        <f>IFERROR(VLOOKUP(C5697,'Clients List'!$A:$F,2,FALSE),"")</f>
        <v/>
      </c>
      <c r="F5697" s="1" t="str">
        <f>IF(OR(C5697="",NOT(ISNUMBER(SEARCH("Package",D5697)))),"",VLOOKUP(C5697,'Clients List'!$A:$F,4,FALSE)-SUMIFS($E$2:$E5697,$C$2:$C5697,C5697,$D$2:$D5697,"*Package*"))</f>
        <v/>
      </c>
      <c r="G5697" t="str">
        <f t="shared" si="122"/>
        <v/>
      </c>
      <c r="H5697" s="33">
        <f>IF(ISNUMBER(SEARCH("Group",D5697)),IF(G5697="",E5697,IFERROR(E5697/COUNTIF($G2:$G6000,G5697),E5697)),E5697)</f>
        <v>0</v>
      </c>
      <c r="I5697" s="1" t="str">
        <f>IFERROR(VLOOKUP(C5697,'Clients List'!A:F,6,FALSE),"")</f>
        <v/>
      </c>
    </row>
    <row r="5698" spans="4:9" x14ac:dyDescent="0.45">
      <c r="D5698" t="str">
        <f>IFERROR(VLOOKUP(C5698,'Clients List'!$A:$F,2,FALSE),"")</f>
        <v/>
      </c>
      <c r="F5698" s="1" t="str">
        <f>IF(OR(C5698="",NOT(ISNUMBER(SEARCH("Package",D5698)))),"",VLOOKUP(C5698,'Clients List'!$A:$F,4,FALSE)-SUMIFS($E$2:$E5698,$C$2:$C5698,C5698,$D$2:$D5698,"*Package*"))</f>
        <v/>
      </c>
      <c r="G5698" t="str">
        <f t="shared" si="122"/>
        <v/>
      </c>
      <c r="H5698" s="33">
        <f>IF(ISNUMBER(SEARCH("Group",D5698)),IF(G5698="",E5698,IFERROR(E5698/COUNTIF($G2:$G6000,G5698),E5698)),E5698)</f>
        <v>0</v>
      </c>
      <c r="I5698" s="1" t="str">
        <f>IFERROR(VLOOKUP(C5698,'Clients List'!A:F,6,FALSE),"")</f>
        <v/>
      </c>
    </row>
    <row r="5699" spans="4:9" x14ac:dyDescent="0.45">
      <c r="D5699" t="str">
        <f>IFERROR(VLOOKUP(C5699,'Clients List'!$A:$F,2,FALSE),"")</f>
        <v/>
      </c>
      <c r="F5699" s="1" t="str">
        <f>IF(OR(C5699="",NOT(ISNUMBER(SEARCH("Package",D5699)))),"",VLOOKUP(C5699,'Clients List'!$A:$F,4,FALSE)-SUMIFS($E$2:$E5699,$C$2:$C5699,C5699,$D$2:$D5699,"*Package*"))</f>
        <v/>
      </c>
      <c r="G5699" t="str">
        <f t="shared" si="122"/>
        <v/>
      </c>
      <c r="H5699" s="33">
        <f>IF(ISNUMBER(SEARCH("Group",D5699)),IF(G5699="",E5699,IFERROR(E5699/COUNTIF($G2:$G6000,G5699),E5699)),E5699)</f>
        <v>0</v>
      </c>
      <c r="I5699" s="1" t="str">
        <f>IFERROR(VLOOKUP(C5699,'Clients List'!A:F,6,FALSE),"")</f>
        <v/>
      </c>
    </row>
    <row r="5700" spans="4:9" x14ac:dyDescent="0.45">
      <c r="D5700" t="str">
        <f>IFERROR(VLOOKUP(C5700,'Clients List'!$A:$F,2,FALSE),"")</f>
        <v/>
      </c>
      <c r="F5700" s="1" t="str">
        <f>IF(OR(C5700="",NOT(ISNUMBER(SEARCH("Package",D5700)))),"",VLOOKUP(C5700,'Clients List'!$A:$F,4,FALSE)-SUMIFS($E$2:$E5700,$C$2:$C5700,C5700,$D$2:$D5700,"*Package*"))</f>
        <v/>
      </c>
      <c r="G5700" t="str">
        <f t="shared" si="122"/>
        <v/>
      </c>
      <c r="H5700" s="33">
        <f>IF(ISNUMBER(SEARCH("Group",D5700)),IF(G5700="",E5700,IFERROR(E5700/COUNTIF($G2:$G6000,G5700),E5700)),E5700)</f>
        <v>0</v>
      </c>
      <c r="I5700" s="1" t="str">
        <f>IFERROR(VLOOKUP(C5700,'Clients List'!A:F,6,FALSE),"")</f>
        <v/>
      </c>
    </row>
    <row r="5701" spans="4:9" x14ac:dyDescent="0.45">
      <c r="D5701" t="str">
        <f>IFERROR(VLOOKUP(C5701,'Clients List'!$A:$F,2,FALSE),"")</f>
        <v/>
      </c>
      <c r="F5701" s="1" t="str">
        <f>IF(OR(C5701="",NOT(ISNUMBER(SEARCH("Package",D5701)))),"",VLOOKUP(C5701,'Clients List'!$A:$F,4,FALSE)-SUMIFS($E$2:$E5701,$C$2:$C5701,C5701,$D$2:$D5701,"*Package*"))</f>
        <v/>
      </c>
      <c r="G5701" t="str">
        <f t="shared" si="122"/>
        <v/>
      </c>
      <c r="H5701" s="33">
        <f>IF(ISNUMBER(SEARCH("Group",D5701)),IF(G5701="",E5701,IFERROR(E5701/COUNTIF($G2:$G6000,G5701),E5701)),E5701)</f>
        <v>0</v>
      </c>
      <c r="I5701" s="1" t="str">
        <f>IFERROR(VLOOKUP(C5701,'Clients List'!A:F,6,FALSE),"")</f>
        <v/>
      </c>
    </row>
    <row r="5702" spans="4:9" x14ac:dyDescent="0.45">
      <c r="D5702" t="str">
        <f>IFERROR(VLOOKUP(C5702,'Clients List'!$A:$F,2,FALSE),"")</f>
        <v/>
      </c>
      <c r="F5702" s="1" t="str">
        <f>IF(OR(C5702="",NOT(ISNUMBER(SEARCH("Package",D5702)))),"",VLOOKUP(C5702,'Clients List'!$A:$F,4,FALSE)-SUMIFS($E$2:$E5702,$C$2:$C5702,C5702,$D$2:$D5702,"*Package*"))</f>
        <v/>
      </c>
      <c r="G5702" t="str">
        <f t="shared" si="122"/>
        <v/>
      </c>
      <c r="H5702" s="33">
        <f>IF(ISNUMBER(SEARCH("Group",D5702)),IF(G5702="",E5702,IFERROR(E5702/COUNTIF($G2:$G6000,G5702),E5702)),E5702)</f>
        <v>0</v>
      </c>
      <c r="I5702" s="1" t="str">
        <f>IFERROR(VLOOKUP(C5702,'Clients List'!A:F,6,FALSE),"")</f>
        <v/>
      </c>
    </row>
    <row r="5703" spans="4:9" x14ac:dyDescent="0.45">
      <c r="D5703" t="str">
        <f>IFERROR(VLOOKUP(C5703,'Clients List'!$A:$F,2,FALSE),"")</f>
        <v/>
      </c>
      <c r="F5703" s="1" t="str">
        <f>IF(OR(C5703="",NOT(ISNUMBER(SEARCH("Package",D5703)))),"",VLOOKUP(C5703,'Clients List'!$A:$F,4,FALSE)-SUMIFS($E$2:$E5703,$C$2:$C5703,C5703,$D$2:$D5703,"*Package*"))</f>
        <v/>
      </c>
      <c r="G5703" t="str">
        <f t="shared" si="122"/>
        <v/>
      </c>
      <c r="H5703" s="33">
        <f>IF(ISNUMBER(SEARCH("Group",D5703)),IF(G5703="",E5703,IFERROR(E5703/COUNTIF($G2:$G6000,G5703),E5703)),E5703)</f>
        <v>0</v>
      </c>
      <c r="I5703" s="1" t="str">
        <f>IFERROR(VLOOKUP(C5703,'Clients List'!A:F,6,FALSE),"")</f>
        <v/>
      </c>
    </row>
    <row r="5704" spans="4:9" x14ac:dyDescent="0.45">
      <c r="D5704" t="str">
        <f>IFERROR(VLOOKUP(C5704,'Clients List'!$A:$F,2,FALSE),"")</f>
        <v/>
      </c>
      <c r="F5704" s="1" t="str">
        <f>IF(OR(C5704="",NOT(ISNUMBER(SEARCH("Package",D5704)))),"",VLOOKUP(C5704,'Clients List'!$A:$F,4,FALSE)-SUMIFS($E$2:$E5704,$C$2:$C5704,C5704,$D$2:$D5704,"*Package*"))</f>
        <v/>
      </c>
      <c r="G5704" t="str">
        <f t="shared" si="122"/>
        <v/>
      </c>
      <c r="H5704" s="33">
        <f>IF(ISNUMBER(SEARCH("Group",D5704)),IF(G5704="",E5704,IFERROR(E5704/COUNTIF($G2:$G6000,G5704),E5704)),E5704)</f>
        <v>0</v>
      </c>
      <c r="I5704" s="1" t="str">
        <f>IFERROR(VLOOKUP(C5704,'Clients List'!A:F,6,FALSE),"")</f>
        <v/>
      </c>
    </row>
    <row r="5705" spans="4:9" x14ac:dyDescent="0.45">
      <c r="D5705" t="str">
        <f>IFERROR(VLOOKUP(C5705,'Clients List'!$A:$F,2,FALSE),"")</f>
        <v/>
      </c>
      <c r="F5705" s="1" t="str">
        <f>IF(OR(C5705="",NOT(ISNUMBER(SEARCH("Package",D5705)))),"",VLOOKUP(C5705,'Clients List'!$A:$F,4,FALSE)-SUMIFS($E$2:$E5705,$C$2:$C5705,C5705,$D$2:$D5705,"*Package*"))</f>
        <v/>
      </c>
      <c r="G5705" t="str">
        <f t="shared" si="122"/>
        <v/>
      </c>
      <c r="H5705" s="33">
        <f>IF(ISNUMBER(SEARCH("Group",D5705)),IF(G5705="",E5705,IFERROR(E5705/COUNTIF($G2:$G6000,G5705),E5705)),E5705)</f>
        <v>0</v>
      </c>
      <c r="I5705" s="1" t="str">
        <f>IFERROR(VLOOKUP(C5705,'Clients List'!A:F,6,FALSE),"")</f>
        <v/>
      </c>
    </row>
    <row r="5706" spans="4:9" x14ac:dyDescent="0.45">
      <c r="D5706" t="str">
        <f>IFERROR(VLOOKUP(C5706,'Clients List'!$A:$F,2,FALSE),"")</f>
        <v/>
      </c>
      <c r="F5706" s="1" t="str">
        <f>IF(OR(C5706="",NOT(ISNUMBER(SEARCH("Package",D5706)))),"",VLOOKUP(C5706,'Clients List'!$A:$F,4,FALSE)-SUMIFS($E$2:$E5706,$C$2:$C5706,C5706,$D$2:$D5706,"*Package*"))</f>
        <v/>
      </c>
      <c r="G5706" t="str">
        <f t="shared" si="122"/>
        <v/>
      </c>
      <c r="H5706" s="33">
        <f>IF(ISNUMBER(SEARCH("Group",D5706)),IF(G5706="",E5706,IFERROR(E5706/COUNTIF($G2:$G6000,G5706),E5706)),E5706)</f>
        <v>0</v>
      </c>
      <c r="I5706" s="1" t="str">
        <f>IFERROR(VLOOKUP(C5706,'Clients List'!A:F,6,FALSE),"")</f>
        <v/>
      </c>
    </row>
    <row r="5707" spans="4:9" x14ac:dyDescent="0.45">
      <c r="D5707" t="str">
        <f>IFERROR(VLOOKUP(C5707,'Clients List'!$A:$F,2,FALSE),"")</f>
        <v/>
      </c>
      <c r="F5707" s="1" t="str">
        <f>IF(OR(C5707="",NOT(ISNUMBER(SEARCH("Package",D5707)))),"",VLOOKUP(C5707,'Clients List'!$A:$F,4,FALSE)-SUMIFS($E$2:$E5707,$C$2:$C5707,C5707,$D$2:$D5707,"*Package*"))</f>
        <v/>
      </c>
      <c r="G5707" t="str">
        <f t="shared" si="122"/>
        <v/>
      </c>
      <c r="H5707" s="33">
        <f>IF(ISNUMBER(SEARCH("Group",D5707)),IF(G5707="",E5707,IFERROR(E5707/COUNTIF($G2:$G6000,G5707),E5707)),E5707)</f>
        <v>0</v>
      </c>
      <c r="I5707" s="1" t="str">
        <f>IFERROR(VLOOKUP(C5707,'Clients List'!A:F,6,FALSE),"")</f>
        <v/>
      </c>
    </row>
    <row r="5708" spans="4:9" x14ac:dyDescent="0.45">
      <c r="D5708" t="str">
        <f>IFERROR(VLOOKUP(C5708,'Clients List'!$A:$F,2,FALSE),"")</f>
        <v/>
      </c>
      <c r="F5708" s="1" t="str">
        <f>IF(OR(C5708="",NOT(ISNUMBER(SEARCH("Package",D5708)))),"",VLOOKUP(C5708,'Clients List'!$A:$F,4,FALSE)-SUMIFS($E$2:$E5708,$C$2:$C5708,C5708,$D$2:$D5708,"*Package*"))</f>
        <v/>
      </c>
      <c r="G5708" t="str">
        <f t="shared" si="122"/>
        <v/>
      </c>
      <c r="H5708" s="33">
        <f>IF(ISNUMBER(SEARCH("Group",D5708)),IF(G5708="",E5708,IFERROR(E5708/COUNTIF($G2:$G6000,G5708),E5708)),E5708)</f>
        <v>0</v>
      </c>
      <c r="I5708" s="1" t="str">
        <f>IFERROR(VLOOKUP(C5708,'Clients List'!A:F,6,FALSE),"")</f>
        <v/>
      </c>
    </row>
    <row r="5709" spans="4:9" x14ac:dyDescent="0.45">
      <c r="D5709" t="str">
        <f>IFERROR(VLOOKUP(C5709,'Clients List'!$A:$F,2,FALSE),"")</f>
        <v/>
      </c>
      <c r="F5709" s="1" t="str">
        <f>IF(OR(C5709="",NOT(ISNUMBER(SEARCH("Package",D5709)))),"",VLOOKUP(C5709,'Clients List'!$A:$F,4,FALSE)-SUMIFS($E$2:$E5709,$C$2:$C5709,C5709,$D$2:$D5709,"*Package*"))</f>
        <v/>
      </c>
      <c r="G5709" t="str">
        <f t="shared" si="122"/>
        <v/>
      </c>
      <c r="H5709" s="33">
        <f>IF(ISNUMBER(SEARCH("Group",D5709)),IF(G5709="",E5709,IFERROR(E5709/COUNTIF($G2:$G6000,G5709),E5709)),E5709)</f>
        <v>0</v>
      </c>
      <c r="I5709" s="1" t="str">
        <f>IFERROR(VLOOKUP(C5709,'Clients List'!A:F,6,FALSE),"")</f>
        <v/>
      </c>
    </row>
    <row r="5710" spans="4:9" x14ac:dyDescent="0.45">
      <c r="D5710" t="str">
        <f>IFERROR(VLOOKUP(C5710,'Clients List'!$A:$F,2,FALSE),"")</f>
        <v/>
      </c>
      <c r="F5710" s="1" t="str">
        <f>IF(OR(C5710="",NOT(ISNUMBER(SEARCH("Package",D5710)))),"",VLOOKUP(C5710,'Clients List'!$A:$F,4,FALSE)-SUMIFS($E$2:$E5710,$C$2:$C5710,C5710,$D$2:$D5710,"*Package*"))</f>
        <v/>
      </c>
      <c r="G5710" t="str">
        <f t="shared" si="122"/>
        <v/>
      </c>
      <c r="H5710" s="33">
        <f>IF(ISNUMBER(SEARCH("Group",D5710)),IF(G5710="",E5710,IFERROR(E5710/COUNTIF($G2:$G6000,G5710),E5710)),E5710)</f>
        <v>0</v>
      </c>
      <c r="I5710" s="1" t="str">
        <f>IFERROR(VLOOKUP(C5710,'Clients List'!A:F,6,FALSE),"")</f>
        <v/>
      </c>
    </row>
    <row r="5711" spans="4:9" x14ac:dyDescent="0.45">
      <c r="D5711" t="str">
        <f>IFERROR(VLOOKUP(C5711,'Clients List'!$A:$F,2,FALSE),"")</f>
        <v/>
      </c>
      <c r="F5711" s="1" t="str">
        <f>IF(OR(C5711="",NOT(ISNUMBER(SEARCH("Package",D5711)))),"",VLOOKUP(C5711,'Clients List'!$A:$F,4,FALSE)-SUMIFS($E$2:$E5711,$C$2:$C5711,C5711,$D$2:$D5711,"*Package*"))</f>
        <v/>
      </c>
      <c r="G5711" t="str">
        <f t="shared" si="122"/>
        <v/>
      </c>
      <c r="H5711" s="33">
        <f>IF(ISNUMBER(SEARCH("Group",D5711)),IF(G5711="",E5711,IFERROR(E5711/COUNTIF($G2:$G6000,G5711),E5711)),E5711)</f>
        <v>0</v>
      </c>
      <c r="I5711" s="1" t="str">
        <f>IFERROR(VLOOKUP(C5711,'Clients List'!A:F,6,FALSE),"")</f>
        <v/>
      </c>
    </row>
    <row r="5712" spans="4:9" x14ac:dyDescent="0.45">
      <c r="D5712" t="str">
        <f>IFERROR(VLOOKUP(C5712,'Clients List'!$A:$F,2,FALSE),"")</f>
        <v/>
      </c>
      <c r="F5712" s="1" t="str">
        <f>IF(OR(C5712="",NOT(ISNUMBER(SEARCH("Package",D5712)))),"",VLOOKUP(C5712,'Clients List'!$A:$F,4,FALSE)-SUMIFS($E$2:$E5712,$C$2:$C5712,C5712,$D$2:$D5712,"*Package*"))</f>
        <v/>
      </c>
      <c r="G5712" t="str">
        <f t="shared" si="122"/>
        <v/>
      </c>
      <c r="H5712" s="33">
        <f>IF(ISNUMBER(SEARCH("Group",D5712)),IF(G5712="",E5712,IFERROR(E5712/COUNTIF($G2:$G6000,G5712),E5712)),E5712)</f>
        <v>0</v>
      </c>
      <c r="I5712" s="1" t="str">
        <f>IFERROR(VLOOKUP(C5712,'Clients List'!A:F,6,FALSE),"")</f>
        <v/>
      </c>
    </row>
    <row r="5713" spans="4:9" x14ac:dyDescent="0.45">
      <c r="D5713" t="str">
        <f>IFERROR(VLOOKUP(C5713,'Clients List'!$A:$F,2,FALSE),"")</f>
        <v/>
      </c>
      <c r="F5713" s="1" t="str">
        <f>IF(OR(C5713="",NOT(ISNUMBER(SEARCH("Package",D5713)))),"",VLOOKUP(C5713,'Clients List'!$A:$F,4,FALSE)-SUMIFS($E$2:$E5713,$C$2:$C5713,C5713,$D$2:$D5713,"*Package*"))</f>
        <v/>
      </c>
      <c r="G5713" t="str">
        <f t="shared" si="122"/>
        <v/>
      </c>
      <c r="H5713" s="33">
        <f>IF(ISNUMBER(SEARCH("Group",D5713)),IF(G5713="",E5713,IFERROR(E5713/COUNTIF($G2:$G6000,G5713),E5713)),E5713)</f>
        <v>0</v>
      </c>
      <c r="I5713" s="1" t="str">
        <f>IFERROR(VLOOKUP(C5713,'Clients List'!A:F,6,FALSE),"")</f>
        <v/>
      </c>
    </row>
    <row r="5714" spans="4:9" x14ac:dyDescent="0.45">
      <c r="D5714" t="str">
        <f>IFERROR(VLOOKUP(C5714,'Clients List'!$A:$F,2,FALSE),"")</f>
        <v/>
      </c>
      <c r="F5714" s="1" t="str">
        <f>IF(OR(C5714="",NOT(ISNUMBER(SEARCH("Package",D5714)))),"",VLOOKUP(C5714,'Clients List'!$A:$F,4,FALSE)-SUMIFS($E$2:$E5714,$C$2:$C5714,C5714,$D$2:$D5714,"*Package*"))</f>
        <v/>
      </c>
      <c r="G5714" t="str">
        <f t="shared" si="122"/>
        <v/>
      </c>
      <c r="H5714" s="33">
        <f>IF(ISNUMBER(SEARCH("Group",D5714)),IF(G5714="",E5714,IFERROR(E5714/COUNTIF($G2:$G6000,G5714),E5714)),E5714)</f>
        <v>0</v>
      </c>
      <c r="I5714" s="1" t="str">
        <f>IFERROR(VLOOKUP(C5714,'Clients List'!A:F,6,FALSE),"")</f>
        <v/>
      </c>
    </row>
    <row r="5715" spans="4:9" x14ac:dyDescent="0.45">
      <c r="D5715" t="str">
        <f>IFERROR(VLOOKUP(C5715,'Clients List'!$A:$F,2,FALSE),"")</f>
        <v/>
      </c>
      <c r="F5715" s="1" t="str">
        <f>IF(OR(C5715="",NOT(ISNUMBER(SEARCH("Package",D5715)))),"",VLOOKUP(C5715,'Clients List'!$A:$F,4,FALSE)-SUMIFS($E$2:$E5715,$C$2:$C5715,C5715,$D$2:$D5715,"*Package*"))</f>
        <v/>
      </c>
      <c r="G5715" t="str">
        <f t="shared" si="122"/>
        <v/>
      </c>
      <c r="H5715" s="33">
        <f>IF(ISNUMBER(SEARCH("Group",D5715)),IF(G5715="",E5715,IFERROR(E5715/COUNTIF($G2:$G6000,G5715),E5715)),E5715)</f>
        <v>0</v>
      </c>
      <c r="I5715" s="1" t="str">
        <f>IFERROR(VLOOKUP(C5715,'Clients List'!A:F,6,FALSE),"")</f>
        <v/>
      </c>
    </row>
    <row r="5716" spans="4:9" x14ac:dyDescent="0.45">
      <c r="D5716" t="str">
        <f>IFERROR(VLOOKUP(C5716,'Clients List'!$A:$F,2,FALSE),"")</f>
        <v/>
      </c>
      <c r="F5716" s="1" t="str">
        <f>IF(OR(C5716="",NOT(ISNUMBER(SEARCH("Package",D5716)))),"",VLOOKUP(C5716,'Clients List'!$A:$F,4,FALSE)-SUMIFS($E$2:$E5716,$C$2:$C5716,C5716,$D$2:$D5716,"*Package*"))</f>
        <v/>
      </c>
      <c r="G5716" t="str">
        <f t="shared" si="122"/>
        <v/>
      </c>
      <c r="H5716" s="33">
        <f>IF(ISNUMBER(SEARCH("Group",D5716)),IF(G5716="",E5716,IFERROR(E5716/COUNTIF($G2:$G6000,G5716),E5716)),E5716)</f>
        <v>0</v>
      </c>
      <c r="I5716" s="1" t="str">
        <f>IFERROR(VLOOKUP(C5716,'Clients List'!A:F,6,FALSE),"")</f>
        <v/>
      </c>
    </row>
    <row r="5717" spans="4:9" x14ac:dyDescent="0.45">
      <c r="D5717" t="str">
        <f>IFERROR(VLOOKUP(C5717,'Clients List'!$A:$F,2,FALSE),"")</f>
        <v/>
      </c>
      <c r="F5717" s="1" t="str">
        <f>IF(OR(C5717="",NOT(ISNUMBER(SEARCH("Package",D5717)))),"",VLOOKUP(C5717,'Clients List'!$A:$F,4,FALSE)-SUMIFS($E$2:$E5717,$C$2:$C5717,C5717,$D$2:$D5717,"*Package*"))</f>
        <v/>
      </c>
      <c r="G5717" t="str">
        <f t="shared" si="122"/>
        <v/>
      </c>
      <c r="H5717" s="33">
        <f>IF(ISNUMBER(SEARCH("Group",D5717)),IF(G5717="",E5717,IFERROR(E5717/COUNTIF($G2:$G6000,G5717),E5717)),E5717)</f>
        <v>0</v>
      </c>
      <c r="I5717" s="1" t="str">
        <f>IFERROR(VLOOKUP(C5717,'Clients List'!A:F,6,FALSE),"")</f>
        <v/>
      </c>
    </row>
    <row r="5718" spans="4:9" x14ac:dyDescent="0.45">
      <c r="D5718" t="str">
        <f>IFERROR(VLOOKUP(C5718,'Clients List'!$A:$F,2,FALSE),"")</f>
        <v/>
      </c>
      <c r="F5718" s="1" t="str">
        <f>IF(OR(C5718="",NOT(ISNUMBER(SEARCH("Package",D5718)))),"",VLOOKUP(C5718,'Clients List'!$A:$F,4,FALSE)-SUMIFS($E$2:$E5718,$C$2:$C5718,C5718,$D$2:$D5718,"*Package*"))</f>
        <v/>
      </c>
      <c r="G5718" t="str">
        <f t="shared" si="122"/>
        <v/>
      </c>
      <c r="H5718" s="33">
        <f>IF(ISNUMBER(SEARCH("Group",D5718)),IF(G5718="",E5718,IFERROR(E5718/COUNTIF($G2:$G6000,G5718),E5718)),E5718)</f>
        <v>0</v>
      </c>
      <c r="I5718" s="1" t="str">
        <f>IFERROR(VLOOKUP(C5718,'Clients List'!A:F,6,FALSE),"")</f>
        <v/>
      </c>
    </row>
    <row r="5719" spans="4:9" x14ac:dyDescent="0.45">
      <c r="D5719" t="str">
        <f>IFERROR(VLOOKUP(C5719,'Clients List'!$A:$F,2,FALSE),"")</f>
        <v/>
      </c>
      <c r="F5719" s="1" t="str">
        <f>IF(OR(C5719="",NOT(ISNUMBER(SEARCH("Package",D5719)))),"",VLOOKUP(C5719,'Clients List'!$A:$F,4,FALSE)-SUMIFS($E$2:$E5719,$C$2:$C5719,C5719,$D$2:$D5719,"*Package*"))</f>
        <v/>
      </c>
      <c r="G5719" t="str">
        <f t="shared" si="122"/>
        <v/>
      </c>
      <c r="H5719" s="33">
        <f>IF(ISNUMBER(SEARCH("Group",D5719)),IF(G5719="",E5719,IFERROR(E5719/COUNTIF($G2:$G6000,G5719),E5719)),E5719)</f>
        <v>0</v>
      </c>
      <c r="I5719" s="1" t="str">
        <f>IFERROR(VLOOKUP(C5719,'Clients List'!A:F,6,FALSE),"")</f>
        <v/>
      </c>
    </row>
    <row r="5720" spans="4:9" x14ac:dyDescent="0.45">
      <c r="D5720" t="str">
        <f>IFERROR(VLOOKUP(C5720,'Clients List'!$A:$F,2,FALSE),"")</f>
        <v/>
      </c>
      <c r="F5720" s="1" t="str">
        <f>IF(OR(C5720="",NOT(ISNUMBER(SEARCH("Package",D5720)))),"",VLOOKUP(C5720,'Clients List'!$A:$F,4,FALSE)-SUMIFS($E$2:$E5720,$C$2:$C5720,C5720,$D$2:$D5720,"*Package*"))</f>
        <v/>
      </c>
      <c r="G5720" t="str">
        <f t="shared" si="122"/>
        <v/>
      </c>
      <c r="H5720" s="33">
        <f>IF(ISNUMBER(SEARCH("Group",D5720)),IF(G5720="",E5720,IFERROR(E5720/COUNTIF($G2:$G6000,G5720),E5720)),E5720)</f>
        <v>0</v>
      </c>
      <c r="I5720" s="1" t="str">
        <f>IFERROR(VLOOKUP(C5720,'Clients List'!A:F,6,FALSE),"")</f>
        <v/>
      </c>
    </row>
    <row r="5721" spans="4:9" x14ac:dyDescent="0.45">
      <c r="D5721" t="str">
        <f>IFERROR(VLOOKUP(C5721,'Clients List'!$A:$F,2,FALSE),"")</f>
        <v/>
      </c>
      <c r="F5721" s="1" t="str">
        <f>IF(OR(C5721="",NOT(ISNUMBER(SEARCH("Package",D5721)))),"",VLOOKUP(C5721,'Clients List'!$A:$F,4,FALSE)-SUMIFS($E$2:$E5721,$C$2:$C5721,C5721,$D$2:$D5721,"*Package*"))</f>
        <v/>
      </c>
      <c r="G5721" t="str">
        <f t="shared" si="122"/>
        <v/>
      </c>
      <c r="H5721" s="33">
        <f>IF(ISNUMBER(SEARCH("Group",D5721)),IF(G5721="",E5721,IFERROR(E5721/COUNTIF($G2:$G6000,G5721),E5721)),E5721)</f>
        <v>0</v>
      </c>
      <c r="I5721" s="1" t="str">
        <f>IFERROR(VLOOKUP(C5721,'Clients List'!A:F,6,FALSE),"")</f>
        <v/>
      </c>
    </row>
    <row r="5722" spans="4:9" x14ac:dyDescent="0.45">
      <c r="D5722" t="str">
        <f>IFERROR(VLOOKUP(C5722,'Clients List'!$A:$F,2,FALSE),"")</f>
        <v/>
      </c>
      <c r="F5722" s="1" t="str">
        <f>IF(OR(C5722="",NOT(ISNUMBER(SEARCH("Package",D5722)))),"",VLOOKUP(C5722,'Clients List'!$A:$F,4,FALSE)-SUMIFS($E$2:$E5722,$C$2:$C5722,C5722,$D$2:$D5722,"*Package*"))</f>
        <v/>
      </c>
      <c r="G5722" t="str">
        <f t="shared" si="122"/>
        <v/>
      </c>
      <c r="H5722" s="33">
        <f>IF(ISNUMBER(SEARCH("Group",D5722)),IF(G5722="",E5722,IFERROR(E5722/COUNTIF($G2:$G6000,G5722),E5722)),E5722)</f>
        <v>0</v>
      </c>
      <c r="I5722" s="1" t="str">
        <f>IFERROR(VLOOKUP(C5722,'Clients List'!A:F,6,FALSE),"")</f>
        <v/>
      </c>
    </row>
    <row r="5723" spans="4:9" x14ac:dyDescent="0.45">
      <c r="D5723" t="str">
        <f>IFERROR(VLOOKUP(C5723,'Clients List'!$A:$F,2,FALSE),"")</f>
        <v/>
      </c>
      <c r="F5723" s="1" t="str">
        <f>IF(OR(C5723="",NOT(ISNUMBER(SEARCH("Package",D5723)))),"",VLOOKUP(C5723,'Clients List'!$A:$F,4,FALSE)-SUMIFS($E$2:$E5723,$C$2:$C5723,C5723,$D$2:$D5723,"*Package*"))</f>
        <v/>
      </c>
      <c r="G5723" t="str">
        <f t="shared" si="122"/>
        <v/>
      </c>
      <c r="H5723" s="33">
        <f>IF(ISNUMBER(SEARCH("Group",D5723)),IF(G5723="",E5723,IFERROR(E5723/COUNTIF($G2:$G6000,G5723),E5723)),E5723)</f>
        <v>0</v>
      </c>
      <c r="I5723" s="1" t="str">
        <f>IFERROR(VLOOKUP(C5723,'Clients List'!A:F,6,FALSE),"")</f>
        <v/>
      </c>
    </row>
    <row r="5724" spans="4:9" x14ac:dyDescent="0.45">
      <c r="D5724" t="str">
        <f>IFERROR(VLOOKUP(C5724,'Clients List'!$A:$F,2,FALSE),"")</f>
        <v/>
      </c>
      <c r="F5724" s="1" t="str">
        <f>IF(OR(C5724="",NOT(ISNUMBER(SEARCH("Package",D5724)))),"",VLOOKUP(C5724,'Clients List'!$A:$F,4,FALSE)-SUMIFS($E$2:$E5724,$C$2:$C5724,C5724,$D$2:$D5724,"*Package*"))</f>
        <v/>
      </c>
      <c r="G5724" t="str">
        <f t="shared" si="122"/>
        <v/>
      </c>
      <c r="H5724" s="33">
        <f>IF(ISNUMBER(SEARCH("Group",D5724)),IF(G5724="",E5724,IFERROR(E5724/COUNTIF($G2:$G6000,G5724),E5724)),E5724)</f>
        <v>0</v>
      </c>
      <c r="I5724" s="1" t="str">
        <f>IFERROR(VLOOKUP(C5724,'Clients List'!A:F,6,FALSE),"")</f>
        <v/>
      </c>
    </row>
    <row r="5725" spans="4:9" x14ac:dyDescent="0.45">
      <c r="D5725" t="str">
        <f>IFERROR(VLOOKUP(C5725,'Clients List'!$A:$F,2,FALSE),"")</f>
        <v/>
      </c>
      <c r="F5725" s="1" t="str">
        <f>IF(OR(C5725="",NOT(ISNUMBER(SEARCH("Package",D5725)))),"",VLOOKUP(C5725,'Clients List'!$A:$F,4,FALSE)-SUMIFS($E$2:$E5725,$C$2:$C5725,C5725,$D$2:$D5725,"*Package*"))</f>
        <v/>
      </c>
      <c r="G5725" t="str">
        <f t="shared" si="122"/>
        <v/>
      </c>
      <c r="H5725" s="33">
        <f>IF(ISNUMBER(SEARCH("Group",D5725)),IF(G5725="",E5725,IFERROR(E5725/COUNTIF($G2:$G6000,G5725),E5725)),E5725)</f>
        <v>0</v>
      </c>
      <c r="I5725" s="1" t="str">
        <f>IFERROR(VLOOKUP(C5725,'Clients List'!A:F,6,FALSE),"")</f>
        <v/>
      </c>
    </row>
    <row r="5726" spans="4:9" x14ac:dyDescent="0.45">
      <c r="D5726" t="str">
        <f>IFERROR(VLOOKUP(C5726,'Clients List'!$A:$F,2,FALSE),"")</f>
        <v/>
      </c>
      <c r="F5726" s="1" t="str">
        <f>IF(OR(C5726="",NOT(ISNUMBER(SEARCH("Package",D5726)))),"",VLOOKUP(C5726,'Clients List'!$A:$F,4,FALSE)-SUMIFS($E$2:$E5726,$C$2:$C5726,C5726,$D$2:$D5726,"*Package*"))</f>
        <v/>
      </c>
      <c r="G5726" t="str">
        <f t="shared" si="122"/>
        <v/>
      </c>
      <c r="H5726" s="33">
        <f>IF(ISNUMBER(SEARCH("Group",D5726)),IF(G5726="",E5726,IFERROR(E5726/COUNTIF($G2:$G6000,G5726),E5726)),E5726)</f>
        <v>0</v>
      </c>
      <c r="I5726" s="1" t="str">
        <f>IFERROR(VLOOKUP(C5726,'Clients List'!A:F,6,FALSE),"")</f>
        <v/>
      </c>
    </row>
    <row r="5727" spans="4:9" x14ac:dyDescent="0.45">
      <c r="D5727" t="str">
        <f>IFERROR(VLOOKUP(C5727,'Clients List'!$A:$F,2,FALSE),"")</f>
        <v/>
      </c>
      <c r="F5727" s="1" t="str">
        <f>IF(OR(C5727="",NOT(ISNUMBER(SEARCH("Package",D5727)))),"",VLOOKUP(C5727,'Clients List'!$A:$F,4,FALSE)-SUMIFS($E$2:$E5727,$C$2:$C5727,C5727,$D$2:$D5727,"*Package*"))</f>
        <v/>
      </c>
      <c r="G5727" t="str">
        <f t="shared" si="122"/>
        <v/>
      </c>
      <c r="H5727" s="33">
        <f>IF(ISNUMBER(SEARCH("Group",D5727)),IF(G5727="",E5727,IFERROR(E5727/COUNTIF($G2:$G6000,G5727),E5727)),E5727)</f>
        <v>0</v>
      </c>
      <c r="I5727" s="1" t="str">
        <f>IFERROR(VLOOKUP(C5727,'Clients List'!A:F,6,FALSE),"")</f>
        <v/>
      </c>
    </row>
    <row r="5728" spans="4:9" x14ac:dyDescent="0.45">
      <c r="D5728" t="str">
        <f>IFERROR(VLOOKUP(C5728,'Clients List'!$A:$F,2,FALSE),"")</f>
        <v/>
      </c>
      <c r="F5728" s="1" t="str">
        <f>IF(OR(C5728="",NOT(ISNUMBER(SEARCH("Package",D5728)))),"",VLOOKUP(C5728,'Clients List'!$A:$F,4,FALSE)-SUMIFS($E$2:$E5728,$C$2:$C5728,C5728,$D$2:$D5728,"*Package*"))</f>
        <v/>
      </c>
      <c r="G5728" t="str">
        <f t="shared" si="122"/>
        <v/>
      </c>
      <c r="H5728" s="33">
        <f>IF(ISNUMBER(SEARCH("Group",D5728)),IF(G5728="",E5728,IFERROR(E5728/COUNTIF($G2:$G6000,G5728),E5728)),E5728)</f>
        <v>0</v>
      </c>
      <c r="I5728" s="1" t="str">
        <f>IFERROR(VLOOKUP(C5728,'Clients List'!A:F,6,FALSE),"")</f>
        <v/>
      </c>
    </row>
    <row r="5729" spans="4:9" x14ac:dyDescent="0.45">
      <c r="D5729" t="str">
        <f>IFERROR(VLOOKUP(C5729,'Clients List'!$A:$F,2,FALSE),"")</f>
        <v/>
      </c>
      <c r="F5729" s="1" t="str">
        <f>IF(OR(C5729="",NOT(ISNUMBER(SEARCH("Package",D5729)))),"",VLOOKUP(C5729,'Clients List'!$A:$F,4,FALSE)-SUMIFS($E$2:$E5729,$C$2:$C5729,C5729,$D$2:$D5729,"*Package*"))</f>
        <v/>
      </c>
      <c r="G5729" t="str">
        <f t="shared" si="122"/>
        <v/>
      </c>
      <c r="H5729" s="33">
        <f>IF(ISNUMBER(SEARCH("Group",D5729)),IF(G5729="",E5729,IFERROR(E5729/COUNTIF($G2:$G6000,G5729),E5729)),E5729)</f>
        <v>0</v>
      </c>
      <c r="I5729" s="1" t="str">
        <f>IFERROR(VLOOKUP(C5729,'Clients List'!A:F,6,FALSE),"")</f>
        <v/>
      </c>
    </row>
    <row r="5730" spans="4:9" x14ac:dyDescent="0.45">
      <c r="D5730" t="str">
        <f>IFERROR(VLOOKUP(C5730,'Clients List'!$A:$F,2,FALSE),"")</f>
        <v/>
      </c>
      <c r="F5730" s="1" t="str">
        <f>IF(OR(C5730="",NOT(ISNUMBER(SEARCH("Package",D5730)))),"",VLOOKUP(C5730,'Clients List'!$A:$F,4,FALSE)-SUMIFS($E$2:$E5730,$C$2:$C5730,C5730,$D$2:$D5730,"*Package*"))</f>
        <v/>
      </c>
      <c r="G5730" t="str">
        <f t="shared" si="122"/>
        <v/>
      </c>
      <c r="H5730" s="33">
        <f>IF(ISNUMBER(SEARCH("Group",D5730)),IF(G5730="",E5730,IFERROR(E5730/COUNTIF($G2:$G6000,G5730),E5730)),E5730)</f>
        <v>0</v>
      </c>
      <c r="I5730" s="1" t="str">
        <f>IFERROR(VLOOKUP(C5730,'Clients List'!A:F,6,FALSE),"")</f>
        <v/>
      </c>
    </row>
    <row r="5731" spans="4:9" x14ac:dyDescent="0.45">
      <c r="D5731" t="str">
        <f>IFERROR(VLOOKUP(C5731,'Clients List'!$A:$F,2,FALSE),"")</f>
        <v/>
      </c>
      <c r="F5731" s="1" t="str">
        <f>IF(OR(C5731="",NOT(ISNUMBER(SEARCH("Package",D5731)))),"",VLOOKUP(C5731,'Clients List'!$A:$F,4,FALSE)-SUMIFS($E$2:$E5731,$C$2:$C5731,C5731,$D$2:$D5731,"*Package*"))</f>
        <v/>
      </c>
      <c r="G5731" t="str">
        <f t="shared" si="122"/>
        <v/>
      </c>
      <c r="H5731" s="33">
        <f>IF(ISNUMBER(SEARCH("Group",D5731)),IF(G5731="",E5731,IFERROR(E5731/COUNTIF($G2:$G6000,G5731),E5731)),E5731)</f>
        <v>0</v>
      </c>
      <c r="I5731" s="1" t="str">
        <f>IFERROR(VLOOKUP(C5731,'Clients List'!A:F,6,FALSE),"")</f>
        <v/>
      </c>
    </row>
    <row r="5732" spans="4:9" x14ac:dyDescent="0.45">
      <c r="D5732" t="str">
        <f>IFERROR(VLOOKUP(C5732,'Clients List'!$A:$F,2,FALSE),"")</f>
        <v/>
      </c>
      <c r="F5732" s="1" t="str">
        <f>IF(OR(C5732="",NOT(ISNUMBER(SEARCH("Package",D5732)))),"",VLOOKUP(C5732,'Clients List'!$A:$F,4,FALSE)-SUMIFS($E$2:$E5732,$C$2:$C5732,C5732,$D$2:$D5732,"*Package*"))</f>
        <v/>
      </c>
      <c r="G5732" t="str">
        <f t="shared" si="122"/>
        <v/>
      </c>
      <c r="H5732" s="33">
        <f>IF(ISNUMBER(SEARCH("Group",D5732)),IF(G5732="",E5732,IFERROR(E5732/COUNTIF($G2:$G6000,G5732),E5732)),E5732)</f>
        <v>0</v>
      </c>
      <c r="I5732" s="1" t="str">
        <f>IFERROR(VLOOKUP(C5732,'Clients List'!A:F,6,FALSE),"")</f>
        <v/>
      </c>
    </row>
    <row r="5733" spans="4:9" x14ac:dyDescent="0.45">
      <c r="D5733" t="str">
        <f>IFERROR(VLOOKUP(C5733,'Clients List'!$A:$F,2,FALSE),"")</f>
        <v/>
      </c>
      <c r="F5733" s="1" t="str">
        <f>IF(OR(C5733="",NOT(ISNUMBER(SEARCH("Package",D5733)))),"",VLOOKUP(C5733,'Clients List'!$A:$F,4,FALSE)-SUMIFS($E$2:$E5733,$C$2:$C5733,C5733,$D$2:$D5733,"*Package*"))</f>
        <v/>
      </c>
      <c r="G5733" t="str">
        <f t="shared" si="122"/>
        <v/>
      </c>
      <c r="H5733" s="33">
        <f>IF(ISNUMBER(SEARCH("Group",D5733)),IF(G5733="",E5733,IFERROR(E5733/COUNTIF($G2:$G6000,G5733),E5733)),E5733)</f>
        <v>0</v>
      </c>
      <c r="I5733" s="1" t="str">
        <f>IFERROR(VLOOKUP(C5733,'Clients List'!A:F,6,FALSE),"")</f>
        <v/>
      </c>
    </row>
    <row r="5734" spans="4:9" x14ac:dyDescent="0.45">
      <c r="D5734" t="str">
        <f>IFERROR(VLOOKUP(C5734,'Clients List'!$A:$F,2,FALSE),"")</f>
        <v/>
      </c>
      <c r="F5734" s="1" t="str">
        <f>IF(OR(C5734="",NOT(ISNUMBER(SEARCH("Package",D5734)))),"",VLOOKUP(C5734,'Clients List'!$A:$F,4,FALSE)-SUMIFS($E$2:$E5734,$C$2:$C5734,C5734,$D$2:$D5734,"*Package*"))</f>
        <v/>
      </c>
      <c r="G5734" t="str">
        <f t="shared" si="122"/>
        <v/>
      </c>
      <c r="H5734" s="33">
        <f>IF(ISNUMBER(SEARCH("Group",D5734)),IF(G5734="",E5734,IFERROR(E5734/COUNTIF($G2:$G6000,G5734),E5734)),E5734)</f>
        <v>0</v>
      </c>
      <c r="I5734" s="1" t="str">
        <f>IFERROR(VLOOKUP(C5734,'Clients List'!A:F,6,FALSE),"")</f>
        <v/>
      </c>
    </row>
    <row r="5735" spans="4:9" x14ac:dyDescent="0.45">
      <c r="D5735" t="str">
        <f>IFERROR(VLOOKUP(C5735,'Clients List'!$A:$F,2,FALSE),"")</f>
        <v/>
      </c>
      <c r="F5735" s="1" t="str">
        <f>IF(OR(C5735="",NOT(ISNUMBER(SEARCH("Package",D5735)))),"",VLOOKUP(C5735,'Clients List'!$A:$F,4,FALSE)-SUMIFS($E$2:$E5735,$C$2:$C5735,C5735,$D$2:$D5735,"*Package*"))</f>
        <v/>
      </c>
      <c r="G5735" t="str">
        <f t="shared" si="122"/>
        <v/>
      </c>
      <c r="H5735" s="33">
        <f>IF(ISNUMBER(SEARCH("Group",D5735)),IF(G5735="",E5735,IFERROR(E5735/COUNTIF($G2:$G6000,G5735),E5735)),E5735)</f>
        <v>0</v>
      </c>
      <c r="I5735" s="1" t="str">
        <f>IFERROR(VLOOKUP(C5735,'Clients List'!A:F,6,FALSE),"")</f>
        <v/>
      </c>
    </row>
    <row r="5736" spans="4:9" x14ac:dyDescent="0.45">
      <c r="D5736" t="str">
        <f>IFERROR(VLOOKUP(C5736,'Clients List'!$A:$F,2,FALSE),"")</f>
        <v/>
      </c>
      <c r="F5736" s="1" t="str">
        <f>IF(OR(C5736="",NOT(ISNUMBER(SEARCH("Package",D5736)))),"",VLOOKUP(C5736,'Clients List'!$A:$F,4,FALSE)-SUMIFS($E$2:$E5736,$C$2:$C5736,C5736,$D$2:$D5736,"*Package*"))</f>
        <v/>
      </c>
      <c r="G5736" t="str">
        <f t="shared" si="122"/>
        <v/>
      </c>
      <c r="H5736" s="33">
        <f>IF(ISNUMBER(SEARCH("Group",D5736)),IF(G5736="",E5736,IFERROR(E5736/COUNTIF($G2:$G6000,G5736),E5736)),E5736)</f>
        <v>0</v>
      </c>
      <c r="I5736" s="1" t="str">
        <f>IFERROR(VLOOKUP(C5736,'Clients List'!A:F,6,FALSE),"")</f>
        <v/>
      </c>
    </row>
    <row r="5737" spans="4:9" x14ac:dyDescent="0.45">
      <c r="D5737" t="str">
        <f>IFERROR(VLOOKUP(C5737,'Clients List'!$A:$F,2,FALSE),"")</f>
        <v/>
      </c>
      <c r="F5737" s="1" t="str">
        <f>IF(OR(C5737="",NOT(ISNUMBER(SEARCH("Package",D5737)))),"",VLOOKUP(C5737,'Clients List'!$A:$F,4,FALSE)-SUMIFS($E$2:$E5737,$C$2:$C5737,C5737,$D$2:$D5737,"*Package*"))</f>
        <v/>
      </c>
      <c r="G5737" t="str">
        <f t="shared" si="122"/>
        <v/>
      </c>
      <c r="H5737" s="33">
        <f>IF(ISNUMBER(SEARCH("Group",D5737)),IF(G5737="",E5737,IFERROR(E5737/COUNTIF($G2:$G6000,G5737),E5737)),E5737)</f>
        <v>0</v>
      </c>
      <c r="I5737" s="1" t="str">
        <f>IFERROR(VLOOKUP(C5737,'Clients List'!A:F,6,FALSE),"")</f>
        <v/>
      </c>
    </row>
    <row r="5738" spans="4:9" x14ac:dyDescent="0.45">
      <c r="D5738" t="str">
        <f>IFERROR(VLOOKUP(C5738,'Clients List'!$A:$F,2,FALSE),"")</f>
        <v/>
      </c>
      <c r="F5738" s="1" t="str">
        <f>IF(OR(C5738="",NOT(ISNUMBER(SEARCH("Package",D5738)))),"",VLOOKUP(C5738,'Clients List'!$A:$F,4,FALSE)-SUMIFS($E$2:$E5738,$C$2:$C5738,C5738,$D$2:$D5738,"*Package*"))</f>
        <v/>
      </c>
      <c r="G5738" t="str">
        <f t="shared" si="122"/>
        <v/>
      </c>
      <c r="H5738" s="33">
        <f>IF(ISNUMBER(SEARCH("Group",D5738)),IF(G5738="",E5738,IFERROR(E5738/COUNTIF($G2:$G6000,G5738),E5738)),E5738)</f>
        <v>0</v>
      </c>
      <c r="I5738" s="1" t="str">
        <f>IFERROR(VLOOKUP(C5738,'Clients List'!A:F,6,FALSE),"")</f>
        <v/>
      </c>
    </row>
    <row r="5739" spans="4:9" x14ac:dyDescent="0.45">
      <c r="D5739" t="str">
        <f>IFERROR(VLOOKUP(C5739,'Clients List'!$A:$F,2,FALSE),"")</f>
        <v/>
      </c>
      <c r="F5739" s="1" t="str">
        <f>IF(OR(C5739="",NOT(ISNUMBER(SEARCH("Package",D5739)))),"",VLOOKUP(C5739,'Clients List'!$A:$F,4,FALSE)-SUMIFS($E$2:$E5739,$C$2:$C5739,C5739,$D$2:$D5739,"*Package*"))</f>
        <v/>
      </c>
      <c r="G5739" t="str">
        <f t="shared" si="122"/>
        <v/>
      </c>
      <c r="H5739" s="33">
        <f>IF(ISNUMBER(SEARCH("Group",D5739)),IF(G5739="",E5739,IFERROR(E5739/COUNTIF($G2:$G6000,G5739),E5739)),E5739)</f>
        <v>0</v>
      </c>
      <c r="I5739" s="1" t="str">
        <f>IFERROR(VLOOKUP(C5739,'Clients List'!A:F,6,FALSE),"")</f>
        <v/>
      </c>
    </row>
    <row r="5740" spans="4:9" x14ac:dyDescent="0.45">
      <c r="D5740" t="str">
        <f>IFERROR(VLOOKUP(C5740,'Clients List'!$A:$F,2,FALSE),"")</f>
        <v/>
      </c>
      <c r="F5740" s="1" t="str">
        <f>IF(OR(C5740="",NOT(ISNUMBER(SEARCH("Package",D5740)))),"",VLOOKUP(C5740,'Clients List'!$A:$F,4,FALSE)-SUMIFS($E$2:$E5740,$C$2:$C5740,C5740,$D$2:$D5740,"*Package*"))</f>
        <v/>
      </c>
      <c r="G5740" t="str">
        <f t="shared" si="122"/>
        <v/>
      </c>
      <c r="H5740" s="33">
        <f>IF(ISNUMBER(SEARCH("Group",D5740)),IF(G5740="",E5740,IFERROR(E5740/COUNTIF($G2:$G6000,G5740),E5740)),E5740)</f>
        <v>0</v>
      </c>
      <c r="I5740" s="1" t="str">
        <f>IFERROR(VLOOKUP(C5740,'Clients List'!A:F,6,FALSE),"")</f>
        <v/>
      </c>
    </row>
    <row r="5741" spans="4:9" x14ac:dyDescent="0.45">
      <c r="D5741" t="str">
        <f>IFERROR(VLOOKUP(C5741,'Clients List'!$A:$F,2,FALSE),"")</f>
        <v/>
      </c>
      <c r="F5741" s="1" t="str">
        <f>IF(OR(C5741="",NOT(ISNUMBER(SEARCH("Package",D5741)))),"",VLOOKUP(C5741,'Clients List'!$A:$F,4,FALSE)-SUMIFS($E$2:$E5741,$C$2:$C5741,C5741,$D$2:$D5741,"*Package*"))</f>
        <v/>
      </c>
      <c r="G5741" t="str">
        <f t="shared" si="122"/>
        <v/>
      </c>
      <c r="H5741" s="33">
        <f>IF(ISNUMBER(SEARCH("Group",D5741)),IF(G5741="",E5741,IFERROR(E5741/COUNTIF($G2:$G6000,G5741),E5741)),E5741)</f>
        <v>0</v>
      </c>
      <c r="I5741" s="1" t="str">
        <f>IFERROR(VLOOKUP(C5741,'Clients List'!A:F,6,FALSE),"")</f>
        <v/>
      </c>
    </row>
    <row r="5742" spans="4:9" x14ac:dyDescent="0.45">
      <c r="D5742" t="str">
        <f>IFERROR(VLOOKUP(C5742,'Clients List'!$A:$F,2,FALSE),"")</f>
        <v/>
      </c>
      <c r="F5742" s="1" t="str">
        <f>IF(OR(C5742="",NOT(ISNUMBER(SEARCH("Package",D5742)))),"",VLOOKUP(C5742,'Clients List'!$A:$F,4,FALSE)-SUMIFS($E$2:$E5742,$C$2:$C5742,C5742,$D$2:$D5742,"*Package*"))</f>
        <v/>
      </c>
      <c r="G5742" t="str">
        <f t="shared" si="122"/>
        <v/>
      </c>
      <c r="H5742" s="33">
        <f>IF(ISNUMBER(SEARCH("Group",D5742)),IF(G5742="",E5742,IFERROR(E5742/COUNTIF($G2:$G6000,G5742),E5742)),E5742)</f>
        <v>0</v>
      </c>
      <c r="I5742" s="1" t="str">
        <f>IFERROR(VLOOKUP(C5742,'Clients List'!A:F,6,FALSE),"")</f>
        <v/>
      </c>
    </row>
    <row r="5743" spans="4:9" x14ac:dyDescent="0.45">
      <c r="D5743" t="str">
        <f>IFERROR(VLOOKUP(C5743,'Clients List'!$A:$F,2,FALSE),"")</f>
        <v/>
      </c>
      <c r="F5743" s="1" t="str">
        <f>IF(OR(C5743="",NOT(ISNUMBER(SEARCH("Package",D5743)))),"",VLOOKUP(C5743,'Clients List'!$A:$F,4,FALSE)-SUMIFS($E$2:$E5743,$C$2:$C5743,C5743,$D$2:$D5743,"*Package*"))</f>
        <v/>
      </c>
      <c r="G5743" t="str">
        <f t="shared" si="122"/>
        <v/>
      </c>
      <c r="H5743" s="33">
        <f>IF(ISNUMBER(SEARCH("Group",D5743)),IF(G5743="",E5743,IFERROR(E5743/COUNTIF($G2:$G6000,G5743),E5743)),E5743)</f>
        <v>0</v>
      </c>
      <c r="I5743" s="1" t="str">
        <f>IFERROR(VLOOKUP(C5743,'Clients List'!A:F,6,FALSE),"")</f>
        <v/>
      </c>
    </row>
    <row r="5744" spans="4:9" x14ac:dyDescent="0.45">
      <c r="D5744" t="str">
        <f>IFERROR(VLOOKUP(C5744,'Clients List'!$A:$F,2,FALSE),"")</f>
        <v/>
      </c>
      <c r="F5744" s="1" t="str">
        <f>IF(OR(C5744="",NOT(ISNUMBER(SEARCH("Package",D5744)))),"",VLOOKUP(C5744,'Clients List'!$A:$F,4,FALSE)-SUMIFS($E$2:$E5744,$C$2:$C5744,C5744,$D$2:$D5744,"*Package*"))</f>
        <v/>
      </c>
      <c r="G5744" t="str">
        <f t="shared" si="122"/>
        <v/>
      </c>
      <c r="H5744" s="33">
        <f>IF(ISNUMBER(SEARCH("Group",D5744)),IF(G5744="",E5744,IFERROR(E5744/COUNTIF($G2:$G6000,G5744),E5744)),E5744)</f>
        <v>0</v>
      </c>
      <c r="I5744" s="1" t="str">
        <f>IFERROR(VLOOKUP(C5744,'Clients List'!A:F,6,FALSE),"")</f>
        <v/>
      </c>
    </row>
    <row r="5745" spans="4:9" x14ac:dyDescent="0.45">
      <c r="D5745" t="str">
        <f>IFERROR(VLOOKUP(C5745,'Clients List'!$A:$F,2,FALSE),"")</f>
        <v/>
      </c>
      <c r="F5745" s="1" t="str">
        <f>IF(OR(C5745="",NOT(ISNUMBER(SEARCH("Package",D5745)))),"",VLOOKUP(C5745,'Clients List'!$A:$F,4,FALSE)-SUMIFS($E$2:$E5745,$C$2:$C5745,C5745,$D$2:$D5745,"*Package*"))</f>
        <v/>
      </c>
      <c r="G5745" t="str">
        <f t="shared" si="122"/>
        <v/>
      </c>
      <c r="H5745" s="33">
        <f>IF(ISNUMBER(SEARCH("Group",D5745)),IF(G5745="",E5745,IFERROR(E5745/COUNTIF($G2:$G6000,G5745),E5745)),E5745)</f>
        <v>0</v>
      </c>
      <c r="I5745" s="1" t="str">
        <f>IFERROR(VLOOKUP(C5745,'Clients List'!A:F,6,FALSE),"")</f>
        <v/>
      </c>
    </row>
    <row r="5746" spans="4:9" x14ac:dyDescent="0.45">
      <c r="D5746" t="str">
        <f>IFERROR(VLOOKUP(C5746,'Clients List'!$A:$F,2,FALSE),"")</f>
        <v/>
      </c>
      <c r="F5746" s="1" t="str">
        <f>IF(OR(C5746="",NOT(ISNUMBER(SEARCH("Package",D5746)))),"",VLOOKUP(C5746,'Clients List'!$A:$F,4,FALSE)-SUMIFS($E$2:$E5746,$C$2:$C5746,C5746,$D$2:$D5746,"*Package*"))</f>
        <v/>
      </c>
      <c r="G5746" t="str">
        <f t="shared" si="122"/>
        <v/>
      </c>
      <c r="H5746" s="33">
        <f>IF(ISNUMBER(SEARCH("Group",D5746)),IF(G5746="",E5746,IFERROR(E5746/COUNTIF($G2:$G6000,G5746),E5746)),E5746)</f>
        <v>0</v>
      </c>
      <c r="I5746" s="1" t="str">
        <f>IFERROR(VLOOKUP(C5746,'Clients List'!A:F,6,FALSE),"")</f>
        <v/>
      </c>
    </row>
    <row r="5747" spans="4:9" x14ac:dyDescent="0.45">
      <c r="D5747" t="str">
        <f>IFERROR(VLOOKUP(C5747,'Clients List'!$A:$F,2,FALSE),"")</f>
        <v/>
      </c>
      <c r="F5747" s="1" t="str">
        <f>IF(OR(C5747="",NOT(ISNUMBER(SEARCH("Package",D5747)))),"",VLOOKUP(C5747,'Clients List'!$A:$F,4,FALSE)-SUMIFS($E$2:$E5747,$C$2:$C5747,C5747,$D$2:$D5747,"*Package*"))</f>
        <v/>
      </c>
      <c r="G5747" t="str">
        <f t="shared" si="122"/>
        <v/>
      </c>
      <c r="H5747" s="33">
        <f>IF(ISNUMBER(SEARCH("Group",D5747)),IF(G5747="",E5747,IFERROR(E5747/COUNTIF($G2:$G6000,G5747),E5747)),E5747)</f>
        <v>0</v>
      </c>
      <c r="I5747" s="1" t="str">
        <f>IFERROR(VLOOKUP(C5747,'Clients List'!A:F,6,FALSE),"")</f>
        <v/>
      </c>
    </row>
    <row r="5748" spans="4:9" x14ac:dyDescent="0.45">
      <c r="D5748" t="str">
        <f>IFERROR(VLOOKUP(C5748,'Clients List'!$A:$F,2,FALSE),"")</f>
        <v/>
      </c>
      <c r="F5748" s="1" t="str">
        <f>IF(OR(C5748="",NOT(ISNUMBER(SEARCH("Package",D5748)))),"",VLOOKUP(C5748,'Clients List'!$A:$F,4,FALSE)-SUMIFS($E$2:$E5748,$C$2:$C5748,C5748,$D$2:$D5748,"*Package*"))</f>
        <v/>
      </c>
      <c r="G5748" t="str">
        <f t="shared" si="122"/>
        <v/>
      </c>
      <c r="H5748" s="33">
        <f>IF(ISNUMBER(SEARCH("Group",D5748)),IF(G5748="",E5748,IFERROR(E5748/COUNTIF($G2:$G6000,G5748),E5748)),E5748)</f>
        <v>0</v>
      </c>
      <c r="I5748" s="1" t="str">
        <f>IFERROR(VLOOKUP(C5748,'Clients List'!A:F,6,FALSE),"")</f>
        <v/>
      </c>
    </row>
    <row r="5749" spans="4:9" x14ac:dyDescent="0.45">
      <c r="D5749" t="str">
        <f>IFERROR(VLOOKUP(C5749,'Clients List'!$A:$F,2,FALSE),"")</f>
        <v/>
      </c>
      <c r="F5749" s="1" t="str">
        <f>IF(OR(C5749="",NOT(ISNUMBER(SEARCH("Package",D5749)))),"",VLOOKUP(C5749,'Clients List'!$A:$F,4,FALSE)-SUMIFS($E$2:$E5749,$C$2:$C5749,C5749,$D$2:$D5749,"*Package*"))</f>
        <v/>
      </c>
      <c r="G5749" t="str">
        <f t="shared" ref="G5749:G5812" si="123">IF(ISNUMBER(SEARCH("Group",D5749)),IFERROR("GRP-"&amp;TEXT(IF(ISNUMBER(A5749),A5749,DATEVALUE(A5749)),"yyyymmdd"),""),"" )</f>
        <v/>
      </c>
      <c r="H5749" s="33">
        <f>IF(ISNUMBER(SEARCH("Group",D5749)),IF(G5749="",E5749,IFERROR(E5749/COUNTIF($G2:$G6000,G5749),E5749)),E5749)</f>
        <v>0</v>
      </c>
      <c r="I5749" s="1" t="str">
        <f>IFERROR(VLOOKUP(C5749,'Clients List'!A:F,6,FALSE),"")</f>
        <v/>
      </c>
    </row>
    <row r="5750" spans="4:9" x14ac:dyDescent="0.45">
      <c r="D5750" t="str">
        <f>IFERROR(VLOOKUP(C5750,'Clients List'!$A:$F,2,FALSE),"")</f>
        <v/>
      </c>
      <c r="F5750" s="1" t="str">
        <f>IF(OR(C5750="",NOT(ISNUMBER(SEARCH("Package",D5750)))),"",VLOOKUP(C5750,'Clients List'!$A:$F,4,FALSE)-SUMIFS($E$2:$E5750,$C$2:$C5750,C5750,$D$2:$D5750,"*Package*"))</f>
        <v/>
      </c>
      <c r="G5750" t="str">
        <f t="shared" si="123"/>
        <v/>
      </c>
      <c r="H5750" s="33">
        <f>IF(ISNUMBER(SEARCH("Group",D5750)),IF(G5750="",E5750,IFERROR(E5750/COUNTIF($G2:$G6000,G5750),E5750)),E5750)</f>
        <v>0</v>
      </c>
      <c r="I5750" s="1" t="str">
        <f>IFERROR(VLOOKUP(C5750,'Clients List'!A:F,6,FALSE),"")</f>
        <v/>
      </c>
    </row>
    <row r="5751" spans="4:9" x14ac:dyDescent="0.45">
      <c r="D5751" t="str">
        <f>IFERROR(VLOOKUP(C5751,'Clients List'!$A:$F,2,FALSE),"")</f>
        <v/>
      </c>
      <c r="F5751" s="1" t="str">
        <f>IF(OR(C5751="",NOT(ISNUMBER(SEARCH("Package",D5751)))),"",VLOOKUP(C5751,'Clients List'!$A:$F,4,FALSE)-SUMIFS($E$2:$E5751,$C$2:$C5751,C5751,$D$2:$D5751,"*Package*"))</f>
        <v/>
      </c>
      <c r="G5751" t="str">
        <f t="shared" si="123"/>
        <v/>
      </c>
      <c r="H5751" s="33">
        <f>IF(ISNUMBER(SEARCH("Group",D5751)),IF(G5751="",E5751,IFERROR(E5751/COUNTIF($G2:$G6000,G5751),E5751)),E5751)</f>
        <v>0</v>
      </c>
      <c r="I5751" s="1" t="str">
        <f>IFERROR(VLOOKUP(C5751,'Clients List'!A:F,6,FALSE),"")</f>
        <v/>
      </c>
    </row>
    <row r="5752" spans="4:9" x14ac:dyDescent="0.45">
      <c r="D5752" t="str">
        <f>IFERROR(VLOOKUP(C5752,'Clients List'!$A:$F,2,FALSE),"")</f>
        <v/>
      </c>
      <c r="F5752" s="1" t="str">
        <f>IF(OR(C5752="",NOT(ISNUMBER(SEARCH("Package",D5752)))),"",VLOOKUP(C5752,'Clients List'!$A:$F,4,FALSE)-SUMIFS($E$2:$E5752,$C$2:$C5752,C5752,$D$2:$D5752,"*Package*"))</f>
        <v/>
      </c>
      <c r="G5752" t="str">
        <f t="shared" si="123"/>
        <v/>
      </c>
      <c r="H5752" s="33">
        <f>IF(ISNUMBER(SEARCH("Group",D5752)),IF(G5752="",E5752,IFERROR(E5752/COUNTIF($G2:$G6000,G5752),E5752)),E5752)</f>
        <v>0</v>
      </c>
      <c r="I5752" s="1" t="str">
        <f>IFERROR(VLOOKUP(C5752,'Clients List'!A:F,6,FALSE),"")</f>
        <v/>
      </c>
    </row>
    <row r="5753" spans="4:9" x14ac:dyDescent="0.45">
      <c r="D5753" t="str">
        <f>IFERROR(VLOOKUP(C5753,'Clients List'!$A:$F,2,FALSE),"")</f>
        <v/>
      </c>
      <c r="F5753" s="1" t="str">
        <f>IF(OR(C5753="",NOT(ISNUMBER(SEARCH("Package",D5753)))),"",VLOOKUP(C5753,'Clients List'!$A:$F,4,FALSE)-SUMIFS($E$2:$E5753,$C$2:$C5753,C5753,$D$2:$D5753,"*Package*"))</f>
        <v/>
      </c>
      <c r="G5753" t="str">
        <f t="shared" si="123"/>
        <v/>
      </c>
      <c r="H5753" s="33">
        <f>IF(ISNUMBER(SEARCH("Group",D5753)),IF(G5753="",E5753,IFERROR(E5753/COUNTIF($G2:$G6000,G5753),E5753)),E5753)</f>
        <v>0</v>
      </c>
      <c r="I5753" s="1" t="str">
        <f>IFERROR(VLOOKUP(C5753,'Clients List'!A:F,6,FALSE),"")</f>
        <v/>
      </c>
    </row>
    <row r="5754" spans="4:9" x14ac:dyDescent="0.45">
      <c r="D5754" t="str">
        <f>IFERROR(VLOOKUP(C5754,'Clients List'!$A:$F,2,FALSE),"")</f>
        <v/>
      </c>
      <c r="F5754" s="1" t="str">
        <f>IF(OR(C5754="",NOT(ISNUMBER(SEARCH("Package",D5754)))),"",VLOOKUP(C5754,'Clients List'!$A:$F,4,FALSE)-SUMIFS($E$2:$E5754,$C$2:$C5754,C5754,$D$2:$D5754,"*Package*"))</f>
        <v/>
      </c>
      <c r="G5754" t="str">
        <f t="shared" si="123"/>
        <v/>
      </c>
      <c r="H5754" s="33">
        <f>IF(ISNUMBER(SEARCH("Group",D5754)),IF(G5754="",E5754,IFERROR(E5754/COUNTIF($G2:$G6000,G5754),E5754)),E5754)</f>
        <v>0</v>
      </c>
      <c r="I5754" s="1" t="str">
        <f>IFERROR(VLOOKUP(C5754,'Clients List'!A:F,6,FALSE),"")</f>
        <v/>
      </c>
    </row>
    <row r="5755" spans="4:9" x14ac:dyDescent="0.45">
      <c r="D5755" t="str">
        <f>IFERROR(VLOOKUP(C5755,'Clients List'!$A:$F,2,FALSE),"")</f>
        <v/>
      </c>
      <c r="F5755" s="1" t="str">
        <f>IF(OR(C5755="",NOT(ISNUMBER(SEARCH("Package",D5755)))),"",VLOOKUP(C5755,'Clients List'!$A:$F,4,FALSE)-SUMIFS($E$2:$E5755,$C$2:$C5755,C5755,$D$2:$D5755,"*Package*"))</f>
        <v/>
      </c>
      <c r="G5755" t="str">
        <f t="shared" si="123"/>
        <v/>
      </c>
      <c r="H5755" s="33">
        <f>IF(ISNUMBER(SEARCH("Group",D5755)),IF(G5755="",E5755,IFERROR(E5755/COUNTIF($G2:$G6000,G5755),E5755)),E5755)</f>
        <v>0</v>
      </c>
      <c r="I5755" s="1" t="str">
        <f>IFERROR(VLOOKUP(C5755,'Clients List'!A:F,6,FALSE),"")</f>
        <v/>
      </c>
    </row>
    <row r="5756" spans="4:9" x14ac:dyDescent="0.45">
      <c r="D5756" t="str">
        <f>IFERROR(VLOOKUP(C5756,'Clients List'!$A:$F,2,FALSE),"")</f>
        <v/>
      </c>
      <c r="F5756" s="1" t="str">
        <f>IF(OR(C5756="",NOT(ISNUMBER(SEARCH("Package",D5756)))),"",VLOOKUP(C5756,'Clients List'!$A:$F,4,FALSE)-SUMIFS($E$2:$E5756,$C$2:$C5756,C5756,$D$2:$D5756,"*Package*"))</f>
        <v/>
      </c>
      <c r="G5756" t="str">
        <f t="shared" si="123"/>
        <v/>
      </c>
      <c r="H5756" s="33">
        <f>IF(ISNUMBER(SEARCH("Group",D5756)),IF(G5756="",E5756,IFERROR(E5756/COUNTIF($G2:$G6000,G5756),E5756)),E5756)</f>
        <v>0</v>
      </c>
      <c r="I5756" s="1" t="str">
        <f>IFERROR(VLOOKUP(C5756,'Clients List'!A:F,6,FALSE),"")</f>
        <v/>
      </c>
    </row>
    <row r="5757" spans="4:9" x14ac:dyDescent="0.45">
      <c r="D5757" t="str">
        <f>IFERROR(VLOOKUP(C5757,'Clients List'!$A:$F,2,FALSE),"")</f>
        <v/>
      </c>
      <c r="F5757" s="1" t="str">
        <f>IF(OR(C5757="",NOT(ISNUMBER(SEARCH("Package",D5757)))),"",VLOOKUP(C5757,'Clients List'!$A:$F,4,FALSE)-SUMIFS($E$2:$E5757,$C$2:$C5757,C5757,$D$2:$D5757,"*Package*"))</f>
        <v/>
      </c>
      <c r="G5757" t="str">
        <f t="shared" si="123"/>
        <v/>
      </c>
      <c r="H5757" s="33">
        <f>IF(ISNUMBER(SEARCH("Group",D5757)),IF(G5757="",E5757,IFERROR(E5757/COUNTIF($G2:$G6000,G5757),E5757)),E5757)</f>
        <v>0</v>
      </c>
      <c r="I5757" s="1" t="str">
        <f>IFERROR(VLOOKUP(C5757,'Clients List'!A:F,6,FALSE),"")</f>
        <v/>
      </c>
    </row>
    <row r="5758" spans="4:9" x14ac:dyDescent="0.45">
      <c r="D5758" t="str">
        <f>IFERROR(VLOOKUP(C5758,'Clients List'!$A:$F,2,FALSE),"")</f>
        <v/>
      </c>
      <c r="F5758" s="1" t="str">
        <f>IF(OR(C5758="",NOT(ISNUMBER(SEARCH("Package",D5758)))),"",VLOOKUP(C5758,'Clients List'!$A:$F,4,FALSE)-SUMIFS($E$2:$E5758,$C$2:$C5758,C5758,$D$2:$D5758,"*Package*"))</f>
        <v/>
      </c>
      <c r="G5758" t="str">
        <f t="shared" si="123"/>
        <v/>
      </c>
      <c r="H5758" s="33">
        <f>IF(ISNUMBER(SEARCH("Group",D5758)),IF(G5758="",E5758,IFERROR(E5758/COUNTIF($G2:$G6000,G5758),E5758)),E5758)</f>
        <v>0</v>
      </c>
      <c r="I5758" s="1" t="str">
        <f>IFERROR(VLOOKUP(C5758,'Clients List'!A:F,6,FALSE),"")</f>
        <v/>
      </c>
    </row>
    <row r="5759" spans="4:9" x14ac:dyDescent="0.45">
      <c r="D5759" t="str">
        <f>IFERROR(VLOOKUP(C5759,'Clients List'!$A:$F,2,FALSE),"")</f>
        <v/>
      </c>
      <c r="F5759" s="1" t="str">
        <f>IF(OR(C5759="",NOT(ISNUMBER(SEARCH("Package",D5759)))),"",VLOOKUP(C5759,'Clients List'!$A:$F,4,FALSE)-SUMIFS($E$2:$E5759,$C$2:$C5759,C5759,$D$2:$D5759,"*Package*"))</f>
        <v/>
      </c>
      <c r="G5759" t="str">
        <f t="shared" si="123"/>
        <v/>
      </c>
      <c r="H5759" s="33">
        <f>IF(ISNUMBER(SEARCH("Group",D5759)),IF(G5759="",E5759,IFERROR(E5759/COUNTIF($G2:$G6000,G5759),E5759)),E5759)</f>
        <v>0</v>
      </c>
      <c r="I5759" s="1" t="str">
        <f>IFERROR(VLOOKUP(C5759,'Clients List'!A:F,6,FALSE),"")</f>
        <v/>
      </c>
    </row>
    <row r="5760" spans="4:9" x14ac:dyDescent="0.45">
      <c r="D5760" t="str">
        <f>IFERROR(VLOOKUP(C5760,'Clients List'!$A:$F,2,FALSE),"")</f>
        <v/>
      </c>
      <c r="F5760" s="1" t="str">
        <f>IF(OR(C5760="",NOT(ISNUMBER(SEARCH("Package",D5760)))),"",VLOOKUP(C5760,'Clients List'!$A:$F,4,FALSE)-SUMIFS($E$2:$E5760,$C$2:$C5760,C5760,$D$2:$D5760,"*Package*"))</f>
        <v/>
      </c>
      <c r="G5760" t="str">
        <f t="shared" si="123"/>
        <v/>
      </c>
      <c r="H5760" s="33">
        <f>IF(ISNUMBER(SEARCH("Group",D5760)),IF(G5760="",E5760,IFERROR(E5760/COUNTIF($G2:$G6000,G5760),E5760)),E5760)</f>
        <v>0</v>
      </c>
      <c r="I5760" s="1" t="str">
        <f>IFERROR(VLOOKUP(C5760,'Clients List'!A:F,6,FALSE),"")</f>
        <v/>
      </c>
    </row>
    <row r="5761" spans="4:9" x14ac:dyDescent="0.45">
      <c r="D5761" t="str">
        <f>IFERROR(VLOOKUP(C5761,'Clients List'!$A:$F,2,FALSE),"")</f>
        <v/>
      </c>
      <c r="F5761" s="1" t="str">
        <f>IF(OR(C5761="",NOT(ISNUMBER(SEARCH("Package",D5761)))),"",VLOOKUP(C5761,'Clients List'!$A:$F,4,FALSE)-SUMIFS($E$2:$E5761,$C$2:$C5761,C5761,$D$2:$D5761,"*Package*"))</f>
        <v/>
      </c>
      <c r="G5761" t="str">
        <f t="shared" si="123"/>
        <v/>
      </c>
      <c r="H5761" s="33">
        <f>IF(ISNUMBER(SEARCH("Group",D5761)),IF(G5761="",E5761,IFERROR(E5761/COUNTIF($G2:$G6000,G5761),E5761)),E5761)</f>
        <v>0</v>
      </c>
      <c r="I5761" s="1" t="str">
        <f>IFERROR(VLOOKUP(C5761,'Clients List'!A:F,6,FALSE),"")</f>
        <v/>
      </c>
    </row>
    <row r="5762" spans="4:9" x14ac:dyDescent="0.45">
      <c r="D5762" t="str">
        <f>IFERROR(VLOOKUP(C5762,'Clients List'!$A:$F,2,FALSE),"")</f>
        <v/>
      </c>
      <c r="F5762" s="1" t="str">
        <f>IF(OR(C5762="",NOT(ISNUMBER(SEARCH("Package",D5762)))),"",VLOOKUP(C5762,'Clients List'!$A:$F,4,FALSE)-SUMIFS($E$2:$E5762,$C$2:$C5762,C5762,$D$2:$D5762,"*Package*"))</f>
        <v/>
      </c>
      <c r="G5762" t="str">
        <f t="shared" si="123"/>
        <v/>
      </c>
      <c r="H5762" s="33">
        <f>IF(ISNUMBER(SEARCH("Group",D5762)),IF(G5762="",E5762,IFERROR(E5762/COUNTIF($G2:$G6000,G5762),E5762)),E5762)</f>
        <v>0</v>
      </c>
      <c r="I5762" s="1" t="str">
        <f>IFERROR(VLOOKUP(C5762,'Clients List'!A:F,6,FALSE),"")</f>
        <v/>
      </c>
    </row>
    <row r="5763" spans="4:9" x14ac:dyDescent="0.45">
      <c r="D5763" t="str">
        <f>IFERROR(VLOOKUP(C5763,'Clients List'!$A:$F,2,FALSE),"")</f>
        <v/>
      </c>
      <c r="F5763" s="1" t="str">
        <f>IF(OR(C5763="",NOT(ISNUMBER(SEARCH("Package",D5763)))),"",VLOOKUP(C5763,'Clients List'!$A:$F,4,FALSE)-SUMIFS($E$2:$E5763,$C$2:$C5763,C5763,$D$2:$D5763,"*Package*"))</f>
        <v/>
      </c>
      <c r="G5763" t="str">
        <f t="shared" si="123"/>
        <v/>
      </c>
      <c r="H5763" s="33">
        <f>IF(ISNUMBER(SEARCH("Group",D5763)),IF(G5763="",E5763,IFERROR(E5763/COUNTIF($G2:$G6000,G5763),E5763)),E5763)</f>
        <v>0</v>
      </c>
      <c r="I5763" s="1" t="str">
        <f>IFERROR(VLOOKUP(C5763,'Clients List'!A:F,6,FALSE),"")</f>
        <v/>
      </c>
    </row>
    <row r="5764" spans="4:9" x14ac:dyDescent="0.45">
      <c r="D5764" t="str">
        <f>IFERROR(VLOOKUP(C5764,'Clients List'!$A:$F,2,FALSE),"")</f>
        <v/>
      </c>
      <c r="F5764" s="1" t="str">
        <f>IF(OR(C5764="",NOT(ISNUMBER(SEARCH("Package",D5764)))),"",VLOOKUP(C5764,'Clients List'!$A:$F,4,FALSE)-SUMIFS($E$2:$E5764,$C$2:$C5764,C5764,$D$2:$D5764,"*Package*"))</f>
        <v/>
      </c>
      <c r="G5764" t="str">
        <f t="shared" si="123"/>
        <v/>
      </c>
      <c r="H5764" s="33">
        <f>IF(ISNUMBER(SEARCH("Group",D5764)),IF(G5764="",E5764,IFERROR(E5764/COUNTIF($G2:$G6000,G5764),E5764)),E5764)</f>
        <v>0</v>
      </c>
      <c r="I5764" s="1" t="str">
        <f>IFERROR(VLOOKUP(C5764,'Clients List'!A:F,6,FALSE),"")</f>
        <v/>
      </c>
    </row>
    <row r="5765" spans="4:9" x14ac:dyDescent="0.45">
      <c r="D5765" t="str">
        <f>IFERROR(VLOOKUP(C5765,'Clients List'!$A:$F,2,FALSE),"")</f>
        <v/>
      </c>
      <c r="F5765" s="1" t="str">
        <f>IF(OR(C5765="",NOT(ISNUMBER(SEARCH("Package",D5765)))),"",VLOOKUP(C5765,'Clients List'!$A:$F,4,FALSE)-SUMIFS($E$2:$E5765,$C$2:$C5765,C5765,$D$2:$D5765,"*Package*"))</f>
        <v/>
      </c>
      <c r="G5765" t="str">
        <f t="shared" si="123"/>
        <v/>
      </c>
      <c r="H5765" s="33">
        <f>IF(ISNUMBER(SEARCH("Group",D5765)),IF(G5765="",E5765,IFERROR(E5765/COUNTIF($G2:$G6000,G5765),E5765)),E5765)</f>
        <v>0</v>
      </c>
      <c r="I5765" s="1" t="str">
        <f>IFERROR(VLOOKUP(C5765,'Clients List'!A:F,6,FALSE),"")</f>
        <v/>
      </c>
    </row>
    <row r="5766" spans="4:9" x14ac:dyDescent="0.45">
      <c r="D5766" t="str">
        <f>IFERROR(VLOOKUP(C5766,'Clients List'!$A:$F,2,FALSE),"")</f>
        <v/>
      </c>
      <c r="F5766" s="1" t="str">
        <f>IF(OR(C5766="",NOT(ISNUMBER(SEARCH("Package",D5766)))),"",VLOOKUP(C5766,'Clients List'!$A:$F,4,FALSE)-SUMIFS($E$2:$E5766,$C$2:$C5766,C5766,$D$2:$D5766,"*Package*"))</f>
        <v/>
      </c>
      <c r="G5766" t="str">
        <f t="shared" si="123"/>
        <v/>
      </c>
      <c r="H5766" s="33">
        <f>IF(ISNUMBER(SEARCH("Group",D5766)),IF(G5766="",E5766,IFERROR(E5766/COUNTIF($G2:$G6000,G5766),E5766)),E5766)</f>
        <v>0</v>
      </c>
      <c r="I5766" s="1" t="str">
        <f>IFERROR(VLOOKUP(C5766,'Clients List'!A:F,6,FALSE),"")</f>
        <v/>
      </c>
    </row>
    <row r="5767" spans="4:9" x14ac:dyDescent="0.45">
      <c r="D5767" t="str">
        <f>IFERROR(VLOOKUP(C5767,'Clients List'!$A:$F,2,FALSE),"")</f>
        <v/>
      </c>
      <c r="F5767" s="1" t="str">
        <f>IF(OR(C5767="",NOT(ISNUMBER(SEARCH("Package",D5767)))),"",VLOOKUP(C5767,'Clients List'!$A:$F,4,FALSE)-SUMIFS($E$2:$E5767,$C$2:$C5767,C5767,$D$2:$D5767,"*Package*"))</f>
        <v/>
      </c>
      <c r="G5767" t="str">
        <f t="shared" si="123"/>
        <v/>
      </c>
      <c r="H5767" s="33">
        <f>IF(ISNUMBER(SEARCH("Group",D5767)),IF(G5767="",E5767,IFERROR(E5767/COUNTIF($G2:$G6000,G5767),E5767)),E5767)</f>
        <v>0</v>
      </c>
      <c r="I5767" s="1" t="str">
        <f>IFERROR(VLOOKUP(C5767,'Clients List'!A:F,6,FALSE),"")</f>
        <v/>
      </c>
    </row>
    <row r="5768" spans="4:9" x14ac:dyDescent="0.45">
      <c r="D5768" t="str">
        <f>IFERROR(VLOOKUP(C5768,'Clients List'!$A:$F,2,FALSE),"")</f>
        <v/>
      </c>
      <c r="F5768" s="1" t="str">
        <f>IF(OR(C5768="",NOT(ISNUMBER(SEARCH("Package",D5768)))),"",VLOOKUP(C5768,'Clients List'!$A:$F,4,FALSE)-SUMIFS($E$2:$E5768,$C$2:$C5768,C5768,$D$2:$D5768,"*Package*"))</f>
        <v/>
      </c>
      <c r="G5768" t="str">
        <f t="shared" si="123"/>
        <v/>
      </c>
      <c r="H5768" s="33">
        <f>IF(ISNUMBER(SEARCH("Group",D5768)),IF(G5768="",E5768,IFERROR(E5768/COUNTIF($G2:$G6000,G5768),E5768)),E5768)</f>
        <v>0</v>
      </c>
      <c r="I5768" s="1" t="str">
        <f>IFERROR(VLOOKUP(C5768,'Clients List'!A:F,6,FALSE),"")</f>
        <v/>
      </c>
    </row>
    <row r="5769" spans="4:9" x14ac:dyDescent="0.45">
      <c r="D5769" t="str">
        <f>IFERROR(VLOOKUP(C5769,'Clients List'!$A:$F,2,FALSE),"")</f>
        <v/>
      </c>
      <c r="F5769" s="1" t="str">
        <f>IF(OR(C5769="",NOT(ISNUMBER(SEARCH("Package",D5769)))),"",VLOOKUP(C5769,'Clients List'!$A:$F,4,FALSE)-SUMIFS($E$2:$E5769,$C$2:$C5769,C5769,$D$2:$D5769,"*Package*"))</f>
        <v/>
      </c>
      <c r="G5769" t="str">
        <f t="shared" si="123"/>
        <v/>
      </c>
      <c r="H5769" s="33">
        <f>IF(ISNUMBER(SEARCH("Group",D5769)),IF(G5769="",E5769,IFERROR(E5769/COUNTIF($G2:$G6000,G5769),E5769)),E5769)</f>
        <v>0</v>
      </c>
      <c r="I5769" s="1" t="str">
        <f>IFERROR(VLOOKUP(C5769,'Clients List'!A:F,6,FALSE),"")</f>
        <v/>
      </c>
    </row>
    <row r="5770" spans="4:9" x14ac:dyDescent="0.45">
      <c r="D5770" t="str">
        <f>IFERROR(VLOOKUP(C5770,'Clients List'!$A:$F,2,FALSE),"")</f>
        <v/>
      </c>
      <c r="F5770" s="1" t="str">
        <f>IF(OR(C5770="",NOT(ISNUMBER(SEARCH("Package",D5770)))),"",VLOOKUP(C5770,'Clients List'!$A:$F,4,FALSE)-SUMIFS($E$2:$E5770,$C$2:$C5770,C5770,$D$2:$D5770,"*Package*"))</f>
        <v/>
      </c>
      <c r="G5770" t="str">
        <f t="shared" si="123"/>
        <v/>
      </c>
      <c r="H5770" s="33">
        <f>IF(ISNUMBER(SEARCH("Group",D5770)),IF(G5770="",E5770,IFERROR(E5770/COUNTIF($G2:$G6000,G5770),E5770)),E5770)</f>
        <v>0</v>
      </c>
      <c r="I5770" s="1" t="str">
        <f>IFERROR(VLOOKUP(C5770,'Clients List'!A:F,6,FALSE),"")</f>
        <v/>
      </c>
    </row>
    <row r="5771" spans="4:9" x14ac:dyDescent="0.45">
      <c r="D5771" t="str">
        <f>IFERROR(VLOOKUP(C5771,'Clients List'!$A:$F,2,FALSE),"")</f>
        <v/>
      </c>
      <c r="F5771" s="1" t="str">
        <f>IF(OR(C5771="",NOT(ISNUMBER(SEARCH("Package",D5771)))),"",VLOOKUP(C5771,'Clients List'!$A:$F,4,FALSE)-SUMIFS($E$2:$E5771,$C$2:$C5771,C5771,$D$2:$D5771,"*Package*"))</f>
        <v/>
      </c>
      <c r="G5771" t="str">
        <f t="shared" si="123"/>
        <v/>
      </c>
      <c r="H5771" s="33">
        <f>IF(ISNUMBER(SEARCH("Group",D5771)),IF(G5771="",E5771,IFERROR(E5771/COUNTIF($G2:$G6000,G5771),E5771)),E5771)</f>
        <v>0</v>
      </c>
      <c r="I5771" s="1" t="str">
        <f>IFERROR(VLOOKUP(C5771,'Clients List'!A:F,6,FALSE),"")</f>
        <v/>
      </c>
    </row>
    <row r="5772" spans="4:9" x14ac:dyDescent="0.45">
      <c r="D5772" t="str">
        <f>IFERROR(VLOOKUP(C5772,'Clients List'!$A:$F,2,FALSE),"")</f>
        <v/>
      </c>
      <c r="F5772" s="1" t="str">
        <f>IF(OR(C5772="",NOT(ISNUMBER(SEARCH("Package",D5772)))),"",VLOOKUP(C5772,'Clients List'!$A:$F,4,FALSE)-SUMIFS($E$2:$E5772,$C$2:$C5772,C5772,$D$2:$D5772,"*Package*"))</f>
        <v/>
      </c>
      <c r="G5772" t="str">
        <f t="shared" si="123"/>
        <v/>
      </c>
      <c r="H5772" s="33">
        <f>IF(ISNUMBER(SEARCH("Group",D5772)),IF(G5772="",E5772,IFERROR(E5772/COUNTIF($G2:$G6000,G5772),E5772)),E5772)</f>
        <v>0</v>
      </c>
      <c r="I5772" s="1" t="str">
        <f>IFERROR(VLOOKUP(C5772,'Clients List'!A:F,6,FALSE),"")</f>
        <v/>
      </c>
    </row>
    <row r="5773" spans="4:9" x14ac:dyDescent="0.45">
      <c r="D5773" t="str">
        <f>IFERROR(VLOOKUP(C5773,'Clients List'!$A:$F,2,FALSE),"")</f>
        <v/>
      </c>
      <c r="F5773" s="1" t="str">
        <f>IF(OR(C5773="",NOT(ISNUMBER(SEARCH("Package",D5773)))),"",VLOOKUP(C5773,'Clients List'!$A:$F,4,FALSE)-SUMIFS($E$2:$E5773,$C$2:$C5773,C5773,$D$2:$D5773,"*Package*"))</f>
        <v/>
      </c>
      <c r="G5773" t="str">
        <f t="shared" si="123"/>
        <v/>
      </c>
      <c r="H5773" s="33">
        <f>IF(ISNUMBER(SEARCH("Group",D5773)),IF(G5773="",E5773,IFERROR(E5773/COUNTIF($G2:$G6000,G5773),E5773)),E5773)</f>
        <v>0</v>
      </c>
      <c r="I5773" s="1" t="str">
        <f>IFERROR(VLOOKUP(C5773,'Clients List'!A:F,6,FALSE),"")</f>
        <v/>
      </c>
    </row>
    <row r="5774" spans="4:9" x14ac:dyDescent="0.45">
      <c r="D5774" t="str">
        <f>IFERROR(VLOOKUP(C5774,'Clients List'!$A:$F,2,FALSE),"")</f>
        <v/>
      </c>
      <c r="F5774" s="1" t="str">
        <f>IF(OR(C5774="",NOT(ISNUMBER(SEARCH("Package",D5774)))),"",VLOOKUP(C5774,'Clients List'!$A:$F,4,FALSE)-SUMIFS($E$2:$E5774,$C$2:$C5774,C5774,$D$2:$D5774,"*Package*"))</f>
        <v/>
      </c>
      <c r="G5774" t="str">
        <f t="shared" si="123"/>
        <v/>
      </c>
      <c r="H5774" s="33">
        <f>IF(ISNUMBER(SEARCH("Group",D5774)),IF(G5774="",E5774,IFERROR(E5774/COUNTIF($G2:$G6000,G5774),E5774)),E5774)</f>
        <v>0</v>
      </c>
      <c r="I5774" s="1" t="str">
        <f>IFERROR(VLOOKUP(C5774,'Clients List'!A:F,6,FALSE),"")</f>
        <v/>
      </c>
    </row>
    <row r="5775" spans="4:9" x14ac:dyDescent="0.45">
      <c r="D5775" t="str">
        <f>IFERROR(VLOOKUP(C5775,'Clients List'!$A:$F,2,FALSE),"")</f>
        <v/>
      </c>
      <c r="F5775" s="1" t="str">
        <f>IF(OR(C5775="",NOT(ISNUMBER(SEARCH("Package",D5775)))),"",VLOOKUP(C5775,'Clients List'!$A:$F,4,FALSE)-SUMIFS($E$2:$E5775,$C$2:$C5775,C5775,$D$2:$D5775,"*Package*"))</f>
        <v/>
      </c>
      <c r="G5775" t="str">
        <f t="shared" si="123"/>
        <v/>
      </c>
      <c r="H5775" s="33">
        <f>IF(ISNUMBER(SEARCH("Group",D5775)),IF(G5775="",E5775,IFERROR(E5775/COUNTIF($G2:$G6000,G5775),E5775)),E5775)</f>
        <v>0</v>
      </c>
      <c r="I5775" s="1" t="str">
        <f>IFERROR(VLOOKUP(C5775,'Clients List'!A:F,6,FALSE),"")</f>
        <v/>
      </c>
    </row>
    <row r="5776" spans="4:9" x14ac:dyDescent="0.45">
      <c r="D5776" t="str">
        <f>IFERROR(VLOOKUP(C5776,'Clients List'!$A:$F,2,FALSE),"")</f>
        <v/>
      </c>
      <c r="F5776" s="1" t="str">
        <f>IF(OR(C5776="",NOT(ISNUMBER(SEARCH("Package",D5776)))),"",VLOOKUP(C5776,'Clients List'!$A:$F,4,FALSE)-SUMIFS($E$2:$E5776,$C$2:$C5776,C5776,$D$2:$D5776,"*Package*"))</f>
        <v/>
      </c>
      <c r="G5776" t="str">
        <f t="shared" si="123"/>
        <v/>
      </c>
      <c r="H5776" s="33">
        <f>IF(ISNUMBER(SEARCH("Group",D5776)),IF(G5776="",E5776,IFERROR(E5776/COUNTIF($G2:$G6000,G5776),E5776)),E5776)</f>
        <v>0</v>
      </c>
      <c r="I5776" s="1" t="str">
        <f>IFERROR(VLOOKUP(C5776,'Clients List'!A:F,6,FALSE),"")</f>
        <v/>
      </c>
    </row>
    <row r="5777" spans="4:9" x14ac:dyDescent="0.45">
      <c r="D5777" t="str">
        <f>IFERROR(VLOOKUP(C5777,'Clients List'!$A:$F,2,FALSE),"")</f>
        <v/>
      </c>
      <c r="F5777" s="1" t="str">
        <f>IF(OR(C5777="",NOT(ISNUMBER(SEARCH("Package",D5777)))),"",VLOOKUP(C5777,'Clients List'!$A:$F,4,FALSE)-SUMIFS($E$2:$E5777,$C$2:$C5777,C5777,$D$2:$D5777,"*Package*"))</f>
        <v/>
      </c>
      <c r="G5777" t="str">
        <f t="shared" si="123"/>
        <v/>
      </c>
      <c r="H5777" s="33">
        <f>IF(ISNUMBER(SEARCH("Group",D5777)),IF(G5777="",E5777,IFERROR(E5777/COUNTIF($G2:$G6000,G5777),E5777)),E5777)</f>
        <v>0</v>
      </c>
      <c r="I5777" s="1" t="str">
        <f>IFERROR(VLOOKUP(C5777,'Clients List'!A:F,6,FALSE),"")</f>
        <v/>
      </c>
    </row>
    <row r="5778" spans="4:9" x14ac:dyDescent="0.45">
      <c r="D5778" t="str">
        <f>IFERROR(VLOOKUP(C5778,'Clients List'!$A:$F,2,FALSE),"")</f>
        <v/>
      </c>
      <c r="F5778" s="1" t="str">
        <f>IF(OR(C5778="",NOT(ISNUMBER(SEARCH("Package",D5778)))),"",VLOOKUP(C5778,'Clients List'!$A:$F,4,FALSE)-SUMIFS($E$2:$E5778,$C$2:$C5778,C5778,$D$2:$D5778,"*Package*"))</f>
        <v/>
      </c>
      <c r="G5778" t="str">
        <f t="shared" si="123"/>
        <v/>
      </c>
      <c r="H5778" s="33">
        <f>IF(ISNUMBER(SEARCH("Group",D5778)),IF(G5778="",E5778,IFERROR(E5778/COUNTIF($G2:$G6000,G5778),E5778)),E5778)</f>
        <v>0</v>
      </c>
      <c r="I5778" s="1" t="str">
        <f>IFERROR(VLOOKUP(C5778,'Clients List'!A:F,6,FALSE),"")</f>
        <v/>
      </c>
    </row>
    <row r="5779" spans="4:9" x14ac:dyDescent="0.45">
      <c r="D5779" t="str">
        <f>IFERROR(VLOOKUP(C5779,'Clients List'!$A:$F,2,FALSE),"")</f>
        <v/>
      </c>
      <c r="F5779" s="1" t="str">
        <f>IF(OR(C5779="",NOT(ISNUMBER(SEARCH("Package",D5779)))),"",VLOOKUP(C5779,'Clients List'!$A:$F,4,FALSE)-SUMIFS($E$2:$E5779,$C$2:$C5779,C5779,$D$2:$D5779,"*Package*"))</f>
        <v/>
      </c>
      <c r="G5779" t="str">
        <f t="shared" si="123"/>
        <v/>
      </c>
      <c r="H5779" s="33">
        <f>IF(ISNUMBER(SEARCH("Group",D5779)),IF(G5779="",E5779,IFERROR(E5779/COUNTIF($G2:$G6000,G5779),E5779)),E5779)</f>
        <v>0</v>
      </c>
      <c r="I5779" s="1" t="str">
        <f>IFERROR(VLOOKUP(C5779,'Clients List'!A:F,6,FALSE),"")</f>
        <v/>
      </c>
    </row>
    <row r="5780" spans="4:9" x14ac:dyDescent="0.45">
      <c r="D5780" t="str">
        <f>IFERROR(VLOOKUP(C5780,'Clients List'!$A:$F,2,FALSE),"")</f>
        <v/>
      </c>
      <c r="F5780" s="1" t="str">
        <f>IF(OR(C5780="",NOT(ISNUMBER(SEARCH("Package",D5780)))),"",VLOOKUP(C5780,'Clients List'!$A:$F,4,FALSE)-SUMIFS($E$2:$E5780,$C$2:$C5780,C5780,$D$2:$D5780,"*Package*"))</f>
        <v/>
      </c>
      <c r="G5780" t="str">
        <f t="shared" si="123"/>
        <v/>
      </c>
      <c r="H5780" s="33">
        <f>IF(ISNUMBER(SEARCH("Group",D5780)),IF(G5780="",E5780,IFERROR(E5780/COUNTIF($G2:$G6000,G5780),E5780)),E5780)</f>
        <v>0</v>
      </c>
      <c r="I5780" s="1" t="str">
        <f>IFERROR(VLOOKUP(C5780,'Clients List'!A:F,6,FALSE),"")</f>
        <v/>
      </c>
    </row>
    <row r="5781" spans="4:9" x14ac:dyDescent="0.45">
      <c r="D5781" t="str">
        <f>IFERROR(VLOOKUP(C5781,'Clients List'!$A:$F,2,FALSE),"")</f>
        <v/>
      </c>
      <c r="F5781" s="1" t="str">
        <f>IF(OR(C5781="",NOT(ISNUMBER(SEARCH("Package",D5781)))),"",VLOOKUP(C5781,'Clients List'!$A:$F,4,FALSE)-SUMIFS($E$2:$E5781,$C$2:$C5781,C5781,$D$2:$D5781,"*Package*"))</f>
        <v/>
      </c>
      <c r="G5781" t="str">
        <f t="shared" si="123"/>
        <v/>
      </c>
      <c r="H5781" s="33">
        <f>IF(ISNUMBER(SEARCH("Group",D5781)),IF(G5781="",E5781,IFERROR(E5781/COUNTIF($G2:$G6000,G5781),E5781)),E5781)</f>
        <v>0</v>
      </c>
      <c r="I5781" s="1" t="str">
        <f>IFERROR(VLOOKUP(C5781,'Clients List'!A:F,6,FALSE),"")</f>
        <v/>
      </c>
    </row>
    <row r="5782" spans="4:9" x14ac:dyDescent="0.45">
      <c r="D5782" t="str">
        <f>IFERROR(VLOOKUP(C5782,'Clients List'!$A:$F,2,FALSE),"")</f>
        <v/>
      </c>
      <c r="F5782" s="1" t="str">
        <f>IF(OR(C5782="",NOT(ISNUMBER(SEARCH("Package",D5782)))),"",VLOOKUP(C5782,'Clients List'!$A:$F,4,FALSE)-SUMIFS($E$2:$E5782,$C$2:$C5782,C5782,$D$2:$D5782,"*Package*"))</f>
        <v/>
      </c>
      <c r="G5782" t="str">
        <f t="shared" si="123"/>
        <v/>
      </c>
      <c r="H5782" s="33">
        <f>IF(ISNUMBER(SEARCH("Group",D5782)),IF(G5782="",E5782,IFERROR(E5782/COUNTIF($G2:$G6000,G5782),E5782)),E5782)</f>
        <v>0</v>
      </c>
      <c r="I5782" s="1" t="str">
        <f>IFERROR(VLOOKUP(C5782,'Clients List'!A:F,6,FALSE),"")</f>
        <v/>
      </c>
    </row>
    <row r="5783" spans="4:9" x14ac:dyDescent="0.45">
      <c r="D5783" t="str">
        <f>IFERROR(VLOOKUP(C5783,'Clients List'!$A:$F,2,FALSE),"")</f>
        <v/>
      </c>
      <c r="F5783" s="1" t="str">
        <f>IF(OR(C5783="",NOT(ISNUMBER(SEARCH("Package",D5783)))),"",VLOOKUP(C5783,'Clients List'!$A:$F,4,FALSE)-SUMIFS($E$2:$E5783,$C$2:$C5783,C5783,$D$2:$D5783,"*Package*"))</f>
        <v/>
      </c>
      <c r="G5783" t="str">
        <f t="shared" si="123"/>
        <v/>
      </c>
      <c r="H5783" s="33">
        <f>IF(ISNUMBER(SEARCH("Group",D5783)),IF(G5783="",E5783,IFERROR(E5783/COUNTIF($G2:$G6000,G5783),E5783)),E5783)</f>
        <v>0</v>
      </c>
      <c r="I5783" s="1" t="str">
        <f>IFERROR(VLOOKUP(C5783,'Clients List'!A:F,6,FALSE),"")</f>
        <v/>
      </c>
    </row>
    <row r="5784" spans="4:9" x14ac:dyDescent="0.45">
      <c r="D5784" t="str">
        <f>IFERROR(VLOOKUP(C5784,'Clients List'!$A:$F,2,FALSE),"")</f>
        <v/>
      </c>
      <c r="F5784" s="1" t="str">
        <f>IF(OR(C5784="",NOT(ISNUMBER(SEARCH("Package",D5784)))),"",VLOOKUP(C5784,'Clients List'!$A:$F,4,FALSE)-SUMIFS($E$2:$E5784,$C$2:$C5784,C5784,$D$2:$D5784,"*Package*"))</f>
        <v/>
      </c>
      <c r="G5784" t="str">
        <f t="shared" si="123"/>
        <v/>
      </c>
      <c r="H5784" s="33">
        <f>IF(ISNUMBER(SEARCH("Group",D5784)),IF(G5784="",E5784,IFERROR(E5784/COUNTIF($G2:$G6000,G5784),E5784)),E5784)</f>
        <v>0</v>
      </c>
      <c r="I5784" s="1" t="str">
        <f>IFERROR(VLOOKUP(C5784,'Clients List'!A:F,6,FALSE),"")</f>
        <v/>
      </c>
    </row>
    <row r="5785" spans="4:9" x14ac:dyDescent="0.45">
      <c r="D5785" t="str">
        <f>IFERROR(VLOOKUP(C5785,'Clients List'!$A:$F,2,FALSE),"")</f>
        <v/>
      </c>
      <c r="F5785" s="1" t="str">
        <f>IF(OR(C5785="",NOT(ISNUMBER(SEARCH("Package",D5785)))),"",VLOOKUP(C5785,'Clients List'!$A:$F,4,FALSE)-SUMIFS($E$2:$E5785,$C$2:$C5785,C5785,$D$2:$D5785,"*Package*"))</f>
        <v/>
      </c>
      <c r="G5785" t="str">
        <f t="shared" si="123"/>
        <v/>
      </c>
      <c r="H5785" s="33">
        <f>IF(ISNUMBER(SEARCH("Group",D5785)),IF(G5785="",E5785,IFERROR(E5785/COUNTIF($G2:$G6000,G5785),E5785)),E5785)</f>
        <v>0</v>
      </c>
      <c r="I5785" s="1" t="str">
        <f>IFERROR(VLOOKUP(C5785,'Clients List'!A:F,6,FALSE),"")</f>
        <v/>
      </c>
    </row>
    <row r="5786" spans="4:9" x14ac:dyDescent="0.45">
      <c r="D5786" t="str">
        <f>IFERROR(VLOOKUP(C5786,'Clients List'!$A:$F,2,FALSE),"")</f>
        <v/>
      </c>
      <c r="F5786" s="1" t="str">
        <f>IF(OR(C5786="",NOT(ISNUMBER(SEARCH("Package",D5786)))),"",VLOOKUP(C5786,'Clients List'!$A:$F,4,FALSE)-SUMIFS($E$2:$E5786,$C$2:$C5786,C5786,$D$2:$D5786,"*Package*"))</f>
        <v/>
      </c>
      <c r="G5786" t="str">
        <f t="shared" si="123"/>
        <v/>
      </c>
      <c r="H5786" s="33">
        <f>IF(ISNUMBER(SEARCH("Group",D5786)),IF(G5786="",E5786,IFERROR(E5786/COUNTIF($G2:$G6000,G5786),E5786)),E5786)</f>
        <v>0</v>
      </c>
      <c r="I5786" s="1" t="str">
        <f>IFERROR(VLOOKUP(C5786,'Clients List'!A:F,6,FALSE),"")</f>
        <v/>
      </c>
    </row>
    <row r="5787" spans="4:9" x14ac:dyDescent="0.45">
      <c r="D5787" t="str">
        <f>IFERROR(VLOOKUP(C5787,'Clients List'!$A:$F,2,FALSE),"")</f>
        <v/>
      </c>
      <c r="F5787" s="1" t="str">
        <f>IF(OR(C5787="",NOT(ISNUMBER(SEARCH("Package",D5787)))),"",VLOOKUP(C5787,'Clients List'!$A:$F,4,FALSE)-SUMIFS($E$2:$E5787,$C$2:$C5787,C5787,$D$2:$D5787,"*Package*"))</f>
        <v/>
      </c>
      <c r="G5787" t="str">
        <f t="shared" si="123"/>
        <v/>
      </c>
      <c r="H5787" s="33">
        <f>IF(ISNUMBER(SEARCH("Group",D5787)),IF(G5787="",E5787,IFERROR(E5787/COUNTIF($G2:$G6000,G5787),E5787)),E5787)</f>
        <v>0</v>
      </c>
      <c r="I5787" s="1" t="str">
        <f>IFERROR(VLOOKUP(C5787,'Clients List'!A:F,6,FALSE),"")</f>
        <v/>
      </c>
    </row>
    <row r="5788" spans="4:9" x14ac:dyDescent="0.45">
      <c r="D5788" t="str">
        <f>IFERROR(VLOOKUP(C5788,'Clients List'!$A:$F,2,FALSE),"")</f>
        <v/>
      </c>
      <c r="F5788" s="1" t="str">
        <f>IF(OR(C5788="",NOT(ISNUMBER(SEARCH("Package",D5788)))),"",VLOOKUP(C5788,'Clients List'!$A:$F,4,FALSE)-SUMIFS($E$2:$E5788,$C$2:$C5788,C5788,$D$2:$D5788,"*Package*"))</f>
        <v/>
      </c>
      <c r="G5788" t="str">
        <f t="shared" si="123"/>
        <v/>
      </c>
      <c r="H5788" s="33">
        <f>IF(ISNUMBER(SEARCH("Group",D5788)),IF(G5788="",E5788,IFERROR(E5788/COUNTIF($G2:$G6000,G5788),E5788)),E5788)</f>
        <v>0</v>
      </c>
      <c r="I5788" s="1" t="str">
        <f>IFERROR(VLOOKUP(C5788,'Clients List'!A:F,6,FALSE),"")</f>
        <v/>
      </c>
    </row>
    <row r="5789" spans="4:9" x14ac:dyDescent="0.45">
      <c r="D5789" t="str">
        <f>IFERROR(VLOOKUP(C5789,'Clients List'!$A:$F,2,FALSE),"")</f>
        <v/>
      </c>
      <c r="F5789" s="1" t="str">
        <f>IF(OR(C5789="",NOT(ISNUMBER(SEARCH("Package",D5789)))),"",VLOOKUP(C5789,'Clients List'!$A:$F,4,FALSE)-SUMIFS($E$2:$E5789,$C$2:$C5789,C5789,$D$2:$D5789,"*Package*"))</f>
        <v/>
      </c>
      <c r="G5789" t="str">
        <f t="shared" si="123"/>
        <v/>
      </c>
      <c r="H5789" s="33">
        <f>IF(ISNUMBER(SEARCH("Group",D5789)),IF(G5789="",E5789,IFERROR(E5789/COUNTIF($G2:$G6000,G5789),E5789)),E5789)</f>
        <v>0</v>
      </c>
      <c r="I5789" s="1" t="str">
        <f>IFERROR(VLOOKUP(C5789,'Clients List'!A:F,6,FALSE),"")</f>
        <v/>
      </c>
    </row>
    <row r="5790" spans="4:9" x14ac:dyDescent="0.45">
      <c r="D5790" t="str">
        <f>IFERROR(VLOOKUP(C5790,'Clients List'!$A:$F,2,FALSE),"")</f>
        <v/>
      </c>
      <c r="F5790" s="1" t="str">
        <f>IF(OR(C5790="",NOT(ISNUMBER(SEARCH("Package",D5790)))),"",VLOOKUP(C5790,'Clients List'!$A:$F,4,FALSE)-SUMIFS($E$2:$E5790,$C$2:$C5790,C5790,$D$2:$D5790,"*Package*"))</f>
        <v/>
      </c>
      <c r="G5790" t="str">
        <f t="shared" si="123"/>
        <v/>
      </c>
      <c r="H5790" s="33">
        <f>IF(ISNUMBER(SEARCH("Group",D5790)),IF(G5790="",E5790,IFERROR(E5790/COUNTIF($G2:$G6000,G5790),E5790)),E5790)</f>
        <v>0</v>
      </c>
      <c r="I5790" s="1" t="str">
        <f>IFERROR(VLOOKUP(C5790,'Clients List'!A:F,6,FALSE),"")</f>
        <v/>
      </c>
    </row>
    <row r="5791" spans="4:9" x14ac:dyDescent="0.45">
      <c r="D5791" t="str">
        <f>IFERROR(VLOOKUP(C5791,'Clients List'!$A:$F,2,FALSE),"")</f>
        <v/>
      </c>
      <c r="F5791" s="1" t="str">
        <f>IF(OR(C5791="",NOT(ISNUMBER(SEARCH("Package",D5791)))),"",VLOOKUP(C5791,'Clients List'!$A:$F,4,FALSE)-SUMIFS($E$2:$E5791,$C$2:$C5791,C5791,$D$2:$D5791,"*Package*"))</f>
        <v/>
      </c>
      <c r="G5791" t="str">
        <f t="shared" si="123"/>
        <v/>
      </c>
      <c r="H5791" s="33">
        <f>IF(ISNUMBER(SEARCH("Group",D5791)),IF(G5791="",E5791,IFERROR(E5791/COUNTIF($G2:$G6000,G5791),E5791)),E5791)</f>
        <v>0</v>
      </c>
      <c r="I5791" s="1" t="str">
        <f>IFERROR(VLOOKUP(C5791,'Clients List'!A:F,6,FALSE),"")</f>
        <v/>
      </c>
    </row>
    <row r="5792" spans="4:9" x14ac:dyDescent="0.45">
      <c r="D5792" t="str">
        <f>IFERROR(VLOOKUP(C5792,'Clients List'!$A:$F,2,FALSE),"")</f>
        <v/>
      </c>
      <c r="F5792" s="1" t="str">
        <f>IF(OR(C5792="",NOT(ISNUMBER(SEARCH("Package",D5792)))),"",VLOOKUP(C5792,'Clients List'!$A:$F,4,FALSE)-SUMIFS($E$2:$E5792,$C$2:$C5792,C5792,$D$2:$D5792,"*Package*"))</f>
        <v/>
      </c>
      <c r="G5792" t="str">
        <f t="shared" si="123"/>
        <v/>
      </c>
      <c r="H5792" s="33">
        <f>IF(ISNUMBER(SEARCH("Group",D5792)),IF(G5792="",E5792,IFERROR(E5792/COUNTIF($G2:$G6000,G5792),E5792)),E5792)</f>
        <v>0</v>
      </c>
      <c r="I5792" s="1" t="str">
        <f>IFERROR(VLOOKUP(C5792,'Clients List'!A:F,6,FALSE),"")</f>
        <v/>
      </c>
    </row>
    <row r="5793" spans="4:9" x14ac:dyDescent="0.45">
      <c r="D5793" t="str">
        <f>IFERROR(VLOOKUP(C5793,'Clients List'!$A:$F,2,FALSE),"")</f>
        <v/>
      </c>
      <c r="F5793" s="1" t="str">
        <f>IF(OR(C5793="",NOT(ISNUMBER(SEARCH("Package",D5793)))),"",VLOOKUP(C5793,'Clients List'!$A:$F,4,FALSE)-SUMIFS($E$2:$E5793,$C$2:$C5793,C5793,$D$2:$D5793,"*Package*"))</f>
        <v/>
      </c>
      <c r="G5793" t="str">
        <f t="shared" si="123"/>
        <v/>
      </c>
      <c r="H5793" s="33">
        <f>IF(ISNUMBER(SEARCH("Group",D5793)),IF(G5793="",E5793,IFERROR(E5793/COUNTIF($G2:$G6000,G5793),E5793)),E5793)</f>
        <v>0</v>
      </c>
      <c r="I5793" s="1" t="str">
        <f>IFERROR(VLOOKUP(C5793,'Clients List'!A:F,6,FALSE),"")</f>
        <v/>
      </c>
    </row>
    <row r="5794" spans="4:9" x14ac:dyDescent="0.45">
      <c r="D5794" t="str">
        <f>IFERROR(VLOOKUP(C5794,'Clients List'!$A:$F,2,FALSE),"")</f>
        <v/>
      </c>
      <c r="F5794" s="1" t="str">
        <f>IF(OR(C5794="",NOT(ISNUMBER(SEARCH("Package",D5794)))),"",VLOOKUP(C5794,'Clients List'!$A:$F,4,FALSE)-SUMIFS($E$2:$E5794,$C$2:$C5794,C5794,$D$2:$D5794,"*Package*"))</f>
        <v/>
      </c>
      <c r="G5794" t="str">
        <f t="shared" si="123"/>
        <v/>
      </c>
      <c r="H5794" s="33">
        <f>IF(ISNUMBER(SEARCH("Group",D5794)),IF(G5794="",E5794,IFERROR(E5794/COUNTIF($G2:$G6000,G5794),E5794)),E5794)</f>
        <v>0</v>
      </c>
      <c r="I5794" s="1" t="str">
        <f>IFERROR(VLOOKUP(C5794,'Clients List'!A:F,6,FALSE),"")</f>
        <v/>
      </c>
    </row>
    <row r="5795" spans="4:9" x14ac:dyDescent="0.45">
      <c r="D5795" t="str">
        <f>IFERROR(VLOOKUP(C5795,'Clients List'!$A:$F,2,FALSE),"")</f>
        <v/>
      </c>
      <c r="F5795" s="1" t="str">
        <f>IF(OR(C5795="",NOT(ISNUMBER(SEARCH("Package",D5795)))),"",VLOOKUP(C5795,'Clients List'!$A:$F,4,FALSE)-SUMIFS($E$2:$E5795,$C$2:$C5795,C5795,$D$2:$D5795,"*Package*"))</f>
        <v/>
      </c>
      <c r="G5795" t="str">
        <f t="shared" si="123"/>
        <v/>
      </c>
      <c r="H5795" s="33">
        <f>IF(ISNUMBER(SEARCH("Group",D5795)),IF(G5795="",E5795,IFERROR(E5795/COUNTIF($G2:$G6000,G5795),E5795)),E5795)</f>
        <v>0</v>
      </c>
      <c r="I5795" s="1" t="str">
        <f>IFERROR(VLOOKUP(C5795,'Clients List'!A:F,6,FALSE),"")</f>
        <v/>
      </c>
    </row>
    <row r="5796" spans="4:9" x14ac:dyDescent="0.45">
      <c r="D5796" t="str">
        <f>IFERROR(VLOOKUP(C5796,'Clients List'!$A:$F,2,FALSE),"")</f>
        <v/>
      </c>
      <c r="F5796" s="1" t="str">
        <f>IF(OR(C5796="",NOT(ISNUMBER(SEARCH("Package",D5796)))),"",VLOOKUP(C5796,'Clients List'!$A:$F,4,FALSE)-SUMIFS($E$2:$E5796,$C$2:$C5796,C5796,$D$2:$D5796,"*Package*"))</f>
        <v/>
      </c>
      <c r="G5796" t="str">
        <f t="shared" si="123"/>
        <v/>
      </c>
      <c r="H5796" s="33">
        <f>IF(ISNUMBER(SEARCH("Group",D5796)),IF(G5796="",E5796,IFERROR(E5796/COUNTIF($G2:$G6000,G5796),E5796)),E5796)</f>
        <v>0</v>
      </c>
      <c r="I5796" s="1" t="str">
        <f>IFERROR(VLOOKUP(C5796,'Clients List'!A:F,6,FALSE),"")</f>
        <v/>
      </c>
    </row>
    <row r="5797" spans="4:9" x14ac:dyDescent="0.45">
      <c r="D5797" t="str">
        <f>IFERROR(VLOOKUP(C5797,'Clients List'!$A:$F,2,FALSE),"")</f>
        <v/>
      </c>
      <c r="F5797" s="1" t="str">
        <f>IF(OR(C5797="",NOT(ISNUMBER(SEARCH("Package",D5797)))),"",VLOOKUP(C5797,'Clients List'!$A:$F,4,FALSE)-SUMIFS($E$2:$E5797,$C$2:$C5797,C5797,$D$2:$D5797,"*Package*"))</f>
        <v/>
      </c>
      <c r="G5797" t="str">
        <f t="shared" si="123"/>
        <v/>
      </c>
      <c r="H5797" s="33">
        <f>IF(ISNUMBER(SEARCH("Group",D5797)),IF(G5797="",E5797,IFERROR(E5797/COUNTIF($G2:$G6000,G5797),E5797)),E5797)</f>
        <v>0</v>
      </c>
      <c r="I5797" s="1" t="str">
        <f>IFERROR(VLOOKUP(C5797,'Clients List'!A:F,6,FALSE),"")</f>
        <v/>
      </c>
    </row>
    <row r="5798" spans="4:9" x14ac:dyDescent="0.45">
      <c r="D5798" t="str">
        <f>IFERROR(VLOOKUP(C5798,'Clients List'!$A:$F,2,FALSE),"")</f>
        <v/>
      </c>
      <c r="F5798" s="1" t="str">
        <f>IF(OR(C5798="",NOT(ISNUMBER(SEARCH("Package",D5798)))),"",VLOOKUP(C5798,'Clients List'!$A:$F,4,FALSE)-SUMIFS($E$2:$E5798,$C$2:$C5798,C5798,$D$2:$D5798,"*Package*"))</f>
        <v/>
      </c>
      <c r="G5798" t="str">
        <f t="shared" si="123"/>
        <v/>
      </c>
      <c r="H5798" s="33">
        <f>IF(ISNUMBER(SEARCH("Group",D5798)),IF(G5798="",E5798,IFERROR(E5798/COUNTIF($G2:$G6000,G5798),E5798)),E5798)</f>
        <v>0</v>
      </c>
      <c r="I5798" s="1" t="str">
        <f>IFERROR(VLOOKUP(C5798,'Clients List'!A:F,6,FALSE),"")</f>
        <v/>
      </c>
    </row>
    <row r="5799" spans="4:9" x14ac:dyDescent="0.45">
      <c r="D5799" t="str">
        <f>IFERROR(VLOOKUP(C5799,'Clients List'!$A:$F,2,FALSE),"")</f>
        <v/>
      </c>
      <c r="F5799" s="1" t="str">
        <f>IF(OR(C5799="",NOT(ISNUMBER(SEARCH("Package",D5799)))),"",VLOOKUP(C5799,'Clients List'!$A:$F,4,FALSE)-SUMIFS($E$2:$E5799,$C$2:$C5799,C5799,$D$2:$D5799,"*Package*"))</f>
        <v/>
      </c>
      <c r="G5799" t="str">
        <f t="shared" si="123"/>
        <v/>
      </c>
      <c r="H5799" s="33">
        <f>IF(ISNUMBER(SEARCH("Group",D5799)),IF(G5799="",E5799,IFERROR(E5799/COUNTIF($G2:$G6000,G5799),E5799)),E5799)</f>
        <v>0</v>
      </c>
      <c r="I5799" s="1" t="str">
        <f>IFERROR(VLOOKUP(C5799,'Clients List'!A:F,6,FALSE),"")</f>
        <v/>
      </c>
    </row>
    <row r="5800" spans="4:9" x14ac:dyDescent="0.45">
      <c r="D5800" t="str">
        <f>IFERROR(VLOOKUP(C5800,'Clients List'!$A:$F,2,FALSE),"")</f>
        <v/>
      </c>
      <c r="F5800" s="1" t="str">
        <f>IF(OR(C5800="",NOT(ISNUMBER(SEARCH("Package",D5800)))),"",VLOOKUP(C5800,'Clients List'!$A:$F,4,FALSE)-SUMIFS($E$2:$E5800,$C$2:$C5800,C5800,$D$2:$D5800,"*Package*"))</f>
        <v/>
      </c>
      <c r="G5800" t="str">
        <f t="shared" si="123"/>
        <v/>
      </c>
      <c r="H5800" s="33">
        <f>IF(ISNUMBER(SEARCH("Group",D5800)),IF(G5800="",E5800,IFERROR(E5800/COUNTIF($G2:$G6000,G5800),E5800)),E5800)</f>
        <v>0</v>
      </c>
      <c r="I5800" s="1" t="str">
        <f>IFERROR(VLOOKUP(C5800,'Clients List'!A:F,6,FALSE),"")</f>
        <v/>
      </c>
    </row>
    <row r="5801" spans="4:9" x14ac:dyDescent="0.45">
      <c r="D5801" t="str">
        <f>IFERROR(VLOOKUP(C5801,'Clients List'!$A:$F,2,FALSE),"")</f>
        <v/>
      </c>
      <c r="F5801" s="1" t="str">
        <f>IF(OR(C5801="",NOT(ISNUMBER(SEARCH("Package",D5801)))),"",VLOOKUP(C5801,'Clients List'!$A:$F,4,FALSE)-SUMIFS($E$2:$E5801,$C$2:$C5801,C5801,$D$2:$D5801,"*Package*"))</f>
        <v/>
      </c>
      <c r="G5801" t="str">
        <f t="shared" si="123"/>
        <v/>
      </c>
      <c r="H5801" s="33">
        <f>IF(ISNUMBER(SEARCH("Group",D5801)),IF(G5801="",E5801,IFERROR(E5801/COUNTIF($G2:$G6000,G5801),E5801)),E5801)</f>
        <v>0</v>
      </c>
      <c r="I5801" s="1" t="str">
        <f>IFERROR(VLOOKUP(C5801,'Clients List'!A:F,6,FALSE),"")</f>
        <v/>
      </c>
    </row>
    <row r="5802" spans="4:9" x14ac:dyDescent="0.45">
      <c r="D5802" t="str">
        <f>IFERROR(VLOOKUP(C5802,'Clients List'!$A:$F,2,FALSE),"")</f>
        <v/>
      </c>
      <c r="F5802" s="1" t="str">
        <f>IF(OR(C5802="",NOT(ISNUMBER(SEARCH("Package",D5802)))),"",VLOOKUP(C5802,'Clients List'!$A:$F,4,FALSE)-SUMIFS($E$2:$E5802,$C$2:$C5802,C5802,$D$2:$D5802,"*Package*"))</f>
        <v/>
      </c>
      <c r="G5802" t="str">
        <f t="shared" si="123"/>
        <v/>
      </c>
      <c r="H5802" s="33">
        <f>IF(ISNUMBER(SEARCH("Group",D5802)),IF(G5802="",E5802,IFERROR(E5802/COUNTIF($G2:$G6000,G5802),E5802)),E5802)</f>
        <v>0</v>
      </c>
      <c r="I5802" s="1" t="str">
        <f>IFERROR(VLOOKUP(C5802,'Clients List'!A:F,6,FALSE),"")</f>
        <v/>
      </c>
    </row>
    <row r="5803" spans="4:9" x14ac:dyDescent="0.45">
      <c r="D5803" t="str">
        <f>IFERROR(VLOOKUP(C5803,'Clients List'!$A:$F,2,FALSE),"")</f>
        <v/>
      </c>
      <c r="F5803" s="1" t="str">
        <f>IF(OR(C5803="",NOT(ISNUMBER(SEARCH("Package",D5803)))),"",VLOOKUP(C5803,'Clients List'!$A:$F,4,FALSE)-SUMIFS($E$2:$E5803,$C$2:$C5803,C5803,$D$2:$D5803,"*Package*"))</f>
        <v/>
      </c>
      <c r="G5803" t="str">
        <f t="shared" si="123"/>
        <v/>
      </c>
      <c r="H5803" s="33">
        <f>IF(ISNUMBER(SEARCH("Group",D5803)),IF(G5803="",E5803,IFERROR(E5803/COUNTIF($G2:$G6000,G5803),E5803)),E5803)</f>
        <v>0</v>
      </c>
      <c r="I5803" s="1" t="str">
        <f>IFERROR(VLOOKUP(C5803,'Clients List'!A:F,6,FALSE),"")</f>
        <v/>
      </c>
    </row>
    <row r="5804" spans="4:9" x14ac:dyDescent="0.45">
      <c r="D5804" t="str">
        <f>IFERROR(VLOOKUP(C5804,'Clients List'!$A:$F,2,FALSE),"")</f>
        <v/>
      </c>
      <c r="F5804" s="1" t="str">
        <f>IF(OR(C5804="",NOT(ISNUMBER(SEARCH("Package",D5804)))),"",VLOOKUP(C5804,'Clients List'!$A:$F,4,FALSE)-SUMIFS($E$2:$E5804,$C$2:$C5804,C5804,$D$2:$D5804,"*Package*"))</f>
        <v/>
      </c>
      <c r="G5804" t="str">
        <f t="shared" si="123"/>
        <v/>
      </c>
      <c r="H5804" s="33">
        <f>IF(ISNUMBER(SEARCH("Group",D5804)),IF(G5804="",E5804,IFERROR(E5804/COUNTIF($G2:$G6000,G5804),E5804)),E5804)</f>
        <v>0</v>
      </c>
      <c r="I5804" s="1" t="str">
        <f>IFERROR(VLOOKUP(C5804,'Clients List'!A:F,6,FALSE),"")</f>
        <v/>
      </c>
    </row>
    <row r="5805" spans="4:9" x14ac:dyDescent="0.45">
      <c r="D5805" t="str">
        <f>IFERROR(VLOOKUP(C5805,'Clients List'!$A:$F,2,FALSE),"")</f>
        <v/>
      </c>
      <c r="F5805" s="1" t="str">
        <f>IF(OR(C5805="",NOT(ISNUMBER(SEARCH("Package",D5805)))),"",VLOOKUP(C5805,'Clients List'!$A:$F,4,FALSE)-SUMIFS($E$2:$E5805,$C$2:$C5805,C5805,$D$2:$D5805,"*Package*"))</f>
        <v/>
      </c>
      <c r="G5805" t="str">
        <f t="shared" si="123"/>
        <v/>
      </c>
      <c r="H5805" s="33">
        <f>IF(ISNUMBER(SEARCH("Group",D5805)),IF(G5805="",E5805,IFERROR(E5805/COUNTIF($G2:$G6000,G5805),E5805)),E5805)</f>
        <v>0</v>
      </c>
      <c r="I5805" s="1" t="str">
        <f>IFERROR(VLOOKUP(C5805,'Clients List'!A:F,6,FALSE),"")</f>
        <v/>
      </c>
    </row>
    <row r="5806" spans="4:9" x14ac:dyDescent="0.45">
      <c r="D5806" t="str">
        <f>IFERROR(VLOOKUP(C5806,'Clients List'!$A:$F,2,FALSE),"")</f>
        <v/>
      </c>
      <c r="F5806" s="1" t="str">
        <f>IF(OR(C5806="",NOT(ISNUMBER(SEARCH("Package",D5806)))),"",VLOOKUP(C5806,'Clients List'!$A:$F,4,FALSE)-SUMIFS($E$2:$E5806,$C$2:$C5806,C5806,$D$2:$D5806,"*Package*"))</f>
        <v/>
      </c>
      <c r="G5806" t="str">
        <f t="shared" si="123"/>
        <v/>
      </c>
      <c r="H5806" s="33">
        <f>IF(ISNUMBER(SEARCH("Group",D5806)),IF(G5806="",E5806,IFERROR(E5806/COUNTIF($G2:$G6000,G5806),E5806)),E5806)</f>
        <v>0</v>
      </c>
      <c r="I5806" s="1" t="str">
        <f>IFERROR(VLOOKUP(C5806,'Clients List'!A:F,6,FALSE),"")</f>
        <v/>
      </c>
    </row>
    <row r="5807" spans="4:9" x14ac:dyDescent="0.45">
      <c r="D5807" t="str">
        <f>IFERROR(VLOOKUP(C5807,'Clients List'!$A:$F,2,FALSE),"")</f>
        <v/>
      </c>
      <c r="F5807" s="1" t="str">
        <f>IF(OR(C5807="",NOT(ISNUMBER(SEARCH("Package",D5807)))),"",VLOOKUP(C5807,'Clients List'!$A:$F,4,FALSE)-SUMIFS($E$2:$E5807,$C$2:$C5807,C5807,$D$2:$D5807,"*Package*"))</f>
        <v/>
      </c>
      <c r="G5807" t="str">
        <f t="shared" si="123"/>
        <v/>
      </c>
      <c r="H5807" s="33">
        <f>IF(ISNUMBER(SEARCH("Group",D5807)),IF(G5807="",E5807,IFERROR(E5807/COUNTIF($G2:$G6000,G5807),E5807)),E5807)</f>
        <v>0</v>
      </c>
      <c r="I5807" s="1" t="str">
        <f>IFERROR(VLOOKUP(C5807,'Clients List'!A:F,6,FALSE),"")</f>
        <v/>
      </c>
    </row>
    <row r="5808" spans="4:9" x14ac:dyDescent="0.45">
      <c r="D5808" t="str">
        <f>IFERROR(VLOOKUP(C5808,'Clients List'!$A:$F,2,FALSE),"")</f>
        <v/>
      </c>
      <c r="F5808" s="1" t="str">
        <f>IF(OR(C5808="",NOT(ISNUMBER(SEARCH("Package",D5808)))),"",VLOOKUP(C5808,'Clients List'!$A:$F,4,FALSE)-SUMIFS($E$2:$E5808,$C$2:$C5808,C5808,$D$2:$D5808,"*Package*"))</f>
        <v/>
      </c>
      <c r="G5808" t="str">
        <f t="shared" si="123"/>
        <v/>
      </c>
      <c r="H5808" s="33">
        <f>IF(ISNUMBER(SEARCH("Group",D5808)),IF(G5808="",E5808,IFERROR(E5808/COUNTIF($G2:$G6000,G5808),E5808)),E5808)</f>
        <v>0</v>
      </c>
      <c r="I5808" s="1" t="str">
        <f>IFERROR(VLOOKUP(C5808,'Clients List'!A:F,6,FALSE),"")</f>
        <v/>
      </c>
    </row>
    <row r="5809" spans="4:9" x14ac:dyDescent="0.45">
      <c r="D5809" t="str">
        <f>IFERROR(VLOOKUP(C5809,'Clients List'!$A:$F,2,FALSE),"")</f>
        <v/>
      </c>
      <c r="F5809" s="1" t="str">
        <f>IF(OR(C5809="",NOT(ISNUMBER(SEARCH("Package",D5809)))),"",VLOOKUP(C5809,'Clients List'!$A:$F,4,FALSE)-SUMIFS($E$2:$E5809,$C$2:$C5809,C5809,$D$2:$D5809,"*Package*"))</f>
        <v/>
      </c>
      <c r="G5809" t="str">
        <f t="shared" si="123"/>
        <v/>
      </c>
      <c r="H5809" s="33">
        <f>IF(ISNUMBER(SEARCH("Group",D5809)),IF(G5809="",E5809,IFERROR(E5809/COUNTIF($G2:$G6000,G5809),E5809)),E5809)</f>
        <v>0</v>
      </c>
      <c r="I5809" s="1" t="str">
        <f>IFERROR(VLOOKUP(C5809,'Clients List'!A:F,6,FALSE),"")</f>
        <v/>
      </c>
    </row>
    <row r="5810" spans="4:9" x14ac:dyDescent="0.45">
      <c r="D5810" t="str">
        <f>IFERROR(VLOOKUP(C5810,'Clients List'!$A:$F,2,FALSE),"")</f>
        <v/>
      </c>
      <c r="F5810" s="1" t="str">
        <f>IF(OR(C5810="",NOT(ISNUMBER(SEARCH("Package",D5810)))),"",VLOOKUP(C5810,'Clients List'!$A:$F,4,FALSE)-SUMIFS($E$2:$E5810,$C$2:$C5810,C5810,$D$2:$D5810,"*Package*"))</f>
        <v/>
      </c>
      <c r="G5810" t="str">
        <f t="shared" si="123"/>
        <v/>
      </c>
      <c r="H5810" s="33">
        <f>IF(ISNUMBER(SEARCH("Group",D5810)),IF(G5810="",E5810,IFERROR(E5810/COUNTIF($G2:$G6000,G5810),E5810)),E5810)</f>
        <v>0</v>
      </c>
      <c r="I5810" s="1" t="str">
        <f>IFERROR(VLOOKUP(C5810,'Clients List'!A:F,6,FALSE),"")</f>
        <v/>
      </c>
    </row>
    <row r="5811" spans="4:9" x14ac:dyDescent="0.45">
      <c r="D5811" t="str">
        <f>IFERROR(VLOOKUP(C5811,'Clients List'!$A:$F,2,FALSE),"")</f>
        <v/>
      </c>
      <c r="F5811" s="1" t="str">
        <f>IF(OR(C5811="",NOT(ISNUMBER(SEARCH("Package",D5811)))),"",VLOOKUP(C5811,'Clients List'!$A:$F,4,FALSE)-SUMIFS($E$2:$E5811,$C$2:$C5811,C5811,$D$2:$D5811,"*Package*"))</f>
        <v/>
      </c>
      <c r="G5811" t="str">
        <f t="shared" si="123"/>
        <v/>
      </c>
      <c r="H5811" s="33">
        <f>IF(ISNUMBER(SEARCH("Group",D5811)),IF(G5811="",E5811,IFERROR(E5811/COUNTIF($G2:$G6000,G5811),E5811)),E5811)</f>
        <v>0</v>
      </c>
      <c r="I5811" s="1" t="str">
        <f>IFERROR(VLOOKUP(C5811,'Clients List'!A:F,6,FALSE),"")</f>
        <v/>
      </c>
    </row>
    <row r="5812" spans="4:9" x14ac:dyDescent="0.45">
      <c r="D5812" t="str">
        <f>IFERROR(VLOOKUP(C5812,'Clients List'!$A:$F,2,FALSE),"")</f>
        <v/>
      </c>
      <c r="F5812" s="1" t="str">
        <f>IF(OR(C5812="",NOT(ISNUMBER(SEARCH("Package",D5812)))),"",VLOOKUP(C5812,'Clients List'!$A:$F,4,FALSE)-SUMIFS($E$2:$E5812,$C$2:$C5812,C5812,$D$2:$D5812,"*Package*"))</f>
        <v/>
      </c>
      <c r="G5812" t="str">
        <f t="shared" si="123"/>
        <v/>
      </c>
      <c r="H5812" s="33">
        <f>IF(ISNUMBER(SEARCH("Group",D5812)),IF(G5812="",E5812,IFERROR(E5812/COUNTIF($G2:$G6000,G5812),E5812)),E5812)</f>
        <v>0</v>
      </c>
      <c r="I5812" s="1" t="str">
        <f>IFERROR(VLOOKUP(C5812,'Clients List'!A:F,6,FALSE),"")</f>
        <v/>
      </c>
    </row>
    <row r="5813" spans="4:9" x14ac:dyDescent="0.45">
      <c r="D5813" t="str">
        <f>IFERROR(VLOOKUP(C5813,'Clients List'!$A:$F,2,FALSE),"")</f>
        <v/>
      </c>
      <c r="F5813" s="1" t="str">
        <f>IF(OR(C5813="",NOT(ISNUMBER(SEARCH("Package",D5813)))),"",VLOOKUP(C5813,'Clients List'!$A:$F,4,FALSE)-SUMIFS($E$2:$E5813,$C$2:$C5813,C5813,$D$2:$D5813,"*Package*"))</f>
        <v/>
      </c>
      <c r="G5813" t="str">
        <f t="shared" ref="G5813:G5876" si="124">IF(ISNUMBER(SEARCH("Group",D5813)),IFERROR("GRP-"&amp;TEXT(IF(ISNUMBER(A5813),A5813,DATEVALUE(A5813)),"yyyymmdd"),""),"" )</f>
        <v/>
      </c>
      <c r="H5813" s="33">
        <f>IF(ISNUMBER(SEARCH("Group",D5813)),IF(G5813="",E5813,IFERROR(E5813/COUNTIF($G2:$G6000,G5813),E5813)),E5813)</f>
        <v>0</v>
      </c>
      <c r="I5813" s="1" t="str">
        <f>IFERROR(VLOOKUP(C5813,'Clients List'!A:F,6,FALSE),"")</f>
        <v/>
      </c>
    </row>
    <row r="5814" spans="4:9" x14ac:dyDescent="0.45">
      <c r="D5814" t="str">
        <f>IFERROR(VLOOKUP(C5814,'Clients List'!$A:$F,2,FALSE),"")</f>
        <v/>
      </c>
      <c r="F5814" s="1" t="str">
        <f>IF(OR(C5814="",NOT(ISNUMBER(SEARCH("Package",D5814)))),"",VLOOKUP(C5814,'Clients List'!$A:$F,4,FALSE)-SUMIFS($E$2:$E5814,$C$2:$C5814,C5814,$D$2:$D5814,"*Package*"))</f>
        <v/>
      </c>
      <c r="G5814" t="str">
        <f t="shared" si="124"/>
        <v/>
      </c>
      <c r="H5814" s="33">
        <f>IF(ISNUMBER(SEARCH("Group",D5814)),IF(G5814="",E5814,IFERROR(E5814/COUNTIF($G2:$G6000,G5814),E5814)),E5814)</f>
        <v>0</v>
      </c>
      <c r="I5814" s="1" t="str">
        <f>IFERROR(VLOOKUP(C5814,'Clients List'!A:F,6,FALSE),"")</f>
        <v/>
      </c>
    </row>
    <row r="5815" spans="4:9" x14ac:dyDescent="0.45">
      <c r="D5815" t="str">
        <f>IFERROR(VLOOKUP(C5815,'Clients List'!$A:$F,2,FALSE),"")</f>
        <v/>
      </c>
      <c r="F5815" s="1" t="str">
        <f>IF(OR(C5815="",NOT(ISNUMBER(SEARCH("Package",D5815)))),"",VLOOKUP(C5815,'Clients List'!$A:$F,4,FALSE)-SUMIFS($E$2:$E5815,$C$2:$C5815,C5815,$D$2:$D5815,"*Package*"))</f>
        <v/>
      </c>
      <c r="G5815" t="str">
        <f t="shared" si="124"/>
        <v/>
      </c>
      <c r="H5815" s="33">
        <f>IF(ISNUMBER(SEARCH("Group",D5815)),IF(G5815="",E5815,IFERROR(E5815/COUNTIF($G2:$G6000,G5815),E5815)),E5815)</f>
        <v>0</v>
      </c>
      <c r="I5815" s="1" t="str">
        <f>IFERROR(VLOOKUP(C5815,'Clients List'!A:F,6,FALSE),"")</f>
        <v/>
      </c>
    </row>
    <row r="5816" spans="4:9" x14ac:dyDescent="0.45">
      <c r="D5816" t="str">
        <f>IFERROR(VLOOKUP(C5816,'Clients List'!$A:$F,2,FALSE),"")</f>
        <v/>
      </c>
      <c r="F5816" s="1" t="str">
        <f>IF(OR(C5816="",NOT(ISNUMBER(SEARCH("Package",D5816)))),"",VLOOKUP(C5816,'Clients List'!$A:$F,4,FALSE)-SUMIFS($E$2:$E5816,$C$2:$C5816,C5816,$D$2:$D5816,"*Package*"))</f>
        <v/>
      </c>
      <c r="G5816" t="str">
        <f t="shared" si="124"/>
        <v/>
      </c>
      <c r="H5816" s="33">
        <f>IF(ISNUMBER(SEARCH("Group",D5816)),IF(G5816="",E5816,IFERROR(E5816/COUNTIF($G2:$G6000,G5816),E5816)),E5816)</f>
        <v>0</v>
      </c>
      <c r="I5816" s="1" t="str">
        <f>IFERROR(VLOOKUP(C5816,'Clients List'!A:F,6,FALSE),"")</f>
        <v/>
      </c>
    </row>
    <row r="5817" spans="4:9" x14ac:dyDescent="0.45">
      <c r="D5817" t="str">
        <f>IFERROR(VLOOKUP(C5817,'Clients List'!$A:$F,2,FALSE),"")</f>
        <v/>
      </c>
      <c r="F5817" s="1" t="str">
        <f>IF(OR(C5817="",NOT(ISNUMBER(SEARCH("Package",D5817)))),"",VLOOKUP(C5817,'Clients List'!$A:$F,4,FALSE)-SUMIFS($E$2:$E5817,$C$2:$C5817,C5817,$D$2:$D5817,"*Package*"))</f>
        <v/>
      </c>
      <c r="G5817" t="str">
        <f t="shared" si="124"/>
        <v/>
      </c>
      <c r="H5817" s="33">
        <f>IF(ISNUMBER(SEARCH("Group",D5817)),IF(G5817="",E5817,IFERROR(E5817/COUNTIF($G2:$G6000,G5817),E5817)),E5817)</f>
        <v>0</v>
      </c>
      <c r="I5817" s="1" t="str">
        <f>IFERROR(VLOOKUP(C5817,'Clients List'!A:F,6,FALSE),"")</f>
        <v/>
      </c>
    </row>
    <row r="5818" spans="4:9" x14ac:dyDescent="0.45">
      <c r="D5818" t="str">
        <f>IFERROR(VLOOKUP(C5818,'Clients List'!$A:$F,2,FALSE),"")</f>
        <v/>
      </c>
      <c r="F5818" s="1" t="str">
        <f>IF(OR(C5818="",NOT(ISNUMBER(SEARCH("Package",D5818)))),"",VLOOKUP(C5818,'Clients List'!$A:$F,4,FALSE)-SUMIFS($E$2:$E5818,$C$2:$C5818,C5818,$D$2:$D5818,"*Package*"))</f>
        <v/>
      </c>
      <c r="G5818" t="str">
        <f t="shared" si="124"/>
        <v/>
      </c>
      <c r="H5818" s="33">
        <f>IF(ISNUMBER(SEARCH("Group",D5818)),IF(G5818="",E5818,IFERROR(E5818/COUNTIF($G2:$G6000,G5818),E5818)),E5818)</f>
        <v>0</v>
      </c>
      <c r="I5818" s="1" t="str">
        <f>IFERROR(VLOOKUP(C5818,'Clients List'!A:F,6,FALSE),"")</f>
        <v/>
      </c>
    </row>
    <row r="5819" spans="4:9" x14ac:dyDescent="0.45">
      <c r="D5819" t="str">
        <f>IFERROR(VLOOKUP(C5819,'Clients List'!$A:$F,2,FALSE),"")</f>
        <v/>
      </c>
      <c r="F5819" s="1" t="str">
        <f>IF(OR(C5819="",NOT(ISNUMBER(SEARCH("Package",D5819)))),"",VLOOKUP(C5819,'Clients List'!$A:$F,4,FALSE)-SUMIFS($E$2:$E5819,$C$2:$C5819,C5819,$D$2:$D5819,"*Package*"))</f>
        <v/>
      </c>
      <c r="G5819" t="str">
        <f t="shared" si="124"/>
        <v/>
      </c>
      <c r="H5819" s="33">
        <f>IF(ISNUMBER(SEARCH("Group",D5819)),IF(G5819="",E5819,IFERROR(E5819/COUNTIF($G2:$G6000,G5819),E5819)),E5819)</f>
        <v>0</v>
      </c>
      <c r="I5819" s="1" t="str">
        <f>IFERROR(VLOOKUP(C5819,'Clients List'!A:F,6,FALSE),"")</f>
        <v/>
      </c>
    </row>
    <row r="5820" spans="4:9" x14ac:dyDescent="0.45">
      <c r="D5820" t="str">
        <f>IFERROR(VLOOKUP(C5820,'Clients List'!$A:$F,2,FALSE),"")</f>
        <v/>
      </c>
      <c r="F5820" s="1" t="str">
        <f>IF(OR(C5820="",NOT(ISNUMBER(SEARCH("Package",D5820)))),"",VLOOKUP(C5820,'Clients List'!$A:$F,4,FALSE)-SUMIFS($E$2:$E5820,$C$2:$C5820,C5820,$D$2:$D5820,"*Package*"))</f>
        <v/>
      </c>
      <c r="G5820" t="str">
        <f t="shared" si="124"/>
        <v/>
      </c>
      <c r="H5820" s="33">
        <f>IF(ISNUMBER(SEARCH("Group",D5820)),IF(G5820="",E5820,IFERROR(E5820/COUNTIF($G2:$G6000,G5820),E5820)),E5820)</f>
        <v>0</v>
      </c>
      <c r="I5820" s="1" t="str">
        <f>IFERROR(VLOOKUP(C5820,'Clients List'!A:F,6,FALSE),"")</f>
        <v/>
      </c>
    </row>
    <row r="5821" spans="4:9" x14ac:dyDescent="0.45">
      <c r="D5821" t="str">
        <f>IFERROR(VLOOKUP(C5821,'Clients List'!$A:$F,2,FALSE),"")</f>
        <v/>
      </c>
      <c r="F5821" s="1" t="str">
        <f>IF(OR(C5821="",NOT(ISNUMBER(SEARCH("Package",D5821)))),"",VLOOKUP(C5821,'Clients List'!$A:$F,4,FALSE)-SUMIFS($E$2:$E5821,$C$2:$C5821,C5821,$D$2:$D5821,"*Package*"))</f>
        <v/>
      </c>
      <c r="G5821" t="str">
        <f t="shared" si="124"/>
        <v/>
      </c>
      <c r="H5821" s="33">
        <f>IF(ISNUMBER(SEARCH("Group",D5821)),IF(G5821="",E5821,IFERROR(E5821/COUNTIF($G2:$G6000,G5821),E5821)),E5821)</f>
        <v>0</v>
      </c>
      <c r="I5821" s="1" t="str">
        <f>IFERROR(VLOOKUP(C5821,'Clients List'!A:F,6,FALSE),"")</f>
        <v/>
      </c>
    </row>
    <row r="5822" spans="4:9" x14ac:dyDescent="0.45">
      <c r="D5822" t="str">
        <f>IFERROR(VLOOKUP(C5822,'Clients List'!$A:$F,2,FALSE),"")</f>
        <v/>
      </c>
      <c r="F5822" s="1" t="str">
        <f>IF(OR(C5822="",NOT(ISNUMBER(SEARCH("Package",D5822)))),"",VLOOKUP(C5822,'Clients List'!$A:$F,4,FALSE)-SUMIFS($E$2:$E5822,$C$2:$C5822,C5822,$D$2:$D5822,"*Package*"))</f>
        <v/>
      </c>
      <c r="G5822" t="str">
        <f t="shared" si="124"/>
        <v/>
      </c>
      <c r="H5822" s="33">
        <f>IF(ISNUMBER(SEARCH("Group",D5822)),IF(G5822="",E5822,IFERROR(E5822/COUNTIF($G2:$G6000,G5822),E5822)),E5822)</f>
        <v>0</v>
      </c>
      <c r="I5822" s="1" t="str">
        <f>IFERROR(VLOOKUP(C5822,'Clients List'!A:F,6,FALSE),"")</f>
        <v/>
      </c>
    </row>
    <row r="5823" spans="4:9" x14ac:dyDescent="0.45">
      <c r="D5823" t="str">
        <f>IFERROR(VLOOKUP(C5823,'Clients List'!$A:$F,2,FALSE),"")</f>
        <v/>
      </c>
      <c r="F5823" s="1" t="str">
        <f>IF(OR(C5823="",NOT(ISNUMBER(SEARCH("Package",D5823)))),"",VLOOKUP(C5823,'Clients List'!$A:$F,4,FALSE)-SUMIFS($E$2:$E5823,$C$2:$C5823,C5823,$D$2:$D5823,"*Package*"))</f>
        <v/>
      </c>
      <c r="G5823" t="str">
        <f t="shared" si="124"/>
        <v/>
      </c>
      <c r="H5823" s="33">
        <f>IF(ISNUMBER(SEARCH("Group",D5823)),IF(G5823="",E5823,IFERROR(E5823/COUNTIF($G2:$G6000,G5823),E5823)),E5823)</f>
        <v>0</v>
      </c>
      <c r="I5823" s="1" t="str">
        <f>IFERROR(VLOOKUP(C5823,'Clients List'!A:F,6,FALSE),"")</f>
        <v/>
      </c>
    </row>
    <row r="5824" spans="4:9" x14ac:dyDescent="0.45">
      <c r="D5824" t="str">
        <f>IFERROR(VLOOKUP(C5824,'Clients List'!$A:$F,2,FALSE),"")</f>
        <v/>
      </c>
      <c r="F5824" s="1" t="str">
        <f>IF(OR(C5824="",NOT(ISNUMBER(SEARCH("Package",D5824)))),"",VLOOKUP(C5824,'Clients List'!$A:$F,4,FALSE)-SUMIFS($E$2:$E5824,$C$2:$C5824,C5824,$D$2:$D5824,"*Package*"))</f>
        <v/>
      </c>
      <c r="G5824" t="str">
        <f t="shared" si="124"/>
        <v/>
      </c>
      <c r="H5824" s="33">
        <f>IF(ISNUMBER(SEARCH("Group",D5824)),IF(G5824="",E5824,IFERROR(E5824/COUNTIF($G2:$G6000,G5824),E5824)),E5824)</f>
        <v>0</v>
      </c>
      <c r="I5824" s="1" t="str">
        <f>IFERROR(VLOOKUP(C5824,'Clients List'!A:F,6,FALSE),"")</f>
        <v/>
      </c>
    </row>
    <row r="5825" spans="4:9" x14ac:dyDescent="0.45">
      <c r="D5825" t="str">
        <f>IFERROR(VLOOKUP(C5825,'Clients List'!$A:$F,2,FALSE),"")</f>
        <v/>
      </c>
      <c r="F5825" s="1" t="str">
        <f>IF(OR(C5825="",NOT(ISNUMBER(SEARCH("Package",D5825)))),"",VLOOKUP(C5825,'Clients List'!$A:$F,4,FALSE)-SUMIFS($E$2:$E5825,$C$2:$C5825,C5825,$D$2:$D5825,"*Package*"))</f>
        <v/>
      </c>
      <c r="G5825" t="str">
        <f t="shared" si="124"/>
        <v/>
      </c>
      <c r="H5825" s="33">
        <f>IF(ISNUMBER(SEARCH("Group",D5825)),IF(G5825="",E5825,IFERROR(E5825/COUNTIF($G2:$G6000,G5825),E5825)),E5825)</f>
        <v>0</v>
      </c>
      <c r="I5825" s="1" t="str">
        <f>IFERROR(VLOOKUP(C5825,'Clients List'!A:F,6,FALSE),"")</f>
        <v/>
      </c>
    </row>
    <row r="5826" spans="4:9" x14ac:dyDescent="0.45">
      <c r="D5826" t="str">
        <f>IFERROR(VLOOKUP(C5826,'Clients List'!$A:$F,2,FALSE),"")</f>
        <v/>
      </c>
      <c r="F5826" s="1" t="str">
        <f>IF(OR(C5826="",NOT(ISNUMBER(SEARCH("Package",D5826)))),"",VLOOKUP(C5826,'Clients List'!$A:$F,4,FALSE)-SUMIFS($E$2:$E5826,$C$2:$C5826,C5826,$D$2:$D5826,"*Package*"))</f>
        <v/>
      </c>
      <c r="G5826" t="str">
        <f t="shared" si="124"/>
        <v/>
      </c>
      <c r="H5826" s="33">
        <f>IF(ISNUMBER(SEARCH("Group",D5826)),IF(G5826="",E5826,IFERROR(E5826/COUNTIF($G2:$G6000,G5826),E5826)),E5826)</f>
        <v>0</v>
      </c>
      <c r="I5826" s="1" t="str">
        <f>IFERROR(VLOOKUP(C5826,'Clients List'!A:F,6,FALSE),"")</f>
        <v/>
      </c>
    </row>
    <row r="5827" spans="4:9" x14ac:dyDescent="0.45">
      <c r="D5827" t="str">
        <f>IFERROR(VLOOKUP(C5827,'Clients List'!$A:$F,2,FALSE),"")</f>
        <v/>
      </c>
      <c r="F5827" s="1" t="str">
        <f>IF(OR(C5827="",NOT(ISNUMBER(SEARCH("Package",D5827)))),"",VLOOKUP(C5827,'Clients List'!$A:$F,4,FALSE)-SUMIFS($E$2:$E5827,$C$2:$C5827,C5827,$D$2:$D5827,"*Package*"))</f>
        <v/>
      </c>
      <c r="G5827" t="str">
        <f t="shared" si="124"/>
        <v/>
      </c>
      <c r="H5827" s="33">
        <f>IF(ISNUMBER(SEARCH("Group",D5827)),IF(G5827="",E5827,IFERROR(E5827/COUNTIF($G2:$G6000,G5827),E5827)),E5827)</f>
        <v>0</v>
      </c>
      <c r="I5827" s="1" t="str">
        <f>IFERROR(VLOOKUP(C5827,'Clients List'!A:F,6,FALSE),"")</f>
        <v/>
      </c>
    </row>
    <row r="5828" spans="4:9" x14ac:dyDescent="0.45">
      <c r="D5828" t="str">
        <f>IFERROR(VLOOKUP(C5828,'Clients List'!$A:$F,2,FALSE),"")</f>
        <v/>
      </c>
      <c r="F5828" s="1" t="str">
        <f>IF(OR(C5828="",NOT(ISNUMBER(SEARCH("Package",D5828)))),"",VLOOKUP(C5828,'Clients List'!$A:$F,4,FALSE)-SUMIFS($E$2:$E5828,$C$2:$C5828,C5828,$D$2:$D5828,"*Package*"))</f>
        <v/>
      </c>
      <c r="G5828" t="str">
        <f t="shared" si="124"/>
        <v/>
      </c>
      <c r="H5828" s="33">
        <f>IF(ISNUMBER(SEARCH("Group",D5828)),IF(G5828="",E5828,IFERROR(E5828/COUNTIF($G2:$G6000,G5828),E5828)),E5828)</f>
        <v>0</v>
      </c>
      <c r="I5828" s="1" t="str">
        <f>IFERROR(VLOOKUP(C5828,'Clients List'!A:F,6,FALSE),"")</f>
        <v/>
      </c>
    </row>
    <row r="5829" spans="4:9" x14ac:dyDescent="0.45">
      <c r="D5829" t="str">
        <f>IFERROR(VLOOKUP(C5829,'Clients List'!$A:$F,2,FALSE),"")</f>
        <v/>
      </c>
      <c r="F5829" s="1" t="str">
        <f>IF(OR(C5829="",NOT(ISNUMBER(SEARCH("Package",D5829)))),"",VLOOKUP(C5829,'Clients List'!$A:$F,4,FALSE)-SUMIFS($E$2:$E5829,$C$2:$C5829,C5829,$D$2:$D5829,"*Package*"))</f>
        <v/>
      </c>
      <c r="G5829" t="str">
        <f t="shared" si="124"/>
        <v/>
      </c>
      <c r="H5829" s="33">
        <f>IF(ISNUMBER(SEARCH("Group",D5829)),IF(G5829="",E5829,IFERROR(E5829/COUNTIF($G2:$G6000,G5829),E5829)),E5829)</f>
        <v>0</v>
      </c>
      <c r="I5829" s="1" t="str">
        <f>IFERROR(VLOOKUP(C5829,'Clients List'!A:F,6,FALSE),"")</f>
        <v/>
      </c>
    </row>
    <row r="5830" spans="4:9" x14ac:dyDescent="0.45">
      <c r="D5830" t="str">
        <f>IFERROR(VLOOKUP(C5830,'Clients List'!$A:$F,2,FALSE),"")</f>
        <v/>
      </c>
      <c r="F5830" s="1" t="str">
        <f>IF(OR(C5830="",NOT(ISNUMBER(SEARCH("Package",D5830)))),"",VLOOKUP(C5830,'Clients List'!$A:$F,4,FALSE)-SUMIFS($E$2:$E5830,$C$2:$C5830,C5830,$D$2:$D5830,"*Package*"))</f>
        <v/>
      </c>
      <c r="G5830" t="str">
        <f t="shared" si="124"/>
        <v/>
      </c>
      <c r="H5830" s="33">
        <f>IF(ISNUMBER(SEARCH("Group",D5830)),IF(G5830="",E5830,IFERROR(E5830/COUNTIF($G2:$G6000,G5830),E5830)),E5830)</f>
        <v>0</v>
      </c>
      <c r="I5830" s="1" t="str">
        <f>IFERROR(VLOOKUP(C5830,'Clients List'!A:F,6,FALSE),"")</f>
        <v/>
      </c>
    </row>
    <row r="5831" spans="4:9" x14ac:dyDescent="0.45">
      <c r="D5831" t="str">
        <f>IFERROR(VLOOKUP(C5831,'Clients List'!$A:$F,2,FALSE),"")</f>
        <v/>
      </c>
      <c r="F5831" s="1" t="str">
        <f>IF(OR(C5831="",NOT(ISNUMBER(SEARCH("Package",D5831)))),"",VLOOKUP(C5831,'Clients List'!$A:$F,4,FALSE)-SUMIFS($E$2:$E5831,$C$2:$C5831,C5831,$D$2:$D5831,"*Package*"))</f>
        <v/>
      </c>
      <c r="G5831" t="str">
        <f t="shared" si="124"/>
        <v/>
      </c>
      <c r="H5831" s="33">
        <f>IF(ISNUMBER(SEARCH("Group",D5831)),IF(G5831="",E5831,IFERROR(E5831/COUNTIF($G2:$G6000,G5831),E5831)),E5831)</f>
        <v>0</v>
      </c>
      <c r="I5831" s="1" t="str">
        <f>IFERROR(VLOOKUP(C5831,'Clients List'!A:F,6,FALSE),"")</f>
        <v/>
      </c>
    </row>
    <row r="5832" spans="4:9" x14ac:dyDescent="0.45">
      <c r="D5832" t="str">
        <f>IFERROR(VLOOKUP(C5832,'Clients List'!$A:$F,2,FALSE),"")</f>
        <v/>
      </c>
      <c r="F5832" s="1" t="str">
        <f>IF(OR(C5832="",NOT(ISNUMBER(SEARCH("Package",D5832)))),"",VLOOKUP(C5832,'Clients List'!$A:$F,4,FALSE)-SUMIFS($E$2:$E5832,$C$2:$C5832,C5832,$D$2:$D5832,"*Package*"))</f>
        <v/>
      </c>
      <c r="G5832" t="str">
        <f t="shared" si="124"/>
        <v/>
      </c>
      <c r="H5832" s="33">
        <f>IF(ISNUMBER(SEARCH("Group",D5832)),IF(G5832="",E5832,IFERROR(E5832/COUNTIF($G2:$G6000,G5832),E5832)),E5832)</f>
        <v>0</v>
      </c>
      <c r="I5832" s="1" t="str">
        <f>IFERROR(VLOOKUP(C5832,'Clients List'!A:F,6,FALSE),"")</f>
        <v/>
      </c>
    </row>
    <row r="5833" spans="4:9" x14ac:dyDescent="0.45">
      <c r="D5833" t="str">
        <f>IFERROR(VLOOKUP(C5833,'Clients List'!$A:$F,2,FALSE),"")</f>
        <v/>
      </c>
      <c r="F5833" s="1" t="str">
        <f>IF(OR(C5833="",NOT(ISNUMBER(SEARCH("Package",D5833)))),"",VLOOKUP(C5833,'Clients List'!$A:$F,4,FALSE)-SUMIFS($E$2:$E5833,$C$2:$C5833,C5833,$D$2:$D5833,"*Package*"))</f>
        <v/>
      </c>
      <c r="G5833" t="str">
        <f t="shared" si="124"/>
        <v/>
      </c>
      <c r="H5833" s="33">
        <f>IF(ISNUMBER(SEARCH("Group",D5833)),IF(G5833="",E5833,IFERROR(E5833/COUNTIF($G2:$G6000,G5833),E5833)),E5833)</f>
        <v>0</v>
      </c>
      <c r="I5833" s="1" t="str">
        <f>IFERROR(VLOOKUP(C5833,'Clients List'!A:F,6,FALSE),"")</f>
        <v/>
      </c>
    </row>
    <row r="5834" spans="4:9" x14ac:dyDescent="0.45">
      <c r="D5834" t="str">
        <f>IFERROR(VLOOKUP(C5834,'Clients List'!$A:$F,2,FALSE),"")</f>
        <v/>
      </c>
      <c r="F5834" s="1" t="str">
        <f>IF(OR(C5834="",NOT(ISNUMBER(SEARCH("Package",D5834)))),"",VLOOKUP(C5834,'Clients List'!$A:$F,4,FALSE)-SUMIFS($E$2:$E5834,$C$2:$C5834,C5834,$D$2:$D5834,"*Package*"))</f>
        <v/>
      </c>
      <c r="G5834" t="str">
        <f t="shared" si="124"/>
        <v/>
      </c>
      <c r="H5834" s="33">
        <f>IF(ISNUMBER(SEARCH("Group",D5834)),IF(G5834="",E5834,IFERROR(E5834/COUNTIF($G2:$G6000,G5834),E5834)),E5834)</f>
        <v>0</v>
      </c>
      <c r="I5834" s="1" t="str">
        <f>IFERROR(VLOOKUP(C5834,'Clients List'!A:F,6,FALSE),"")</f>
        <v/>
      </c>
    </row>
    <row r="5835" spans="4:9" x14ac:dyDescent="0.45">
      <c r="D5835" t="str">
        <f>IFERROR(VLOOKUP(C5835,'Clients List'!$A:$F,2,FALSE),"")</f>
        <v/>
      </c>
      <c r="F5835" s="1" t="str">
        <f>IF(OR(C5835="",NOT(ISNUMBER(SEARCH("Package",D5835)))),"",VLOOKUP(C5835,'Clients List'!$A:$F,4,FALSE)-SUMIFS($E$2:$E5835,$C$2:$C5835,C5835,$D$2:$D5835,"*Package*"))</f>
        <v/>
      </c>
      <c r="G5835" t="str">
        <f t="shared" si="124"/>
        <v/>
      </c>
      <c r="H5835" s="33">
        <f>IF(ISNUMBER(SEARCH("Group",D5835)),IF(G5835="",E5835,IFERROR(E5835/COUNTIF($G2:$G6000,G5835),E5835)),E5835)</f>
        <v>0</v>
      </c>
      <c r="I5835" s="1" t="str">
        <f>IFERROR(VLOOKUP(C5835,'Clients List'!A:F,6,FALSE),"")</f>
        <v/>
      </c>
    </row>
    <row r="5836" spans="4:9" x14ac:dyDescent="0.45">
      <c r="D5836" t="str">
        <f>IFERROR(VLOOKUP(C5836,'Clients List'!$A:$F,2,FALSE),"")</f>
        <v/>
      </c>
      <c r="F5836" s="1" t="str">
        <f>IF(OR(C5836="",NOT(ISNUMBER(SEARCH("Package",D5836)))),"",VLOOKUP(C5836,'Clients List'!$A:$F,4,FALSE)-SUMIFS($E$2:$E5836,$C$2:$C5836,C5836,$D$2:$D5836,"*Package*"))</f>
        <v/>
      </c>
      <c r="G5836" t="str">
        <f t="shared" si="124"/>
        <v/>
      </c>
      <c r="H5836" s="33">
        <f>IF(ISNUMBER(SEARCH("Group",D5836)),IF(G5836="",E5836,IFERROR(E5836/COUNTIF($G2:$G6000,G5836),E5836)),E5836)</f>
        <v>0</v>
      </c>
      <c r="I5836" s="1" t="str">
        <f>IFERROR(VLOOKUP(C5836,'Clients List'!A:F,6,FALSE),"")</f>
        <v/>
      </c>
    </row>
    <row r="5837" spans="4:9" x14ac:dyDescent="0.45">
      <c r="D5837" t="str">
        <f>IFERROR(VLOOKUP(C5837,'Clients List'!$A:$F,2,FALSE),"")</f>
        <v/>
      </c>
      <c r="F5837" s="1" t="str">
        <f>IF(OR(C5837="",NOT(ISNUMBER(SEARCH("Package",D5837)))),"",VLOOKUP(C5837,'Clients List'!$A:$F,4,FALSE)-SUMIFS($E$2:$E5837,$C$2:$C5837,C5837,$D$2:$D5837,"*Package*"))</f>
        <v/>
      </c>
      <c r="G5837" t="str">
        <f t="shared" si="124"/>
        <v/>
      </c>
      <c r="H5837" s="33">
        <f>IF(ISNUMBER(SEARCH("Group",D5837)),IF(G5837="",E5837,IFERROR(E5837/COUNTIF($G2:$G6000,G5837),E5837)),E5837)</f>
        <v>0</v>
      </c>
      <c r="I5837" s="1" t="str">
        <f>IFERROR(VLOOKUP(C5837,'Clients List'!A:F,6,FALSE),"")</f>
        <v/>
      </c>
    </row>
    <row r="5838" spans="4:9" x14ac:dyDescent="0.45">
      <c r="D5838" t="str">
        <f>IFERROR(VLOOKUP(C5838,'Clients List'!$A:$F,2,FALSE),"")</f>
        <v/>
      </c>
      <c r="F5838" s="1" t="str">
        <f>IF(OR(C5838="",NOT(ISNUMBER(SEARCH("Package",D5838)))),"",VLOOKUP(C5838,'Clients List'!$A:$F,4,FALSE)-SUMIFS($E$2:$E5838,$C$2:$C5838,C5838,$D$2:$D5838,"*Package*"))</f>
        <v/>
      </c>
      <c r="G5838" t="str">
        <f t="shared" si="124"/>
        <v/>
      </c>
      <c r="H5838" s="33">
        <f>IF(ISNUMBER(SEARCH("Group",D5838)),IF(G5838="",E5838,IFERROR(E5838/COUNTIF($G2:$G6000,G5838),E5838)),E5838)</f>
        <v>0</v>
      </c>
      <c r="I5838" s="1" t="str">
        <f>IFERROR(VLOOKUP(C5838,'Clients List'!A:F,6,FALSE),"")</f>
        <v/>
      </c>
    </row>
    <row r="5839" spans="4:9" x14ac:dyDescent="0.45">
      <c r="D5839" t="str">
        <f>IFERROR(VLOOKUP(C5839,'Clients List'!$A:$F,2,FALSE),"")</f>
        <v/>
      </c>
      <c r="F5839" s="1" t="str">
        <f>IF(OR(C5839="",NOT(ISNUMBER(SEARCH("Package",D5839)))),"",VLOOKUP(C5839,'Clients List'!$A:$F,4,FALSE)-SUMIFS($E$2:$E5839,$C$2:$C5839,C5839,$D$2:$D5839,"*Package*"))</f>
        <v/>
      </c>
      <c r="G5839" t="str">
        <f t="shared" si="124"/>
        <v/>
      </c>
      <c r="H5839" s="33">
        <f>IF(ISNUMBER(SEARCH("Group",D5839)),IF(G5839="",E5839,IFERROR(E5839/COUNTIF($G2:$G6000,G5839),E5839)),E5839)</f>
        <v>0</v>
      </c>
      <c r="I5839" s="1" t="str">
        <f>IFERROR(VLOOKUP(C5839,'Clients List'!A:F,6,FALSE),"")</f>
        <v/>
      </c>
    </row>
    <row r="5840" spans="4:9" x14ac:dyDescent="0.45">
      <c r="D5840" t="str">
        <f>IFERROR(VLOOKUP(C5840,'Clients List'!$A:$F,2,FALSE),"")</f>
        <v/>
      </c>
      <c r="F5840" s="1" t="str">
        <f>IF(OR(C5840="",NOT(ISNUMBER(SEARCH("Package",D5840)))),"",VLOOKUP(C5840,'Clients List'!$A:$F,4,FALSE)-SUMIFS($E$2:$E5840,$C$2:$C5840,C5840,$D$2:$D5840,"*Package*"))</f>
        <v/>
      </c>
      <c r="G5840" t="str">
        <f t="shared" si="124"/>
        <v/>
      </c>
      <c r="H5840" s="33">
        <f>IF(ISNUMBER(SEARCH("Group",D5840)),IF(G5840="",E5840,IFERROR(E5840/COUNTIF($G2:$G6000,G5840),E5840)),E5840)</f>
        <v>0</v>
      </c>
      <c r="I5840" s="1" t="str">
        <f>IFERROR(VLOOKUP(C5840,'Clients List'!A:F,6,FALSE),"")</f>
        <v/>
      </c>
    </row>
    <row r="5841" spans="4:9" x14ac:dyDescent="0.45">
      <c r="D5841" t="str">
        <f>IFERROR(VLOOKUP(C5841,'Clients List'!$A:$F,2,FALSE),"")</f>
        <v/>
      </c>
      <c r="F5841" s="1" t="str">
        <f>IF(OR(C5841="",NOT(ISNUMBER(SEARCH("Package",D5841)))),"",VLOOKUP(C5841,'Clients List'!$A:$F,4,FALSE)-SUMIFS($E$2:$E5841,$C$2:$C5841,C5841,$D$2:$D5841,"*Package*"))</f>
        <v/>
      </c>
      <c r="G5841" t="str">
        <f t="shared" si="124"/>
        <v/>
      </c>
      <c r="H5841" s="33">
        <f>IF(ISNUMBER(SEARCH("Group",D5841)),IF(G5841="",E5841,IFERROR(E5841/COUNTIF($G2:$G6000,G5841),E5841)),E5841)</f>
        <v>0</v>
      </c>
      <c r="I5841" s="1" t="str">
        <f>IFERROR(VLOOKUP(C5841,'Clients List'!A:F,6,FALSE),"")</f>
        <v/>
      </c>
    </row>
    <row r="5842" spans="4:9" x14ac:dyDescent="0.45">
      <c r="D5842" t="str">
        <f>IFERROR(VLOOKUP(C5842,'Clients List'!$A:$F,2,FALSE),"")</f>
        <v/>
      </c>
      <c r="F5842" s="1" t="str">
        <f>IF(OR(C5842="",NOT(ISNUMBER(SEARCH("Package",D5842)))),"",VLOOKUP(C5842,'Clients List'!$A:$F,4,FALSE)-SUMIFS($E$2:$E5842,$C$2:$C5842,C5842,$D$2:$D5842,"*Package*"))</f>
        <v/>
      </c>
      <c r="G5842" t="str">
        <f t="shared" si="124"/>
        <v/>
      </c>
      <c r="H5842" s="33">
        <f>IF(ISNUMBER(SEARCH("Group",D5842)),IF(G5842="",E5842,IFERROR(E5842/COUNTIF($G2:$G6000,G5842),E5842)),E5842)</f>
        <v>0</v>
      </c>
      <c r="I5842" s="1" t="str">
        <f>IFERROR(VLOOKUP(C5842,'Clients List'!A:F,6,FALSE),"")</f>
        <v/>
      </c>
    </row>
    <row r="5843" spans="4:9" x14ac:dyDescent="0.45">
      <c r="D5843" t="str">
        <f>IFERROR(VLOOKUP(C5843,'Clients List'!$A:$F,2,FALSE),"")</f>
        <v/>
      </c>
      <c r="F5843" s="1" t="str">
        <f>IF(OR(C5843="",NOT(ISNUMBER(SEARCH("Package",D5843)))),"",VLOOKUP(C5843,'Clients List'!$A:$F,4,FALSE)-SUMIFS($E$2:$E5843,$C$2:$C5843,C5843,$D$2:$D5843,"*Package*"))</f>
        <v/>
      </c>
      <c r="G5843" t="str">
        <f t="shared" si="124"/>
        <v/>
      </c>
      <c r="H5843" s="33">
        <f>IF(ISNUMBER(SEARCH("Group",D5843)),IF(G5843="",E5843,IFERROR(E5843/COUNTIF($G2:$G6000,G5843),E5843)),E5843)</f>
        <v>0</v>
      </c>
      <c r="I5843" s="1" t="str">
        <f>IFERROR(VLOOKUP(C5843,'Clients List'!A:F,6,FALSE),"")</f>
        <v/>
      </c>
    </row>
    <row r="5844" spans="4:9" x14ac:dyDescent="0.45">
      <c r="D5844" t="str">
        <f>IFERROR(VLOOKUP(C5844,'Clients List'!$A:$F,2,FALSE),"")</f>
        <v/>
      </c>
      <c r="F5844" s="1" t="str">
        <f>IF(OR(C5844="",NOT(ISNUMBER(SEARCH("Package",D5844)))),"",VLOOKUP(C5844,'Clients List'!$A:$F,4,FALSE)-SUMIFS($E$2:$E5844,$C$2:$C5844,C5844,$D$2:$D5844,"*Package*"))</f>
        <v/>
      </c>
      <c r="G5844" t="str">
        <f t="shared" si="124"/>
        <v/>
      </c>
      <c r="H5844" s="33">
        <f>IF(ISNUMBER(SEARCH("Group",D5844)),IF(G5844="",E5844,IFERROR(E5844/COUNTIF($G2:$G6000,G5844),E5844)),E5844)</f>
        <v>0</v>
      </c>
      <c r="I5844" s="1" t="str">
        <f>IFERROR(VLOOKUP(C5844,'Clients List'!A:F,6,FALSE),"")</f>
        <v/>
      </c>
    </row>
    <row r="5845" spans="4:9" x14ac:dyDescent="0.45">
      <c r="D5845" t="str">
        <f>IFERROR(VLOOKUP(C5845,'Clients List'!$A:$F,2,FALSE),"")</f>
        <v/>
      </c>
      <c r="F5845" s="1" t="str">
        <f>IF(OR(C5845="",NOT(ISNUMBER(SEARCH("Package",D5845)))),"",VLOOKUP(C5845,'Clients List'!$A:$F,4,FALSE)-SUMIFS($E$2:$E5845,$C$2:$C5845,C5845,$D$2:$D5845,"*Package*"))</f>
        <v/>
      </c>
      <c r="G5845" t="str">
        <f t="shared" si="124"/>
        <v/>
      </c>
      <c r="H5845" s="33">
        <f>IF(ISNUMBER(SEARCH("Group",D5845)),IF(G5845="",E5845,IFERROR(E5845/COUNTIF($G2:$G6000,G5845),E5845)),E5845)</f>
        <v>0</v>
      </c>
      <c r="I5845" s="1" t="str">
        <f>IFERROR(VLOOKUP(C5845,'Clients List'!A:F,6,FALSE),"")</f>
        <v/>
      </c>
    </row>
    <row r="5846" spans="4:9" x14ac:dyDescent="0.45">
      <c r="D5846" t="str">
        <f>IFERROR(VLOOKUP(C5846,'Clients List'!$A:$F,2,FALSE),"")</f>
        <v/>
      </c>
      <c r="F5846" s="1" t="str">
        <f>IF(OR(C5846="",NOT(ISNUMBER(SEARCH("Package",D5846)))),"",VLOOKUP(C5846,'Clients List'!$A:$F,4,FALSE)-SUMIFS($E$2:$E5846,$C$2:$C5846,C5846,$D$2:$D5846,"*Package*"))</f>
        <v/>
      </c>
      <c r="G5846" t="str">
        <f t="shared" si="124"/>
        <v/>
      </c>
      <c r="H5846" s="33">
        <f>IF(ISNUMBER(SEARCH("Group",D5846)),IF(G5846="",E5846,IFERROR(E5846/COUNTIF($G2:$G6000,G5846),E5846)),E5846)</f>
        <v>0</v>
      </c>
      <c r="I5846" s="1" t="str">
        <f>IFERROR(VLOOKUP(C5846,'Clients List'!A:F,6,FALSE),"")</f>
        <v/>
      </c>
    </row>
    <row r="5847" spans="4:9" x14ac:dyDescent="0.45">
      <c r="D5847" t="str">
        <f>IFERROR(VLOOKUP(C5847,'Clients List'!$A:$F,2,FALSE),"")</f>
        <v/>
      </c>
      <c r="F5847" s="1" t="str">
        <f>IF(OR(C5847="",NOT(ISNUMBER(SEARCH("Package",D5847)))),"",VLOOKUP(C5847,'Clients List'!$A:$F,4,FALSE)-SUMIFS($E$2:$E5847,$C$2:$C5847,C5847,$D$2:$D5847,"*Package*"))</f>
        <v/>
      </c>
      <c r="G5847" t="str">
        <f t="shared" si="124"/>
        <v/>
      </c>
      <c r="H5847" s="33">
        <f>IF(ISNUMBER(SEARCH("Group",D5847)),IF(G5847="",E5847,IFERROR(E5847/COUNTIF($G2:$G6000,G5847),E5847)),E5847)</f>
        <v>0</v>
      </c>
      <c r="I5847" s="1" t="str">
        <f>IFERROR(VLOOKUP(C5847,'Clients List'!A:F,6,FALSE),"")</f>
        <v/>
      </c>
    </row>
    <row r="5848" spans="4:9" x14ac:dyDescent="0.45">
      <c r="D5848" t="str">
        <f>IFERROR(VLOOKUP(C5848,'Clients List'!$A:$F,2,FALSE),"")</f>
        <v/>
      </c>
      <c r="F5848" s="1" t="str">
        <f>IF(OR(C5848="",NOT(ISNUMBER(SEARCH("Package",D5848)))),"",VLOOKUP(C5848,'Clients List'!$A:$F,4,FALSE)-SUMIFS($E$2:$E5848,$C$2:$C5848,C5848,$D$2:$D5848,"*Package*"))</f>
        <v/>
      </c>
      <c r="G5848" t="str">
        <f t="shared" si="124"/>
        <v/>
      </c>
      <c r="H5848" s="33">
        <f>IF(ISNUMBER(SEARCH("Group",D5848)),IF(G5848="",E5848,IFERROR(E5848/COUNTIF($G2:$G6000,G5848),E5848)),E5848)</f>
        <v>0</v>
      </c>
      <c r="I5848" s="1" t="str">
        <f>IFERROR(VLOOKUP(C5848,'Clients List'!A:F,6,FALSE),"")</f>
        <v/>
      </c>
    </row>
    <row r="5849" spans="4:9" x14ac:dyDescent="0.45">
      <c r="D5849" t="str">
        <f>IFERROR(VLOOKUP(C5849,'Clients List'!$A:$F,2,FALSE),"")</f>
        <v/>
      </c>
      <c r="F5849" s="1" t="str">
        <f>IF(OR(C5849="",NOT(ISNUMBER(SEARCH("Package",D5849)))),"",VLOOKUP(C5849,'Clients List'!$A:$F,4,FALSE)-SUMIFS($E$2:$E5849,$C$2:$C5849,C5849,$D$2:$D5849,"*Package*"))</f>
        <v/>
      </c>
      <c r="G5849" t="str">
        <f t="shared" si="124"/>
        <v/>
      </c>
      <c r="H5849" s="33">
        <f>IF(ISNUMBER(SEARCH("Group",D5849)),IF(G5849="",E5849,IFERROR(E5849/COUNTIF($G2:$G6000,G5849),E5849)),E5849)</f>
        <v>0</v>
      </c>
      <c r="I5849" s="1" t="str">
        <f>IFERROR(VLOOKUP(C5849,'Clients List'!A:F,6,FALSE),"")</f>
        <v/>
      </c>
    </row>
    <row r="5850" spans="4:9" x14ac:dyDescent="0.45">
      <c r="D5850" t="str">
        <f>IFERROR(VLOOKUP(C5850,'Clients List'!$A:$F,2,FALSE),"")</f>
        <v/>
      </c>
      <c r="F5850" s="1" t="str">
        <f>IF(OR(C5850="",NOT(ISNUMBER(SEARCH("Package",D5850)))),"",VLOOKUP(C5850,'Clients List'!$A:$F,4,FALSE)-SUMIFS($E$2:$E5850,$C$2:$C5850,C5850,$D$2:$D5850,"*Package*"))</f>
        <v/>
      </c>
      <c r="G5850" t="str">
        <f t="shared" si="124"/>
        <v/>
      </c>
      <c r="H5850" s="33">
        <f>IF(ISNUMBER(SEARCH("Group",D5850)),IF(G5850="",E5850,IFERROR(E5850/COUNTIF($G2:$G6000,G5850),E5850)),E5850)</f>
        <v>0</v>
      </c>
      <c r="I5850" s="1" t="str">
        <f>IFERROR(VLOOKUP(C5850,'Clients List'!A:F,6,FALSE),"")</f>
        <v/>
      </c>
    </row>
    <row r="5851" spans="4:9" x14ac:dyDescent="0.45">
      <c r="D5851" t="str">
        <f>IFERROR(VLOOKUP(C5851,'Clients List'!$A:$F,2,FALSE),"")</f>
        <v/>
      </c>
      <c r="F5851" s="1" t="str">
        <f>IF(OR(C5851="",NOT(ISNUMBER(SEARCH("Package",D5851)))),"",VLOOKUP(C5851,'Clients List'!$A:$F,4,FALSE)-SUMIFS($E$2:$E5851,$C$2:$C5851,C5851,$D$2:$D5851,"*Package*"))</f>
        <v/>
      </c>
      <c r="G5851" t="str">
        <f t="shared" si="124"/>
        <v/>
      </c>
      <c r="H5851" s="33">
        <f>IF(ISNUMBER(SEARCH("Group",D5851)),IF(G5851="",E5851,IFERROR(E5851/COUNTIF($G2:$G6000,G5851),E5851)),E5851)</f>
        <v>0</v>
      </c>
      <c r="I5851" s="1" t="str">
        <f>IFERROR(VLOOKUP(C5851,'Clients List'!A:F,6,FALSE),"")</f>
        <v/>
      </c>
    </row>
    <row r="5852" spans="4:9" x14ac:dyDescent="0.45">
      <c r="D5852" t="str">
        <f>IFERROR(VLOOKUP(C5852,'Clients List'!$A:$F,2,FALSE),"")</f>
        <v/>
      </c>
      <c r="F5852" s="1" t="str">
        <f>IF(OR(C5852="",NOT(ISNUMBER(SEARCH("Package",D5852)))),"",VLOOKUP(C5852,'Clients List'!$A:$F,4,FALSE)-SUMIFS($E$2:$E5852,$C$2:$C5852,C5852,$D$2:$D5852,"*Package*"))</f>
        <v/>
      </c>
      <c r="G5852" t="str">
        <f t="shared" si="124"/>
        <v/>
      </c>
      <c r="H5852" s="33">
        <f>IF(ISNUMBER(SEARCH("Group",D5852)),IF(G5852="",E5852,IFERROR(E5852/COUNTIF($G2:$G6000,G5852),E5852)),E5852)</f>
        <v>0</v>
      </c>
      <c r="I5852" s="1" t="str">
        <f>IFERROR(VLOOKUP(C5852,'Clients List'!A:F,6,FALSE),"")</f>
        <v/>
      </c>
    </row>
    <row r="5853" spans="4:9" x14ac:dyDescent="0.45">
      <c r="D5853" t="str">
        <f>IFERROR(VLOOKUP(C5853,'Clients List'!$A:$F,2,FALSE),"")</f>
        <v/>
      </c>
      <c r="F5853" s="1" t="str">
        <f>IF(OR(C5853="",NOT(ISNUMBER(SEARCH("Package",D5853)))),"",VLOOKUP(C5853,'Clients List'!$A:$F,4,FALSE)-SUMIFS($E$2:$E5853,$C$2:$C5853,C5853,$D$2:$D5853,"*Package*"))</f>
        <v/>
      </c>
      <c r="G5853" t="str">
        <f t="shared" si="124"/>
        <v/>
      </c>
      <c r="H5853" s="33">
        <f>IF(ISNUMBER(SEARCH("Group",D5853)),IF(G5853="",E5853,IFERROR(E5853/COUNTIF($G2:$G6000,G5853),E5853)),E5853)</f>
        <v>0</v>
      </c>
      <c r="I5853" s="1" t="str">
        <f>IFERROR(VLOOKUP(C5853,'Clients List'!A:F,6,FALSE),"")</f>
        <v/>
      </c>
    </row>
    <row r="5854" spans="4:9" x14ac:dyDescent="0.45">
      <c r="D5854" t="str">
        <f>IFERROR(VLOOKUP(C5854,'Clients List'!$A:$F,2,FALSE),"")</f>
        <v/>
      </c>
      <c r="F5854" s="1" t="str">
        <f>IF(OR(C5854="",NOT(ISNUMBER(SEARCH("Package",D5854)))),"",VLOOKUP(C5854,'Clients List'!$A:$F,4,FALSE)-SUMIFS($E$2:$E5854,$C$2:$C5854,C5854,$D$2:$D5854,"*Package*"))</f>
        <v/>
      </c>
      <c r="G5854" t="str">
        <f t="shared" si="124"/>
        <v/>
      </c>
      <c r="H5854" s="33">
        <f>IF(ISNUMBER(SEARCH("Group",D5854)),IF(G5854="",E5854,IFERROR(E5854/COUNTIF($G2:$G6000,G5854),E5854)),E5854)</f>
        <v>0</v>
      </c>
      <c r="I5854" s="1" t="str">
        <f>IFERROR(VLOOKUP(C5854,'Clients List'!A:F,6,FALSE),"")</f>
        <v/>
      </c>
    </row>
    <row r="5855" spans="4:9" x14ac:dyDescent="0.45">
      <c r="D5855" t="str">
        <f>IFERROR(VLOOKUP(C5855,'Clients List'!$A:$F,2,FALSE),"")</f>
        <v/>
      </c>
      <c r="F5855" s="1" t="str">
        <f>IF(OR(C5855="",NOT(ISNUMBER(SEARCH("Package",D5855)))),"",VLOOKUP(C5855,'Clients List'!$A:$F,4,FALSE)-SUMIFS($E$2:$E5855,$C$2:$C5855,C5855,$D$2:$D5855,"*Package*"))</f>
        <v/>
      </c>
      <c r="G5855" t="str">
        <f t="shared" si="124"/>
        <v/>
      </c>
      <c r="H5855" s="33">
        <f>IF(ISNUMBER(SEARCH("Group",D5855)),IF(G5855="",E5855,IFERROR(E5855/COUNTIF($G2:$G6000,G5855),E5855)),E5855)</f>
        <v>0</v>
      </c>
      <c r="I5855" s="1" t="str">
        <f>IFERROR(VLOOKUP(C5855,'Clients List'!A:F,6,FALSE),"")</f>
        <v/>
      </c>
    </row>
    <row r="5856" spans="4:9" x14ac:dyDescent="0.45">
      <c r="D5856" t="str">
        <f>IFERROR(VLOOKUP(C5856,'Clients List'!$A:$F,2,FALSE),"")</f>
        <v/>
      </c>
      <c r="F5856" s="1" t="str">
        <f>IF(OR(C5856="",NOT(ISNUMBER(SEARCH("Package",D5856)))),"",VLOOKUP(C5856,'Clients List'!$A:$F,4,FALSE)-SUMIFS($E$2:$E5856,$C$2:$C5856,C5856,$D$2:$D5856,"*Package*"))</f>
        <v/>
      </c>
      <c r="G5856" t="str">
        <f t="shared" si="124"/>
        <v/>
      </c>
      <c r="H5856" s="33">
        <f>IF(ISNUMBER(SEARCH("Group",D5856)),IF(G5856="",E5856,IFERROR(E5856/COUNTIF($G2:$G6000,G5856),E5856)),E5856)</f>
        <v>0</v>
      </c>
      <c r="I5856" s="1" t="str">
        <f>IFERROR(VLOOKUP(C5856,'Clients List'!A:F,6,FALSE),"")</f>
        <v/>
      </c>
    </row>
    <row r="5857" spans="4:9" x14ac:dyDescent="0.45">
      <c r="D5857" t="str">
        <f>IFERROR(VLOOKUP(C5857,'Clients List'!$A:$F,2,FALSE),"")</f>
        <v/>
      </c>
      <c r="F5857" s="1" t="str">
        <f>IF(OR(C5857="",NOT(ISNUMBER(SEARCH("Package",D5857)))),"",VLOOKUP(C5857,'Clients List'!$A:$F,4,FALSE)-SUMIFS($E$2:$E5857,$C$2:$C5857,C5857,$D$2:$D5857,"*Package*"))</f>
        <v/>
      </c>
      <c r="G5857" t="str">
        <f t="shared" si="124"/>
        <v/>
      </c>
      <c r="H5857" s="33">
        <f>IF(ISNUMBER(SEARCH("Group",D5857)),IF(G5857="",E5857,IFERROR(E5857/COUNTIF($G2:$G6000,G5857),E5857)),E5857)</f>
        <v>0</v>
      </c>
      <c r="I5857" s="1" t="str">
        <f>IFERROR(VLOOKUP(C5857,'Clients List'!A:F,6,FALSE),"")</f>
        <v/>
      </c>
    </row>
    <row r="5858" spans="4:9" x14ac:dyDescent="0.45">
      <c r="D5858" t="str">
        <f>IFERROR(VLOOKUP(C5858,'Clients List'!$A:$F,2,FALSE),"")</f>
        <v/>
      </c>
      <c r="F5858" s="1" t="str">
        <f>IF(OR(C5858="",NOT(ISNUMBER(SEARCH("Package",D5858)))),"",VLOOKUP(C5858,'Clients List'!$A:$F,4,FALSE)-SUMIFS($E$2:$E5858,$C$2:$C5858,C5858,$D$2:$D5858,"*Package*"))</f>
        <v/>
      </c>
      <c r="G5858" t="str">
        <f t="shared" si="124"/>
        <v/>
      </c>
      <c r="H5858" s="33">
        <f>IF(ISNUMBER(SEARCH("Group",D5858)),IF(G5858="",E5858,IFERROR(E5858/COUNTIF($G2:$G6000,G5858),E5858)),E5858)</f>
        <v>0</v>
      </c>
      <c r="I5858" s="1" t="str">
        <f>IFERROR(VLOOKUP(C5858,'Clients List'!A:F,6,FALSE),"")</f>
        <v/>
      </c>
    </row>
    <row r="5859" spans="4:9" x14ac:dyDescent="0.45">
      <c r="D5859" t="str">
        <f>IFERROR(VLOOKUP(C5859,'Clients List'!$A:$F,2,FALSE),"")</f>
        <v/>
      </c>
      <c r="F5859" s="1" t="str">
        <f>IF(OR(C5859="",NOT(ISNUMBER(SEARCH("Package",D5859)))),"",VLOOKUP(C5859,'Clients List'!$A:$F,4,FALSE)-SUMIFS($E$2:$E5859,$C$2:$C5859,C5859,$D$2:$D5859,"*Package*"))</f>
        <v/>
      </c>
      <c r="G5859" t="str">
        <f t="shared" si="124"/>
        <v/>
      </c>
      <c r="H5859" s="33">
        <f>IF(ISNUMBER(SEARCH("Group",D5859)),IF(G5859="",E5859,IFERROR(E5859/COUNTIF($G2:$G6000,G5859),E5859)),E5859)</f>
        <v>0</v>
      </c>
      <c r="I5859" s="1" t="str">
        <f>IFERROR(VLOOKUP(C5859,'Clients List'!A:F,6,FALSE),"")</f>
        <v/>
      </c>
    </row>
    <row r="5860" spans="4:9" x14ac:dyDescent="0.45">
      <c r="D5860" t="str">
        <f>IFERROR(VLOOKUP(C5860,'Clients List'!$A:$F,2,FALSE),"")</f>
        <v/>
      </c>
      <c r="F5860" s="1" t="str">
        <f>IF(OR(C5860="",NOT(ISNUMBER(SEARCH("Package",D5860)))),"",VLOOKUP(C5860,'Clients List'!$A:$F,4,FALSE)-SUMIFS($E$2:$E5860,$C$2:$C5860,C5860,$D$2:$D5860,"*Package*"))</f>
        <v/>
      </c>
      <c r="G5860" t="str">
        <f t="shared" si="124"/>
        <v/>
      </c>
      <c r="H5860" s="33">
        <f>IF(ISNUMBER(SEARCH("Group",D5860)),IF(G5860="",E5860,IFERROR(E5860/COUNTIF($G2:$G6000,G5860),E5860)),E5860)</f>
        <v>0</v>
      </c>
      <c r="I5860" s="1" t="str">
        <f>IFERROR(VLOOKUP(C5860,'Clients List'!A:F,6,FALSE),"")</f>
        <v/>
      </c>
    </row>
    <row r="5861" spans="4:9" x14ac:dyDescent="0.45">
      <c r="D5861" t="str">
        <f>IFERROR(VLOOKUP(C5861,'Clients List'!$A:$F,2,FALSE),"")</f>
        <v/>
      </c>
      <c r="F5861" s="1" t="str">
        <f>IF(OR(C5861="",NOT(ISNUMBER(SEARCH("Package",D5861)))),"",VLOOKUP(C5861,'Clients List'!$A:$F,4,FALSE)-SUMIFS($E$2:$E5861,$C$2:$C5861,C5861,$D$2:$D5861,"*Package*"))</f>
        <v/>
      </c>
      <c r="G5861" t="str">
        <f t="shared" si="124"/>
        <v/>
      </c>
      <c r="H5861" s="33">
        <f>IF(ISNUMBER(SEARCH("Group",D5861)),IF(G5861="",E5861,IFERROR(E5861/COUNTIF($G2:$G6000,G5861),E5861)),E5861)</f>
        <v>0</v>
      </c>
      <c r="I5861" s="1" t="str">
        <f>IFERROR(VLOOKUP(C5861,'Clients List'!A:F,6,FALSE),"")</f>
        <v/>
      </c>
    </row>
    <row r="5862" spans="4:9" x14ac:dyDescent="0.45">
      <c r="D5862" t="str">
        <f>IFERROR(VLOOKUP(C5862,'Clients List'!$A:$F,2,FALSE),"")</f>
        <v/>
      </c>
      <c r="F5862" s="1" t="str">
        <f>IF(OR(C5862="",NOT(ISNUMBER(SEARCH("Package",D5862)))),"",VLOOKUP(C5862,'Clients List'!$A:$F,4,FALSE)-SUMIFS($E$2:$E5862,$C$2:$C5862,C5862,$D$2:$D5862,"*Package*"))</f>
        <v/>
      </c>
      <c r="G5862" t="str">
        <f t="shared" si="124"/>
        <v/>
      </c>
      <c r="H5862" s="33">
        <f>IF(ISNUMBER(SEARCH("Group",D5862)),IF(G5862="",E5862,IFERROR(E5862/COUNTIF($G2:$G6000,G5862),E5862)),E5862)</f>
        <v>0</v>
      </c>
      <c r="I5862" s="1" t="str">
        <f>IFERROR(VLOOKUP(C5862,'Clients List'!A:F,6,FALSE),"")</f>
        <v/>
      </c>
    </row>
    <row r="5863" spans="4:9" x14ac:dyDescent="0.45">
      <c r="D5863" t="str">
        <f>IFERROR(VLOOKUP(C5863,'Clients List'!$A:$F,2,FALSE),"")</f>
        <v/>
      </c>
      <c r="F5863" s="1" t="str">
        <f>IF(OR(C5863="",NOT(ISNUMBER(SEARCH("Package",D5863)))),"",VLOOKUP(C5863,'Clients List'!$A:$F,4,FALSE)-SUMIFS($E$2:$E5863,$C$2:$C5863,C5863,$D$2:$D5863,"*Package*"))</f>
        <v/>
      </c>
      <c r="G5863" t="str">
        <f t="shared" si="124"/>
        <v/>
      </c>
      <c r="H5863" s="33">
        <f>IF(ISNUMBER(SEARCH("Group",D5863)),IF(G5863="",E5863,IFERROR(E5863/COUNTIF($G2:$G6000,G5863),E5863)),E5863)</f>
        <v>0</v>
      </c>
      <c r="I5863" s="1" t="str">
        <f>IFERROR(VLOOKUP(C5863,'Clients List'!A:F,6,FALSE),"")</f>
        <v/>
      </c>
    </row>
    <row r="5864" spans="4:9" x14ac:dyDescent="0.45">
      <c r="D5864" t="str">
        <f>IFERROR(VLOOKUP(C5864,'Clients List'!$A:$F,2,FALSE),"")</f>
        <v/>
      </c>
      <c r="F5864" s="1" t="str">
        <f>IF(OR(C5864="",NOT(ISNUMBER(SEARCH("Package",D5864)))),"",VLOOKUP(C5864,'Clients List'!$A:$F,4,FALSE)-SUMIFS($E$2:$E5864,$C$2:$C5864,C5864,$D$2:$D5864,"*Package*"))</f>
        <v/>
      </c>
      <c r="G5864" t="str">
        <f t="shared" si="124"/>
        <v/>
      </c>
      <c r="H5864" s="33">
        <f>IF(ISNUMBER(SEARCH("Group",D5864)),IF(G5864="",E5864,IFERROR(E5864/COUNTIF($G2:$G6000,G5864),E5864)),E5864)</f>
        <v>0</v>
      </c>
      <c r="I5864" s="1" t="str">
        <f>IFERROR(VLOOKUP(C5864,'Clients List'!A:F,6,FALSE),"")</f>
        <v/>
      </c>
    </row>
    <row r="5865" spans="4:9" x14ac:dyDescent="0.45">
      <c r="D5865" t="str">
        <f>IFERROR(VLOOKUP(C5865,'Clients List'!$A:$F,2,FALSE),"")</f>
        <v/>
      </c>
      <c r="F5865" s="1" t="str">
        <f>IF(OR(C5865="",NOT(ISNUMBER(SEARCH("Package",D5865)))),"",VLOOKUP(C5865,'Clients List'!$A:$F,4,FALSE)-SUMIFS($E$2:$E5865,$C$2:$C5865,C5865,$D$2:$D5865,"*Package*"))</f>
        <v/>
      </c>
      <c r="G5865" t="str">
        <f t="shared" si="124"/>
        <v/>
      </c>
      <c r="H5865" s="33">
        <f>IF(ISNUMBER(SEARCH("Group",D5865)),IF(G5865="",E5865,IFERROR(E5865/COUNTIF($G2:$G6000,G5865),E5865)),E5865)</f>
        <v>0</v>
      </c>
      <c r="I5865" s="1" t="str">
        <f>IFERROR(VLOOKUP(C5865,'Clients List'!A:F,6,FALSE),"")</f>
        <v/>
      </c>
    </row>
    <row r="5866" spans="4:9" x14ac:dyDescent="0.45">
      <c r="D5866" t="str">
        <f>IFERROR(VLOOKUP(C5866,'Clients List'!$A:$F,2,FALSE),"")</f>
        <v/>
      </c>
      <c r="F5866" s="1" t="str">
        <f>IF(OR(C5866="",NOT(ISNUMBER(SEARCH("Package",D5866)))),"",VLOOKUP(C5866,'Clients List'!$A:$F,4,FALSE)-SUMIFS($E$2:$E5866,$C$2:$C5866,C5866,$D$2:$D5866,"*Package*"))</f>
        <v/>
      </c>
      <c r="G5866" t="str">
        <f t="shared" si="124"/>
        <v/>
      </c>
      <c r="H5866" s="33">
        <f>IF(ISNUMBER(SEARCH("Group",D5866)),IF(G5866="",E5866,IFERROR(E5866/COUNTIF($G2:$G6000,G5866),E5866)),E5866)</f>
        <v>0</v>
      </c>
      <c r="I5866" s="1" t="str">
        <f>IFERROR(VLOOKUP(C5866,'Clients List'!A:F,6,FALSE),"")</f>
        <v/>
      </c>
    </row>
    <row r="5867" spans="4:9" x14ac:dyDescent="0.45">
      <c r="D5867" t="str">
        <f>IFERROR(VLOOKUP(C5867,'Clients List'!$A:$F,2,FALSE),"")</f>
        <v/>
      </c>
      <c r="F5867" s="1" t="str">
        <f>IF(OR(C5867="",NOT(ISNUMBER(SEARCH("Package",D5867)))),"",VLOOKUP(C5867,'Clients List'!$A:$F,4,FALSE)-SUMIFS($E$2:$E5867,$C$2:$C5867,C5867,$D$2:$D5867,"*Package*"))</f>
        <v/>
      </c>
      <c r="G5867" t="str">
        <f t="shared" si="124"/>
        <v/>
      </c>
      <c r="H5867" s="33">
        <f>IF(ISNUMBER(SEARCH("Group",D5867)),IF(G5867="",E5867,IFERROR(E5867/COUNTIF($G2:$G6000,G5867),E5867)),E5867)</f>
        <v>0</v>
      </c>
      <c r="I5867" s="1" t="str">
        <f>IFERROR(VLOOKUP(C5867,'Clients List'!A:F,6,FALSE),"")</f>
        <v/>
      </c>
    </row>
    <row r="5868" spans="4:9" x14ac:dyDescent="0.45">
      <c r="D5868" t="str">
        <f>IFERROR(VLOOKUP(C5868,'Clients List'!$A:$F,2,FALSE),"")</f>
        <v/>
      </c>
      <c r="F5868" s="1" t="str">
        <f>IF(OR(C5868="",NOT(ISNUMBER(SEARCH("Package",D5868)))),"",VLOOKUP(C5868,'Clients List'!$A:$F,4,FALSE)-SUMIFS($E$2:$E5868,$C$2:$C5868,C5868,$D$2:$D5868,"*Package*"))</f>
        <v/>
      </c>
      <c r="G5868" t="str">
        <f t="shared" si="124"/>
        <v/>
      </c>
      <c r="H5868" s="33">
        <f>IF(ISNUMBER(SEARCH("Group",D5868)),IF(G5868="",E5868,IFERROR(E5868/COUNTIF($G2:$G6000,G5868),E5868)),E5868)</f>
        <v>0</v>
      </c>
      <c r="I5868" s="1" t="str">
        <f>IFERROR(VLOOKUP(C5868,'Clients List'!A:F,6,FALSE),"")</f>
        <v/>
      </c>
    </row>
    <row r="5869" spans="4:9" x14ac:dyDescent="0.45">
      <c r="D5869" t="str">
        <f>IFERROR(VLOOKUP(C5869,'Clients List'!$A:$F,2,FALSE),"")</f>
        <v/>
      </c>
      <c r="F5869" s="1" t="str">
        <f>IF(OR(C5869="",NOT(ISNUMBER(SEARCH("Package",D5869)))),"",VLOOKUP(C5869,'Clients List'!$A:$F,4,FALSE)-SUMIFS($E$2:$E5869,$C$2:$C5869,C5869,$D$2:$D5869,"*Package*"))</f>
        <v/>
      </c>
      <c r="G5869" t="str">
        <f t="shared" si="124"/>
        <v/>
      </c>
      <c r="H5869" s="33">
        <f>IF(ISNUMBER(SEARCH("Group",D5869)),IF(G5869="",E5869,IFERROR(E5869/COUNTIF($G2:$G6000,G5869),E5869)),E5869)</f>
        <v>0</v>
      </c>
      <c r="I5869" s="1" t="str">
        <f>IFERROR(VLOOKUP(C5869,'Clients List'!A:F,6,FALSE),"")</f>
        <v/>
      </c>
    </row>
    <row r="5870" spans="4:9" x14ac:dyDescent="0.45">
      <c r="D5870" t="str">
        <f>IFERROR(VLOOKUP(C5870,'Clients List'!$A:$F,2,FALSE),"")</f>
        <v/>
      </c>
      <c r="F5870" s="1" t="str">
        <f>IF(OR(C5870="",NOT(ISNUMBER(SEARCH("Package",D5870)))),"",VLOOKUP(C5870,'Clients List'!$A:$F,4,FALSE)-SUMIFS($E$2:$E5870,$C$2:$C5870,C5870,$D$2:$D5870,"*Package*"))</f>
        <v/>
      </c>
      <c r="G5870" t="str">
        <f t="shared" si="124"/>
        <v/>
      </c>
      <c r="H5870" s="33">
        <f>IF(ISNUMBER(SEARCH("Group",D5870)),IF(G5870="",E5870,IFERROR(E5870/COUNTIF($G2:$G6000,G5870),E5870)),E5870)</f>
        <v>0</v>
      </c>
      <c r="I5870" s="1" t="str">
        <f>IFERROR(VLOOKUP(C5870,'Clients List'!A:F,6,FALSE),"")</f>
        <v/>
      </c>
    </row>
    <row r="5871" spans="4:9" x14ac:dyDescent="0.45">
      <c r="D5871" t="str">
        <f>IFERROR(VLOOKUP(C5871,'Clients List'!$A:$F,2,FALSE),"")</f>
        <v/>
      </c>
      <c r="F5871" s="1" t="str">
        <f>IF(OR(C5871="",NOT(ISNUMBER(SEARCH("Package",D5871)))),"",VLOOKUP(C5871,'Clients List'!$A:$F,4,FALSE)-SUMIFS($E$2:$E5871,$C$2:$C5871,C5871,$D$2:$D5871,"*Package*"))</f>
        <v/>
      </c>
      <c r="G5871" t="str">
        <f t="shared" si="124"/>
        <v/>
      </c>
      <c r="H5871" s="33">
        <f>IF(ISNUMBER(SEARCH("Group",D5871)),IF(G5871="",E5871,IFERROR(E5871/COUNTIF($G2:$G6000,G5871),E5871)),E5871)</f>
        <v>0</v>
      </c>
      <c r="I5871" s="1" t="str">
        <f>IFERROR(VLOOKUP(C5871,'Clients List'!A:F,6,FALSE),"")</f>
        <v/>
      </c>
    </row>
    <row r="5872" spans="4:9" x14ac:dyDescent="0.45">
      <c r="D5872" t="str">
        <f>IFERROR(VLOOKUP(C5872,'Clients List'!$A:$F,2,FALSE),"")</f>
        <v/>
      </c>
      <c r="F5872" s="1" t="str">
        <f>IF(OR(C5872="",NOT(ISNUMBER(SEARCH("Package",D5872)))),"",VLOOKUP(C5872,'Clients List'!$A:$F,4,FALSE)-SUMIFS($E$2:$E5872,$C$2:$C5872,C5872,$D$2:$D5872,"*Package*"))</f>
        <v/>
      </c>
      <c r="G5872" t="str">
        <f t="shared" si="124"/>
        <v/>
      </c>
      <c r="H5872" s="33">
        <f>IF(ISNUMBER(SEARCH("Group",D5872)),IF(G5872="",E5872,IFERROR(E5872/COUNTIF($G2:$G6000,G5872),E5872)),E5872)</f>
        <v>0</v>
      </c>
      <c r="I5872" s="1" t="str">
        <f>IFERROR(VLOOKUP(C5872,'Clients List'!A:F,6,FALSE),"")</f>
        <v/>
      </c>
    </row>
    <row r="5873" spans="4:9" x14ac:dyDescent="0.45">
      <c r="D5873" t="str">
        <f>IFERROR(VLOOKUP(C5873,'Clients List'!$A:$F,2,FALSE),"")</f>
        <v/>
      </c>
      <c r="F5873" s="1" t="str">
        <f>IF(OR(C5873="",NOT(ISNUMBER(SEARCH("Package",D5873)))),"",VLOOKUP(C5873,'Clients List'!$A:$F,4,FALSE)-SUMIFS($E$2:$E5873,$C$2:$C5873,C5873,$D$2:$D5873,"*Package*"))</f>
        <v/>
      </c>
      <c r="G5873" t="str">
        <f t="shared" si="124"/>
        <v/>
      </c>
      <c r="H5873" s="33">
        <f>IF(ISNUMBER(SEARCH("Group",D5873)),IF(G5873="",E5873,IFERROR(E5873/COUNTIF($G2:$G6000,G5873),E5873)),E5873)</f>
        <v>0</v>
      </c>
      <c r="I5873" s="1" t="str">
        <f>IFERROR(VLOOKUP(C5873,'Clients List'!A:F,6,FALSE),"")</f>
        <v/>
      </c>
    </row>
    <row r="5874" spans="4:9" x14ac:dyDescent="0.45">
      <c r="D5874" t="str">
        <f>IFERROR(VLOOKUP(C5874,'Clients List'!$A:$F,2,FALSE),"")</f>
        <v/>
      </c>
      <c r="F5874" s="1" t="str">
        <f>IF(OR(C5874="",NOT(ISNUMBER(SEARCH("Package",D5874)))),"",VLOOKUP(C5874,'Clients List'!$A:$F,4,FALSE)-SUMIFS($E$2:$E5874,$C$2:$C5874,C5874,$D$2:$D5874,"*Package*"))</f>
        <v/>
      </c>
      <c r="G5874" t="str">
        <f t="shared" si="124"/>
        <v/>
      </c>
      <c r="H5874" s="33">
        <f>IF(ISNUMBER(SEARCH("Group",D5874)),IF(G5874="",E5874,IFERROR(E5874/COUNTIF($G2:$G6000,G5874),E5874)),E5874)</f>
        <v>0</v>
      </c>
      <c r="I5874" s="1" t="str">
        <f>IFERROR(VLOOKUP(C5874,'Clients List'!A:F,6,FALSE),"")</f>
        <v/>
      </c>
    </row>
    <row r="5875" spans="4:9" x14ac:dyDescent="0.45">
      <c r="D5875" t="str">
        <f>IFERROR(VLOOKUP(C5875,'Clients List'!$A:$F,2,FALSE),"")</f>
        <v/>
      </c>
      <c r="F5875" s="1" t="str">
        <f>IF(OR(C5875="",NOT(ISNUMBER(SEARCH("Package",D5875)))),"",VLOOKUP(C5875,'Clients List'!$A:$F,4,FALSE)-SUMIFS($E$2:$E5875,$C$2:$C5875,C5875,$D$2:$D5875,"*Package*"))</f>
        <v/>
      </c>
      <c r="G5875" t="str">
        <f t="shared" si="124"/>
        <v/>
      </c>
      <c r="H5875" s="33">
        <f>IF(ISNUMBER(SEARCH("Group",D5875)),IF(G5875="",E5875,IFERROR(E5875/COUNTIF($G2:$G6000,G5875),E5875)),E5875)</f>
        <v>0</v>
      </c>
      <c r="I5875" s="1" t="str">
        <f>IFERROR(VLOOKUP(C5875,'Clients List'!A:F,6,FALSE),"")</f>
        <v/>
      </c>
    </row>
    <row r="5876" spans="4:9" x14ac:dyDescent="0.45">
      <c r="D5876" t="str">
        <f>IFERROR(VLOOKUP(C5876,'Clients List'!$A:$F,2,FALSE),"")</f>
        <v/>
      </c>
      <c r="F5876" s="1" t="str">
        <f>IF(OR(C5876="",NOT(ISNUMBER(SEARCH("Package",D5876)))),"",VLOOKUP(C5876,'Clients List'!$A:$F,4,FALSE)-SUMIFS($E$2:$E5876,$C$2:$C5876,C5876,$D$2:$D5876,"*Package*"))</f>
        <v/>
      </c>
      <c r="G5876" t="str">
        <f t="shared" si="124"/>
        <v/>
      </c>
      <c r="H5876" s="33">
        <f>IF(ISNUMBER(SEARCH("Group",D5876)),IF(G5876="",E5876,IFERROR(E5876/COUNTIF($G2:$G6000,G5876),E5876)),E5876)</f>
        <v>0</v>
      </c>
      <c r="I5876" s="1" t="str">
        <f>IFERROR(VLOOKUP(C5876,'Clients List'!A:F,6,FALSE),"")</f>
        <v/>
      </c>
    </row>
    <row r="5877" spans="4:9" x14ac:dyDescent="0.45">
      <c r="D5877" t="str">
        <f>IFERROR(VLOOKUP(C5877,'Clients List'!$A:$F,2,FALSE),"")</f>
        <v/>
      </c>
      <c r="F5877" s="1" t="str">
        <f>IF(OR(C5877="",NOT(ISNUMBER(SEARCH("Package",D5877)))),"",VLOOKUP(C5877,'Clients List'!$A:$F,4,FALSE)-SUMIFS($E$2:$E5877,$C$2:$C5877,C5877,$D$2:$D5877,"*Package*"))</f>
        <v/>
      </c>
      <c r="G5877" t="str">
        <f t="shared" ref="G5877:G5940" si="125">IF(ISNUMBER(SEARCH("Group",D5877)),IFERROR("GRP-"&amp;TEXT(IF(ISNUMBER(A5877),A5877,DATEVALUE(A5877)),"yyyymmdd"),""),"" )</f>
        <v/>
      </c>
      <c r="H5877" s="33">
        <f>IF(ISNUMBER(SEARCH("Group",D5877)),IF(G5877="",E5877,IFERROR(E5877/COUNTIF($G2:$G6000,G5877),E5877)),E5877)</f>
        <v>0</v>
      </c>
      <c r="I5877" s="1" t="str">
        <f>IFERROR(VLOOKUP(C5877,'Clients List'!A:F,6,FALSE),"")</f>
        <v/>
      </c>
    </row>
    <row r="5878" spans="4:9" x14ac:dyDescent="0.45">
      <c r="D5878" t="str">
        <f>IFERROR(VLOOKUP(C5878,'Clients List'!$A:$F,2,FALSE),"")</f>
        <v/>
      </c>
      <c r="F5878" s="1" t="str">
        <f>IF(OR(C5878="",NOT(ISNUMBER(SEARCH("Package",D5878)))),"",VLOOKUP(C5878,'Clients List'!$A:$F,4,FALSE)-SUMIFS($E$2:$E5878,$C$2:$C5878,C5878,$D$2:$D5878,"*Package*"))</f>
        <v/>
      </c>
      <c r="G5878" t="str">
        <f t="shared" si="125"/>
        <v/>
      </c>
      <c r="H5878" s="33">
        <f>IF(ISNUMBER(SEARCH("Group",D5878)),IF(G5878="",E5878,IFERROR(E5878/COUNTIF($G2:$G6000,G5878),E5878)),E5878)</f>
        <v>0</v>
      </c>
      <c r="I5878" s="1" t="str">
        <f>IFERROR(VLOOKUP(C5878,'Clients List'!A:F,6,FALSE),"")</f>
        <v/>
      </c>
    </row>
    <row r="5879" spans="4:9" x14ac:dyDescent="0.45">
      <c r="D5879" t="str">
        <f>IFERROR(VLOOKUP(C5879,'Clients List'!$A:$F,2,FALSE),"")</f>
        <v/>
      </c>
      <c r="F5879" s="1" t="str">
        <f>IF(OR(C5879="",NOT(ISNUMBER(SEARCH("Package",D5879)))),"",VLOOKUP(C5879,'Clients List'!$A:$F,4,FALSE)-SUMIFS($E$2:$E5879,$C$2:$C5879,C5879,$D$2:$D5879,"*Package*"))</f>
        <v/>
      </c>
      <c r="G5879" t="str">
        <f t="shared" si="125"/>
        <v/>
      </c>
      <c r="H5879" s="33">
        <f>IF(ISNUMBER(SEARCH("Group",D5879)),IF(G5879="",E5879,IFERROR(E5879/COUNTIF($G2:$G6000,G5879),E5879)),E5879)</f>
        <v>0</v>
      </c>
      <c r="I5879" s="1" t="str">
        <f>IFERROR(VLOOKUP(C5879,'Clients List'!A:F,6,FALSE),"")</f>
        <v/>
      </c>
    </row>
    <row r="5880" spans="4:9" x14ac:dyDescent="0.45">
      <c r="D5880" t="str">
        <f>IFERROR(VLOOKUP(C5880,'Clients List'!$A:$F,2,FALSE),"")</f>
        <v/>
      </c>
      <c r="F5880" s="1" t="str">
        <f>IF(OR(C5880="",NOT(ISNUMBER(SEARCH("Package",D5880)))),"",VLOOKUP(C5880,'Clients List'!$A:$F,4,FALSE)-SUMIFS($E$2:$E5880,$C$2:$C5880,C5880,$D$2:$D5880,"*Package*"))</f>
        <v/>
      </c>
      <c r="G5880" t="str">
        <f t="shared" si="125"/>
        <v/>
      </c>
      <c r="H5880" s="33">
        <f>IF(ISNUMBER(SEARCH("Group",D5880)),IF(G5880="",E5880,IFERROR(E5880/COUNTIF($G2:$G6000,G5880),E5880)),E5880)</f>
        <v>0</v>
      </c>
      <c r="I5880" s="1" t="str">
        <f>IFERROR(VLOOKUP(C5880,'Clients List'!A:F,6,FALSE),"")</f>
        <v/>
      </c>
    </row>
    <row r="5881" spans="4:9" x14ac:dyDescent="0.45">
      <c r="D5881" t="str">
        <f>IFERROR(VLOOKUP(C5881,'Clients List'!$A:$F,2,FALSE),"")</f>
        <v/>
      </c>
      <c r="F5881" s="1" t="str">
        <f>IF(OR(C5881="",NOT(ISNUMBER(SEARCH("Package",D5881)))),"",VLOOKUP(C5881,'Clients List'!$A:$F,4,FALSE)-SUMIFS($E$2:$E5881,$C$2:$C5881,C5881,$D$2:$D5881,"*Package*"))</f>
        <v/>
      </c>
      <c r="G5881" t="str">
        <f t="shared" si="125"/>
        <v/>
      </c>
      <c r="H5881" s="33">
        <f>IF(ISNUMBER(SEARCH("Group",D5881)),IF(G5881="",E5881,IFERROR(E5881/COUNTIF($G2:$G6000,G5881),E5881)),E5881)</f>
        <v>0</v>
      </c>
      <c r="I5881" s="1" t="str">
        <f>IFERROR(VLOOKUP(C5881,'Clients List'!A:F,6,FALSE),"")</f>
        <v/>
      </c>
    </row>
    <row r="5882" spans="4:9" x14ac:dyDescent="0.45">
      <c r="D5882" t="str">
        <f>IFERROR(VLOOKUP(C5882,'Clients List'!$A:$F,2,FALSE),"")</f>
        <v/>
      </c>
      <c r="F5882" s="1" t="str">
        <f>IF(OR(C5882="",NOT(ISNUMBER(SEARCH("Package",D5882)))),"",VLOOKUP(C5882,'Clients List'!$A:$F,4,FALSE)-SUMIFS($E$2:$E5882,$C$2:$C5882,C5882,$D$2:$D5882,"*Package*"))</f>
        <v/>
      </c>
      <c r="G5882" t="str">
        <f t="shared" si="125"/>
        <v/>
      </c>
      <c r="H5882" s="33">
        <f>IF(ISNUMBER(SEARCH("Group",D5882)),IF(G5882="",E5882,IFERROR(E5882/COUNTIF($G2:$G6000,G5882),E5882)),E5882)</f>
        <v>0</v>
      </c>
      <c r="I5882" s="1" t="str">
        <f>IFERROR(VLOOKUP(C5882,'Clients List'!A:F,6,FALSE),"")</f>
        <v/>
      </c>
    </row>
    <row r="5883" spans="4:9" x14ac:dyDescent="0.45">
      <c r="D5883" t="str">
        <f>IFERROR(VLOOKUP(C5883,'Clients List'!$A:$F,2,FALSE),"")</f>
        <v/>
      </c>
      <c r="F5883" s="1" t="str">
        <f>IF(OR(C5883="",NOT(ISNUMBER(SEARCH("Package",D5883)))),"",VLOOKUP(C5883,'Clients List'!$A:$F,4,FALSE)-SUMIFS($E$2:$E5883,$C$2:$C5883,C5883,$D$2:$D5883,"*Package*"))</f>
        <v/>
      </c>
      <c r="G5883" t="str">
        <f t="shared" si="125"/>
        <v/>
      </c>
      <c r="H5883" s="33">
        <f>IF(ISNUMBER(SEARCH("Group",D5883)),IF(G5883="",E5883,IFERROR(E5883/COUNTIF($G2:$G6000,G5883),E5883)),E5883)</f>
        <v>0</v>
      </c>
      <c r="I5883" s="1" t="str">
        <f>IFERROR(VLOOKUP(C5883,'Clients List'!A:F,6,FALSE),"")</f>
        <v/>
      </c>
    </row>
    <row r="5884" spans="4:9" x14ac:dyDescent="0.45">
      <c r="D5884" t="str">
        <f>IFERROR(VLOOKUP(C5884,'Clients List'!$A:$F,2,FALSE),"")</f>
        <v/>
      </c>
      <c r="F5884" s="1" t="str">
        <f>IF(OR(C5884="",NOT(ISNUMBER(SEARCH("Package",D5884)))),"",VLOOKUP(C5884,'Clients List'!$A:$F,4,FALSE)-SUMIFS($E$2:$E5884,$C$2:$C5884,C5884,$D$2:$D5884,"*Package*"))</f>
        <v/>
      </c>
      <c r="G5884" t="str">
        <f t="shared" si="125"/>
        <v/>
      </c>
      <c r="H5884" s="33">
        <f>IF(ISNUMBER(SEARCH("Group",D5884)),IF(G5884="",E5884,IFERROR(E5884/COUNTIF($G2:$G6000,G5884),E5884)),E5884)</f>
        <v>0</v>
      </c>
      <c r="I5884" s="1" t="str">
        <f>IFERROR(VLOOKUP(C5884,'Clients List'!A:F,6,FALSE),"")</f>
        <v/>
      </c>
    </row>
    <row r="5885" spans="4:9" x14ac:dyDescent="0.45">
      <c r="D5885" t="str">
        <f>IFERROR(VLOOKUP(C5885,'Clients List'!$A:$F,2,FALSE),"")</f>
        <v/>
      </c>
      <c r="F5885" s="1" t="str">
        <f>IF(OR(C5885="",NOT(ISNUMBER(SEARCH("Package",D5885)))),"",VLOOKUP(C5885,'Clients List'!$A:$F,4,FALSE)-SUMIFS($E$2:$E5885,$C$2:$C5885,C5885,$D$2:$D5885,"*Package*"))</f>
        <v/>
      </c>
      <c r="G5885" t="str">
        <f t="shared" si="125"/>
        <v/>
      </c>
      <c r="H5885" s="33">
        <f>IF(ISNUMBER(SEARCH("Group",D5885)),IF(G5885="",E5885,IFERROR(E5885/COUNTIF($G2:$G6000,G5885),E5885)),E5885)</f>
        <v>0</v>
      </c>
      <c r="I5885" s="1" t="str">
        <f>IFERROR(VLOOKUP(C5885,'Clients List'!A:F,6,FALSE),"")</f>
        <v/>
      </c>
    </row>
    <row r="5886" spans="4:9" x14ac:dyDescent="0.45">
      <c r="D5886" t="str">
        <f>IFERROR(VLOOKUP(C5886,'Clients List'!$A:$F,2,FALSE),"")</f>
        <v/>
      </c>
      <c r="F5886" s="1" t="str">
        <f>IF(OR(C5886="",NOT(ISNUMBER(SEARCH("Package",D5886)))),"",VLOOKUP(C5886,'Clients List'!$A:$F,4,FALSE)-SUMIFS($E$2:$E5886,$C$2:$C5886,C5886,$D$2:$D5886,"*Package*"))</f>
        <v/>
      </c>
      <c r="G5886" t="str">
        <f t="shared" si="125"/>
        <v/>
      </c>
      <c r="H5886" s="33">
        <f>IF(ISNUMBER(SEARCH("Group",D5886)),IF(G5886="",E5886,IFERROR(E5886/COUNTIF($G2:$G6000,G5886),E5886)),E5886)</f>
        <v>0</v>
      </c>
      <c r="I5886" s="1" t="str">
        <f>IFERROR(VLOOKUP(C5886,'Clients List'!A:F,6,FALSE),"")</f>
        <v/>
      </c>
    </row>
    <row r="5887" spans="4:9" x14ac:dyDescent="0.45">
      <c r="D5887" t="str">
        <f>IFERROR(VLOOKUP(C5887,'Clients List'!$A:$F,2,FALSE),"")</f>
        <v/>
      </c>
      <c r="F5887" s="1" t="str">
        <f>IF(OR(C5887="",NOT(ISNUMBER(SEARCH("Package",D5887)))),"",VLOOKUP(C5887,'Clients List'!$A:$F,4,FALSE)-SUMIFS($E$2:$E5887,$C$2:$C5887,C5887,$D$2:$D5887,"*Package*"))</f>
        <v/>
      </c>
      <c r="G5887" t="str">
        <f t="shared" si="125"/>
        <v/>
      </c>
      <c r="H5887" s="33">
        <f>IF(ISNUMBER(SEARCH("Group",D5887)),IF(G5887="",E5887,IFERROR(E5887/COUNTIF($G2:$G6000,G5887),E5887)),E5887)</f>
        <v>0</v>
      </c>
      <c r="I5887" s="1" t="str">
        <f>IFERROR(VLOOKUP(C5887,'Clients List'!A:F,6,FALSE),"")</f>
        <v/>
      </c>
    </row>
    <row r="5888" spans="4:9" x14ac:dyDescent="0.45">
      <c r="D5888" t="str">
        <f>IFERROR(VLOOKUP(C5888,'Clients List'!$A:$F,2,FALSE),"")</f>
        <v/>
      </c>
      <c r="F5888" s="1" t="str">
        <f>IF(OR(C5888="",NOT(ISNUMBER(SEARCH("Package",D5888)))),"",VLOOKUP(C5888,'Clients List'!$A:$F,4,FALSE)-SUMIFS($E$2:$E5888,$C$2:$C5888,C5888,$D$2:$D5888,"*Package*"))</f>
        <v/>
      </c>
      <c r="G5888" t="str">
        <f t="shared" si="125"/>
        <v/>
      </c>
      <c r="H5888" s="33">
        <f>IF(ISNUMBER(SEARCH("Group",D5888)),IF(G5888="",E5888,IFERROR(E5888/COUNTIF($G2:$G6000,G5888),E5888)),E5888)</f>
        <v>0</v>
      </c>
      <c r="I5888" s="1" t="str">
        <f>IFERROR(VLOOKUP(C5888,'Clients List'!A:F,6,FALSE),"")</f>
        <v/>
      </c>
    </row>
    <row r="5889" spans="4:9" x14ac:dyDescent="0.45">
      <c r="D5889" t="str">
        <f>IFERROR(VLOOKUP(C5889,'Clients List'!$A:$F,2,FALSE),"")</f>
        <v/>
      </c>
      <c r="F5889" s="1" t="str">
        <f>IF(OR(C5889="",NOT(ISNUMBER(SEARCH("Package",D5889)))),"",VLOOKUP(C5889,'Clients List'!$A:$F,4,FALSE)-SUMIFS($E$2:$E5889,$C$2:$C5889,C5889,$D$2:$D5889,"*Package*"))</f>
        <v/>
      </c>
      <c r="G5889" t="str">
        <f t="shared" si="125"/>
        <v/>
      </c>
      <c r="H5889" s="33">
        <f>IF(ISNUMBER(SEARCH("Group",D5889)),IF(G5889="",E5889,IFERROR(E5889/COUNTIF($G2:$G6000,G5889),E5889)),E5889)</f>
        <v>0</v>
      </c>
      <c r="I5889" s="1" t="str">
        <f>IFERROR(VLOOKUP(C5889,'Clients List'!A:F,6,FALSE),"")</f>
        <v/>
      </c>
    </row>
    <row r="5890" spans="4:9" x14ac:dyDescent="0.45">
      <c r="D5890" t="str">
        <f>IFERROR(VLOOKUP(C5890,'Clients List'!$A:$F,2,FALSE),"")</f>
        <v/>
      </c>
      <c r="F5890" s="1" t="str">
        <f>IF(OR(C5890="",NOT(ISNUMBER(SEARCH("Package",D5890)))),"",VLOOKUP(C5890,'Clients List'!$A:$F,4,FALSE)-SUMIFS($E$2:$E5890,$C$2:$C5890,C5890,$D$2:$D5890,"*Package*"))</f>
        <v/>
      </c>
      <c r="G5890" t="str">
        <f t="shared" si="125"/>
        <v/>
      </c>
      <c r="H5890" s="33">
        <f>IF(ISNUMBER(SEARCH("Group",D5890)),IF(G5890="",E5890,IFERROR(E5890/COUNTIF($G2:$G6000,G5890),E5890)),E5890)</f>
        <v>0</v>
      </c>
      <c r="I5890" s="1" t="str">
        <f>IFERROR(VLOOKUP(C5890,'Clients List'!A:F,6,FALSE),"")</f>
        <v/>
      </c>
    </row>
    <row r="5891" spans="4:9" x14ac:dyDescent="0.45">
      <c r="D5891" t="str">
        <f>IFERROR(VLOOKUP(C5891,'Clients List'!$A:$F,2,FALSE),"")</f>
        <v/>
      </c>
      <c r="F5891" s="1" t="str">
        <f>IF(OR(C5891="",NOT(ISNUMBER(SEARCH("Package",D5891)))),"",VLOOKUP(C5891,'Clients List'!$A:$F,4,FALSE)-SUMIFS($E$2:$E5891,$C$2:$C5891,C5891,$D$2:$D5891,"*Package*"))</f>
        <v/>
      </c>
      <c r="G5891" t="str">
        <f t="shared" si="125"/>
        <v/>
      </c>
      <c r="H5891" s="33">
        <f>IF(ISNUMBER(SEARCH("Group",D5891)),IF(G5891="",E5891,IFERROR(E5891/COUNTIF($G2:$G6000,G5891),E5891)),E5891)</f>
        <v>0</v>
      </c>
      <c r="I5891" s="1" t="str">
        <f>IFERROR(VLOOKUP(C5891,'Clients List'!A:F,6,FALSE),"")</f>
        <v/>
      </c>
    </row>
    <row r="5892" spans="4:9" x14ac:dyDescent="0.45">
      <c r="D5892" t="str">
        <f>IFERROR(VLOOKUP(C5892,'Clients List'!$A:$F,2,FALSE),"")</f>
        <v/>
      </c>
      <c r="F5892" s="1" t="str">
        <f>IF(OR(C5892="",NOT(ISNUMBER(SEARCH("Package",D5892)))),"",VLOOKUP(C5892,'Clients List'!$A:$F,4,FALSE)-SUMIFS($E$2:$E5892,$C$2:$C5892,C5892,$D$2:$D5892,"*Package*"))</f>
        <v/>
      </c>
      <c r="G5892" t="str">
        <f t="shared" si="125"/>
        <v/>
      </c>
      <c r="H5892" s="33">
        <f>IF(ISNUMBER(SEARCH("Group",D5892)),IF(G5892="",E5892,IFERROR(E5892/COUNTIF($G2:$G6000,G5892),E5892)),E5892)</f>
        <v>0</v>
      </c>
      <c r="I5892" s="1" t="str">
        <f>IFERROR(VLOOKUP(C5892,'Clients List'!A:F,6,FALSE),"")</f>
        <v/>
      </c>
    </row>
    <row r="5893" spans="4:9" x14ac:dyDescent="0.45">
      <c r="D5893" t="str">
        <f>IFERROR(VLOOKUP(C5893,'Clients List'!$A:$F,2,FALSE),"")</f>
        <v/>
      </c>
      <c r="F5893" s="1" t="str">
        <f>IF(OR(C5893="",NOT(ISNUMBER(SEARCH("Package",D5893)))),"",VLOOKUP(C5893,'Clients List'!$A:$F,4,FALSE)-SUMIFS($E$2:$E5893,$C$2:$C5893,C5893,$D$2:$D5893,"*Package*"))</f>
        <v/>
      </c>
      <c r="G5893" t="str">
        <f t="shared" si="125"/>
        <v/>
      </c>
      <c r="H5893" s="33">
        <f>IF(ISNUMBER(SEARCH("Group",D5893)),IF(G5893="",E5893,IFERROR(E5893/COUNTIF($G2:$G6000,G5893),E5893)),E5893)</f>
        <v>0</v>
      </c>
      <c r="I5893" s="1" t="str">
        <f>IFERROR(VLOOKUP(C5893,'Clients List'!A:F,6,FALSE),"")</f>
        <v/>
      </c>
    </row>
    <row r="5894" spans="4:9" x14ac:dyDescent="0.45">
      <c r="D5894" t="str">
        <f>IFERROR(VLOOKUP(C5894,'Clients List'!$A:$F,2,FALSE),"")</f>
        <v/>
      </c>
      <c r="F5894" s="1" t="str">
        <f>IF(OR(C5894="",NOT(ISNUMBER(SEARCH("Package",D5894)))),"",VLOOKUP(C5894,'Clients List'!$A:$F,4,FALSE)-SUMIFS($E$2:$E5894,$C$2:$C5894,C5894,$D$2:$D5894,"*Package*"))</f>
        <v/>
      </c>
      <c r="G5894" t="str">
        <f t="shared" si="125"/>
        <v/>
      </c>
      <c r="H5894" s="33">
        <f>IF(ISNUMBER(SEARCH("Group",D5894)),IF(G5894="",E5894,IFERROR(E5894/COUNTIF($G2:$G6000,G5894),E5894)),E5894)</f>
        <v>0</v>
      </c>
      <c r="I5894" s="1" t="str">
        <f>IFERROR(VLOOKUP(C5894,'Clients List'!A:F,6,FALSE),"")</f>
        <v/>
      </c>
    </row>
    <row r="5895" spans="4:9" x14ac:dyDescent="0.45">
      <c r="D5895" t="str">
        <f>IFERROR(VLOOKUP(C5895,'Clients List'!$A:$F,2,FALSE),"")</f>
        <v/>
      </c>
      <c r="F5895" s="1" t="str">
        <f>IF(OR(C5895="",NOT(ISNUMBER(SEARCH("Package",D5895)))),"",VLOOKUP(C5895,'Clients List'!$A:$F,4,FALSE)-SUMIFS($E$2:$E5895,$C$2:$C5895,C5895,$D$2:$D5895,"*Package*"))</f>
        <v/>
      </c>
      <c r="G5895" t="str">
        <f t="shared" si="125"/>
        <v/>
      </c>
      <c r="H5895" s="33">
        <f>IF(ISNUMBER(SEARCH("Group",D5895)),IF(G5895="",E5895,IFERROR(E5895/COUNTIF($G2:$G6000,G5895),E5895)),E5895)</f>
        <v>0</v>
      </c>
      <c r="I5895" s="1" t="str">
        <f>IFERROR(VLOOKUP(C5895,'Clients List'!A:F,6,FALSE),"")</f>
        <v/>
      </c>
    </row>
    <row r="5896" spans="4:9" x14ac:dyDescent="0.45">
      <c r="D5896" t="str">
        <f>IFERROR(VLOOKUP(C5896,'Clients List'!$A:$F,2,FALSE),"")</f>
        <v/>
      </c>
      <c r="F5896" s="1" t="str">
        <f>IF(OR(C5896="",NOT(ISNUMBER(SEARCH("Package",D5896)))),"",VLOOKUP(C5896,'Clients List'!$A:$F,4,FALSE)-SUMIFS($E$2:$E5896,$C$2:$C5896,C5896,$D$2:$D5896,"*Package*"))</f>
        <v/>
      </c>
      <c r="G5896" t="str">
        <f t="shared" si="125"/>
        <v/>
      </c>
      <c r="H5896" s="33">
        <f>IF(ISNUMBER(SEARCH("Group",D5896)),IF(G5896="",E5896,IFERROR(E5896/COUNTIF($G2:$G6000,G5896),E5896)),E5896)</f>
        <v>0</v>
      </c>
      <c r="I5896" s="1" t="str">
        <f>IFERROR(VLOOKUP(C5896,'Clients List'!A:F,6,FALSE),"")</f>
        <v/>
      </c>
    </row>
    <row r="5897" spans="4:9" x14ac:dyDescent="0.45">
      <c r="D5897" t="str">
        <f>IFERROR(VLOOKUP(C5897,'Clients List'!$A:$F,2,FALSE),"")</f>
        <v/>
      </c>
      <c r="F5897" s="1" t="str">
        <f>IF(OR(C5897="",NOT(ISNUMBER(SEARCH("Package",D5897)))),"",VLOOKUP(C5897,'Clients List'!$A:$F,4,FALSE)-SUMIFS($E$2:$E5897,$C$2:$C5897,C5897,$D$2:$D5897,"*Package*"))</f>
        <v/>
      </c>
      <c r="G5897" t="str">
        <f t="shared" si="125"/>
        <v/>
      </c>
      <c r="H5897" s="33">
        <f>IF(ISNUMBER(SEARCH("Group",D5897)),IF(G5897="",E5897,IFERROR(E5897/COUNTIF($G2:$G6000,G5897),E5897)),E5897)</f>
        <v>0</v>
      </c>
      <c r="I5897" s="1" t="str">
        <f>IFERROR(VLOOKUP(C5897,'Clients List'!A:F,6,FALSE),"")</f>
        <v/>
      </c>
    </row>
    <row r="5898" spans="4:9" x14ac:dyDescent="0.45">
      <c r="D5898" t="str">
        <f>IFERROR(VLOOKUP(C5898,'Clients List'!$A:$F,2,FALSE),"")</f>
        <v/>
      </c>
      <c r="F5898" s="1" t="str">
        <f>IF(OR(C5898="",NOT(ISNUMBER(SEARCH("Package",D5898)))),"",VLOOKUP(C5898,'Clients List'!$A:$F,4,FALSE)-SUMIFS($E$2:$E5898,$C$2:$C5898,C5898,$D$2:$D5898,"*Package*"))</f>
        <v/>
      </c>
      <c r="G5898" t="str">
        <f t="shared" si="125"/>
        <v/>
      </c>
      <c r="H5898" s="33">
        <f>IF(ISNUMBER(SEARCH("Group",D5898)),IF(G5898="",E5898,IFERROR(E5898/COUNTIF($G2:$G6000,G5898),E5898)),E5898)</f>
        <v>0</v>
      </c>
      <c r="I5898" s="1" t="str">
        <f>IFERROR(VLOOKUP(C5898,'Clients List'!A:F,6,FALSE),"")</f>
        <v/>
      </c>
    </row>
    <row r="5899" spans="4:9" x14ac:dyDescent="0.45">
      <c r="D5899" t="str">
        <f>IFERROR(VLOOKUP(C5899,'Clients List'!$A:$F,2,FALSE),"")</f>
        <v/>
      </c>
      <c r="F5899" s="1" t="str">
        <f>IF(OR(C5899="",NOT(ISNUMBER(SEARCH("Package",D5899)))),"",VLOOKUP(C5899,'Clients List'!$A:$F,4,FALSE)-SUMIFS($E$2:$E5899,$C$2:$C5899,C5899,$D$2:$D5899,"*Package*"))</f>
        <v/>
      </c>
      <c r="G5899" t="str">
        <f t="shared" si="125"/>
        <v/>
      </c>
      <c r="H5899" s="33">
        <f>IF(ISNUMBER(SEARCH("Group",D5899)),IF(G5899="",E5899,IFERROR(E5899/COUNTIF($G2:$G6000,G5899),E5899)),E5899)</f>
        <v>0</v>
      </c>
      <c r="I5899" s="1" t="str">
        <f>IFERROR(VLOOKUP(C5899,'Clients List'!A:F,6,FALSE),"")</f>
        <v/>
      </c>
    </row>
    <row r="5900" spans="4:9" x14ac:dyDescent="0.45">
      <c r="D5900" t="str">
        <f>IFERROR(VLOOKUP(C5900,'Clients List'!$A:$F,2,FALSE),"")</f>
        <v/>
      </c>
      <c r="F5900" s="1" t="str">
        <f>IF(OR(C5900="",NOT(ISNUMBER(SEARCH("Package",D5900)))),"",VLOOKUP(C5900,'Clients List'!$A:$F,4,FALSE)-SUMIFS($E$2:$E5900,$C$2:$C5900,C5900,$D$2:$D5900,"*Package*"))</f>
        <v/>
      </c>
      <c r="G5900" t="str">
        <f t="shared" si="125"/>
        <v/>
      </c>
      <c r="H5900" s="33">
        <f>IF(ISNUMBER(SEARCH("Group",D5900)),IF(G5900="",E5900,IFERROR(E5900/COUNTIF($G2:$G6000,G5900),E5900)),E5900)</f>
        <v>0</v>
      </c>
      <c r="I5900" s="1" t="str">
        <f>IFERROR(VLOOKUP(C5900,'Clients List'!A:F,6,FALSE),"")</f>
        <v/>
      </c>
    </row>
    <row r="5901" spans="4:9" x14ac:dyDescent="0.45">
      <c r="D5901" t="str">
        <f>IFERROR(VLOOKUP(C5901,'Clients List'!$A:$F,2,FALSE),"")</f>
        <v/>
      </c>
      <c r="F5901" s="1" t="str">
        <f>IF(OR(C5901="",NOT(ISNUMBER(SEARCH("Package",D5901)))),"",VLOOKUP(C5901,'Clients List'!$A:$F,4,FALSE)-SUMIFS($E$2:$E5901,$C$2:$C5901,C5901,$D$2:$D5901,"*Package*"))</f>
        <v/>
      </c>
      <c r="G5901" t="str">
        <f t="shared" si="125"/>
        <v/>
      </c>
      <c r="H5901" s="33">
        <f>IF(ISNUMBER(SEARCH("Group",D5901)),IF(G5901="",E5901,IFERROR(E5901/COUNTIF($G2:$G6000,G5901),E5901)),E5901)</f>
        <v>0</v>
      </c>
      <c r="I5901" s="1" t="str">
        <f>IFERROR(VLOOKUP(C5901,'Clients List'!A:F,6,FALSE),"")</f>
        <v/>
      </c>
    </row>
    <row r="5902" spans="4:9" x14ac:dyDescent="0.45">
      <c r="D5902" t="str">
        <f>IFERROR(VLOOKUP(C5902,'Clients List'!$A:$F,2,FALSE),"")</f>
        <v/>
      </c>
      <c r="F5902" s="1" t="str">
        <f>IF(OR(C5902="",NOT(ISNUMBER(SEARCH("Package",D5902)))),"",VLOOKUP(C5902,'Clients List'!$A:$F,4,FALSE)-SUMIFS($E$2:$E5902,$C$2:$C5902,C5902,$D$2:$D5902,"*Package*"))</f>
        <v/>
      </c>
      <c r="G5902" t="str">
        <f t="shared" si="125"/>
        <v/>
      </c>
      <c r="H5902" s="33">
        <f>IF(ISNUMBER(SEARCH("Group",D5902)),IF(G5902="",E5902,IFERROR(E5902/COUNTIF($G2:$G6000,G5902),E5902)),E5902)</f>
        <v>0</v>
      </c>
      <c r="I5902" s="1" t="str">
        <f>IFERROR(VLOOKUP(C5902,'Clients List'!A:F,6,FALSE),"")</f>
        <v/>
      </c>
    </row>
    <row r="5903" spans="4:9" x14ac:dyDescent="0.45">
      <c r="D5903" t="str">
        <f>IFERROR(VLOOKUP(C5903,'Clients List'!$A:$F,2,FALSE),"")</f>
        <v/>
      </c>
      <c r="F5903" s="1" t="str">
        <f>IF(OR(C5903="",NOT(ISNUMBER(SEARCH("Package",D5903)))),"",VLOOKUP(C5903,'Clients List'!$A:$F,4,FALSE)-SUMIFS($E$2:$E5903,$C$2:$C5903,C5903,$D$2:$D5903,"*Package*"))</f>
        <v/>
      </c>
      <c r="G5903" t="str">
        <f t="shared" si="125"/>
        <v/>
      </c>
      <c r="H5903" s="33">
        <f>IF(ISNUMBER(SEARCH("Group",D5903)),IF(G5903="",E5903,IFERROR(E5903/COUNTIF($G2:$G6000,G5903),E5903)),E5903)</f>
        <v>0</v>
      </c>
      <c r="I5903" s="1" t="str">
        <f>IFERROR(VLOOKUP(C5903,'Clients List'!A:F,6,FALSE),"")</f>
        <v/>
      </c>
    </row>
    <row r="5904" spans="4:9" x14ac:dyDescent="0.45">
      <c r="D5904" t="str">
        <f>IFERROR(VLOOKUP(C5904,'Clients List'!$A:$F,2,FALSE),"")</f>
        <v/>
      </c>
      <c r="F5904" s="1" t="str">
        <f>IF(OR(C5904="",NOT(ISNUMBER(SEARCH("Package",D5904)))),"",VLOOKUP(C5904,'Clients List'!$A:$F,4,FALSE)-SUMIFS($E$2:$E5904,$C$2:$C5904,C5904,$D$2:$D5904,"*Package*"))</f>
        <v/>
      </c>
      <c r="G5904" t="str">
        <f t="shared" si="125"/>
        <v/>
      </c>
      <c r="H5904" s="33">
        <f>IF(ISNUMBER(SEARCH("Group",D5904)),IF(G5904="",E5904,IFERROR(E5904/COUNTIF($G2:$G6000,G5904),E5904)),E5904)</f>
        <v>0</v>
      </c>
      <c r="I5904" s="1" t="str">
        <f>IFERROR(VLOOKUP(C5904,'Clients List'!A:F,6,FALSE),"")</f>
        <v/>
      </c>
    </row>
    <row r="5905" spans="4:9" x14ac:dyDescent="0.45">
      <c r="D5905" t="str">
        <f>IFERROR(VLOOKUP(C5905,'Clients List'!$A:$F,2,FALSE),"")</f>
        <v/>
      </c>
      <c r="F5905" s="1" t="str">
        <f>IF(OR(C5905="",NOT(ISNUMBER(SEARCH("Package",D5905)))),"",VLOOKUP(C5905,'Clients List'!$A:$F,4,FALSE)-SUMIFS($E$2:$E5905,$C$2:$C5905,C5905,$D$2:$D5905,"*Package*"))</f>
        <v/>
      </c>
      <c r="G5905" t="str">
        <f t="shared" si="125"/>
        <v/>
      </c>
      <c r="H5905" s="33">
        <f>IF(ISNUMBER(SEARCH("Group",D5905)),IF(G5905="",E5905,IFERROR(E5905/COUNTIF($G2:$G6000,G5905),E5905)),E5905)</f>
        <v>0</v>
      </c>
      <c r="I5905" s="1" t="str">
        <f>IFERROR(VLOOKUP(C5905,'Clients List'!A:F,6,FALSE),"")</f>
        <v/>
      </c>
    </row>
    <row r="5906" spans="4:9" x14ac:dyDescent="0.45">
      <c r="D5906" t="str">
        <f>IFERROR(VLOOKUP(C5906,'Clients List'!$A:$F,2,FALSE),"")</f>
        <v/>
      </c>
      <c r="F5906" s="1" t="str">
        <f>IF(OR(C5906="",NOT(ISNUMBER(SEARCH("Package",D5906)))),"",VLOOKUP(C5906,'Clients List'!$A:$F,4,FALSE)-SUMIFS($E$2:$E5906,$C$2:$C5906,C5906,$D$2:$D5906,"*Package*"))</f>
        <v/>
      </c>
      <c r="G5906" t="str">
        <f t="shared" si="125"/>
        <v/>
      </c>
      <c r="H5906" s="33">
        <f>IF(ISNUMBER(SEARCH("Group",D5906)),IF(G5906="",E5906,IFERROR(E5906/COUNTIF($G2:$G6000,G5906),E5906)),E5906)</f>
        <v>0</v>
      </c>
      <c r="I5906" s="1" t="str">
        <f>IFERROR(VLOOKUP(C5906,'Clients List'!A:F,6,FALSE),"")</f>
        <v/>
      </c>
    </row>
    <row r="5907" spans="4:9" x14ac:dyDescent="0.45">
      <c r="D5907" t="str">
        <f>IFERROR(VLOOKUP(C5907,'Clients List'!$A:$F,2,FALSE),"")</f>
        <v/>
      </c>
      <c r="F5907" s="1" t="str">
        <f>IF(OR(C5907="",NOT(ISNUMBER(SEARCH("Package",D5907)))),"",VLOOKUP(C5907,'Clients List'!$A:$F,4,FALSE)-SUMIFS($E$2:$E5907,$C$2:$C5907,C5907,$D$2:$D5907,"*Package*"))</f>
        <v/>
      </c>
      <c r="G5907" t="str">
        <f t="shared" si="125"/>
        <v/>
      </c>
      <c r="H5907" s="33">
        <f>IF(ISNUMBER(SEARCH("Group",D5907)),IF(G5907="",E5907,IFERROR(E5907/COUNTIF($G2:$G6000,G5907),E5907)),E5907)</f>
        <v>0</v>
      </c>
      <c r="I5907" s="1" t="str">
        <f>IFERROR(VLOOKUP(C5907,'Clients List'!A:F,6,FALSE),"")</f>
        <v/>
      </c>
    </row>
    <row r="5908" spans="4:9" x14ac:dyDescent="0.45">
      <c r="D5908" t="str">
        <f>IFERROR(VLOOKUP(C5908,'Clients List'!$A:$F,2,FALSE),"")</f>
        <v/>
      </c>
      <c r="F5908" s="1" t="str">
        <f>IF(OR(C5908="",NOT(ISNUMBER(SEARCH("Package",D5908)))),"",VLOOKUP(C5908,'Clients List'!$A:$F,4,FALSE)-SUMIFS($E$2:$E5908,$C$2:$C5908,C5908,$D$2:$D5908,"*Package*"))</f>
        <v/>
      </c>
      <c r="G5908" t="str">
        <f t="shared" si="125"/>
        <v/>
      </c>
      <c r="H5908" s="33">
        <f>IF(ISNUMBER(SEARCH("Group",D5908)),IF(G5908="",E5908,IFERROR(E5908/COUNTIF($G2:$G6000,G5908),E5908)),E5908)</f>
        <v>0</v>
      </c>
      <c r="I5908" s="1" t="str">
        <f>IFERROR(VLOOKUP(C5908,'Clients List'!A:F,6,FALSE),"")</f>
        <v/>
      </c>
    </row>
    <row r="5909" spans="4:9" x14ac:dyDescent="0.45">
      <c r="D5909" t="str">
        <f>IFERROR(VLOOKUP(C5909,'Clients List'!$A:$F,2,FALSE),"")</f>
        <v/>
      </c>
      <c r="F5909" s="1" t="str">
        <f>IF(OR(C5909="",NOT(ISNUMBER(SEARCH("Package",D5909)))),"",VLOOKUP(C5909,'Clients List'!$A:$F,4,FALSE)-SUMIFS($E$2:$E5909,$C$2:$C5909,C5909,$D$2:$D5909,"*Package*"))</f>
        <v/>
      </c>
      <c r="G5909" t="str">
        <f t="shared" si="125"/>
        <v/>
      </c>
      <c r="H5909" s="33">
        <f>IF(ISNUMBER(SEARCH("Group",D5909)),IF(G5909="",E5909,IFERROR(E5909/COUNTIF($G2:$G6000,G5909),E5909)),E5909)</f>
        <v>0</v>
      </c>
      <c r="I5909" s="1" t="str">
        <f>IFERROR(VLOOKUP(C5909,'Clients List'!A:F,6,FALSE),"")</f>
        <v/>
      </c>
    </row>
    <row r="5910" spans="4:9" x14ac:dyDescent="0.45">
      <c r="D5910" t="str">
        <f>IFERROR(VLOOKUP(C5910,'Clients List'!$A:$F,2,FALSE),"")</f>
        <v/>
      </c>
      <c r="F5910" s="1" t="str">
        <f>IF(OR(C5910="",NOT(ISNUMBER(SEARCH("Package",D5910)))),"",VLOOKUP(C5910,'Clients List'!$A:$F,4,FALSE)-SUMIFS($E$2:$E5910,$C$2:$C5910,C5910,$D$2:$D5910,"*Package*"))</f>
        <v/>
      </c>
      <c r="G5910" t="str">
        <f t="shared" si="125"/>
        <v/>
      </c>
      <c r="H5910" s="33">
        <f>IF(ISNUMBER(SEARCH("Group",D5910)),IF(G5910="",E5910,IFERROR(E5910/COUNTIF($G2:$G6000,G5910),E5910)),E5910)</f>
        <v>0</v>
      </c>
      <c r="I5910" s="1" t="str">
        <f>IFERROR(VLOOKUP(C5910,'Clients List'!A:F,6,FALSE),"")</f>
        <v/>
      </c>
    </row>
    <row r="5911" spans="4:9" x14ac:dyDescent="0.45">
      <c r="D5911" t="str">
        <f>IFERROR(VLOOKUP(C5911,'Clients List'!$A:$F,2,FALSE),"")</f>
        <v/>
      </c>
      <c r="F5911" s="1" t="str">
        <f>IF(OR(C5911="",NOT(ISNUMBER(SEARCH("Package",D5911)))),"",VLOOKUP(C5911,'Clients List'!$A:$F,4,FALSE)-SUMIFS($E$2:$E5911,$C$2:$C5911,C5911,$D$2:$D5911,"*Package*"))</f>
        <v/>
      </c>
      <c r="G5911" t="str">
        <f t="shared" si="125"/>
        <v/>
      </c>
      <c r="H5911" s="33">
        <f>IF(ISNUMBER(SEARCH("Group",D5911)),IF(G5911="",E5911,IFERROR(E5911/COUNTIF($G2:$G6000,G5911),E5911)),E5911)</f>
        <v>0</v>
      </c>
      <c r="I5911" s="1" t="str">
        <f>IFERROR(VLOOKUP(C5911,'Clients List'!A:F,6,FALSE),"")</f>
        <v/>
      </c>
    </row>
    <row r="5912" spans="4:9" x14ac:dyDescent="0.45">
      <c r="D5912" t="str">
        <f>IFERROR(VLOOKUP(C5912,'Clients List'!$A:$F,2,FALSE),"")</f>
        <v/>
      </c>
      <c r="F5912" s="1" t="str">
        <f>IF(OR(C5912="",NOT(ISNUMBER(SEARCH("Package",D5912)))),"",VLOOKUP(C5912,'Clients List'!$A:$F,4,FALSE)-SUMIFS($E$2:$E5912,$C$2:$C5912,C5912,$D$2:$D5912,"*Package*"))</f>
        <v/>
      </c>
      <c r="G5912" t="str">
        <f t="shared" si="125"/>
        <v/>
      </c>
      <c r="H5912" s="33">
        <f>IF(ISNUMBER(SEARCH("Group",D5912)),IF(G5912="",E5912,IFERROR(E5912/COUNTIF($G2:$G6000,G5912),E5912)),E5912)</f>
        <v>0</v>
      </c>
      <c r="I5912" s="1" t="str">
        <f>IFERROR(VLOOKUP(C5912,'Clients List'!A:F,6,FALSE),"")</f>
        <v/>
      </c>
    </row>
    <row r="5913" spans="4:9" x14ac:dyDescent="0.45">
      <c r="D5913" t="str">
        <f>IFERROR(VLOOKUP(C5913,'Clients List'!$A:$F,2,FALSE),"")</f>
        <v/>
      </c>
      <c r="F5913" s="1" t="str">
        <f>IF(OR(C5913="",NOT(ISNUMBER(SEARCH("Package",D5913)))),"",VLOOKUP(C5913,'Clients List'!$A:$F,4,FALSE)-SUMIFS($E$2:$E5913,$C$2:$C5913,C5913,$D$2:$D5913,"*Package*"))</f>
        <v/>
      </c>
      <c r="G5913" t="str">
        <f t="shared" si="125"/>
        <v/>
      </c>
      <c r="H5913" s="33">
        <f>IF(ISNUMBER(SEARCH("Group",D5913)),IF(G5913="",E5913,IFERROR(E5913/COUNTIF($G2:$G6000,G5913),E5913)),E5913)</f>
        <v>0</v>
      </c>
      <c r="I5913" s="1" t="str">
        <f>IFERROR(VLOOKUP(C5913,'Clients List'!A:F,6,FALSE),"")</f>
        <v/>
      </c>
    </row>
    <row r="5914" spans="4:9" x14ac:dyDescent="0.45">
      <c r="D5914" t="str">
        <f>IFERROR(VLOOKUP(C5914,'Clients List'!$A:$F,2,FALSE),"")</f>
        <v/>
      </c>
      <c r="F5914" s="1" t="str">
        <f>IF(OR(C5914="",NOT(ISNUMBER(SEARCH("Package",D5914)))),"",VLOOKUP(C5914,'Clients List'!$A:$F,4,FALSE)-SUMIFS($E$2:$E5914,$C$2:$C5914,C5914,$D$2:$D5914,"*Package*"))</f>
        <v/>
      </c>
      <c r="G5914" t="str">
        <f t="shared" si="125"/>
        <v/>
      </c>
      <c r="H5914" s="33">
        <f>IF(ISNUMBER(SEARCH("Group",D5914)),IF(G5914="",E5914,IFERROR(E5914/COUNTIF($G2:$G6000,G5914),E5914)),E5914)</f>
        <v>0</v>
      </c>
      <c r="I5914" s="1" t="str">
        <f>IFERROR(VLOOKUP(C5914,'Clients List'!A:F,6,FALSE),"")</f>
        <v/>
      </c>
    </row>
    <row r="5915" spans="4:9" x14ac:dyDescent="0.45">
      <c r="D5915" t="str">
        <f>IFERROR(VLOOKUP(C5915,'Clients List'!$A:$F,2,FALSE),"")</f>
        <v/>
      </c>
      <c r="F5915" s="1" t="str">
        <f>IF(OR(C5915="",NOT(ISNUMBER(SEARCH("Package",D5915)))),"",VLOOKUP(C5915,'Clients List'!$A:$F,4,FALSE)-SUMIFS($E$2:$E5915,$C$2:$C5915,C5915,$D$2:$D5915,"*Package*"))</f>
        <v/>
      </c>
      <c r="G5915" t="str">
        <f t="shared" si="125"/>
        <v/>
      </c>
      <c r="H5915" s="33">
        <f>IF(ISNUMBER(SEARCH("Group",D5915)),IF(G5915="",E5915,IFERROR(E5915/COUNTIF($G2:$G6000,G5915),E5915)),E5915)</f>
        <v>0</v>
      </c>
      <c r="I5915" s="1" t="str">
        <f>IFERROR(VLOOKUP(C5915,'Clients List'!A:F,6,FALSE),"")</f>
        <v/>
      </c>
    </row>
    <row r="5916" spans="4:9" x14ac:dyDescent="0.45">
      <c r="D5916" t="str">
        <f>IFERROR(VLOOKUP(C5916,'Clients List'!$A:$F,2,FALSE),"")</f>
        <v/>
      </c>
      <c r="F5916" s="1" t="str">
        <f>IF(OR(C5916="",NOT(ISNUMBER(SEARCH("Package",D5916)))),"",VLOOKUP(C5916,'Clients List'!$A:$F,4,FALSE)-SUMIFS($E$2:$E5916,$C$2:$C5916,C5916,$D$2:$D5916,"*Package*"))</f>
        <v/>
      </c>
      <c r="G5916" t="str">
        <f t="shared" si="125"/>
        <v/>
      </c>
      <c r="H5916" s="33">
        <f>IF(ISNUMBER(SEARCH("Group",D5916)),IF(G5916="",E5916,IFERROR(E5916/COUNTIF($G2:$G6000,G5916),E5916)),E5916)</f>
        <v>0</v>
      </c>
      <c r="I5916" s="1" t="str">
        <f>IFERROR(VLOOKUP(C5916,'Clients List'!A:F,6,FALSE),"")</f>
        <v/>
      </c>
    </row>
    <row r="5917" spans="4:9" x14ac:dyDescent="0.45">
      <c r="D5917" t="str">
        <f>IFERROR(VLOOKUP(C5917,'Clients List'!$A:$F,2,FALSE),"")</f>
        <v/>
      </c>
      <c r="F5917" s="1" t="str">
        <f>IF(OR(C5917="",NOT(ISNUMBER(SEARCH("Package",D5917)))),"",VLOOKUP(C5917,'Clients List'!$A:$F,4,FALSE)-SUMIFS($E$2:$E5917,$C$2:$C5917,C5917,$D$2:$D5917,"*Package*"))</f>
        <v/>
      </c>
      <c r="G5917" t="str">
        <f t="shared" si="125"/>
        <v/>
      </c>
      <c r="H5917" s="33">
        <f>IF(ISNUMBER(SEARCH("Group",D5917)),IF(G5917="",E5917,IFERROR(E5917/COUNTIF($G2:$G6000,G5917),E5917)),E5917)</f>
        <v>0</v>
      </c>
      <c r="I5917" s="1" t="str">
        <f>IFERROR(VLOOKUP(C5917,'Clients List'!A:F,6,FALSE),"")</f>
        <v/>
      </c>
    </row>
    <row r="5918" spans="4:9" x14ac:dyDescent="0.45">
      <c r="D5918" t="str">
        <f>IFERROR(VLOOKUP(C5918,'Clients List'!$A:$F,2,FALSE),"")</f>
        <v/>
      </c>
      <c r="F5918" s="1" t="str">
        <f>IF(OR(C5918="",NOT(ISNUMBER(SEARCH("Package",D5918)))),"",VLOOKUP(C5918,'Clients List'!$A:$F,4,FALSE)-SUMIFS($E$2:$E5918,$C$2:$C5918,C5918,$D$2:$D5918,"*Package*"))</f>
        <v/>
      </c>
      <c r="G5918" t="str">
        <f t="shared" si="125"/>
        <v/>
      </c>
      <c r="H5918" s="33">
        <f>IF(ISNUMBER(SEARCH("Group",D5918)),IF(G5918="",E5918,IFERROR(E5918/COUNTIF($G2:$G6000,G5918),E5918)),E5918)</f>
        <v>0</v>
      </c>
      <c r="I5918" s="1" t="str">
        <f>IFERROR(VLOOKUP(C5918,'Clients List'!A:F,6,FALSE),"")</f>
        <v/>
      </c>
    </row>
    <row r="5919" spans="4:9" x14ac:dyDescent="0.45">
      <c r="D5919" t="str">
        <f>IFERROR(VLOOKUP(C5919,'Clients List'!$A:$F,2,FALSE),"")</f>
        <v/>
      </c>
      <c r="F5919" s="1" t="str">
        <f>IF(OR(C5919="",NOT(ISNUMBER(SEARCH("Package",D5919)))),"",VLOOKUP(C5919,'Clients List'!$A:$F,4,FALSE)-SUMIFS($E$2:$E5919,$C$2:$C5919,C5919,$D$2:$D5919,"*Package*"))</f>
        <v/>
      </c>
      <c r="G5919" t="str">
        <f t="shared" si="125"/>
        <v/>
      </c>
      <c r="H5919" s="33">
        <f>IF(ISNUMBER(SEARCH("Group",D5919)),IF(G5919="",E5919,IFERROR(E5919/COUNTIF($G2:$G6000,G5919),E5919)),E5919)</f>
        <v>0</v>
      </c>
      <c r="I5919" s="1" t="str">
        <f>IFERROR(VLOOKUP(C5919,'Clients List'!A:F,6,FALSE),"")</f>
        <v/>
      </c>
    </row>
    <row r="5920" spans="4:9" x14ac:dyDescent="0.45">
      <c r="D5920" t="str">
        <f>IFERROR(VLOOKUP(C5920,'Clients List'!$A:$F,2,FALSE),"")</f>
        <v/>
      </c>
      <c r="F5920" s="1" t="str">
        <f>IF(OR(C5920="",NOT(ISNUMBER(SEARCH("Package",D5920)))),"",VLOOKUP(C5920,'Clients List'!$A:$F,4,FALSE)-SUMIFS($E$2:$E5920,$C$2:$C5920,C5920,$D$2:$D5920,"*Package*"))</f>
        <v/>
      </c>
      <c r="G5920" t="str">
        <f t="shared" si="125"/>
        <v/>
      </c>
      <c r="H5920" s="33">
        <f>IF(ISNUMBER(SEARCH("Group",D5920)),IF(G5920="",E5920,IFERROR(E5920/COUNTIF($G2:$G6000,G5920),E5920)),E5920)</f>
        <v>0</v>
      </c>
      <c r="I5920" s="1" t="str">
        <f>IFERROR(VLOOKUP(C5920,'Clients List'!A:F,6,FALSE),"")</f>
        <v/>
      </c>
    </row>
    <row r="5921" spans="4:9" x14ac:dyDescent="0.45">
      <c r="D5921" t="str">
        <f>IFERROR(VLOOKUP(C5921,'Clients List'!$A:$F,2,FALSE),"")</f>
        <v/>
      </c>
      <c r="F5921" s="1" t="str">
        <f>IF(OR(C5921="",NOT(ISNUMBER(SEARCH("Package",D5921)))),"",VLOOKUP(C5921,'Clients List'!$A:$F,4,FALSE)-SUMIFS($E$2:$E5921,$C$2:$C5921,C5921,$D$2:$D5921,"*Package*"))</f>
        <v/>
      </c>
      <c r="G5921" t="str">
        <f t="shared" si="125"/>
        <v/>
      </c>
      <c r="H5921" s="33">
        <f>IF(ISNUMBER(SEARCH("Group",D5921)),IF(G5921="",E5921,IFERROR(E5921/COUNTIF($G2:$G6000,G5921),E5921)),E5921)</f>
        <v>0</v>
      </c>
      <c r="I5921" s="1" t="str">
        <f>IFERROR(VLOOKUP(C5921,'Clients List'!A:F,6,FALSE),"")</f>
        <v/>
      </c>
    </row>
    <row r="5922" spans="4:9" x14ac:dyDescent="0.45">
      <c r="D5922" t="str">
        <f>IFERROR(VLOOKUP(C5922,'Clients List'!$A:$F,2,FALSE),"")</f>
        <v/>
      </c>
      <c r="F5922" s="1" t="str">
        <f>IF(OR(C5922="",NOT(ISNUMBER(SEARCH("Package",D5922)))),"",VLOOKUP(C5922,'Clients List'!$A:$F,4,FALSE)-SUMIFS($E$2:$E5922,$C$2:$C5922,C5922,$D$2:$D5922,"*Package*"))</f>
        <v/>
      </c>
      <c r="G5922" t="str">
        <f t="shared" si="125"/>
        <v/>
      </c>
      <c r="H5922" s="33">
        <f>IF(ISNUMBER(SEARCH("Group",D5922)),IF(G5922="",E5922,IFERROR(E5922/COUNTIF($G2:$G6000,G5922),E5922)),E5922)</f>
        <v>0</v>
      </c>
      <c r="I5922" s="1" t="str">
        <f>IFERROR(VLOOKUP(C5922,'Clients List'!A:F,6,FALSE),"")</f>
        <v/>
      </c>
    </row>
    <row r="5923" spans="4:9" x14ac:dyDescent="0.45">
      <c r="D5923" t="str">
        <f>IFERROR(VLOOKUP(C5923,'Clients List'!$A:$F,2,FALSE),"")</f>
        <v/>
      </c>
      <c r="F5923" s="1" t="str">
        <f>IF(OR(C5923="",NOT(ISNUMBER(SEARCH("Package",D5923)))),"",VLOOKUP(C5923,'Clients List'!$A:$F,4,FALSE)-SUMIFS($E$2:$E5923,$C$2:$C5923,C5923,$D$2:$D5923,"*Package*"))</f>
        <v/>
      </c>
      <c r="G5923" t="str">
        <f t="shared" si="125"/>
        <v/>
      </c>
      <c r="H5923" s="33">
        <f>IF(ISNUMBER(SEARCH("Group",D5923)),IF(G5923="",E5923,IFERROR(E5923/COUNTIF($G2:$G6000,G5923),E5923)),E5923)</f>
        <v>0</v>
      </c>
      <c r="I5923" s="1" t="str">
        <f>IFERROR(VLOOKUP(C5923,'Clients List'!A:F,6,FALSE),"")</f>
        <v/>
      </c>
    </row>
    <row r="5924" spans="4:9" x14ac:dyDescent="0.45">
      <c r="D5924" t="str">
        <f>IFERROR(VLOOKUP(C5924,'Clients List'!$A:$F,2,FALSE),"")</f>
        <v/>
      </c>
      <c r="F5924" s="1" t="str">
        <f>IF(OR(C5924="",NOT(ISNUMBER(SEARCH("Package",D5924)))),"",VLOOKUP(C5924,'Clients List'!$A:$F,4,FALSE)-SUMIFS($E$2:$E5924,$C$2:$C5924,C5924,$D$2:$D5924,"*Package*"))</f>
        <v/>
      </c>
      <c r="G5924" t="str">
        <f t="shared" si="125"/>
        <v/>
      </c>
      <c r="H5924" s="33">
        <f>IF(ISNUMBER(SEARCH("Group",D5924)),IF(G5924="",E5924,IFERROR(E5924/COUNTIF($G2:$G6000,G5924),E5924)),E5924)</f>
        <v>0</v>
      </c>
      <c r="I5924" s="1" t="str">
        <f>IFERROR(VLOOKUP(C5924,'Clients List'!A:F,6,FALSE),"")</f>
        <v/>
      </c>
    </row>
    <row r="5925" spans="4:9" x14ac:dyDescent="0.45">
      <c r="D5925" t="str">
        <f>IFERROR(VLOOKUP(C5925,'Clients List'!$A:$F,2,FALSE),"")</f>
        <v/>
      </c>
      <c r="F5925" s="1" t="str">
        <f>IF(OR(C5925="",NOT(ISNUMBER(SEARCH("Package",D5925)))),"",VLOOKUP(C5925,'Clients List'!$A:$F,4,FALSE)-SUMIFS($E$2:$E5925,$C$2:$C5925,C5925,$D$2:$D5925,"*Package*"))</f>
        <v/>
      </c>
      <c r="G5925" t="str">
        <f t="shared" si="125"/>
        <v/>
      </c>
      <c r="H5925" s="33">
        <f>IF(ISNUMBER(SEARCH("Group",D5925)),IF(G5925="",E5925,IFERROR(E5925/COUNTIF($G2:$G6000,G5925),E5925)),E5925)</f>
        <v>0</v>
      </c>
      <c r="I5925" s="1" t="str">
        <f>IFERROR(VLOOKUP(C5925,'Clients List'!A:F,6,FALSE),"")</f>
        <v/>
      </c>
    </row>
    <row r="5926" spans="4:9" x14ac:dyDescent="0.45">
      <c r="D5926" t="str">
        <f>IFERROR(VLOOKUP(C5926,'Clients List'!$A:$F,2,FALSE),"")</f>
        <v/>
      </c>
      <c r="F5926" s="1" t="str">
        <f>IF(OR(C5926="",NOT(ISNUMBER(SEARCH("Package",D5926)))),"",VLOOKUP(C5926,'Clients List'!$A:$F,4,FALSE)-SUMIFS($E$2:$E5926,$C$2:$C5926,C5926,$D$2:$D5926,"*Package*"))</f>
        <v/>
      </c>
      <c r="G5926" t="str">
        <f t="shared" si="125"/>
        <v/>
      </c>
      <c r="H5926" s="33">
        <f>IF(ISNUMBER(SEARCH("Group",D5926)),IF(G5926="",E5926,IFERROR(E5926/COUNTIF($G2:$G6000,G5926),E5926)),E5926)</f>
        <v>0</v>
      </c>
      <c r="I5926" s="1" t="str">
        <f>IFERROR(VLOOKUP(C5926,'Clients List'!A:F,6,FALSE),"")</f>
        <v/>
      </c>
    </row>
    <row r="5927" spans="4:9" x14ac:dyDescent="0.45">
      <c r="D5927" t="str">
        <f>IFERROR(VLOOKUP(C5927,'Clients List'!$A:$F,2,FALSE),"")</f>
        <v/>
      </c>
      <c r="F5927" s="1" t="str">
        <f>IF(OR(C5927="",NOT(ISNUMBER(SEARCH("Package",D5927)))),"",VLOOKUP(C5927,'Clients List'!$A:$F,4,FALSE)-SUMIFS($E$2:$E5927,$C$2:$C5927,C5927,$D$2:$D5927,"*Package*"))</f>
        <v/>
      </c>
      <c r="G5927" t="str">
        <f t="shared" si="125"/>
        <v/>
      </c>
      <c r="H5927" s="33">
        <f>IF(ISNUMBER(SEARCH("Group",D5927)),IF(G5927="",E5927,IFERROR(E5927/COUNTIF($G2:$G6000,G5927),E5927)),E5927)</f>
        <v>0</v>
      </c>
      <c r="I5927" s="1" t="str">
        <f>IFERROR(VLOOKUP(C5927,'Clients List'!A:F,6,FALSE),"")</f>
        <v/>
      </c>
    </row>
    <row r="5928" spans="4:9" x14ac:dyDescent="0.45">
      <c r="D5928" t="str">
        <f>IFERROR(VLOOKUP(C5928,'Clients List'!$A:$F,2,FALSE),"")</f>
        <v/>
      </c>
      <c r="F5928" s="1" t="str">
        <f>IF(OR(C5928="",NOT(ISNUMBER(SEARCH("Package",D5928)))),"",VLOOKUP(C5928,'Clients List'!$A:$F,4,FALSE)-SUMIFS($E$2:$E5928,$C$2:$C5928,C5928,$D$2:$D5928,"*Package*"))</f>
        <v/>
      </c>
      <c r="G5928" t="str">
        <f t="shared" si="125"/>
        <v/>
      </c>
      <c r="H5928" s="33">
        <f>IF(ISNUMBER(SEARCH("Group",D5928)),IF(G5928="",E5928,IFERROR(E5928/COUNTIF($G2:$G6000,G5928),E5928)),E5928)</f>
        <v>0</v>
      </c>
      <c r="I5928" s="1" t="str">
        <f>IFERROR(VLOOKUP(C5928,'Clients List'!A:F,6,FALSE),"")</f>
        <v/>
      </c>
    </row>
    <row r="5929" spans="4:9" x14ac:dyDescent="0.45">
      <c r="D5929" t="str">
        <f>IFERROR(VLOOKUP(C5929,'Clients List'!$A:$F,2,FALSE),"")</f>
        <v/>
      </c>
      <c r="F5929" s="1" t="str">
        <f>IF(OR(C5929="",NOT(ISNUMBER(SEARCH("Package",D5929)))),"",VLOOKUP(C5929,'Clients List'!$A:$F,4,FALSE)-SUMIFS($E$2:$E5929,$C$2:$C5929,C5929,$D$2:$D5929,"*Package*"))</f>
        <v/>
      </c>
      <c r="G5929" t="str">
        <f t="shared" si="125"/>
        <v/>
      </c>
      <c r="H5929" s="33">
        <f>IF(ISNUMBER(SEARCH("Group",D5929)),IF(G5929="",E5929,IFERROR(E5929/COUNTIF($G2:$G6000,G5929),E5929)),E5929)</f>
        <v>0</v>
      </c>
      <c r="I5929" s="1" t="str">
        <f>IFERROR(VLOOKUP(C5929,'Clients List'!A:F,6,FALSE),"")</f>
        <v/>
      </c>
    </row>
    <row r="5930" spans="4:9" x14ac:dyDescent="0.45">
      <c r="D5930" t="str">
        <f>IFERROR(VLOOKUP(C5930,'Clients List'!$A:$F,2,FALSE),"")</f>
        <v/>
      </c>
      <c r="F5930" s="1" t="str">
        <f>IF(OR(C5930="",NOT(ISNUMBER(SEARCH("Package",D5930)))),"",VLOOKUP(C5930,'Clients List'!$A:$F,4,FALSE)-SUMIFS($E$2:$E5930,$C$2:$C5930,C5930,$D$2:$D5930,"*Package*"))</f>
        <v/>
      </c>
      <c r="G5930" t="str">
        <f t="shared" si="125"/>
        <v/>
      </c>
      <c r="H5930" s="33">
        <f>IF(ISNUMBER(SEARCH("Group",D5930)),IF(G5930="",E5930,IFERROR(E5930/COUNTIF($G2:$G6000,G5930),E5930)),E5930)</f>
        <v>0</v>
      </c>
      <c r="I5930" s="1" t="str">
        <f>IFERROR(VLOOKUP(C5930,'Clients List'!A:F,6,FALSE),"")</f>
        <v/>
      </c>
    </row>
    <row r="5931" spans="4:9" x14ac:dyDescent="0.45">
      <c r="D5931" t="str">
        <f>IFERROR(VLOOKUP(C5931,'Clients List'!$A:$F,2,FALSE),"")</f>
        <v/>
      </c>
      <c r="F5931" s="1" t="str">
        <f>IF(OR(C5931="",NOT(ISNUMBER(SEARCH("Package",D5931)))),"",VLOOKUP(C5931,'Clients List'!$A:$F,4,FALSE)-SUMIFS($E$2:$E5931,$C$2:$C5931,C5931,$D$2:$D5931,"*Package*"))</f>
        <v/>
      </c>
      <c r="G5931" t="str">
        <f t="shared" si="125"/>
        <v/>
      </c>
      <c r="H5931" s="33">
        <f>IF(ISNUMBER(SEARCH("Group",D5931)),IF(G5931="",E5931,IFERROR(E5931/COUNTIF($G2:$G6000,G5931),E5931)),E5931)</f>
        <v>0</v>
      </c>
      <c r="I5931" s="1" t="str">
        <f>IFERROR(VLOOKUP(C5931,'Clients List'!A:F,6,FALSE),"")</f>
        <v/>
      </c>
    </row>
    <row r="5932" spans="4:9" x14ac:dyDescent="0.45">
      <c r="D5932" t="str">
        <f>IFERROR(VLOOKUP(C5932,'Clients List'!$A:$F,2,FALSE),"")</f>
        <v/>
      </c>
      <c r="F5932" s="1" t="str">
        <f>IF(OR(C5932="",NOT(ISNUMBER(SEARCH("Package",D5932)))),"",VLOOKUP(C5932,'Clients List'!$A:$F,4,FALSE)-SUMIFS($E$2:$E5932,$C$2:$C5932,C5932,$D$2:$D5932,"*Package*"))</f>
        <v/>
      </c>
      <c r="G5932" t="str">
        <f t="shared" si="125"/>
        <v/>
      </c>
      <c r="H5932" s="33">
        <f>IF(ISNUMBER(SEARCH("Group",D5932)),IF(G5932="",E5932,IFERROR(E5932/COUNTIF($G2:$G6000,G5932),E5932)),E5932)</f>
        <v>0</v>
      </c>
      <c r="I5932" s="1" t="str">
        <f>IFERROR(VLOOKUP(C5932,'Clients List'!A:F,6,FALSE),"")</f>
        <v/>
      </c>
    </row>
    <row r="5933" spans="4:9" x14ac:dyDescent="0.45">
      <c r="D5933" t="str">
        <f>IFERROR(VLOOKUP(C5933,'Clients List'!$A:$F,2,FALSE),"")</f>
        <v/>
      </c>
      <c r="F5933" s="1" t="str">
        <f>IF(OR(C5933="",NOT(ISNUMBER(SEARCH("Package",D5933)))),"",VLOOKUP(C5933,'Clients List'!$A:$F,4,FALSE)-SUMIFS($E$2:$E5933,$C$2:$C5933,C5933,$D$2:$D5933,"*Package*"))</f>
        <v/>
      </c>
      <c r="G5933" t="str">
        <f t="shared" si="125"/>
        <v/>
      </c>
      <c r="H5933" s="33">
        <f>IF(ISNUMBER(SEARCH("Group",D5933)),IF(G5933="",E5933,IFERROR(E5933/COUNTIF($G2:$G6000,G5933),E5933)),E5933)</f>
        <v>0</v>
      </c>
      <c r="I5933" s="1" t="str">
        <f>IFERROR(VLOOKUP(C5933,'Clients List'!A:F,6,FALSE),"")</f>
        <v/>
      </c>
    </row>
    <row r="5934" spans="4:9" x14ac:dyDescent="0.45">
      <c r="D5934" t="str">
        <f>IFERROR(VLOOKUP(C5934,'Clients List'!$A:$F,2,FALSE),"")</f>
        <v/>
      </c>
      <c r="F5934" s="1" t="str">
        <f>IF(OR(C5934="",NOT(ISNUMBER(SEARCH("Package",D5934)))),"",VLOOKUP(C5934,'Clients List'!$A:$F,4,FALSE)-SUMIFS($E$2:$E5934,$C$2:$C5934,C5934,$D$2:$D5934,"*Package*"))</f>
        <v/>
      </c>
      <c r="G5934" t="str">
        <f t="shared" si="125"/>
        <v/>
      </c>
      <c r="H5934" s="33">
        <f>IF(ISNUMBER(SEARCH("Group",D5934)),IF(G5934="",E5934,IFERROR(E5934/COUNTIF($G2:$G6000,G5934),E5934)),E5934)</f>
        <v>0</v>
      </c>
      <c r="I5934" s="1" t="str">
        <f>IFERROR(VLOOKUP(C5934,'Clients List'!A:F,6,FALSE),"")</f>
        <v/>
      </c>
    </row>
    <row r="5935" spans="4:9" x14ac:dyDescent="0.45">
      <c r="D5935" t="str">
        <f>IFERROR(VLOOKUP(C5935,'Clients List'!$A:$F,2,FALSE),"")</f>
        <v/>
      </c>
      <c r="F5935" s="1" t="str">
        <f>IF(OR(C5935="",NOT(ISNUMBER(SEARCH("Package",D5935)))),"",VLOOKUP(C5935,'Clients List'!$A:$F,4,FALSE)-SUMIFS($E$2:$E5935,$C$2:$C5935,C5935,$D$2:$D5935,"*Package*"))</f>
        <v/>
      </c>
      <c r="G5935" t="str">
        <f t="shared" si="125"/>
        <v/>
      </c>
      <c r="H5935" s="33">
        <f>IF(ISNUMBER(SEARCH("Group",D5935)),IF(G5935="",E5935,IFERROR(E5935/COUNTIF($G2:$G6000,G5935),E5935)),E5935)</f>
        <v>0</v>
      </c>
      <c r="I5935" s="1" t="str">
        <f>IFERROR(VLOOKUP(C5935,'Clients List'!A:F,6,FALSE),"")</f>
        <v/>
      </c>
    </row>
    <row r="5936" spans="4:9" x14ac:dyDescent="0.45">
      <c r="D5936" t="str">
        <f>IFERROR(VLOOKUP(C5936,'Clients List'!$A:$F,2,FALSE),"")</f>
        <v/>
      </c>
      <c r="F5936" s="1" t="str">
        <f>IF(OR(C5936="",NOT(ISNUMBER(SEARCH("Package",D5936)))),"",VLOOKUP(C5936,'Clients List'!$A:$F,4,FALSE)-SUMIFS($E$2:$E5936,$C$2:$C5936,C5936,$D$2:$D5936,"*Package*"))</f>
        <v/>
      </c>
      <c r="G5936" t="str">
        <f t="shared" si="125"/>
        <v/>
      </c>
      <c r="H5936" s="33">
        <f>IF(ISNUMBER(SEARCH("Group",D5936)),IF(G5936="",E5936,IFERROR(E5936/COUNTIF($G2:$G6000,G5936),E5936)),E5936)</f>
        <v>0</v>
      </c>
      <c r="I5936" s="1" t="str">
        <f>IFERROR(VLOOKUP(C5936,'Clients List'!A:F,6,FALSE),"")</f>
        <v/>
      </c>
    </row>
    <row r="5937" spans="4:9" x14ac:dyDescent="0.45">
      <c r="D5937" t="str">
        <f>IFERROR(VLOOKUP(C5937,'Clients List'!$A:$F,2,FALSE),"")</f>
        <v/>
      </c>
      <c r="F5937" s="1" t="str">
        <f>IF(OR(C5937="",NOT(ISNUMBER(SEARCH("Package",D5937)))),"",VLOOKUP(C5937,'Clients List'!$A:$F,4,FALSE)-SUMIFS($E$2:$E5937,$C$2:$C5937,C5937,$D$2:$D5937,"*Package*"))</f>
        <v/>
      </c>
      <c r="G5937" t="str">
        <f t="shared" si="125"/>
        <v/>
      </c>
      <c r="H5937" s="33">
        <f>IF(ISNUMBER(SEARCH("Group",D5937)),IF(G5937="",E5937,IFERROR(E5937/COUNTIF($G2:$G6000,G5937),E5937)),E5937)</f>
        <v>0</v>
      </c>
      <c r="I5937" s="1" t="str">
        <f>IFERROR(VLOOKUP(C5937,'Clients List'!A:F,6,FALSE),"")</f>
        <v/>
      </c>
    </row>
    <row r="5938" spans="4:9" x14ac:dyDescent="0.45">
      <c r="D5938" t="str">
        <f>IFERROR(VLOOKUP(C5938,'Clients List'!$A:$F,2,FALSE),"")</f>
        <v/>
      </c>
      <c r="F5938" s="1" t="str">
        <f>IF(OR(C5938="",NOT(ISNUMBER(SEARCH("Package",D5938)))),"",VLOOKUP(C5938,'Clients List'!$A:$F,4,FALSE)-SUMIFS($E$2:$E5938,$C$2:$C5938,C5938,$D$2:$D5938,"*Package*"))</f>
        <v/>
      </c>
      <c r="G5938" t="str">
        <f t="shared" si="125"/>
        <v/>
      </c>
      <c r="H5938" s="33">
        <f>IF(ISNUMBER(SEARCH("Group",D5938)),IF(G5938="",E5938,IFERROR(E5938/COUNTIF($G2:$G6000,G5938),E5938)),E5938)</f>
        <v>0</v>
      </c>
      <c r="I5938" s="1" t="str">
        <f>IFERROR(VLOOKUP(C5938,'Clients List'!A:F,6,FALSE),"")</f>
        <v/>
      </c>
    </row>
    <row r="5939" spans="4:9" x14ac:dyDescent="0.45">
      <c r="D5939" t="str">
        <f>IFERROR(VLOOKUP(C5939,'Clients List'!$A:$F,2,FALSE),"")</f>
        <v/>
      </c>
      <c r="F5939" s="1" t="str">
        <f>IF(OR(C5939="",NOT(ISNUMBER(SEARCH("Package",D5939)))),"",VLOOKUP(C5939,'Clients List'!$A:$F,4,FALSE)-SUMIFS($E$2:$E5939,$C$2:$C5939,C5939,$D$2:$D5939,"*Package*"))</f>
        <v/>
      </c>
      <c r="G5939" t="str">
        <f t="shared" si="125"/>
        <v/>
      </c>
      <c r="H5939" s="33">
        <f>IF(ISNUMBER(SEARCH("Group",D5939)),IF(G5939="",E5939,IFERROR(E5939/COUNTIF($G2:$G6000,G5939),E5939)),E5939)</f>
        <v>0</v>
      </c>
      <c r="I5939" s="1" t="str">
        <f>IFERROR(VLOOKUP(C5939,'Clients List'!A:F,6,FALSE),"")</f>
        <v/>
      </c>
    </row>
    <row r="5940" spans="4:9" x14ac:dyDescent="0.45">
      <c r="D5940" t="str">
        <f>IFERROR(VLOOKUP(C5940,'Clients List'!$A:$F,2,FALSE),"")</f>
        <v/>
      </c>
      <c r="F5940" s="1" t="str">
        <f>IF(OR(C5940="",NOT(ISNUMBER(SEARCH("Package",D5940)))),"",VLOOKUP(C5940,'Clients List'!$A:$F,4,FALSE)-SUMIFS($E$2:$E5940,$C$2:$C5940,C5940,$D$2:$D5940,"*Package*"))</f>
        <v/>
      </c>
      <c r="G5940" t="str">
        <f t="shared" si="125"/>
        <v/>
      </c>
      <c r="H5940" s="33">
        <f>IF(ISNUMBER(SEARCH("Group",D5940)),IF(G5940="",E5940,IFERROR(E5940/COUNTIF($G2:$G6000,G5940),E5940)),E5940)</f>
        <v>0</v>
      </c>
      <c r="I5940" s="1" t="str">
        <f>IFERROR(VLOOKUP(C5940,'Clients List'!A:F,6,FALSE),"")</f>
        <v/>
      </c>
    </row>
    <row r="5941" spans="4:9" x14ac:dyDescent="0.45">
      <c r="D5941" t="str">
        <f>IFERROR(VLOOKUP(C5941,'Clients List'!$A:$F,2,FALSE),"")</f>
        <v/>
      </c>
      <c r="F5941" s="1" t="str">
        <f>IF(OR(C5941="",NOT(ISNUMBER(SEARCH("Package",D5941)))),"",VLOOKUP(C5941,'Clients List'!$A:$F,4,FALSE)-SUMIFS($E$2:$E5941,$C$2:$C5941,C5941,$D$2:$D5941,"*Package*"))</f>
        <v/>
      </c>
      <c r="G5941" t="str">
        <f t="shared" ref="G5941:G6000" si="126">IF(ISNUMBER(SEARCH("Group",D5941)),IFERROR("GRP-"&amp;TEXT(IF(ISNUMBER(A5941),A5941,DATEVALUE(A5941)),"yyyymmdd"),""),"" )</f>
        <v/>
      </c>
      <c r="H5941" s="33">
        <f>IF(ISNUMBER(SEARCH("Group",D5941)),IF(G5941="",E5941,IFERROR(E5941/COUNTIF($G2:$G6000,G5941),E5941)),E5941)</f>
        <v>0</v>
      </c>
      <c r="I5941" s="1" t="str">
        <f>IFERROR(VLOOKUP(C5941,'Clients List'!A:F,6,FALSE),"")</f>
        <v/>
      </c>
    </row>
    <row r="5942" spans="4:9" x14ac:dyDescent="0.45">
      <c r="D5942" t="str">
        <f>IFERROR(VLOOKUP(C5942,'Clients List'!$A:$F,2,FALSE),"")</f>
        <v/>
      </c>
      <c r="F5942" s="1" t="str">
        <f>IF(OR(C5942="",NOT(ISNUMBER(SEARCH("Package",D5942)))),"",VLOOKUP(C5942,'Clients List'!$A:$F,4,FALSE)-SUMIFS($E$2:$E5942,$C$2:$C5942,C5942,$D$2:$D5942,"*Package*"))</f>
        <v/>
      </c>
      <c r="G5942" t="str">
        <f t="shared" si="126"/>
        <v/>
      </c>
      <c r="H5942" s="33">
        <f>IF(ISNUMBER(SEARCH("Group",D5942)),IF(G5942="",E5942,IFERROR(E5942/COUNTIF($G2:$G6000,G5942),E5942)),E5942)</f>
        <v>0</v>
      </c>
      <c r="I5942" s="1" t="str">
        <f>IFERROR(VLOOKUP(C5942,'Clients List'!A:F,6,FALSE),"")</f>
        <v/>
      </c>
    </row>
    <row r="5943" spans="4:9" x14ac:dyDescent="0.45">
      <c r="D5943" t="str">
        <f>IFERROR(VLOOKUP(C5943,'Clients List'!$A:$F,2,FALSE),"")</f>
        <v/>
      </c>
      <c r="F5943" s="1" t="str">
        <f>IF(OR(C5943="",NOT(ISNUMBER(SEARCH("Package",D5943)))),"",VLOOKUP(C5943,'Clients List'!$A:$F,4,FALSE)-SUMIFS($E$2:$E5943,$C$2:$C5943,C5943,$D$2:$D5943,"*Package*"))</f>
        <v/>
      </c>
      <c r="G5943" t="str">
        <f t="shared" si="126"/>
        <v/>
      </c>
      <c r="H5943" s="33">
        <f>IF(ISNUMBER(SEARCH("Group",D5943)),IF(G5943="",E5943,IFERROR(E5943/COUNTIF($G2:$G6000,G5943),E5943)),E5943)</f>
        <v>0</v>
      </c>
      <c r="I5943" s="1" t="str">
        <f>IFERROR(VLOOKUP(C5943,'Clients List'!A:F,6,FALSE),"")</f>
        <v/>
      </c>
    </row>
    <row r="5944" spans="4:9" x14ac:dyDescent="0.45">
      <c r="D5944" t="str">
        <f>IFERROR(VLOOKUP(C5944,'Clients List'!$A:$F,2,FALSE),"")</f>
        <v/>
      </c>
      <c r="F5944" s="1" t="str">
        <f>IF(OR(C5944="",NOT(ISNUMBER(SEARCH("Package",D5944)))),"",VLOOKUP(C5944,'Clients List'!$A:$F,4,FALSE)-SUMIFS($E$2:$E5944,$C$2:$C5944,C5944,$D$2:$D5944,"*Package*"))</f>
        <v/>
      </c>
      <c r="G5944" t="str">
        <f t="shared" si="126"/>
        <v/>
      </c>
      <c r="H5944" s="33">
        <f>IF(ISNUMBER(SEARCH("Group",D5944)),IF(G5944="",E5944,IFERROR(E5944/COUNTIF($G2:$G6000,G5944),E5944)),E5944)</f>
        <v>0</v>
      </c>
      <c r="I5944" s="1" t="str">
        <f>IFERROR(VLOOKUP(C5944,'Clients List'!A:F,6,FALSE),"")</f>
        <v/>
      </c>
    </row>
    <row r="5945" spans="4:9" x14ac:dyDescent="0.45">
      <c r="D5945" t="str">
        <f>IFERROR(VLOOKUP(C5945,'Clients List'!$A:$F,2,FALSE),"")</f>
        <v/>
      </c>
      <c r="F5945" s="1" t="str">
        <f>IF(OR(C5945="",NOT(ISNUMBER(SEARCH("Package",D5945)))),"",VLOOKUP(C5945,'Clients List'!$A:$F,4,FALSE)-SUMIFS($E$2:$E5945,$C$2:$C5945,C5945,$D$2:$D5945,"*Package*"))</f>
        <v/>
      </c>
      <c r="G5945" t="str">
        <f t="shared" si="126"/>
        <v/>
      </c>
      <c r="H5945" s="33">
        <f>IF(ISNUMBER(SEARCH("Group",D5945)),IF(G5945="",E5945,IFERROR(E5945/COUNTIF($G2:$G6000,G5945),E5945)),E5945)</f>
        <v>0</v>
      </c>
      <c r="I5945" s="1" t="str">
        <f>IFERROR(VLOOKUP(C5945,'Clients List'!A:F,6,FALSE),"")</f>
        <v/>
      </c>
    </row>
    <row r="5946" spans="4:9" x14ac:dyDescent="0.45">
      <c r="D5946" t="str">
        <f>IFERROR(VLOOKUP(C5946,'Clients List'!$A:$F,2,FALSE),"")</f>
        <v/>
      </c>
      <c r="F5946" s="1" t="str">
        <f>IF(OR(C5946="",NOT(ISNUMBER(SEARCH("Package",D5946)))),"",VLOOKUP(C5946,'Clients List'!$A:$F,4,FALSE)-SUMIFS($E$2:$E5946,$C$2:$C5946,C5946,$D$2:$D5946,"*Package*"))</f>
        <v/>
      </c>
      <c r="G5946" t="str">
        <f t="shared" si="126"/>
        <v/>
      </c>
      <c r="H5946" s="33">
        <f>IF(ISNUMBER(SEARCH("Group",D5946)),IF(G5946="",E5946,IFERROR(E5946/COUNTIF($G2:$G6000,G5946),E5946)),E5946)</f>
        <v>0</v>
      </c>
      <c r="I5946" s="1" t="str">
        <f>IFERROR(VLOOKUP(C5946,'Clients List'!A:F,6,FALSE),"")</f>
        <v/>
      </c>
    </row>
    <row r="5947" spans="4:9" x14ac:dyDescent="0.45">
      <c r="D5947" t="str">
        <f>IFERROR(VLOOKUP(C5947,'Clients List'!$A:$F,2,FALSE),"")</f>
        <v/>
      </c>
      <c r="F5947" s="1" t="str">
        <f>IF(OR(C5947="",NOT(ISNUMBER(SEARCH("Package",D5947)))),"",VLOOKUP(C5947,'Clients List'!$A:$F,4,FALSE)-SUMIFS($E$2:$E5947,$C$2:$C5947,C5947,$D$2:$D5947,"*Package*"))</f>
        <v/>
      </c>
      <c r="G5947" t="str">
        <f t="shared" si="126"/>
        <v/>
      </c>
      <c r="H5947" s="33">
        <f>IF(ISNUMBER(SEARCH("Group",D5947)),IF(G5947="",E5947,IFERROR(E5947/COUNTIF($G2:$G6000,G5947),E5947)),E5947)</f>
        <v>0</v>
      </c>
      <c r="I5947" s="1" t="str">
        <f>IFERROR(VLOOKUP(C5947,'Clients List'!A:F,6,FALSE),"")</f>
        <v/>
      </c>
    </row>
    <row r="5948" spans="4:9" x14ac:dyDescent="0.45">
      <c r="D5948" t="str">
        <f>IFERROR(VLOOKUP(C5948,'Clients List'!$A:$F,2,FALSE),"")</f>
        <v/>
      </c>
      <c r="F5948" s="1" t="str">
        <f>IF(OR(C5948="",NOT(ISNUMBER(SEARCH("Package",D5948)))),"",VLOOKUP(C5948,'Clients List'!$A:$F,4,FALSE)-SUMIFS($E$2:$E5948,$C$2:$C5948,C5948,$D$2:$D5948,"*Package*"))</f>
        <v/>
      </c>
      <c r="G5948" t="str">
        <f t="shared" si="126"/>
        <v/>
      </c>
      <c r="H5948" s="33">
        <f>IF(ISNUMBER(SEARCH("Group",D5948)),IF(G5948="",E5948,IFERROR(E5948/COUNTIF($G2:$G6000,G5948),E5948)),E5948)</f>
        <v>0</v>
      </c>
      <c r="I5948" s="1" t="str">
        <f>IFERROR(VLOOKUP(C5948,'Clients List'!A:F,6,FALSE),"")</f>
        <v/>
      </c>
    </row>
    <row r="5949" spans="4:9" x14ac:dyDescent="0.45">
      <c r="D5949" t="str">
        <f>IFERROR(VLOOKUP(C5949,'Clients List'!$A:$F,2,FALSE),"")</f>
        <v/>
      </c>
      <c r="F5949" s="1" t="str">
        <f>IF(OR(C5949="",NOT(ISNUMBER(SEARCH("Package",D5949)))),"",VLOOKUP(C5949,'Clients List'!$A:$F,4,FALSE)-SUMIFS($E$2:$E5949,$C$2:$C5949,C5949,$D$2:$D5949,"*Package*"))</f>
        <v/>
      </c>
      <c r="G5949" t="str">
        <f t="shared" si="126"/>
        <v/>
      </c>
      <c r="H5949" s="33">
        <f>IF(ISNUMBER(SEARCH("Group",D5949)),IF(G5949="",E5949,IFERROR(E5949/COUNTIF($G2:$G6000,G5949),E5949)),E5949)</f>
        <v>0</v>
      </c>
      <c r="I5949" s="1" t="str">
        <f>IFERROR(VLOOKUP(C5949,'Clients List'!A:F,6,FALSE),"")</f>
        <v/>
      </c>
    </row>
    <row r="5950" spans="4:9" x14ac:dyDescent="0.45">
      <c r="D5950" t="str">
        <f>IFERROR(VLOOKUP(C5950,'Clients List'!$A:$F,2,FALSE),"")</f>
        <v/>
      </c>
      <c r="F5950" s="1" t="str">
        <f>IF(OR(C5950="",NOT(ISNUMBER(SEARCH("Package",D5950)))),"",VLOOKUP(C5950,'Clients List'!$A:$F,4,FALSE)-SUMIFS($E$2:$E5950,$C$2:$C5950,C5950,$D$2:$D5950,"*Package*"))</f>
        <v/>
      </c>
      <c r="G5950" t="str">
        <f t="shared" si="126"/>
        <v/>
      </c>
      <c r="H5950" s="33">
        <f>IF(ISNUMBER(SEARCH("Group",D5950)),IF(G5950="",E5950,IFERROR(E5950/COUNTIF($G2:$G6000,G5950),E5950)),E5950)</f>
        <v>0</v>
      </c>
      <c r="I5950" s="1" t="str">
        <f>IFERROR(VLOOKUP(C5950,'Clients List'!A:F,6,FALSE),"")</f>
        <v/>
      </c>
    </row>
    <row r="5951" spans="4:9" x14ac:dyDescent="0.45">
      <c r="D5951" t="str">
        <f>IFERROR(VLOOKUP(C5951,'Clients List'!$A:$F,2,FALSE),"")</f>
        <v/>
      </c>
      <c r="F5951" s="1" t="str">
        <f>IF(OR(C5951="",NOT(ISNUMBER(SEARCH("Package",D5951)))),"",VLOOKUP(C5951,'Clients List'!$A:$F,4,FALSE)-SUMIFS($E$2:$E5951,$C$2:$C5951,C5951,$D$2:$D5951,"*Package*"))</f>
        <v/>
      </c>
      <c r="G5951" t="str">
        <f t="shared" si="126"/>
        <v/>
      </c>
      <c r="H5951" s="33">
        <f>IF(ISNUMBER(SEARCH("Group",D5951)),IF(G5951="",E5951,IFERROR(E5951/COUNTIF($G2:$G6000,G5951),E5951)),E5951)</f>
        <v>0</v>
      </c>
      <c r="I5951" s="1" t="str">
        <f>IFERROR(VLOOKUP(C5951,'Clients List'!A:F,6,FALSE),"")</f>
        <v/>
      </c>
    </row>
    <row r="5952" spans="4:9" x14ac:dyDescent="0.45">
      <c r="D5952" t="str">
        <f>IFERROR(VLOOKUP(C5952,'Clients List'!$A:$F,2,FALSE),"")</f>
        <v/>
      </c>
      <c r="F5952" s="1" t="str">
        <f>IF(OR(C5952="",NOT(ISNUMBER(SEARCH("Package",D5952)))),"",VLOOKUP(C5952,'Clients List'!$A:$F,4,FALSE)-SUMIFS($E$2:$E5952,$C$2:$C5952,C5952,$D$2:$D5952,"*Package*"))</f>
        <v/>
      </c>
      <c r="G5952" t="str">
        <f t="shared" si="126"/>
        <v/>
      </c>
      <c r="H5952" s="33">
        <f>IF(ISNUMBER(SEARCH("Group",D5952)),IF(G5952="",E5952,IFERROR(E5952/COUNTIF($G2:$G6000,G5952),E5952)),E5952)</f>
        <v>0</v>
      </c>
      <c r="I5952" s="1" t="str">
        <f>IFERROR(VLOOKUP(C5952,'Clients List'!A:F,6,FALSE),"")</f>
        <v/>
      </c>
    </row>
    <row r="5953" spans="4:9" x14ac:dyDescent="0.45">
      <c r="D5953" t="str">
        <f>IFERROR(VLOOKUP(C5953,'Clients List'!$A:$F,2,FALSE),"")</f>
        <v/>
      </c>
      <c r="F5953" s="1" t="str">
        <f>IF(OR(C5953="",NOT(ISNUMBER(SEARCH("Package",D5953)))),"",VLOOKUP(C5953,'Clients List'!$A:$F,4,FALSE)-SUMIFS($E$2:$E5953,$C$2:$C5953,C5953,$D$2:$D5953,"*Package*"))</f>
        <v/>
      </c>
      <c r="G5953" t="str">
        <f t="shared" si="126"/>
        <v/>
      </c>
      <c r="H5953" s="33">
        <f>IF(ISNUMBER(SEARCH("Group",D5953)),IF(G5953="",E5953,IFERROR(E5953/COUNTIF($G2:$G6000,G5953),E5953)),E5953)</f>
        <v>0</v>
      </c>
      <c r="I5953" s="1" t="str">
        <f>IFERROR(VLOOKUP(C5953,'Clients List'!A:F,6,FALSE),"")</f>
        <v/>
      </c>
    </row>
    <row r="5954" spans="4:9" x14ac:dyDescent="0.45">
      <c r="D5954" t="str">
        <f>IFERROR(VLOOKUP(C5954,'Clients List'!$A:$F,2,FALSE),"")</f>
        <v/>
      </c>
      <c r="F5954" s="1" t="str">
        <f>IF(OR(C5954="",NOT(ISNUMBER(SEARCH("Package",D5954)))),"",VLOOKUP(C5954,'Clients List'!$A:$F,4,FALSE)-SUMIFS($E$2:$E5954,$C$2:$C5954,C5954,$D$2:$D5954,"*Package*"))</f>
        <v/>
      </c>
      <c r="G5954" t="str">
        <f t="shared" si="126"/>
        <v/>
      </c>
      <c r="H5954" s="33">
        <f>IF(ISNUMBER(SEARCH("Group",D5954)),IF(G5954="",E5954,IFERROR(E5954/COUNTIF($G2:$G6000,G5954),E5954)),E5954)</f>
        <v>0</v>
      </c>
      <c r="I5954" s="1" t="str">
        <f>IFERROR(VLOOKUP(C5954,'Clients List'!A:F,6,FALSE),"")</f>
        <v/>
      </c>
    </row>
    <row r="5955" spans="4:9" x14ac:dyDescent="0.45">
      <c r="D5955" t="str">
        <f>IFERROR(VLOOKUP(C5955,'Clients List'!$A:$F,2,FALSE),"")</f>
        <v/>
      </c>
      <c r="F5955" s="1" t="str">
        <f>IF(OR(C5955="",NOT(ISNUMBER(SEARCH("Package",D5955)))),"",VLOOKUP(C5955,'Clients List'!$A:$F,4,FALSE)-SUMIFS($E$2:$E5955,$C$2:$C5955,C5955,$D$2:$D5955,"*Package*"))</f>
        <v/>
      </c>
      <c r="G5955" t="str">
        <f t="shared" si="126"/>
        <v/>
      </c>
      <c r="H5955" s="33">
        <f>IF(ISNUMBER(SEARCH("Group",D5955)),IF(G5955="",E5955,IFERROR(E5955/COUNTIF($G2:$G6000,G5955),E5955)),E5955)</f>
        <v>0</v>
      </c>
      <c r="I5955" s="1" t="str">
        <f>IFERROR(VLOOKUP(C5955,'Clients List'!A:F,6,FALSE),"")</f>
        <v/>
      </c>
    </row>
    <row r="5956" spans="4:9" x14ac:dyDescent="0.45">
      <c r="D5956" t="str">
        <f>IFERROR(VLOOKUP(C5956,'Clients List'!$A:$F,2,FALSE),"")</f>
        <v/>
      </c>
      <c r="F5956" s="1" t="str">
        <f>IF(OR(C5956="",NOT(ISNUMBER(SEARCH("Package",D5956)))),"",VLOOKUP(C5956,'Clients List'!$A:$F,4,FALSE)-SUMIFS($E$2:$E5956,$C$2:$C5956,C5956,$D$2:$D5956,"*Package*"))</f>
        <v/>
      </c>
      <c r="G5956" t="str">
        <f t="shared" si="126"/>
        <v/>
      </c>
      <c r="H5956" s="33">
        <f>IF(ISNUMBER(SEARCH("Group",D5956)),IF(G5956="",E5956,IFERROR(E5956/COUNTIF($G2:$G6000,G5956),E5956)),E5956)</f>
        <v>0</v>
      </c>
      <c r="I5956" s="1" t="str">
        <f>IFERROR(VLOOKUP(C5956,'Clients List'!A:F,6,FALSE),"")</f>
        <v/>
      </c>
    </row>
    <row r="5957" spans="4:9" x14ac:dyDescent="0.45">
      <c r="D5957" t="str">
        <f>IFERROR(VLOOKUP(C5957,'Clients List'!$A:$F,2,FALSE),"")</f>
        <v/>
      </c>
      <c r="F5957" s="1" t="str">
        <f>IF(OR(C5957="",NOT(ISNUMBER(SEARCH("Package",D5957)))),"",VLOOKUP(C5957,'Clients List'!$A:$F,4,FALSE)-SUMIFS($E$2:$E5957,$C$2:$C5957,C5957,$D$2:$D5957,"*Package*"))</f>
        <v/>
      </c>
      <c r="G5957" t="str">
        <f t="shared" si="126"/>
        <v/>
      </c>
      <c r="H5957" s="33">
        <f>IF(ISNUMBER(SEARCH("Group",D5957)),IF(G5957="",E5957,IFERROR(E5957/COUNTIF($G2:$G6000,G5957),E5957)),E5957)</f>
        <v>0</v>
      </c>
      <c r="I5957" s="1" t="str">
        <f>IFERROR(VLOOKUP(C5957,'Clients List'!A:F,6,FALSE),"")</f>
        <v/>
      </c>
    </row>
    <row r="5958" spans="4:9" x14ac:dyDescent="0.45">
      <c r="D5958" t="str">
        <f>IFERROR(VLOOKUP(C5958,'Clients List'!$A:$F,2,FALSE),"")</f>
        <v/>
      </c>
      <c r="F5958" s="1" t="str">
        <f>IF(OR(C5958="",NOT(ISNUMBER(SEARCH("Package",D5958)))),"",VLOOKUP(C5958,'Clients List'!$A:$F,4,FALSE)-SUMIFS($E$2:$E5958,$C$2:$C5958,C5958,$D$2:$D5958,"*Package*"))</f>
        <v/>
      </c>
      <c r="G5958" t="str">
        <f t="shared" si="126"/>
        <v/>
      </c>
      <c r="H5958" s="33">
        <f>IF(ISNUMBER(SEARCH("Group",D5958)),IF(G5958="",E5958,IFERROR(E5958/COUNTIF($G2:$G6000,G5958),E5958)),E5958)</f>
        <v>0</v>
      </c>
      <c r="I5958" s="1" t="str">
        <f>IFERROR(VLOOKUP(C5958,'Clients List'!A:F,6,FALSE),"")</f>
        <v/>
      </c>
    </row>
    <row r="5959" spans="4:9" x14ac:dyDescent="0.45">
      <c r="D5959" t="str">
        <f>IFERROR(VLOOKUP(C5959,'Clients List'!$A:$F,2,FALSE),"")</f>
        <v/>
      </c>
      <c r="F5959" s="1" t="str">
        <f>IF(OR(C5959="",NOT(ISNUMBER(SEARCH("Package",D5959)))),"",VLOOKUP(C5959,'Clients List'!$A:$F,4,FALSE)-SUMIFS($E$2:$E5959,$C$2:$C5959,C5959,$D$2:$D5959,"*Package*"))</f>
        <v/>
      </c>
      <c r="G5959" t="str">
        <f t="shared" si="126"/>
        <v/>
      </c>
      <c r="H5959" s="33">
        <f>IF(ISNUMBER(SEARCH("Group",D5959)),IF(G5959="",E5959,IFERROR(E5959/COUNTIF($G2:$G6000,G5959),E5959)),E5959)</f>
        <v>0</v>
      </c>
      <c r="I5959" s="1" t="str">
        <f>IFERROR(VLOOKUP(C5959,'Clients List'!A:F,6,FALSE),"")</f>
        <v/>
      </c>
    </row>
    <row r="5960" spans="4:9" x14ac:dyDescent="0.45">
      <c r="D5960" t="str">
        <f>IFERROR(VLOOKUP(C5960,'Clients List'!$A:$F,2,FALSE),"")</f>
        <v/>
      </c>
      <c r="F5960" s="1" t="str">
        <f>IF(OR(C5960="",NOT(ISNUMBER(SEARCH("Package",D5960)))),"",VLOOKUP(C5960,'Clients List'!$A:$F,4,FALSE)-SUMIFS($E$2:$E5960,$C$2:$C5960,C5960,$D$2:$D5960,"*Package*"))</f>
        <v/>
      </c>
      <c r="G5960" t="str">
        <f t="shared" si="126"/>
        <v/>
      </c>
      <c r="H5960" s="33">
        <f>IF(ISNUMBER(SEARCH("Group",D5960)),IF(G5960="",E5960,IFERROR(E5960/COUNTIF($G2:$G6000,G5960),E5960)),E5960)</f>
        <v>0</v>
      </c>
      <c r="I5960" s="1" t="str">
        <f>IFERROR(VLOOKUP(C5960,'Clients List'!A:F,6,FALSE),"")</f>
        <v/>
      </c>
    </row>
    <row r="5961" spans="4:9" x14ac:dyDescent="0.45">
      <c r="D5961" t="str">
        <f>IFERROR(VLOOKUP(C5961,'Clients List'!$A:$F,2,FALSE),"")</f>
        <v/>
      </c>
      <c r="F5961" s="1" t="str">
        <f>IF(OR(C5961="",NOT(ISNUMBER(SEARCH("Package",D5961)))),"",VLOOKUP(C5961,'Clients List'!$A:$F,4,FALSE)-SUMIFS($E$2:$E5961,$C$2:$C5961,C5961,$D$2:$D5961,"*Package*"))</f>
        <v/>
      </c>
      <c r="G5961" t="str">
        <f t="shared" si="126"/>
        <v/>
      </c>
      <c r="H5961" s="33">
        <f>IF(ISNUMBER(SEARCH("Group",D5961)),IF(G5961="",E5961,IFERROR(E5961/COUNTIF($G2:$G6000,G5961),E5961)),E5961)</f>
        <v>0</v>
      </c>
      <c r="I5961" s="1" t="str">
        <f>IFERROR(VLOOKUP(C5961,'Clients List'!A:F,6,FALSE),"")</f>
        <v/>
      </c>
    </row>
    <row r="5962" spans="4:9" x14ac:dyDescent="0.45">
      <c r="D5962" t="str">
        <f>IFERROR(VLOOKUP(C5962,'Clients List'!$A:$F,2,FALSE),"")</f>
        <v/>
      </c>
      <c r="F5962" s="1" t="str">
        <f>IF(OR(C5962="",NOT(ISNUMBER(SEARCH("Package",D5962)))),"",VLOOKUP(C5962,'Clients List'!$A:$F,4,FALSE)-SUMIFS($E$2:$E5962,$C$2:$C5962,C5962,$D$2:$D5962,"*Package*"))</f>
        <v/>
      </c>
      <c r="G5962" t="str">
        <f t="shared" si="126"/>
        <v/>
      </c>
      <c r="H5962" s="33">
        <f>IF(ISNUMBER(SEARCH("Group",D5962)),IF(G5962="",E5962,IFERROR(E5962/COUNTIF($G2:$G6000,G5962),E5962)),E5962)</f>
        <v>0</v>
      </c>
      <c r="I5962" s="1" t="str">
        <f>IFERROR(VLOOKUP(C5962,'Clients List'!A:F,6,FALSE),"")</f>
        <v/>
      </c>
    </row>
    <row r="5963" spans="4:9" x14ac:dyDescent="0.45">
      <c r="D5963" t="str">
        <f>IFERROR(VLOOKUP(C5963,'Clients List'!$A:$F,2,FALSE),"")</f>
        <v/>
      </c>
      <c r="F5963" s="1" t="str">
        <f>IF(OR(C5963="",NOT(ISNUMBER(SEARCH("Package",D5963)))),"",VLOOKUP(C5963,'Clients List'!$A:$F,4,FALSE)-SUMIFS($E$2:$E5963,$C$2:$C5963,C5963,$D$2:$D5963,"*Package*"))</f>
        <v/>
      </c>
      <c r="G5963" t="str">
        <f t="shared" si="126"/>
        <v/>
      </c>
      <c r="H5963" s="33">
        <f>IF(ISNUMBER(SEARCH("Group",D5963)),IF(G5963="",E5963,IFERROR(E5963/COUNTIF($G2:$G6000,G5963),E5963)),E5963)</f>
        <v>0</v>
      </c>
      <c r="I5963" s="1" t="str">
        <f>IFERROR(VLOOKUP(C5963,'Clients List'!A:F,6,FALSE),"")</f>
        <v/>
      </c>
    </row>
    <row r="5964" spans="4:9" x14ac:dyDescent="0.45">
      <c r="D5964" t="str">
        <f>IFERROR(VLOOKUP(C5964,'Clients List'!$A:$F,2,FALSE),"")</f>
        <v/>
      </c>
      <c r="F5964" s="1" t="str">
        <f>IF(OR(C5964="",NOT(ISNUMBER(SEARCH("Package",D5964)))),"",VLOOKUP(C5964,'Clients List'!$A:$F,4,FALSE)-SUMIFS($E$2:$E5964,$C$2:$C5964,C5964,$D$2:$D5964,"*Package*"))</f>
        <v/>
      </c>
      <c r="G5964" t="str">
        <f t="shared" si="126"/>
        <v/>
      </c>
      <c r="H5964" s="33">
        <f>IF(ISNUMBER(SEARCH("Group",D5964)),IF(G5964="",E5964,IFERROR(E5964/COUNTIF($G2:$G6000,G5964),E5964)),E5964)</f>
        <v>0</v>
      </c>
      <c r="I5964" s="1" t="str">
        <f>IFERROR(VLOOKUP(C5964,'Clients List'!A:F,6,FALSE),"")</f>
        <v/>
      </c>
    </row>
    <row r="5965" spans="4:9" x14ac:dyDescent="0.45">
      <c r="D5965" t="str">
        <f>IFERROR(VLOOKUP(C5965,'Clients List'!$A:$F,2,FALSE),"")</f>
        <v/>
      </c>
      <c r="F5965" s="1" t="str">
        <f>IF(OR(C5965="",NOT(ISNUMBER(SEARCH("Package",D5965)))),"",VLOOKUP(C5965,'Clients List'!$A:$F,4,FALSE)-SUMIFS($E$2:$E5965,$C$2:$C5965,C5965,$D$2:$D5965,"*Package*"))</f>
        <v/>
      </c>
      <c r="G5965" t="str">
        <f t="shared" si="126"/>
        <v/>
      </c>
      <c r="H5965" s="33">
        <f>IF(ISNUMBER(SEARCH("Group",D5965)),IF(G5965="",E5965,IFERROR(E5965/COUNTIF($G2:$G6000,G5965),E5965)),E5965)</f>
        <v>0</v>
      </c>
      <c r="I5965" s="1" t="str">
        <f>IFERROR(VLOOKUP(C5965,'Clients List'!A:F,6,FALSE),"")</f>
        <v/>
      </c>
    </row>
    <row r="5966" spans="4:9" x14ac:dyDescent="0.45">
      <c r="D5966" t="str">
        <f>IFERROR(VLOOKUP(C5966,'Clients List'!$A:$F,2,FALSE),"")</f>
        <v/>
      </c>
      <c r="F5966" s="1" t="str">
        <f>IF(OR(C5966="",NOT(ISNUMBER(SEARCH("Package",D5966)))),"",VLOOKUP(C5966,'Clients List'!$A:$F,4,FALSE)-SUMIFS($E$2:$E5966,$C$2:$C5966,C5966,$D$2:$D5966,"*Package*"))</f>
        <v/>
      </c>
      <c r="G5966" t="str">
        <f t="shared" si="126"/>
        <v/>
      </c>
      <c r="H5966" s="33">
        <f>IF(ISNUMBER(SEARCH("Group",D5966)),IF(G5966="",E5966,IFERROR(E5966/COUNTIF($G2:$G6000,G5966),E5966)),E5966)</f>
        <v>0</v>
      </c>
      <c r="I5966" s="1" t="str">
        <f>IFERROR(VLOOKUP(C5966,'Clients List'!A:F,6,FALSE),"")</f>
        <v/>
      </c>
    </row>
    <row r="5967" spans="4:9" x14ac:dyDescent="0.45">
      <c r="D5967" t="str">
        <f>IFERROR(VLOOKUP(C5967,'Clients List'!$A:$F,2,FALSE),"")</f>
        <v/>
      </c>
      <c r="F5967" s="1" t="str">
        <f>IF(OR(C5967="",NOT(ISNUMBER(SEARCH("Package",D5967)))),"",VLOOKUP(C5967,'Clients List'!$A:$F,4,FALSE)-SUMIFS($E$2:$E5967,$C$2:$C5967,C5967,$D$2:$D5967,"*Package*"))</f>
        <v/>
      </c>
      <c r="G5967" t="str">
        <f t="shared" si="126"/>
        <v/>
      </c>
      <c r="H5967" s="33">
        <f>IF(ISNUMBER(SEARCH("Group",D5967)),IF(G5967="",E5967,IFERROR(E5967/COUNTIF($G2:$G6000,G5967),E5967)),E5967)</f>
        <v>0</v>
      </c>
      <c r="I5967" s="1" t="str">
        <f>IFERROR(VLOOKUP(C5967,'Clients List'!A:F,6,FALSE),"")</f>
        <v/>
      </c>
    </row>
    <row r="5968" spans="4:9" x14ac:dyDescent="0.45">
      <c r="D5968" t="str">
        <f>IFERROR(VLOOKUP(C5968,'Clients List'!$A:$F,2,FALSE),"")</f>
        <v/>
      </c>
      <c r="F5968" s="1" t="str">
        <f>IF(OR(C5968="",NOT(ISNUMBER(SEARCH("Package",D5968)))),"",VLOOKUP(C5968,'Clients List'!$A:$F,4,FALSE)-SUMIFS($E$2:$E5968,$C$2:$C5968,C5968,$D$2:$D5968,"*Package*"))</f>
        <v/>
      </c>
      <c r="G5968" t="str">
        <f t="shared" si="126"/>
        <v/>
      </c>
      <c r="H5968" s="33">
        <f>IF(ISNUMBER(SEARCH("Group",D5968)),IF(G5968="",E5968,IFERROR(E5968/COUNTIF($G2:$G6000,G5968),E5968)),E5968)</f>
        <v>0</v>
      </c>
      <c r="I5968" s="1" t="str">
        <f>IFERROR(VLOOKUP(C5968,'Clients List'!A:F,6,FALSE),"")</f>
        <v/>
      </c>
    </row>
    <row r="5969" spans="4:9" x14ac:dyDescent="0.45">
      <c r="D5969" t="str">
        <f>IFERROR(VLOOKUP(C5969,'Clients List'!$A:$F,2,FALSE),"")</f>
        <v/>
      </c>
      <c r="F5969" s="1" t="str">
        <f>IF(OR(C5969="",NOT(ISNUMBER(SEARCH("Package",D5969)))),"",VLOOKUP(C5969,'Clients List'!$A:$F,4,FALSE)-SUMIFS($E$2:$E5969,$C$2:$C5969,C5969,$D$2:$D5969,"*Package*"))</f>
        <v/>
      </c>
      <c r="G5969" t="str">
        <f t="shared" si="126"/>
        <v/>
      </c>
      <c r="H5969" s="33">
        <f>IF(ISNUMBER(SEARCH("Group",D5969)),IF(G5969="",E5969,IFERROR(E5969/COUNTIF($G2:$G6000,G5969),E5969)),E5969)</f>
        <v>0</v>
      </c>
      <c r="I5969" s="1" t="str">
        <f>IFERROR(VLOOKUP(C5969,'Clients List'!A:F,6,FALSE),"")</f>
        <v/>
      </c>
    </row>
    <row r="5970" spans="4:9" x14ac:dyDescent="0.45">
      <c r="D5970" t="str">
        <f>IFERROR(VLOOKUP(C5970,'Clients List'!$A:$F,2,FALSE),"")</f>
        <v/>
      </c>
      <c r="F5970" s="1" t="str">
        <f>IF(OR(C5970="",NOT(ISNUMBER(SEARCH("Package",D5970)))),"",VLOOKUP(C5970,'Clients List'!$A:$F,4,FALSE)-SUMIFS($E$2:$E5970,$C$2:$C5970,C5970,$D$2:$D5970,"*Package*"))</f>
        <v/>
      </c>
      <c r="G5970" t="str">
        <f t="shared" si="126"/>
        <v/>
      </c>
      <c r="H5970" s="33">
        <f>IF(ISNUMBER(SEARCH("Group",D5970)),IF(G5970="",E5970,IFERROR(E5970/COUNTIF($G2:$G6000,G5970),E5970)),E5970)</f>
        <v>0</v>
      </c>
      <c r="I5970" s="1" t="str">
        <f>IFERROR(VLOOKUP(C5970,'Clients List'!A:F,6,FALSE),"")</f>
        <v/>
      </c>
    </row>
    <row r="5971" spans="4:9" x14ac:dyDescent="0.45">
      <c r="D5971" t="str">
        <f>IFERROR(VLOOKUP(C5971,'Clients List'!$A:$F,2,FALSE),"")</f>
        <v/>
      </c>
      <c r="F5971" s="1" t="str">
        <f>IF(OR(C5971="",NOT(ISNUMBER(SEARCH("Package",D5971)))),"",VLOOKUP(C5971,'Clients List'!$A:$F,4,FALSE)-SUMIFS($E$2:$E5971,$C$2:$C5971,C5971,$D$2:$D5971,"*Package*"))</f>
        <v/>
      </c>
      <c r="G5971" t="str">
        <f t="shared" si="126"/>
        <v/>
      </c>
      <c r="H5971" s="33">
        <f>IF(ISNUMBER(SEARCH("Group",D5971)),IF(G5971="",E5971,IFERROR(E5971/COUNTIF($G2:$G6000,G5971),E5971)),E5971)</f>
        <v>0</v>
      </c>
      <c r="I5971" s="1" t="str">
        <f>IFERROR(VLOOKUP(C5971,'Clients List'!A:F,6,FALSE),"")</f>
        <v/>
      </c>
    </row>
    <row r="5972" spans="4:9" x14ac:dyDescent="0.45">
      <c r="D5972" t="str">
        <f>IFERROR(VLOOKUP(C5972,'Clients List'!$A:$F,2,FALSE),"")</f>
        <v/>
      </c>
      <c r="F5972" s="1" t="str">
        <f>IF(OR(C5972="",NOT(ISNUMBER(SEARCH("Package",D5972)))),"",VLOOKUP(C5972,'Clients List'!$A:$F,4,FALSE)-SUMIFS($E$2:$E5972,$C$2:$C5972,C5972,$D$2:$D5972,"*Package*"))</f>
        <v/>
      </c>
      <c r="G5972" t="str">
        <f t="shared" si="126"/>
        <v/>
      </c>
      <c r="H5972" s="33">
        <f>IF(ISNUMBER(SEARCH("Group",D5972)),IF(G5972="",E5972,IFERROR(E5972/COUNTIF($G2:$G6000,G5972),E5972)),E5972)</f>
        <v>0</v>
      </c>
      <c r="I5972" s="1" t="str">
        <f>IFERROR(VLOOKUP(C5972,'Clients List'!A:F,6,FALSE),"")</f>
        <v/>
      </c>
    </row>
    <row r="5973" spans="4:9" x14ac:dyDescent="0.45">
      <c r="D5973" t="str">
        <f>IFERROR(VLOOKUP(C5973,'Clients List'!$A:$F,2,FALSE),"")</f>
        <v/>
      </c>
      <c r="F5973" s="1" t="str">
        <f>IF(OR(C5973="",NOT(ISNUMBER(SEARCH("Package",D5973)))),"",VLOOKUP(C5973,'Clients List'!$A:$F,4,FALSE)-SUMIFS($E$2:$E5973,$C$2:$C5973,C5973,$D$2:$D5973,"*Package*"))</f>
        <v/>
      </c>
      <c r="G5973" t="str">
        <f t="shared" si="126"/>
        <v/>
      </c>
      <c r="H5973" s="33">
        <f>IF(ISNUMBER(SEARCH("Group",D5973)),IF(G5973="",E5973,IFERROR(E5973/COUNTIF($G2:$G6000,G5973),E5973)),E5973)</f>
        <v>0</v>
      </c>
      <c r="I5973" s="1" t="str">
        <f>IFERROR(VLOOKUP(C5973,'Clients List'!A:F,6,FALSE),"")</f>
        <v/>
      </c>
    </row>
    <row r="5974" spans="4:9" x14ac:dyDescent="0.45">
      <c r="D5974" t="str">
        <f>IFERROR(VLOOKUP(C5974,'Clients List'!$A:$F,2,FALSE),"")</f>
        <v/>
      </c>
      <c r="F5974" s="1" t="str">
        <f>IF(OR(C5974="",NOT(ISNUMBER(SEARCH("Package",D5974)))),"",VLOOKUP(C5974,'Clients List'!$A:$F,4,FALSE)-SUMIFS($E$2:$E5974,$C$2:$C5974,C5974,$D$2:$D5974,"*Package*"))</f>
        <v/>
      </c>
      <c r="G5974" t="str">
        <f t="shared" si="126"/>
        <v/>
      </c>
      <c r="H5974" s="33">
        <f>IF(ISNUMBER(SEARCH("Group",D5974)),IF(G5974="",E5974,IFERROR(E5974/COUNTIF($G2:$G6000,G5974),E5974)),E5974)</f>
        <v>0</v>
      </c>
      <c r="I5974" s="1" t="str">
        <f>IFERROR(VLOOKUP(C5974,'Clients List'!A:F,6,FALSE),"")</f>
        <v/>
      </c>
    </row>
    <row r="5975" spans="4:9" x14ac:dyDescent="0.45">
      <c r="D5975" t="str">
        <f>IFERROR(VLOOKUP(C5975,'Clients List'!$A:$F,2,FALSE),"")</f>
        <v/>
      </c>
      <c r="F5975" s="1" t="str">
        <f>IF(OR(C5975="",NOT(ISNUMBER(SEARCH("Package",D5975)))),"",VLOOKUP(C5975,'Clients List'!$A:$F,4,FALSE)-SUMIFS($E$2:$E5975,$C$2:$C5975,C5975,$D$2:$D5975,"*Package*"))</f>
        <v/>
      </c>
      <c r="G5975" t="str">
        <f t="shared" si="126"/>
        <v/>
      </c>
      <c r="H5975" s="33">
        <f>IF(ISNUMBER(SEARCH("Group",D5975)),IF(G5975="",E5975,IFERROR(E5975/COUNTIF($G2:$G6000,G5975),E5975)),E5975)</f>
        <v>0</v>
      </c>
      <c r="I5975" s="1" t="str">
        <f>IFERROR(VLOOKUP(C5975,'Clients List'!A:F,6,FALSE),"")</f>
        <v/>
      </c>
    </row>
    <row r="5976" spans="4:9" x14ac:dyDescent="0.45">
      <c r="D5976" t="str">
        <f>IFERROR(VLOOKUP(C5976,'Clients List'!$A:$F,2,FALSE),"")</f>
        <v/>
      </c>
      <c r="F5976" s="1" t="str">
        <f>IF(OR(C5976="",NOT(ISNUMBER(SEARCH("Package",D5976)))),"",VLOOKUP(C5976,'Clients List'!$A:$F,4,FALSE)-SUMIFS($E$2:$E5976,$C$2:$C5976,C5976,$D$2:$D5976,"*Package*"))</f>
        <v/>
      </c>
      <c r="G5976" t="str">
        <f t="shared" si="126"/>
        <v/>
      </c>
      <c r="H5976" s="33">
        <f>IF(ISNUMBER(SEARCH("Group",D5976)),IF(G5976="",E5976,IFERROR(E5976/COUNTIF($G2:$G6000,G5976),E5976)),E5976)</f>
        <v>0</v>
      </c>
      <c r="I5976" s="1" t="str">
        <f>IFERROR(VLOOKUP(C5976,'Clients List'!A:F,6,FALSE),"")</f>
        <v/>
      </c>
    </row>
    <row r="5977" spans="4:9" x14ac:dyDescent="0.45">
      <c r="D5977" t="str">
        <f>IFERROR(VLOOKUP(C5977,'Clients List'!$A:$F,2,FALSE),"")</f>
        <v/>
      </c>
      <c r="F5977" s="1" t="str">
        <f>IF(OR(C5977="",NOT(ISNUMBER(SEARCH("Package",D5977)))),"",VLOOKUP(C5977,'Clients List'!$A:$F,4,FALSE)-SUMIFS($E$2:$E5977,$C$2:$C5977,C5977,$D$2:$D5977,"*Package*"))</f>
        <v/>
      </c>
      <c r="G5977" t="str">
        <f t="shared" si="126"/>
        <v/>
      </c>
      <c r="H5977" s="33">
        <f>IF(ISNUMBER(SEARCH("Group",D5977)),IF(G5977="",E5977,IFERROR(E5977/COUNTIF($G2:$G6000,G5977),E5977)),E5977)</f>
        <v>0</v>
      </c>
      <c r="I5977" s="1" t="str">
        <f>IFERROR(VLOOKUP(C5977,'Clients List'!A:F,6,FALSE),"")</f>
        <v/>
      </c>
    </row>
    <row r="5978" spans="4:9" x14ac:dyDescent="0.45">
      <c r="D5978" t="str">
        <f>IFERROR(VLOOKUP(C5978,'Clients List'!$A:$F,2,FALSE),"")</f>
        <v/>
      </c>
      <c r="F5978" s="1" t="str">
        <f>IF(OR(C5978="",NOT(ISNUMBER(SEARCH("Package",D5978)))),"",VLOOKUP(C5978,'Clients List'!$A:$F,4,FALSE)-SUMIFS($E$2:$E5978,$C$2:$C5978,C5978,$D$2:$D5978,"*Package*"))</f>
        <v/>
      </c>
      <c r="G5978" t="str">
        <f t="shared" si="126"/>
        <v/>
      </c>
      <c r="H5978" s="33">
        <f>IF(ISNUMBER(SEARCH("Group",D5978)),IF(G5978="",E5978,IFERROR(E5978/COUNTIF($G2:$G6000,G5978),E5978)),E5978)</f>
        <v>0</v>
      </c>
      <c r="I5978" s="1" t="str">
        <f>IFERROR(VLOOKUP(C5978,'Clients List'!A:F,6,FALSE),"")</f>
        <v/>
      </c>
    </row>
    <row r="5979" spans="4:9" x14ac:dyDescent="0.45">
      <c r="D5979" t="str">
        <f>IFERROR(VLOOKUP(C5979,'Clients List'!$A:$F,2,FALSE),"")</f>
        <v/>
      </c>
      <c r="F5979" s="1" t="str">
        <f>IF(OR(C5979="",NOT(ISNUMBER(SEARCH("Package",D5979)))),"",VLOOKUP(C5979,'Clients List'!$A:$F,4,FALSE)-SUMIFS($E$2:$E5979,$C$2:$C5979,C5979,$D$2:$D5979,"*Package*"))</f>
        <v/>
      </c>
      <c r="G5979" t="str">
        <f t="shared" si="126"/>
        <v/>
      </c>
      <c r="H5979" s="33">
        <f>IF(ISNUMBER(SEARCH("Group",D5979)),IF(G5979="",E5979,IFERROR(E5979/COUNTIF($G2:$G6000,G5979),E5979)),E5979)</f>
        <v>0</v>
      </c>
      <c r="I5979" s="1" t="str">
        <f>IFERROR(VLOOKUP(C5979,'Clients List'!A:F,6,FALSE),"")</f>
        <v/>
      </c>
    </row>
    <row r="5980" spans="4:9" x14ac:dyDescent="0.45">
      <c r="D5980" t="str">
        <f>IFERROR(VLOOKUP(C5980,'Clients List'!$A:$F,2,FALSE),"")</f>
        <v/>
      </c>
      <c r="F5980" s="1" t="str">
        <f>IF(OR(C5980="",NOT(ISNUMBER(SEARCH("Package",D5980)))),"",VLOOKUP(C5980,'Clients List'!$A:$F,4,FALSE)-SUMIFS($E$2:$E5980,$C$2:$C5980,C5980,$D$2:$D5980,"*Package*"))</f>
        <v/>
      </c>
      <c r="G5980" t="str">
        <f t="shared" si="126"/>
        <v/>
      </c>
      <c r="H5980" s="33">
        <f>IF(ISNUMBER(SEARCH("Group",D5980)),IF(G5980="",E5980,IFERROR(E5980/COUNTIF($G2:$G6000,G5980),E5980)),E5980)</f>
        <v>0</v>
      </c>
      <c r="I5980" s="1" t="str">
        <f>IFERROR(VLOOKUP(C5980,'Clients List'!A:F,6,FALSE),"")</f>
        <v/>
      </c>
    </row>
    <row r="5981" spans="4:9" x14ac:dyDescent="0.45">
      <c r="D5981" t="str">
        <f>IFERROR(VLOOKUP(C5981,'Clients List'!$A:$F,2,FALSE),"")</f>
        <v/>
      </c>
      <c r="F5981" s="1" t="str">
        <f>IF(OR(C5981="",NOT(ISNUMBER(SEARCH("Package",D5981)))),"",VLOOKUP(C5981,'Clients List'!$A:$F,4,FALSE)-SUMIFS($E$2:$E5981,$C$2:$C5981,C5981,$D$2:$D5981,"*Package*"))</f>
        <v/>
      </c>
      <c r="G5981" t="str">
        <f t="shared" si="126"/>
        <v/>
      </c>
      <c r="H5981" s="33">
        <f>IF(ISNUMBER(SEARCH("Group",D5981)),IF(G5981="",E5981,IFERROR(E5981/COUNTIF($G2:$G6000,G5981),E5981)),E5981)</f>
        <v>0</v>
      </c>
      <c r="I5981" s="1" t="str">
        <f>IFERROR(VLOOKUP(C5981,'Clients List'!A:F,6,FALSE),"")</f>
        <v/>
      </c>
    </row>
    <row r="5982" spans="4:9" x14ac:dyDescent="0.45">
      <c r="D5982" t="str">
        <f>IFERROR(VLOOKUP(C5982,'Clients List'!$A:$F,2,FALSE),"")</f>
        <v/>
      </c>
      <c r="F5982" s="1" t="str">
        <f>IF(OR(C5982="",NOT(ISNUMBER(SEARCH("Package",D5982)))),"",VLOOKUP(C5982,'Clients List'!$A:$F,4,FALSE)-SUMIFS($E$2:$E5982,$C$2:$C5982,C5982,$D$2:$D5982,"*Package*"))</f>
        <v/>
      </c>
      <c r="G5982" t="str">
        <f t="shared" si="126"/>
        <v/>
      </c>
      <c r="H5982" s="33">
        <f>IF(ISNUMBER(SEARCH("Group",D5982)),IF(G5982="",E5982,IFERROR(E5982/COUNTIF($G2:$G6000,G5982),E5982)),E5982)</f>
        <v>0</v>
      </c>
      <c r="I5982" s="1" t="str">
        <f>IFERROR(VLOOKUP(C5982,'Clients List'!A:F,6,FALSE),"")</f>
        <v/>
      </c>
    </row>
    <row r="5983" spans="4:9" x14ac:dyDescent="0.45">
      <c r="D5983" t="str">
        <f>IFERROR(VLOOKUP(C5983,'Clients List'!$A:$F,2,FALSE),"")</f>
        <v/>
      </c>
      <c r="F5983" s="1" t="str">
        <f>IF(OR(C5983="",NOT(ISNUMBER(SEARCH("Package",D5983)))),"",VLOOKUP(C5983,'Clients List'!$A:$F,4,FALSE)-SUMIFS($E$2:$E5983,$C$2:$C5983,C5983,$D$2:$D5983,"*Package*"))</f>
        <v/>
      </c>
      <c r="G5983" t="str">
        <f t="shared" si="126"/>
        <v/>
      </c>
      <c r="H5983" s="33">
        <f>IF(ISNUMBER(SEARCH("Group",D5983)),IF(G5983="",E5983,IFERROR(E5983/COUNTIF($G2:$G6000,G5983),E5983)),E5983)</f>
        <v>0</v>
      </c>
      <c r="I5983" s="1" t="str">
        <f>IFERROR(VLOOKUP(C5983,'Clients List'!A:F,6,FALSE),"")</f>
        <v/>
      </c>
    </row>
    <row r="5984" spans="4:9" x14ac:dyDescent="0.45">
      <c r="D5984" t="str">
        <f>IFERROR(VLOOKUP(C5984,'Clients List'!$A:$F,2,FALSE),"")</f>
        <v/>
      </c>
      <c r="F5984" s="1" t="str">
        <f>IF(OR(C5984="",NOT(ISNUMBER(SEARCH("Package",D5984)))),"",VLOOKUP(C5984,'Clients List'!$A:$F,4,FALSE)-SUMIFS($E$2:$E5984,$C$2:$C5984,C5984,$D$2:$D5984,"*Package*"))</f>
        <v/>
      </c>
      <c r="G5984" t="str">
        <f t="shared" si="126"/>
        <v/>
      </c>
      <c r="H5984" s="33">
        <f>IF(ISNUMBER(SEARCH("Group",D5984)),IF(G5984="",E5984,IFERROR(E5984/COUNTIF($G2:$G6000,G5984),E5984)),E5984)</f>
        <v>0</v>
      </c>
      <c r="I5984" s="1" t="str">
        <f>IFERROR(VLOOKUP(C5984,'Clients List'!A:F,6,FALSE),"")</f>
        <v/>
      </c>
    </row>
    <row r="5985" spans="4:9" x14ac:dyDescent="0.45">
      <c r="D5985" t="str">
        <f>IFERROR(VLOOKUP(C5985,'Clients List'!$A:$F,2,FALSE),"")</f>
        <v/>
      </c>
      <c r="F5985" s="1" t="str">
        <f>IF(OR(C5985="",NOT(ISNUMBER(SEARCH("Package",D5985)))),"",VLOOKUP(C5985,'Clients List'!$A:$F,4,FALSE)-SUMIFS($E$2:$E5985,$C$2:$C5985,C5985,$D$2:$D5985,"*Package*"))</f>
        <v/>
      </c>
      <c r="G5985" t="str">
        <f t="shared" si="126"/>
        <v/>
      </c>
      <c r="H5985" s="33">
        <f>IF(ISNUMBER(SEARCH("Group",D5985)),IF(G5985="",E5985,IFERROR(E5985/COUNTIF($G2:$G6000,G5985),E5985)),E5985)</f>
        <v>0</v>
      </c>
      <c r="I5985" s="1" t="str">
        <f>IFERROR(VLOOKUP(C5985,'Clients List'!A:F,6,FALSE),"")</f>
        <v/>
      </c>
    </row>
    <row r="5986" spans="4:9" x14ac:dyDescent="0.45">
      <c r="D5986" t="str">
        <f>IFERROR(VLOOKUP(C5986,'Clients List'!$A:$F,2,FALSE),"")</f>
        <v/>
      </c>
      <c r="F5986" s="1" t="str">
        <f>IF(OR(C5986="",NOT(ISNUMBER(SEARCH("Package",D5986)))),"",VLOOKUP(C5986,'Clients List'!$A:$F,4,FALSE)-SUMIFS($E$2:$E5986,$C$2:$C5986,C5986,$D$2:$D5986,"*Package*"))</f>
        <v/>
      </c>
      <c r="G5986" t="str">
        <f t="shared" si="126"/>
        <v/>
      </c>
      <c r="H5986" s="33">
        <f>IF(ISNUMBER(SEARCH("Group",D5986)),IF(G5986="",E5986,IFERROR(E5986/COUNTIF($G2:$G6000,G5986),E5986)),E5986)</f>
        <v>0</v>
      </c>
      <c r="I5986" s="1" t="str">
        <f>IFERROR(VLOOKUP(C5986,'Clients List'!A:F,6,FALSE),"")</f>
        <v/>
      </c>
    </row>
    <row r="5987" spans="4:9" x14ac:dyDescent="0.45">
      <c r="D5987" t="str">
        <f>IFERROR(VLOOKUP(C5987,'Clients List'!$A:$F,2,FALSE),"")</f>
        <v/>
      </c>
      <c r="F5987" s="1" t="str">
        <f>IF(OR(C5987="",NOT(ISNUMBER(SEARCH("Package",D5987)))),"",VLOOKUP(C5987,'Clients List'!$A:$F,4,FALSE)-SUMIFS($E$2:$E5987,$C$2:$C5987,C5987,$D$2:$D5987,"*Package*"))</f>
        <v/>
      </c>
      <c r="G5987" t="str">
        <f t="shared" si="126"/>
        <v/>
      </c>
      <c r="H5987" s="33">
        <f>IF(ISNUMBER(SEARCH("Group",D5987)),IF(G5987="",E5987,IFERROR(E5987/COUNTIF($G2:$G6000,G5987),E5987)),E5987)</f>
        <v>0</v>
      </c>
      <c r="I5987" s="1" t="str">
        <f>IFERROR(VLOOKUP(C5987,'Clients List'!A:F,6,FALSE),"")</f>
        <v/>
      </c>
    </row>
    <row r="5988" spans="4:9" x14ac:dyDescent="0.45">
      <c r="D5988" t="str">
        <f>IFERROR(VLOOKUP(C5988,'Clients List'!$A:$F,2,FALSE),"")</f>
        <v/>
      </c>
      <c r="F5988" s="1" t="str">
        <f>IF(OR(C5988="",NOT(ISNUMBER(SEARCH("Package",D5988)))),"",VLOOKUP(C5988,'Clients List'!$A:$F,4,FALSE)-SUMIFS($E$2:$E5988,$C$2:$C5988,C5988,$D$2:$D5988,"*Package*"))</f>
        <v/>
      </c>
      <c r="G5988" t="str">
        <f t="shared" si="126"/>
        <v/>
      </c>
      <c r="H5988" s="33">
        <f>IF(ISNUMBER(SEARCH("Group",D5988)),IF(G5988="",E5988,IFERROR(E5988/COUNTIF($G2:$G6000,G5988),E5988)),E5988)</f>
        <v>0</v>
      </c>
      <c r="I5988" s="1" t="str">
        <f>IFERROR(VLOOKUP(C5988,'Clients List'!A:F,6,FALSE),"")</f>
        <v/>
      </c>
    </row>
    <row r="5989" spans="4:9" x14ac:dyDescent="0.45">
      <c r="D5989" t="str">
        <f>IFERROR(VLOOKUP(C5989,'Clients List'!$A:$F,2,FALSE),"")</f>
        <v/>
      </c>
      <c r="F5989" s="1" t="str">
        <f>IF(OR(C5989="",NOT(ISNUMBER(SEARCH("Package",D5989)))),"",VLOOKUP(C5989,'Clients List'!$A:$F,4,FALSE)-SUMIFS($E$2:$E5989,$C$2:$C5989,C5989,$D$2:$D5989,"*Package*"))</f>
        <v/>
      </c>
      <c r="G5989" t="str">
        <f t="shared" si="126"/>
        <v/>
      </c>
      <c r="H5989" s="33">
        <f>IF(ISNUMBER(SEARCH("Group",D5989)),IF(G5989="",E5989,IFERROR(E5989/COUNTIF($G2:$G6000,G5989),E5989)),E5989)</f>
        <v>0</v>
      </c>
      <c r="I5989" s="1" t="str">
        <f>IFERROR(VLOOKUP(C5989,'Clients List'!A:F,6,FALSE),"")</f>
        <v/>
      </c>
    </row>
    <row r="5990" spans="4:9" x14ac:dyDescent="0.45">
      <c r="D5990" t="str">
        <f>IFERROR(VLOOKUP(C5990,'Clients List'!$A:$F,2,FALSE),"")</f>
        <v/>
      </c>
      <c r="F5990" s="1" t="str">
        <f>IF(OR(C5990="",NOT(ISNUMBER(SEARCH("Package",D5990)))),"",VLOOKUP(C5990,'Clients List'!$A:$F,4,FALSE)-SUMIFS($E$2:$E5990,$C$2:$C5990,C5990,$D$2:$D5990,"*Package*"))</f>
        <v/>
      </c>
      <c r="G5990" t="str">
        <f t="shared" si="126"/>
        <v/>
      </c>
      <c r="H5990" s="33">
        <f>IF(ISNUMBER(SEARCH("Group",D5990)),IF(G5990="",E5990,IFERROR(E5990/COUNTIF($G2:$G6000,G5990),E5990)),E5990)</f>
        <v>0</v>
      </c>
      <c r="I5990" s="1" t="str">
        <f>IFERROR(VLOOKUP(C5990,'Clients List'!A:F,6,FALSE),"")</f>
        <v/>
      </c>
    </row>
    <row r="5991" spans="4:9" x14ac:dyDescent="0.45">
      <c r="D5991" t="str">
        <f>IFERROR(VLOOKUP(C5991,'Clients List'!$A:$F,2,FALSE),"")</f>
        <v/>
      </c>
      <c r="F5991" s="1" t="str">
        <f>IF(OR(C5991="",NOT(ISNUMBER(SEARCH("Package",D5991)))),"",VLOOKUP(C5991,'Clients List'!$A:$F,4,FALSE)-SUMIFS($E$2:$E5991,$C$2:$C5991,C5991,$D$2:$D5991,"*Package*"))</f>
        <v/>
      </c>
      <c r="G5991" t="str">
        <f t="shared" si="126"/>
        <v/>
      </c>
      <c r="H5991" s="33">
        <f>IF(ISNUMBER(SEARCH("Group",D5991)),IF(G5991="",E5991,IFERROR(E5991/COUNTIF($G2:$G6000,G5991),E5991)),E5991)</f>
        <v>0</v>
      </c>
      <c r="I5991" s="1" t="str">
        <f>IFERROR(VLOOKUP(C5991,'Clients List'!A:F,6,FALSE),"")</f>
        <v/>
      </c>
    </row>
    <row r="5992" spans="4:9" x14ac:dyDescent="0.45">
      <c r="D5992" t="str">
        <f>IFERROR(VLOOKUP(C5992,'Clients List'!$A:$F,2,FALSE),"")</f>
        <v/>
      </c>
      <c r="F5992" s="1" t="str">
        <f>IF(OR(C5992="",NOT(ISNUMBER(SEARCH("Package",D5992)))),"",VLOOKUP(C5992,'Clients List'!$A:$F,4,FALSE)-SUMIFS($E$2:$E5992,$C$2:$C5992,C5992,$D$2:$D5992,"*Package*"))</f>
        <v/>
      </c>
      <c r="G5992" t="str">
        <f t="shared" si="126"/>
        <v/>
      </c>
      <c r="H5992" s="33">
        <f>IF(ISNUMBER(SEARCH("Group",D5992)),IF(G5992="",E5992,IFERROR(E5992/COUNTIF($G2:$G6000,G5992),E5992)),E5992)</f>
        <v>0</v>
      </c>
      <c r="I5992" s="1" t="str">
        <f>IFERROR(VLOOKUP(C5992,'Clients List'!A:F,6,FALSE),"")</f>
        <v/>
      </c>
    </row>
    <row r="5993" spans="4:9" x14ac:dyDescent="0.45">
      <c r="D5993" t="str">
        <f>IFERROR(VLOOKUP(C5993,'Clients List'!$A:$F,2,FALSE),"")</f>
        <v/>
      </c>
      <c r="F5993" s="1" t="str">
        <f>IF(OR(C5993="",NOT(ISNUMBER(SEARCH("Package",D5993)))),"",VLOOKUP(C5993,'Clients List'!$A:$F,4,FALSE)-SUMIFS($E$2:$E5993,$C$2:$C5993,C5993,$D$2:$D5993,"*Package*"))</f>
        <v/>
      </c>
      <c r="G5993" t="str">
        <f t="shared" si="126"/>
        <v/>
      </c>
      <c r="H5993" s="33">
        <f>IF(ISNUMBER(SEARCH("Group",D5993)),IF(G5993="",E5993,IFERROR(E5993/COUNTIF($G2:$G6000,G5993),E5993)),E5993)</f>
        <v>0</v>
      </c>
      <c r="I5993" s="1" t="str">
        <f>IFERROR(VLOOKUP(C5993,'Clients List'!A:F,6,FALSE),"")</f>
        <v/>
      </c>
    </row>
    <row r="5994" spans="4:9" x14ac:dyDescent="0.45">
      <c r="D5994" t="str">
        <f>IFERROR(VLOOKUP(C5994,'Clients List'!$A:$F,2,FALSE),"")</f>
        <v/>
      </c>
      <c r="F5994" s="1" t="str">
        <f>IF(OR(C5994="",NOT(ISNUMBER(SEARCH("Package",D5994)))),"",VLOOKUP(C5994,'Clients List'!$A:$F,4,FALSE)-SUMIFS($E$2:$E5994,$C$2:$C5994,C5994,$D$2:$D5994,"*Package*"))</f>
        <v/>
      </c>
      <c r="G5994" t="str">
        <f t="shared" si="126"/>
        <v/>
      </c>
      <c r="H5994" s="33">
        <f>IF(ISNUMBER(SEARCH("Group",D5994)),IF(G5994="",E5994,IFERROR(E5994/COUNTIF($G2:$G6000,G5994),E5994)),E5994)</f>
        <v>0</v>
      </c>
      <c r="I5994" s="1" t="str">
        <f>IFERROR(VLOOKUP(C5994,'Clients List'!A:F,6,FALSE),"")</f>
        <v/>
      </c>
    </row>
    <row r="5995" spans="4:9" x14ac:dyDescent="0.45">
      <c r="D5995" t="str">
        <f>IFERROR(VLOOKUP(C5995,'Clients List'!$A:$F,2,FALSE),"")</f>
        <v/>
      </c>
      <c r="F5995" s="1" t="str">
        <f>IF(OR(C5995="",NOT(ISNUMBER(SEARCH("Package",D5995)))),"",VLOOKUP(C5995,'Clients List'!$A:$F,4,FALSE)-SUMIFS($E$2:$E5995,$C$2:$C5995,C5995,$D$2:$D5995,"*Package*"))</f>
        <v/>
      </c>
      <c r="G5995" t="str">
        <f t="shared" si="126"/>
        <v/>
      </c>
      <c r="H5995" s="33">
        <f>IF(ISNUMBER(SEARCH("Group",D5995)),IF(G5995="",E5995,IFERROR(E5995/COUNTIF($G2:$G6000,G5995),E5995)),E5995)</f>
        <v>0</v>
      </c>
      <c r="I5995" s="1" t="str">
        <f>IFERROR(VLOOKUP(C5995,'Clients List'!A:F,6,FALSE),"")</f>
        <v/>
      </c>
    </row>
    <row r="5996" spans="4:9" x14ac:dyDescent="0.45">
      <c r="D5996" t="str">
        <f>IFERROR(VLOOKUP(C5996,'Clients List'!$A:$F,2,FALSE),"")</f>
        <v/>
      </c>
      <c r="F5996" s="1" t="str">
        <f>IF(OR(C5996="",NOT(ISNUMBER(SEARCH("Package",D5996)))),"",VLOOKUP(C5996,'Clients List'!$A:$F,4,FALSE)-SUMIFS($E$2:$E5996,$C$2:$C5996,C5996,$D$2:$D5996,"*Package*"))</f>
        <v/>
      </c>
      <c r="G5996" t="str">
        <f t="shared" si="126"/>
        <v/>
      </c>
      <c r="H5996" s="33">
        <f>IF(ISNUMBER(SEARCH("Group",D5996)),IF(G5996="",E5996,IFERROR(E5996/COUNTIF($G2:$G6000,G5996),E5996)),E5996)</f>
        <v>0</v>
      </c>
      <c r="I5996" s="1" t="str">
        <f>IFERROR(VLOOKUP(C5996,'Clients List'!A:F,6,FALSE),"")</f>
        <v/>
      </c>
    </row>
    <row r="5997" spans="4:9" x14ac:dyDescent="0.45">
      <c r="D5997" t="str">
        <f>IFERROR(VLOOKUP(C5997,'Clients List'!$A:$F,2,FALSE),"")</f>
        <v/>
      </c>
      <c r="F5997" s="1" t="str">
        <f>IF(OR(C5997="",NOT(ISNUMBER(SEARCH("Package",D5997)))),"",VLOOKUP(C5997,'Clients List'!$A:$F,4,FALSE)-SUMIFS($E$2:$E5997,$C$2:$C5997,C5997,$D$2:$D5997,"*Package*"))</f>
        <v/>
      </c>
      <c r="G5997" t="str">
        <f t="shared" si="126"/>
        <v/>
      </c>
      <c r="H5997" s="33">
        <f>IF(ISNUMBER(SEARCH("Group",D5997)),IF(G5997="",E5997,IFERROR(E5997/COUNTIF($G2:$G6000,G5997),E5997)),E5997)</f>
        <v>0</v>
      </c>
      <c r="I5997" s="1" t="str">
        <f>IFERROR(VLOOKUP(C5997,'Clients List'!A:F,6,FALSE),"")</f>
        <v/>
      </c>
    </row>
    <row r="5998" spans="4:9" x14ac:dyDescent="0.45">
      <c r="D5998" t="str">
        <f>IFERROR(VLOOKUP(C5998,'Clients List'!$A:$F,2,FALSE),"")</f>
        <v/>
      </c>
      <c r="F5998" s="1" t="str">
        <f>IF(OR(C5998="",NOT(ISNUMBER(SEARCH("Package",D5998)))),"",VLOOKUP(C5998,'Clients List'!$A:$F,4,FALSE)-SUMIFS($E$2:$E5998,$C$2:$C5998,C5998,$D$2:$D5998,"*Package*"))</f>
        <v/>
      </c>
      <c r="G5998" t="str">
        <f t="shared" si="126"/>
        <v/>
      </c>
      <c r="H5998" s="33">
        <f>IF(ISNUMBER(SEARCH("Group",D5998)),IF(G5998="",E5998,IFERROR(E5998/COUNTIF($G2:$G6000,G5998),E5998)),E5998)</f>
        <v>0</v>
      </c>
      <c r="I5998" s="1" t="str">
        <f>IFERROR(VLOOKUP(C5998,'Clients List'!A:F,6,FALSE),"")</f>
        <v/>
      </c>
    </row>
    <row r="5999" spans="4:9" x14ac:dyDescent="0.45">
      <c r="D5999" t="str">
        <f>IFERROR(VLOOKUP(C5999,'Clients List'!$A:$F,2,FALSE),"")</f>
        <v/>
      </c>
      <c r="F5999" s="1" t="str">
        <f>IF(OR(C5999="",NOT(ISNUMBER(SEARCH("Package",D5999)))),"",VLOOKUP(C5999,'Clients List'!$A:$F,4,FALSE)-SUMIFS($E$2:$E5999,$C$2:$C5999,C5999,$D$2:$D5999,"*Package*"))</f>
        <v/>
      </c>
      <c r="G5999" t="str">
        <f t="shared" si="126"/>
        <v/>
      </c>
      <c r="H5999" s="33">
        <f>IF(ISNUMBER(SEARCH("Group",D5999)),IF(G5999="",E5999,IFERROR(E5999/COUNTIF($G2:$G6000,G5999),E5999)),E5999)</f>
        <v>0</v>
      </c>
      <c r="I5999" s="1" t="str">
        <f>IFERROR(VLOOKUP(C5999,'Clients List'!A:F,6,FALSE),"")</f>
        <v/>
      </c>
    </row>
    <row r="6000" spans="4:9" x14ac:dyDescent="0.45">
      <c r="D6000" t="str">
        <f>IFERROR(VLOOKUP(C6000,'Clients List'!$A:$F,2,FALSE),"")</f>
        <v/>
      </c>
      <c r="F6000" t="str">
        <f>IF(OR(C6000="",NOT(ISNUMBER(SEARCH("Package",D6000)))),"",VLOOKUP(C6000,'Clients List'!$A:$F,4,FALSE)-SUMIFS($E$2:$E6000,$C$2:$C6000,C6000,$D$2:$D6000,"*Package*"))</f>
        <v/>
      </c>
      <c r="G6000" t="str">
        <f t="shared" si="126"/>
        <v/>
      </c>
      <c r="H6000" s="33">
        <f>IF(ISNUMBER(SEARCH("Group",D6000)),IF(G6000="",E6000,IFERROR(E6000/COUNTIF($G2:$G6000,G6000),E6000)),E6000)</f>
        <v>0</v>
      </c>
      <c r="I6000" t="str">
        <f>IFERROR(VLOOKUP(C6000,'Clients List'!A:F,6,FALSE),"")</f>
        <v/>
      </c>
    </row>
  </sheetData>
  <autoFilter ref="A1:E1" xr:uid="{00000000-0009-0000-0000-000001000000}"/>
  <conditionalFormatting sqref="F2:F5999">
    <cfRule type="cellIs" dxfId="1" priority="3" operator="between">
      <formula>0.0001</formula>
      <formula>2</formula>
    </cfRule>
    <cfRule type="cellIs" dxfId="0" priority="4" operator="lessThanOrEqual">
      <formula>0</formula>
    </cfRule>
  </conditionalFormatting>
  <dataValidations count="1">
    <dataValidation type="list" allowBlank="1" sqref="C2:C6000" xr:uid="{00000000-0002-0000-0100-000000000000}">
      <formula1>ClientNameList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zoomScale="80" zoomScaleNormal="80" workbookViewId="0">
      <selection activeCell="C24" sqref="C24"/>
    </sheetView>
  </sheetViews>
  <sheetFormatPr defaultRowHeight="14.25" x14ac:dyDescent="0.45"/>
  <cols>
    <col min="1" max="3" width="30" customWidth="1"/>
    <col min="4" max="4" width="27.06640625" customWidth="1"/>
    <col min="5" max="5" width="17.796875" customWidth="1"/>
  </cols>
  <sheetData>
    <row r="1" spans="1:5" ht="16.899999999999999" customHeight="1" x14ac:dyDescent="0.5">
      <c r="A1" s="3" t="s">
        <v>27</v>
      </c>
    </row>
    <row r="3" spans="1:5" x14ac:dyDescent="0.45">
      <c r="A3" s="2" t="s">
        <v>28</v>
      </c>
      <c r="B3" s="2" t="s">
        <v>29</v>
      </c>
      <c r="C3" s="2" t="s">
        <v>30</v>
      </c>
      <c r="D3" s="27" t="s">
        <v>31</v>
      </c>
      <c r="E3" s="27" t="s">
        <v>32</v>
      </c>
    </row>
    <row r="4" spans="1:5" x14ac:dyDescent="0.45">
      <c r="A4" t="s">
        <v>33</v>
      </c>
      <c r="B4" s="1">
        <f>SUMPRODUCT(--ISNUMBER('Lessons Log'!$A$2:$A$6000),--(YEAR('Lessons Log'!$A$2:$A$6000)=2026),--(MONTH('Lessons Log'!$A$2:$A$6000)=1),'Lessons Log'!$H$2:$H$6000)</f>
        <v>0</v>
      </c>
      <c r="C4" s="24">
        <f>SUMPRODUCT(--ISNUMBER('Lessons Log'!$A$2:$A$6000),--(YEAR('Lessons Log'!$A$2:$A$6000)=2026),--(MONTH('Lessons Log'!$A$2:$A$6000)=1),'Lessons Log'!$E$2:$E$6000,'Lessons Log'!$I$2:$I$6000)</f>
        <v>0</v>
      </c>
      <c r="D4" s="24"/>
      <c r="E4" s="24"/>
    </row>
    <row r="5" spans="1:5" x14ac:dyDescent="0.45">
      <c r="A5" t="s">
        <v>16</v>
      </c>
      <c r="B5" s="1">
        <f>SUMPRODUCT(--ISNUMBER('Lessons Log'!$A$2:$A$6000),--(YEAR('Lessons Log'!$A$2:$A$6000)=2026),--(MONTH('Lessons Log'!$A$2:$A$6000)=2),'Lessons Log'!$H$2:$H$6000)</f>
        <v>0</v>
      </c>
      <c r="C5" s="24">
        <f>SUMPRODUCT(--ISNUMBER('Lessons Log'!$A$2:$A$6000),--(YEAR('Lessons Log'!$A$2:$A$6000)=2026),--(MONTH('Lessons Log'!$A$2:$A$6000)=2),'Lessons Log'!$E$2:$E$6000,'Lessons Log'!$I$2:$I$6000)</f>
        <v>0</v>
      </c>
      <c r="D5" s="24"/>
      <c r="E5" s="24"/>
    </row>
    <row r="6" spans="1:5" x14ac:dyDescent="0.45">
      <c r="A6" t="s">
        <v>17</v>
      </c>
      <c r="B6" s="1">
        <f>SUMPRODUCT(--ISNUMBER('Lessons Log'!$A$2:$A$6000),--(YEAR('Lessons Log'!$A$2:$A$6000)=2026),--(MONTH('Lessons Log'!$A$2:$A$6000)=3),'Lessons Log'!$H$2:$H$6000)</f>
        <v>0</v>
      </c>
      <c r="C6" s="24">
        <f>SUMPRODUCT(--ISNUMBER('Lessons Log'!$A$2:$A$6000),--(YEAR('Lessons Log'!$A$2:$A$6000)=2026),--(MONTH('Lessons Log'!$A$2:$A$6000)=3),'Lessons Log'!$E$2:$E$6000,'Lessons Log'!$I$2:$I$6000)</f>
        <v>0</v>
      </c>
      <c r="D6" s="24"/>
      <c r="E6" s="24"/>
    </row>
    <row r="7" spans="1:5" x14ac:dyDescent="0.45">
      <c r="A7" t="s">
        <v>18</v>
      </c>
      <c r="B7" s="1">
        <f>SUMPRODUCT(--ISNUMBER('Lessons Log'!$A$2:$A$6000),--(YEAR('Lessons Log'!$A$2:$A$6000)=2026),--(MONTH('Lessons Log'!$A$2:$A$6000)=4),'Lessons Log'!$H$2:$H$6000)</f>
        <v>0</v>
      </c>
      <c r="C7" s="24">
        <f>SUMPRODUCT(--ISNUMBER('Lessons Log'!$A$2:$A$6000),--(YEAR('Lessons Log'!$A$2:$A$6000)=2026),--(MONTH('Lessons Log'!$A$2:$A$6000)=4),'Lessons Log'!$E$2:$E$6000,'Lessons Log'!$I$2:$I$6000)</f>
        <v>0</v>
      </c>
      <c r="D7" s="24"/>
      <c r="E7" s="24"/>
    </row>
    <row r="8" spans="1:5" x14ac:dyDescent="0.45">
      <c r="A8" t="s">
        <v>19</v>
      </c>
      <c r="B8" s="1">
        <f>SUMPRODUCT(--ISNUMBER('Lessons Log'!$A$2:$A$6000),--(YEAR('Lessons Log'!$A$2:$A$6000)=2026),--(MONTH('Lessons Log'!$A$2:$A$6000)=5),'Lessons Log'!$H$2:$H$6000)</f>
        <v>0</v>
      </c>
      <c r="C8" s="24">
        <f>SUMPRODUCT(--ISNUMBER('Lessons Log'!$A$2:$A$6000),--(YEAR('Lessons Log'!$A$2:$A$6000)=2026),--(MONTH('Lessons Log'!$A$2:$A$6000)=5),'Lessons Log'!$E$2:$E$6000,'Lessons Log'!$I$2:$I$6000)</f>
        <v>0</v>
      </c>
      <c r="D8" s="24"/>
      <c r="E8" s="24"/>
    </row>
    <row r="9" spans="1:5" x14ac:dyDescent="0.45">
      <c r="A9" t="s">
        <v>20</v>
      </c>
      <c r="B9" s="1">
        <f>SUMPRODUCT(--ISNUMBER('Lessons Log'!$A$2:$A$6000),--(YEAR('Lessons Log'!$A$2:$A$6000)=2026),--(MONTH('Lessons Log'!$A$2:$A$6000)=6),'Lessons Log'!$H$2:$H$6000)</f>
        <v>0</v>
      </c>
      <c r="C9" s="24">
        <f>SUMPRODUCT(--ISNUMBER('Lessons Log'!$A$2:$A$6000),--(YEAR('Lessons Log'!$A$2:$A$6000)=2026),--(MONTH('Lessons Log'!$A$2:$A$6000)=6),'Lessons Log'!$E$2:$E$6000,'Lessons Log'!$I$2:$I$6000)</f>
        <v>0</v>
      </c>
      <c r="D9" s="24"/>
      <c r="E9" s="24"/>
    </row>
    <row r="10" spans="1:5" x14ac:dyDescent="0.45">
      <c r="A10" t="s">
        <v>21</v>
      </c>
      <c r="B10" s="1">
        <f>SUMPRODUCT(--ISNUMBER('Lessons Log'!$A$2:$A$6000),--(YEAR('Lessons Log'!$A$2:$A$6000)=2026),--(MONTH('Lessons Log'!$A$2:$A$6000)=7),'Lessons Log'!$H$2:$H$6000)</f>
        <v>0</v>
      </c>
      <c r="C10" s="24">
        <f>SUMPRODUCT(--ISNUMBER('Lessons Log'!$A$2:$A$6000),--(YEAR('Lessons Log'!$A$2:$A$6000)=2026),--(MONTH('Lessons Log'!$A$2:$A$6000)=7),'Lessons Log'!$E$2:$E$6000,'Lessons Log'!$I$2:$I$6000)</f>
        <v>0</v>
      </c>
      <c r="D10" s="24"/>
      <c r="E10" s="24"/>
    </row>
    <row r="11" spans="1:5" x14ac:dyDescent="0.45">
      <c r="A11" t="s">
        <v>22</v>
      </c>
      <c r="B11" s="1">
        <f>SUMPRODUCT(--ISNUMBER('Lessons Log'!$A$2:$A$6000),--(YEAR('Lessons Log'!$A$2:$A$6000)=2026),--(MONTH('Lessons Log'!$A$2:$A$6000)=8),'Lessons Log'!$H$2:$H$6000)</f>
        <v>0</v>
      </c>
      <c r="C11" s="24">
        <f>SUMPRODUCT(--ISNUMBER('Lessons Log'!$A$2:$A$6000),--(YEAR('Lessons Log'!$A$2:$A$6000)=2026),--(MONTH('Lessons Log'!$A$2:$A$6000)=8),'Lessons Log'!$E$2:$E$6000,'Lessons Log'!$I$2:$I$6000)</f>
        <v>0</v>
      </c>
      <c r="D11" s="24"/>
      <c r="E11" s="24"/>
    </row>
    <row r="12" spans="1:5" x14ac:dyDescent="0.45">
      <c r="A12" t="s">
        <v>23</v>
      </c>
      <c r="B12" s="1">
        <f>SUMPRODUCT(--ISNUMBER('Lessons Log'!$A$2:$A$6000),--(YEAR('Lessons Log'!$A$2:$A$6000)=2026),--(MONTH('Lessons Log'!$A$2:$A$6000)=9),'Lessons Log'!$H$2:$H$6000)</f>
        <v>0</v>
      </c>
      <c r="C12" s="24">
        <f>SUMPRODUCT(--ISNUMBER('Lessons Log'!$A$2:$A$6000),--(YEAR('Lessons Log'!$A$2:$A$6000)=2026),--(MONTH('Lessons Log'!$A$2:$A$6000)=9),'Lessons Log'!$E$2:$E$6000,'Lessons Log'!$I$2:$I$6000)</f>
        <v>0</v>
      </c>
      <c r="D12" s="24"/>
      <c r="E12" s="24"/>
    </row>
    <row r="13" spans="1:5" x14ac:dyDescent="0.45">
      <c r="A13" t="s">
        <v>24</v>
      </c>
      <c r="B13" s="1">
        <f>SUMPRODUCT(--ISNUMBER('Lessons Log'!$A$2:$A$6000),--(YEAR('Lessons Log'!$A$2:$A$6000)=2026),--(MONTH('Lessons Log'!$A$2:$A$6000)=10),'Lessons Log'!$H$2:$H$6000)</f>
        <v>0</v>
      </c>
      <c r="C13" s="24">
        <f>SUMPRODUCT(--ISNUMBER('Lessons Log'!$A$2:$A$6000),--(YEAR('Lessons Log'!$A$2:$A$6000)=2026),--(MONTH('Lessons Log'!$A$2:$A$6000)=10),'Lessons Log'!$E$2:$E$6000,'Lessons Log'!$I$2:$I$6000)</f>
        <v>0</v>
      </c>
      <c r="D13" s="24"/>
      <c r="E13" s="24"/>
    </row>
    <row r="14" spans="1:5" x14ac:dyDescent="0.45">
      <c r="A14" t="s">
        <v>25</v>
      </c>
      <c r="B14" s="1">
        <f>SUMPRODUCT(--ISNUMBER('Lessons Log'!$A$2:$A$6000),--(YEAR('Lessons Log'!$A$2:$A$6000)=2026),--(MONTH('Lessons Log'!$A$2:$A$6000)=11),'Lessons Log'!$H$2:$H$6000)</f>
        <v>0</v>
      </c>
      <c r="C14" s="24">
        <f>SUMPRODUCT(--ISNUMBER('Lessons Log'!$A$2:$A$6000),--(YEAR('Lessons Log'!$A$2:$A$6000)=2026),--(MONTH('Lessons Log'!$A$2:$A$6000)=11),'Lessons Log'!$E$2:$E$6000,'Lessons Log'!$I$2:$I$6000)</f>
        <v>0</v>
      </c>
      <c r="D14" s="24"/>
      <c r="E14" s="24"/>
    </row>
    <row r="15" spans="1:5" x14ac:dyDescent="0.45">
      <c r="A15" t="s">
        <v>26</v>
      </c>
      <c r="B15" s="1">
        <f>SUMPRODUCT(--ISNUMBER('Lessons Log'!$A$2:$A$6000),--(YEAR('Lessons Log'!$A$2:$A$6000)=2026),--(MONTH('Lessons Log'!$A$2:$A$6000)=12),'Lessons Log'!$H$2:$H$6000)</f>
        <v>0</v>
      </c>
      <c r="C15" s="24">
        <f>SUMPRODUCT(--ISNUMBER('Lessons Log'!$A$2:$A$6000),--(YEAR('Lessons Log'!$A$2:$A$6000)=2026),--(MONTH('Lessons Log'!$A$2:$A$6000)=12),'Lessons Log'!$E$2:$E$6000,'Lessons Log'!$I$2:$I$6000)</f>
        <v>0</v>
      </c>
      <c r="D15" s="24"/>
      <c r="E15" s="24"/>
    </row>
    <row r="16" spans="1:5" x14ac:dyDescent="0.45">
      <c r="A16" s="4" t="s">
        <v>34</v>
      </c>
      <c r="B16" s="25">
        <f>SUM(B4:B15)</f>
        <v>0</v>
      </c>
      <c r="C16" s="26">
        <f>SUM(C4:C15)</f>
        <v>0</v>
      </c>
      <c r="D16" s="26">
        <f>SUM(D4:D15)</f>
        <v>0</v>
      </c>
      <c r="E16" s="26">
        <f>C16-D16</f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4"/>
  <sheetViews>
    <sheetView workbookViewId="0"/>
  </sheetViews>
  <sheetFormatPr defaultRowHeight="14.25" x14ac:dyDescent="0.45"/>
  <sheetData>
    <row r="1" spans="1:1" x14ac:dyDescent="0.45">
      <c r="A1" t="s">
        <v>35</v>
      </c>
    </row>
    <row r="2" spans="1:1" x14ac:dyDescent="0.45">
      <c r="A2" t="s">
        <v>36</v>
      </c>
    </row>
    <row r="3" spans="1:1" x14ac:dyDescent="0.45">
      <c r="A3" t="s">
        <v>37</v>
      </c>
    </row>
    <row r="4" spans="1:1" x14ac:dyDescent="0.45">
      <c r="A4" t="s">
        <v>38</v>
      </c>
    </row>
    <row r="5" spans="1:1" x14ac:dyDescent="0.45">
      <c r="A5" t="s">
        <v>39</v>
      </c>
    </row>
    <row r="6" spans="1:1" x14ac:dyDescent="0.45">
      <c r="A6" t="s">
        <v>40</v>
      </c>
    </row>
    <row r="7" spans="1:1" x14ac:dyDescent="0.45">
      <c r="A7" t="s">
        <v>41</v>
      </c>
    </row>
    <row r="8" spans="1:1" x14ac:dyDescent="0.45">
      <c r="A8" t="s">
        <v>42</v>
      </c>
    </row>
    <row r="9" spans="1:1" x14ac:dyDescent="0.45">
      <c r="A9" t="s">
        <v>43</v>
      </c>
    </row>
    <row r="10" spans="1:1" x14ac:dyDescent="0.45">
      <c r="A10" t="s">
        <v>44</v>
      </c>
    </row>
    <row r="11" spans="1:1" x14ac:dyDescent="0.45">
      <c r="A11" t="s">
        <v>45</v>
      </c>
    </row>
    <row r="12" spans="1:1" x14ac:dyDescent="0.45">
      <c r="A12" t="s">
        <v>46</v>
      </c>
    </row>
    <row r="13" spans="1:1" x14ac:dyDescent="0.45">
      <c r="A13" t="s">
        <v>47</v>
      </c>
    </row>
    <row r="14" spans="1:1" x14ac:dyDescent="0.45">
      <c r="A14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Clients List</vt:lpstr>
      <vt:lpstr>Lessons Log</vt:lpstr>
      <vt:lpstr>Revenue</vt:lpstr>
      <vt:lpstr>ValidationLists</vt:lpstr>
      <vt:lpstr>LessonTypeList</vt:lpstr>
      <vt:lpstr>Package_Semi_Lesson__125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Pavel Suchy</cp:lastModifiedBy>
  <dcterms:created xsi:type="dcterms:W3CDTF">2026-01-14T09:30:16Z</dcterms:created>
  <dcterms:modified xsi:type="dcterms:W3CDTF">2026-02-16T15:29:05Z</dcterms:modified>
</cp:coreProperties>
</file>